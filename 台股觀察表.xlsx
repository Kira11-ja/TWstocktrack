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<sst xmlns="http://schemas.openxmlformats.org/spreadsheetml/2006/main" count="8221" uniqueCount="1534">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</sst>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90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2550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0.436107285096209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29.5549374130737</v>
      </c>
      <c r="P3" s="22" t="n">
        <f aca="false">IF(Calc!$A$2="","",Calc!L$2)</f>
        <v>18.7178850827859</v>
      </c>
      <c r="Q3" s="18" t="n">
        <f aca="false">IF(Calc!$A$2="","",Calc!N$2)</f>
        <v>0.555301476720114</v>
      </c>
      <c r="R3" s="18" t="n">
        <f aca="false">IF(Calc!$A$2="","",Calc!O$2)</f>
        <v>0.557575251861787</v>
      </c>
      <c r="S3" s="19" t="n">
        <f aca="false">IF(Calc!$A$2="","",Calc!Q$2)</f>
        <v>0.00862749026666667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532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0.800763417809778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19.5948434622468</v>
      </c>
      <c r="P4" s="22" t="n">
        <f aca="false">IF(Calc!$A$3="","",Calc!L$3)</f>
        <v>5.06601888378758</v>
      </c>
      <c r="Q4" s="18" t="str">
        <f aca="false">IF(Calc!$A$3="","",Calc!N$3)</f>
        <v>N/M</v>
      </c>
      <c r="R4" s="18" t="n">
        <f aca="false">IF(Calc!$A$3="","",Calc!O$3)</f>
        <v>0.097187035927545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1250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5.41496358782536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558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135.436893203884</v>
      </c>
      <c r="P6" s="22" t="n">
        <f aca="false">IF(Calc!$A$5="","",Calc!L$5)</f>
        <v>65.089823012983</v>
      </c>
      <c r="Q6" s="18" t="n">
        <f aca="false">IF(Calc!$A$5="","",Calc!N$5)</f>
        <v>2.1997711953497</v>
      </c>
      <c r="R6" s="18" t="n">
        <f aca="false">IF(Calc!$A$5="","",Calc!O$5)</f>
        <v>0.934232590042014</v>
      </c>
      <c r="S6" s="19" t="n">
        <f aca="false">IF(Calc!$A$5="","",Calc!Q$5)</f>
        <v>0.00469633786738351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531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18.5211021974189</v>
      </c>
      <c r="P7" s="22" t="n">
        <f aca="false">IF(Calc!$A$6="","",Calc!L$6)</f>
        <v>15.1906008338587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0.0527306967984934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2360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0.273562150990253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43.2789290298918</v>
      </c>
      <c r="P8" s="22" t="n">
        <f aca="false">IF(Calc!$A$7="","",Calc!L$7)</f>
        <v>20.5268005430889</v>
      </c>
      <c r="Q8" s="18" t="n">
        <f aca="false">IF(Calc!$A$7="","",Calc!N$7)</f>
        <v>0.753140357942288</v>
      </c>
      <c r="R8" s="18" t="n">
        <f aca="false">IF(Calc!$A$7="","",Calc!O$7)</f>
        <v>0.242419105529828</v>
      </c>
      <c r="S8" s="19" t="n">
        <f aca="false">IF(Calc!$A$7="","",Calc!Q$7)</f>
        <v>0.00445147563135593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596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17.7739358638219</v>
      </c>
      <c r="Q9" s="18" t="str">
        <f aca="false">IF(Calc!$A$8="","",Calc!N$8)</f>
        <v>N/M</v>
      </c>
      <c r="R9" s="18" t="n">
        <f aca="false">IF(Calc!$A$8="","",Calc!O$8)</f>
        <v>1.40671953533617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363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13.5904155746911</v>
      </c>
      <c r="P10" s="22" t="n">
        <f aca="false">IF(Calc!$A$9="","",Calc!L$9)</f>
        <v>10.0281354232589</v>
      </c>
      <c r="Q10" s="18" t="n">
        <f aca="false">IF(Calc!$A$9="","",Calc!N$9)</f>
        <v>0.21686552355338</v>
      </c>
      <c r="R10" s="18" t="n">
        <f aca="false">IF(Calc!$A$9="","",Calc!O$9)</f>
        <v>0.953017045206262</v>
      </c>
      <c r="S10" s="19" t="n">
        <f aca="false">IF(Calc!$A$9="","",Calc!Q$9)</f>
        <v>0.0275482093663912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10615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58.5203153426319</v>
      </c>
      <c r="P11" s="22" t="n">
        <f aca="false">IF(Calc!$A$10="","",Calc!L$10)</f>
        <v>22.9084180481299</v>
      </c>
      <c r="Q11" s="18" t="n">
        <f aca="false">IF(Calc!$A$10="","",Calc!N$10)</f>
        <v>0.347245897873751</v>
      </c>
      <c r="R11" s="18" t="n">
        <f aca="false">IF(Calc!$A$10="","",Calc!O$10)</f>
        <v>0.55070120742063</v>
      </c>
      <c r="S11" s="19" t="n">
        <f aca="false">IF(Calc!$A$10="","",Calc!Q$10)</f>
        <v>0.00303344324069713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2960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264.049955396967</v>
      </c>
      <c r="P12" s="22" t="n">
        <f aca="false">IF(Calc!$A$11="","",Calc!L$11)</f>
        <v>84.8253615746399</v>
      </c>
      <c r="Q12" s="18" t="n">
        <f aca="false">IF(Calc!$A$11="","",Calc!N$11)</f>
        <v>0.468744143509322</v>
      </c>
      <c r="R12" s="18" t="n">
        <f aca="false">IF(Calc!$A$11="","",Calc!O$11)</f>
        <v>0.840865778671916</v>
      </c>
      <c r="S12" s="19" t="n">
        <f aca="false">IF(Calc!$A$11="","",Calc!Q$11)</f>
        <v>0.000168926402027027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689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71.4730290456432</v>
      </c>
      <c r="P13" s="22" t="str">
        <f aca="false">IF(Calc!$A$12="","",Calc!L$12)</f>
        <v>N/M</v>
      </c>
      <c r="Q13" s="18" t="n">
        <f aca="false">IF(Calc!$A$12="","",Calc!N$12)</f>
        <v>0.268151307261115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1075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0.133110401237564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182.203389830508</v>
      </c>
      <c r="P14" s="22" t="n">
        <f aca="false">IF(Calc!$A$13="","",Calc!L$13)</f>
        <v>44.4447289309838</v>
      </c>
      <c r="Q14" s="18" t="n">
        <f aca="false">IF(Calc!$A$13="","",Calc!N$13)</f>
        <v>0.470076975895342</v>
      </c>
      <c r="R14" s="18" t="n">
        <f aca="false">IF(Calc!$A$13="","",Calc!O$13)</f>
        <v>0.297771760660552</v>
      </c>
      <c r="S14" s="19" t="n">
        <f aca="false">IF(Calc!$A$13="","",Calc!Q$13)</f>
        <v>0.000930392493023256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1785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15.5841760784063</v>
      </c>
      <c r="Q15" s="18" t="str">
        <f aca="false">IF(Calc!$A$14="","",Calc!N$14)</f>
        <v>N/M</v>
      </c>
      <c r="R15" s="18" t="n">
        <f aca="false">IF(Calc!$A$14="","",Calc!O$14)</f>
        <v>0.142134837273419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147.5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0.198715796651592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22.0808383233533</v>
      </c>
      <c r="P16" s="22" t="n">
        <f aca="false">IF(Calc!$A$15="","",Calc!L$15)</f>
        <v>20.5235021518313</v>
      </c>
      <c r="Q16" s="18" t="n">
        <f aca="false">IF(Calc!$A$15="","",Calc!N$15)</f>
        <v>0.199419536994387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4690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77.277970011534</v>
      </c>
      <c r="P17" s="22" t="n">
        <f aca="false">IF(Calc!$A$16="","",Calc!L$16)</f>
        <v>36.2986637881815</v>
      </c>
      <c r="Q17" s="18" t="str">
        <f aca="false">IF(Calc!$A$16="","",Calc!N$16)</f>
        <v>N/M</v>
      </c>
      <c r="R17" s="18" t="n">
        <f aca="false">IF(Calc!$A$16="","",Calc!O$16)</f>
        <v>0.313926569202406</v>
      </c>
      <c r="S17" s="19" t="n">
        <f aca="false">IF(Calc!$A$16="","",Calc!Q$16)</f>
        <v>0.0115139056439232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85.7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31.7407407407407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89.7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15.152027027027</v>
      </c>
      <c r="P19" s="22" t="n">
        <f aca="false">IF(Calc!$A$18="","",Calc!L$18)</f>
        <v>13.0713559534498</v>
      </c>
      <c r="Q19" s="18" t="n">
        <f aca="false">IF(Calc!$A$18="","",Calc!N$18)</f>
        <v>0.615146396396396</v>
      </c>
      <c r="R19" s="18" t="n">
        <f aca="false">IF(Calc!$A$18="","",Calc!O$18)</f>
        <v>0.470599133213175</v>
      </c>
      <c r="S19" s="19" t="n">
        <f aca="false">IF(Calc!$A$18="","",Calc!Q$18)</f>
        <v>0.0446982925306578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2060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7.14372608016455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581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68.2726204465335</v>
      </c>
      <c r="P21" s="22" t="n">
        <f aca="false">IF(Calc!$A$20="","",Calc!L$20)</f>
        <v>60.84586346198</v>
      </c>
      <c r="Q21" s="18" t="str">
        <f aca="false">IF(Calc!$A$20="","",Calc!N$20)</f>
        <v>N/M</v>
      </c>
      <c r="R21" s="18" t="n">
        <f aca="false">IF(Calc!$A$20="","",Calc!O$20)</f>
        <v>1.94866042525747</v>
      </c>
      <c r="S21" s="19" t="n">
        <f aca="false">IF(Calc!$A$20="","",Calc!Q$20)</f>
        <v>0.00344234079173838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91.869918699187</v>
      </c>
      <c r="P22" s="22" t="n">
        <f aca="false">IF(Calc!$A$21="","",Calc!L$21)</f>
        <v>44.8507295515688</v>
      </c>
      <c r="Q22" s="18" t="n">
        <f aca="false">IF(Calc!$A$21="","",Calc!N$21)</f>
        <v>2.05498502353445</v>
      </c>
      <c r="R22" s="18" t="n">
        <f aca="false">IF(Calc!$A$21="","",Calc!O$21)</f>
        <v>0.49176096644821</v>
      </c>
      <c r="S22" s="19" t="n">
        <f aca="false">IF(Calc!$A$21="","",Calc!Q$21)</f>
        <v>0.0027338634159292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667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67.3377542097374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177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19.5364238410596</v>
      </c>
      <c r="P24" s="22" t="n">
        <f aca="false">IF(Calc!$A$23="","",Calc!L$23)</f>
        <v>3.81638637775496</v>
      </c>
      <c r="Q24" s="18" t="str">
        <f aca="false">IF(Calc!$A$23="","",Calc!N$23)</f>
        <v>N/M</v>
      </c>
      <c r="R24" s="18" t="n">
        <f aca="false">IF(Calc!$A$23="","",Calc!O$23)</f>
        <v>0.0357551789676475</v>
      </c>
      <c r="S24" s="19" t="n">
        <f aca="false">IF(Calc!$A$23="","",Calc!Q$23)</f>
        <v>0.00282485875706215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522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106.09756097561</v>
      </c>
      <c r="P26" s="22" t="n">
        <f aca="false">IF(Calc!$A$25="","",Calc!L$25)</f>
        <v>43.609022556391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0.00191570881226054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41.3607460969738</v>
      </c>
      <c r="Q27" s="18" t="str">
        <f aca="false">IF(Calc!$A$26="","",Calc!N$26)</f>
        <v>N/M</v>
      </c>
      <c r="R27" s="18" t="n">
        <f aca="false">IF(Calc!$A$26="","",Calc!O$26)</f>
        <v>0.161389481140642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8360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214.304024609075</v>
      </c>
      <c r="P28" s="22" t="n">
        <f aca="false">IF(Calc!$A$27="","",Calc!L$27)</f>
        <v>79.0596073969956</v>
      </c>
      <c r="Q28" s="18" t="n">
        <f aca="false">IF(Calc!$A$27="","",Calc!N$27)</f>
        <v>4.84108673803624</v>
      </c>
      <c r="R28" s="18" t="n">
        <f aca="false">IF(Calc!$A$27="","",Calc!O$27)</f>
        <v>0.624385080251071</v>
      </c>
      <c r="S28" s="19" t="n">
        <f aca="false">IF(Calc!$A$27="","",Calc!Q$27)</f>
        <v>0.00239234449760766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2550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46304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29.5549374130737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18.7178850827859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0.555301476720114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0.557575251861787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136.233339863014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0.00862749026666667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0.436107285096209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0.335701504331216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2550</v>
      </c>
      <c r="L12" s="55" t="n">
        <f aca="false">IF(Stock_Card!$B$2="","",IFERROR(INDEX(Calc!$Q$2:$Q$100,MATCH(Stock_Card!$B$2,Calc!$A$2:$A$100,0)),""))</f>
        <v>0.00862749026666667</v>
      </c>
      <c r="M12" s="58" t="n">
        <f aca="false">IF(Stock_Card!$B$2="","",IFERROR(INDEX(Calc!$J$2:$J$100,MATCH(Stock_Card!$B$2,Calc!$A$2:$A$100,0)),""))</f>
        <v>29.5549374130737</v>
      </c>
      <c r="N12" s="57" t="n">
        <f aca="false">IF(Stock_Card!$B$2="","",IFERROR(INDEX(Calc!$N$2:$N$100,MATCH(Stock_Card!$B$2,Calc!$A$2:$A$100,0)),""))</f>
        <v>0.555301476720114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136.233339863014</v>
      </c>
      <c r="H13" s="55" t="n">
        <f aca="false">IF(Stock_Card!$B$2="","",IFERROR(INDEX(Calc!$M$2:$M$100,MATCH(Stock_Card!$B$2,Calc!$A$2:$A$100,0)),""))</f>
        <v>0.335701504331216</v>
      </c>
      <c r="I13" s="55" t="n">
        <f aca="false">IF(Stock_Card!$B$2="","",IFERROR(INDEX(Calc!$AI$2:$AI$100,MATCH(Stock_Card!$B$2,Calc!$A$2:$A$100,0)),""))</f>
        <v>0.436107285096209</v>
      </c>
      <c r="J13" s="59"/>
      <c r="K13" s="59"/>
      <c r="L13" s="59"/>
      <c r="M13" s="58" t="n">
        <f aca="false">IF(Stock_Card!$B$2="","",IFERROR(INDEX(Calc!$L$2:$L$100,MATCH(Stock_Card!$B$2,Calc!$A$2:$A$100,0)),""))</f>
        <v>18.7178850827859</v>
      </c>
      <c r="N13" s="57" t="n">
        <f aca="false">IF(Stock_Card!$B$2="","",IFERROR(INDEX(Calc!$O$2:$O$100,MATCH(Stock_Card!$B$2,Calc!$A$2:$A$100,0)),""))</f>
        <v>0.557575251861787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{9250ED61-EA14-4630-A0EF-F340D371974C}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0ED61-EA14-4630-A0EF-F340D371974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-46304</v>
      </c>
      <c r="I4" s="67" t="n">
        <f aca="false">IF($A4="","",IFERROR(INDEX(Raw_Price!$E$2:$E$100,MATCH($A4,Raw_Price!$A$2:$A$100,0)),""))</f>
        <v>46304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-46304</v>
      </c>
      <c r="I5" s="67" t="n">
        <f aca="false">IF($A5="","",IFERROR(INDEX(Raw_Price!$E$2:$E$100,MATCH($A5,Raw_Price!$A$2:$A$100,0)),""))</f>
        <v>46304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-46304</v>
      </c>
      <c r="I6" s="67" t="n">
        <f aca="false">IF($A6="","",IFERROR(INDEX(Raw_Price!$E$2:$E$100,MATCH($A6,Raw_Price!$A$2:$A$100,0)),""))</f>
        <v>46304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-46304</v>
      </c>
      <c r="I7" s="67" t="n">
        <f aca="false">IF($A7="","",IFERROR(INDEX(Raw_Price!$E$2:$E$100,MATCH($A7,Raw_Price!$A$2:$A$100,0)),""))</f>
        <v>46304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-46304</v>
      </c>
      <c r="I8" s="67" t="n">
        <f aca="false">IF($A8="","",IFERROR(INDEX(Raw_Price!$E$2:$E$100,MATCH($A8,Raw_Price!$A$2:$A$100,0)),""))</f>
        <v>46304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-46304</v>
      </c>
      <c r="I9" s="67" t="n">
        <f aca="false">IF($A9="","",IFERROR(INDEX(Raw_Price!$E$2:$E$100,MATCH($A9,Raw_Price!$A$2:$A$100,0)),""))</f>
        <v>46304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-46304</v>
      </c>
      <c r="I10" s="67" t="n">
        <f aca="false">IF($A10="","",IFERROR(INDEX(Raw_Price!$E$2:$E$100,MATCH($A10,Raw_Price!$A$2:$A$100,0)),""))</f>
        <v>46304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-46304</v>
      </c>
      <c r="I11" s="67" t="n">
        <f aca="false">IF($A11="","",IFERROR(INDEX(Raw_Price!$E$2:$E$100,MATCH($A11,Raw_Price!$A$2:$A$100,0)),""))</f>
        <v>46304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-46304</v>
      </c>
      <c r="I12" s="67" t="n">
        <f aca="false">IF($A12="","",IFERROR(INDEX(Raw_Price!$E$2:$E$100,MATCH($A12,Raw_Price!$A$2:$A$100,0)),""))</f>
        <v>46304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-46304</v>
      </c>
      <c r="I13" s="67" t="n">
        <f aca="false">IF($A13="","",IFERROR(INDEX(Raw_Price!$E$2:$E$100,MATCH($A13,Raw_Price!$A$2:$A$100,0)),""))</f>
        <v>46304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-46304</v>
      </c>
      <c r="I14" s="67" t="n">
        <f aca="false">IF($A14="","",IFERROR(INDEX(Raw_Price!$E$2:$E$100,MATCH($A14,Raw_Price!$A$2:$A$100,0)),""))</f>
        <v>46304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-46304</v>
      </c>
      <c r="I15" s="67" t="n">
        <f aca="false">IF($A15="","",IFERROR(INDEX(Raw_Price!$E$2:$E$100,MATCH($A15,Raw_Price!$A$2:$A$100,0)),""))</f>
        <v>46304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-46304</v>
      </c>
      <c r="I16" s="67" t="n">
        <f aca="false">IF($A16="","",IFERROR(INDEX(Raw_Price!$E$2:$E$100,MATCH($A16,Raw_Price!$A$2:$A$100,0)),""))</f>
        <v>46304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-46304</v>
      </c>
      <c r="I17" s="67" t="n">
        <f aca="false">IF($A17="","",IFERROR(INDEX(Raw_Price!$E$2:$E$100,MATCH($A17,Raw_Price!$A$2:$A$100,0)),""))</f>
        <v>46304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-46304</v>
      </c>
      <c r="I18" s="67" t="n">
        <f aca="false">IF($A18="","",IFERROR(INDEX(Raw_Price!$E$2:$E$100,MATCH($A18,Raw_Price!$A$2:$A$100,0)),""))</f>
        <v>46304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-46304</v>
      </c>
      <c r="I19" s="67" t="n">
        <f aca="false">IF($A19="","",IFERROR(INDEX(Raw_Price!$E$2:$E$100,MATCH($A19,Raw_Price!$A$2:$A$100,0)),""))</f>
        <v>46304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-46304</v>
      </c>
      <c r="I20" s="67" t="n">
        <f aca="false">IF($A20="","",IFERROR(INDEX(Raw_Price!$E$2:$E$100,MATCH($A20,Raw_Price!$A$2:$A$100,0)),""))</f>
        <v>46304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-46304</v>
      </c>
      <c r="I21" s="67" t="n">
        <f aca="false">IF($A21="","",IFERROR(INDEX(Raw_Price!$E$2:$E$100,MATCH($A21,Raw_Price!$A$2:$A$100,0)),""))</f>
        <v>46304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-46304</v>
      </c>
      <c r="I22" s="67" t="n">
        <f aca="false">IF($A22="","",IFERROR(INDEX(Raw_Price!$E$2:$E$100,MATCH($A22,Raw_Price!$A$2:$A$100,0)),""))</f>
        <v>46304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-46304</v>
      </c>
      <c r="I23" s="67" t="n">
        <f aca="false">IF($A23="","",IFERROR(INDEX(Raw_Price!$E$2:$E$100,MATCH($A23,Raw_Price!$A$2:$A$100,0)),""))</f>
        <v>46304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-46304</v>
      </c>
      <c r="I24" s="67" t="n">
        <f aca="false">IF($A24="","",IFERROR(INDEX(Raw_Price!$E$2:$E$100,MATCH($A24,Raw_Price!$A$2:$A$100,0)),""))</f>
        <v>46304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-46304</v>
      </c>
      <c r="I25" s="67" t="n">
        <f aca="false">IF($A25="","",IFERROR(INDEX(Raw_Price!$E$2:$E$100,MATCH($A25,Raw_Price!$A$2:$A$100,0)),""))</f>
        <v>46304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-46304</v>
      </c>
      <c r="I27" s="67" t="n">
        <f aca="false">IF($A27="","",IFERROR(INDEX(Raw_Price!$E$2:$E$100,MATCH($A27,Raw_Price!$A$2:$A$100,0)),""))</f>
        <v>46304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-46304</v>
      </c>
      <c r="I28" s="67" t="n">
        <f aca="false">IF($A28="","",IFERROR(INDEX(Raw_Price!$E$2:$E$100,MATCH($A28,Raw_Price!$A$2:$A$100,0)),""))</f>
        <v>46304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-46304</v>
      </c>
      <c r="I29" s="67" t="n">
        <f aca="false">IF($A29="","",IFERROR(INDEX(Raw_Price!$E$2:$E$100,MATCH($A29,Raw_Price!$A$2:$A$100,0)),""))</f>
        <v>46304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1080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1081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1082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1083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1084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1085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1086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1087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1088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1089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1090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1091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1092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1093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1094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1095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1096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1097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1098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1099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1100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1101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1102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1103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1105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1107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1109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1111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1113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1115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1117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1119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1121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1123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1125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1210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46304</v>
      </c>
    </row>
    <row r="3" customFormat="false" ht="15" hidden="false" customHeight="false" outlineLevel="0" collapsed="false">
      <c r="A3" s="79" t="s">
        <v>220</v>
      </c>
      <c r="B3" s="83" t="n">
        <v>7.01392</v>
      </c>
      <c r="C3" s="83" t="n">
        <v>7.23779</v>
      </c>
      <c r="D3" s="81" t="n">
        <v>46387</v>
      </c>
      <c r="E3" s="80" t="n">
        <v>13</v>
      </c>
      <c r="F3" s="81" t="n">
        <v>46304</v>
      </c>
    </row>
    <row r="4" customFormat="false" ht="15" hidden="false" customHeight="false" outlineLevel="0" collapsed="false">
      <c r="A4" s="79" t="s">
        <v>345</v>
      </c>
      <c r="B4" s="83" t="n">
        <v>20.09058</v>
      </c>
      <c r="C4" s="83" t="n">
        <v>31.30648</v>
      </c>
      <c r="D4" s="81" t="n">
        <v>46387</v>
      </c>
      <c r="E4" s="80" t="n">
        <v>3</v>
      </c>
      <c r="F4" s="81" t="n">
        <v>46304</v>
      </c>
    </row>
    <row r="5" customFormat="false" ht="15" hidden="false" customHeight="false" outlineLevel="0" collapsed="false">
      <c r="A5" s="79" t="s">
        <v>79</v>
      </c>
      <c r="B5" s="83" t="n">
        <v>108.17631</v>
      </c>
      <c r="C5" s="83" t="n">
        <v>144.49126</v>
      </c>
      <c r="D5" s="81" t="n">
        <v>46387</v>
      </c>
      <c r="E5" s="80" t="n">
        <v>23</v>
      </c>
      <c r="F5" s="81" t="n">
        <v>46304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46304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46304</v>
      </c>
    </row>
    <row r="8" customFormat="false" ht="15" hidden="false" customHeight="false" outlineLevel="0" collapsed="false">
      <c r="A8" s="79" t="s">
        <v>182</v>
      </c>
      <c r="B8" s="83" t="n">
        <v>74.86357</v>
      </c>
      <c r="C8" s="83" t="n">
        <v>113.88732</v>
      </c>
      <c r="D8" s="81" t="n">
        <v>46387</v>
      </c>
      <c r="E8" s="80" t="n">
        <v>7</v>
      </c>
      <c r="F8" s="81" t="n">
        <v>46304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46304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46304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46304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46304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46304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46304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46304</v>
      </c>
    </row>
    <row r="17" customFormat="false" ht="15" hidden="false" customHeight="false" outlineLevel="0" collapsed="false">
      <c r="A17" s="79" t="s">
        <v>216</v>
      </c>
      <c r="B17" s="83" t="n">
        <v>11.23337</v>
      </c>
      <c r="C17" s="83" t="n">
        <v>28.00004</v>
      </c>
      <c r="D17" s="81" t="n">
        <v>46387</v>
      </c>
      <c r="E17" s="80" t="n">
        <v>9</v>
      </c>
      <c r="F17" s="81" t="n">
        <v>46304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46304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46304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46304</v>
      </c>
    </row>
    <row r="22" customFormat="false" ht="15" hidden="false" customHeight="false" outlineLevel="0" collapsed="false">
      <c r="A22" s="79" t="s">
        <v>197</v>
      </c>
      <c r="B22" s="83" t="n">
        <v>69.50286</v>
      </c>
      <c r="C22" s="83" t="n">
        <v>128.3543</v>
      </c>
      <c r="D22" s="81" t="n">
        <v>46387</v>
      </c>
      <c r="E22" s="80" t="n">
        <v>9</v>
      </c>
      <c r="F22" s="81" t="n">
        <v>46304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46304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46304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46304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46304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46304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46304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46304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10615</v>
      </c>
      <c r="C2" s="81" t="n">
        <v>46304</v>
      </c>
      <c r="D2" s="81"/>
      <c r="E2" s="81" t="n">
        <v>46304</v>
      </c>
    </row>
    <row r="3" customFormat="false" ht="15" hidden="false" customHeight="false" outlineLevel="0" collapsed="false">
      <c r="A3" s="79" t="s">
        <v>220</v>
      </c>
      <c r="B3" s="83" t="n">
        <v>147.5</v>
      </c>
      <c r="C3" s="81" t="n">
        <v>46304</v>
      </c>
      <c r="D3" s="81"/>
      <c r="E3" s="81" t="n">
        <v>46304</v>
      </c>
    </row>
    <row r="4" customFormat="false" ht="15" hidden="false" customHeight="false" outlineLevel="0" collapsed="false">
      <c r="A4" s="79" t="s">
        <v>345</v>
      </c>
      <c r="B4" s="83" t="n">
        <v>635</v>
      </c>
      <c r="C4" s="81" t="n">
        <v>46304</v>
      </c>
      <c r="D4" s="81"/>
      <c r="E4" s="81" t="n">
        <v>46304</v>
      </c>
    </row>
    <row r="5" customFormat="false" ht="15" hidden="false" customHeight="false" outlineLevel="0" collapsed="false">
      <c r="A5" s="79" t="s">
        <v>79</v>
      </c>
      <c r="B5" s="83" t="n">
        <v>2550</v>
      </c>
      <c r="C5" s="81" t="n">
        <v>46304</v>
      </c>
      <c r="D5" s="81"/>
      <c r="E5" s="81" t="n">
        <v>46304</v>
      </c>
    </row>
    <row r="6" customFormat="false" ht="15" hidden="false" customHeight="false" outlineLevel="0" collapsed="false">
      <c r="A6" s="79" t="s">
        <v>236</v>
      </c>
      <c r="B6" s="83" t="n">
        <v>177</v>
      </c>
      <c r="C6" s="81" t="n">
        <v>46304</v>
      </c>
      <c r="D6" s="81"/>
      <c r="E6" s="81" t="n">
        <v>46304</v>
      </c>
    </row>
    <row r="7" customFormat="false" ht="15" hidden="false" customHeight="false" outlineLevel="0" collapsed="false">
      <c r="A7" s="79" t="s">
        <v>205</v>
      </c>
      <c r="B7" s="83" t="n">
        <v>363</v>
      </c>
      <c r="C7" s="81" t="n">
        <v>46304</v>
      </c>
      <c r="D7" s="81"/>
      <c r="E7" s="81" t="n">
        <v>46304</v>
      </c>
    </row>
    <row r="8" customFormat="false" ht="15" hidden="false" customHeight="false" outlineLevel="0" collapsed="false">
      <c r="A8" s="79" t="s">
        <v>182</v>
      </c>
      <c r="B8" s="83" t="n">
        <v>532</v>
      </c>
      <c r="C8" s="81" t="n">
        <v>46304</v>
      </c>
      <c r="D8" s="81"/>
      <c r="E8" s="81" t="n">
        <v>46304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4690</v>
      </c>
      <c r="C10" s="81" t="n">
        <v>46304</v>
      </c>
      <c r="D10" s="81"/>
      <c r="E10" s="81" t="n">
        <v>46304</v>
      </c>
    </row>
    <row r="11" customFormat="false" ht="15" hidden="false" customHeight="false" outlineLevel="0" collapsed="false">
      <c r="A11" s="79" t="s">
        <v>190</v>
      </c>
      <c r="B11" s="83" t="n">
        <v>558</v>
      </c>
      <c r="C11" s="81" t="n">
        <v>46304</v>
      </c>
      <c r="D11" s="81"/>
      <c r="E11" s="81" t="n">
        <v>46304</v>
      </c>
    </row>
    <row r="12" customFormat="false" ht="15" hidden="false" customHeight="false" outlineLevel="0" collapsed="false">
      <c r="A12" s="79" t="s">
        <v>224</v>
      </c>
      <c r="B12" s="83" t="n">
        <v>85.7</v>
      </c>
      <c r="C12" s="81" t="n">
        <v>46304</v>
      </c>
      <c r="D12" s="81"/>
      <c r="E12" s="81" t="n">
        <v>46304</v>
      </c>
    </row>
    <row r="13" customFormat="false" ht="15" hidden="false" customHeight="false" outlineLevel="0" collapsed="false">
      <c r="A13" s="79" t="s">
        <v>195</v>
      </c>
      <c r="B13" s="83" t="n">
        <v>531</v>
      </c>
      <c r="C13" s="81" t="n">
        <v>46304</v>
      </c>
      <c r="D13" s="81"/>
      <c r="E13" s="81" t="n">
        <v>46304</v>
      </c>
    </row>
    <row r="14" customFormat="false" ht="15" hidden="false" customHeight="false" outlineLevel="0" collapsed="false">
      <c r="A14" s="79" t="s">
        <v>210</v>
      </c>
      <c r="B14" s="83" t="n">
        <v>2960</v>
      </c>
      <c r="C14" s="81" t="n">
        <v>46304</v>
      </c>
      <c r="D14" s="81"/>
      <c r="E14" s="81" t="n">
        <v>46304</v>
      </c>
    </row>
    <row r="15" customFormat="false" ht="15" hidden="false" customHeight="false" outlineLevel="0" collapsed="false">
      <c r="A15" s="79" t="s">
        <v>230</v>
      </c>
      <c r="B15" s="83" t="n">
        <v>581</v>
      </c>
      <c r="C15" s="81" t="n">
        <v>46304</v>
      </c>
      <c r="D15" s="81"/>
      <c r="E15" s="81" t="n">
        <v>46304</v>
      </c>
    </row>
    <row r="16" customFormat="false" ht="15" hidden="false" customHeight="false" outlineLevel="0" collapsed="false">
      <c r="A16" s="79" t="s">
        <v>212</v>
      </c>
      <c r="B16" s="83" t="n">
        <v>689</v>
      </c>
      <c r="C16" s="81" t="n">
        <v>46304</v>
      </c>
      <c r="D16" s="81"/>
      <c r="E16" s="81" t="n">
        <v>46304</v>
      </c>
    </row>
    <row r="17" customFormat="false" ht="15" hidden="false" customHeight="false" outlineLevel="0" collapsed="false">
      <c r="A17" s="79" t="s">
        <v>216</v>
      </c>
      <c r="B17" s="83" t="n">
        <v>1075</v>
      </c>
      <c r="C17" s="81" t="n">
        <v>46304</v>
      </c>
      <c r="D17" s="81"/>
      <c r="E17" s="81" t="n">
        <v>46304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667</v>
      </c>
      <c r="C19" s="81" t="n">
        <v>46304</v>
      </c>
      <c r="D19" s="81"/>
      <c r="E19" s="81" t="n">
        <v>46304</v>
      </c>
    </row>
    <row r="20" customFormat="false" ht="15" hidden="false" customHeight="false" outlineLevel="0" collapsed="false">
      <c r="A20" s="79" t="s">
        <v>245</v>
      </c>
      <c r="B20" s="83" t="n">
        <v>8360</v>
      </c>
      <c r="C20" s="81" t="n">
        <v>46304</v>
      </c>
      <c r="D20" s="81"/>
      <c r="E20" s="81" t="n">
        <v>46304</v>
      </c>
    </row>
    <row r="21" customFormat="false" ht="15" hidden="false" customHeight="false" outlineLevel="0" collapsed="false">
      <c r="A21" s="79" t="s">
        <v>241</v>
      </c>
      <c r="B21" s="83" t="n">
        <v>522</v>
      </c>
      <c r="C21" s="81" t="n">
        <v>46304</v>
      </c>
      <c r="D21" s="81"/>
      <c r="E21" s="81" t="n">
        <v>46304</v>
      </c>
    </row>
    <row r="22" customFormat="false" ht="15" hidden="false" customHeight="false" outlineLevel="0" collapsed="false">
      <c r="A22" s="79" t="s">
        <v>197</v>
      </c>
      <c r="B22" s="83" t="n">
        <v>2360</v>
      </c>
      <c r="C22" s="81" t="n">
        <v>46304</v>
      </c>
      <c r="D22" s="81"/>
      <c r="E22" s="81" t="n">
        <v>46304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89.7</v>
      </c>
      <c r="C24" s="81" t="n">
        <v>46304</v>
      </c>
      <c r="D24" s="81"/>
      <c r="E24" s="81" t="n">
        <v>46304</v>
      </c>
    </row>
    <row r="25" customFormat="false" ht="15" hidden="false" customHeight="false" outlineLevel="0" collapsed="false">
      <c r="A25" s="79" t="s">
        <v>232</v>
      </c>
      <c r="B25" s="83" t="n">
        <v>565</v>
      </c>
      <c r="C25" s="81" t="n">
        <v>46304</v>
      </c>
      <c r="D25" s="81"/>
      <c r="E25" s="81" t="n">
        <v>46304</v>
      </c>
    </row>
    <row r="26" customFormat="false" ht="15" hidden="false" customHeight="false" outlineLevel="0" collapsed="false">
      <c r="A26" s="79" t="s">
        <v>186</v>
      </c>
      <c r="B26" s="83" t="n">
        <v>1250</v>
      </c>
      <c r="C26" s="81" t="n">
        <v>46304</v>
      </c>
      <c r="D26" s="81"/>
      <c r="E26" s="81" t="n">
        <v>46304</v>
      </c>
    </row>
    <row r="27" customFormat="false" ht="15" hidden="false" customHeight="false" outlineLevel="0" collapsed="false">
      <c r="A27" s="79" t="s">
        <v>201</v>
      </c>
      <c r="B27" s="83" t="n">
        <v>596</v>
      </c>
      <c r="C27" s="81" t="n">
        <v>46304</v>
      </c>
      <c r="D27" s="81"/>
      <c r="E27" s="81" t="n">
        <v>46304</v>
      </c>
    </row>
    <row r="28" customFormat="false" ht="15" hidden="false" customHeight="false" outlineLevel="0" collapsed="false">
      <c r="A28" s="79" t="s">
        <v>218</v>
      </c>
      <c r="B28" s="83" t="n">
        <v>1785</v>
      </c>
      <c r="C28" s="81" t="n">
        <v>46304</v>
      </c>
      <c r="D28" s="81"/>
      <c r="E28" s="81" t="n">
        <v>46304</v>
      </c>
    </row>
    <row r="29" customFormat="false" ht="15" hidden="false" customHeight="false" outlineLevel="0" collapsed="false">
      <c r="A29" s="79" t="s">
        <v>243</v>
      </c>
      <c r="B29" s="83" t="n">
        <v>530</v>
      </c>
      <c r="C29" s="81" t="n">
        <v>46304</v>
      </c>
      <c r="D29" s="81"/>
      <c r="E29" s="81" t="n">
        <v>46304</v>
      </c>
    </row>
    <row r="30" customFormat="false" ht="15" hidden="false" customHeight="false" outlineLevel="0" collapsed="false">
      <c r="A30" s="79" t="s">
        <v>228</v>
      </c>
      <c r="B30" s="83" t="n">
        <v>2060</v>
      </c>
      <c r="C30" s="81" t="n">
        <v>46304</v>
      </c>
      <c r="D30" s="81"/>
      <c r="E30" s="81" t="n">
        <v>46304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2550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136.233339863014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29.5549374130737</v>
      </c>
      <c r="K2" s="52" t="n">
        <f aca="false">IF($A2="","",IFERROR(IF(G2&lt;=0,"N/M",D2/G2),"N/M"))</f>
        <v>26.2801336514844</v>
      </c>
      <c r="L2" s="52" t="n">
        <f aca="false">IF($A2="","",IFERROR(IF(H2&lt;=0,"N/M",D2/H2),"N/M"))</f>
        <v>18.7178850827859</v>
      </c>
      <c r="M2" s="49" t="n">
        <f aca="false">IF($A2="","",IFERROR(INDEX(Raw_Est!$C$2:$C$100,MATCH($A2,Raw_Est!$A$2:$A$100,0))/INDEX(Raw_Est!$B$2:$B$100,MATCH($A2,Raw_Est!$A$2:$A$100,0))-1,""))</f>
        <v>0.335701504331216</v>
      </c>
      <c r="N2" s="51" t="n">
        <f aca="false">IF($A2="","",IFERROR(IF(OR(NOT(ISNUMBER(J2)),I2&lt;Config!$B$6),"N/M",J2/(I2*100)),"N/M"))</f>
        <v>0.555301476720114</v>
      </c>
      <c r="O2" s="51" t="n">
        <f aca="false">IF($A2="","",IFERROR(IF(OR(NOT(ISNUMBER(L2)),M2&lt;Config!$B$6),"N/M",L2/(M2*100)),"N/M"))</f>
        <v>0.557575251861787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0.00862749026666667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0.436107285096209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46304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532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105.013426164384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19.5948434622468</v>
      </c>
      <c r="K3" s="52" t="n">
        <f aca="false">IF($A3="","",IFERROR(IF(G3&lt;=0,"N/M",D3/G3),"N/M"))</f>
        <v>11.2005069703155</v>
      </c>
      <c r="L3" s="52" t="n">
        <f aca="false">IF($A3="","",IFERROR(IF(H3&lt;=0,"N/M",D3/H3),"N/M"))</f>
        <v>5.06601888378758</v>
      </c>
      <c r="M3" s="49" t="n">
        <f aca="false">IF($A3="","",IFERROR(INDEX(Raw_Est!$C$2:$C$100,MATCH($A3,Raw_Est!$A$2:$A$100,0))/INDEX(Raw_Est!$B$2:$B$100,MATCH($A3,Raw_Est!$A$2:$A$100,0))-1,""))</f>
        <v>0.521264882238451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0.097187035927545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0.800763417809778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7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46304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1250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230.841810794521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5.41496358782536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46304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8.57276873972603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135.436893203884</v>
      </c>
      <c r="K5" s="52" t="n">
        <f aca="false">IF($A5="","",IFERROR(IF(G5&lt;=0,"N/M",D5/G5),"N/M"))</f>
        <v>118.867816006254</v>
      </c>
      <c r="L5" s="52" t="n">
        <f aca="false">IF($A5="","",IFERROR(IF(H5&lt;=0,"N/M",D5/H5),"N/M"))</f>
        <v>65.089823012983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2.1997711953497</v>
      </c>
      <c r="O5" s="51" t="n">
        <f aca="false">IF($A5="","",IFERROR(IF(OR(NOT(ISNUMBER(L5)),M5&lt;Config!$B$6),"N/M",L5/(M5*100)),"N/M"))</f>
        <v>0.934232590042014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0.00469633786738351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46304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531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34.9558260273973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18.5211021974189</v>
      </c>
      <c r="K6" s="52" t="n">
        <f aca="false">IF($A6="","",IFERROR(IF(G6&lt;=0,"N/M",D6/G6),"N/M"))</f>
        <v>16.4739381367945</v>
      </c>
      <c r="L6" s="52" t="n">
        <f aca="false">IF($A6="","",IFERROR(IF(H6&lt;=0,"N/M",D6/H6),"N/M"))</f>
        <v>15.1906008338587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0.0527306967984934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46304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2360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114.971643780822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43.2789290298918</v>
      </c>
      <c r="K7" s="52" t="n">
        <f aca="false">IF($A7="","",IFERROR(IF(G7&lt;=0,"N/M",D7/G7),"N/M"))</f>
        <v>39.4888205643053</v>
      </c>
      <c r="L7" s="52" t="n">
        <f aca="false">IF($A7="","",IFERROR(IF(H7&lt;=0,"N/M",D7/H7),"N/M"))</f>
        <v>20.5268005430889</v>
      </c>
      <c r="M7" s="49" t="n">
        <f aca="false">IF($A7="","",IFERROR(INDEX(Raw_Est!$C$2:$C$100,MATCH($A7,Raw_Est!$A$2:$A$100,0))/INDEX(Raw_Est!$B$2:$B$100,MATCH($A7,Raw_Est!$A$2:$A$100,0))-1,""))</f>
        <v>0.846748464739437</v>
      </c>
      <c r="N7" s="51" t="n">
        <f aca="false">IF($A7="","",IFERROR(IF(OR(NOT(ISNUMBER(J7)),I7&lt;Config!$B$6),"N/M",J7/(I7*100)),"N/M"))</f>
        <v>0.753140357942288</v>
      </c>
      <c r="O7" s="51" t="n">
        <f aca="false">IF($A7="","",IFERROR(IF(OR(NOT(ISNUMBER(L7)),M7&lt;Config!$B$6),"N/M",L7/(M7*100)),"N/M"))</f>
        <v>0.242419105529828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0.00445147563135593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0.273562150990253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46304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596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33.5322465753425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17.7739358638219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1.40671953533617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46304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363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36.1981549589041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13.5904155746911</v>
      </c>
      <c r="K9" s="52" t="n">
        <f aca="false">IF($A9="","",IFERROR(IF(G9&lt;=0,"N/M",D9/G9),"N/M"))</f>
        <v>11.9538994410317</v>
      </c>
      <c r="L9" s="52" t="n">
        <f aca="false">IF($A9="","",IFERROR(IF(H9&lt;=0,"N/M",D9/H9),"N/M"))</f>
        <v>10.0281354232589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0.21686552355338</v>
      </c>
      <c r="O9" s="51" t="n">
        <f aca="false">IF($A9="","",IFERROR(IF(OR(NOT(ISNUMBER(L9)),M9&lt;Config!$B$6),"N/M",L9/(M9*100)),"N/M"))</f>
        <v>0.953017045206262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0.0275482093663912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46304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10615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463.366784109589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58.5203153426319</v>
      </c>
      <c r="K10" s="52" t="n">
        <f aca="false">IF($A10="","",IFERROR(IF(G10&lt;=0,"N/M",D10/G10),"N/M"))</f>
        <v>39.8699297534281</v>
      </c>
      <c r="L10" s="52" t="n">
        <f aca="false">IF($A10="","",IFERROR(IF(H10&lt;=0,"N/M",D10/H10),"N/M"))</f>
        <v>22.9084180481299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0.347245897873751</v>
      </c>
      <c r="O10" s="51" t="n">
        <f aca="false">IF($A10="","",IFERROR(IF(OR(NOT(ISNUMBER(L10)),M10&lt;Config!$B$6),"N/M",L10/(M10*100)),"N/M"))</f>
        <v>0.55070120742063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0.00303344324069713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46304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2960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34.8952240821918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264.049955396967</v>
      </c>
      <c r="K11" s="52" t="n">
        <f aca="false">IF($A11="","",IFERROR(IF(G11&lt;=0,"N/M",D11/G11),"N/M"))</f>
        <v>185.929648241206</v>
      </c>
      <c r="L11" s="52" t="n">
        <f aca="false">IF($A11="","",IFERROR(IF(H11&lt;=0,"N/M",D11/H11),"N/M"))</f>
        <v>84.8253615746399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0.468744143509322</v>
      </c>
      <c r="O11" s="51" t="n">
        <f aca="false">IF($A11="","",IFERROR(IF(OR(NOT(ISNUMBER(L11)),M11&lt;Config!$B$6),"N/M",L11/(M11*100)),"N/M"))</f>
        <v>0.840865778671916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0.000168926402027027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46304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689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71.4730290456432</v>
      </c>
      <c r="K12" s="52" t="n">
        <f aca="false">IF($A12="","",IFERROR(IF(G12&lt;=0,"N/M",D12/G12),"N/M"))</f>
        <v>100.437317784257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0.268151307261115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46304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1075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24.1873451780822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182.203389830508</v>
      </c>
      <c r="K13" s="52" t="n">
        <f aca="false">IF($A13="","",IFERROR(IF(G13&lt;=0,"N/M",D13/G13),"N/M"))</f>
        <v>128.985811560728</v>
      </c>
      <c r="L13" s="52" t="n">
        <f aca="false">IF($A13="","",IFERROR(IF(H13&lt;=0,"N/M",D13/H13),"N/M"))</f>
        <v>44.4447289309838</v>
      </c>
      <c r="M13" s="49" t="n">
        <f aca="false">IF($A13="","",IFERROR(INDEX(Raw_Est!$C$2:$C$100,MATCH($A13,Raw_Est!$A$2:$A$100,0))/INDEX(Raw_Est!$B$2:$B$100,MATCH($A13,Raw_Est!$A$2:$A$100,0))-1,""))</f>
        <v>1.49257702719665</v>
      </c>
      <c r="N13" s="51" t="n">
        <f aca="false">IF($A13="","",IFERROR(IF(OR(NOT(ISNUMBER(J13)),I13&lt;Config!$B$6),"N/M",J13/(I13*100)),"N/M"))</f>
        <v>0.470076975895342</v>
      </c>
      <c r="O13" s="51" t="n">
        <f aca="false">IF($A13="","",IFERROR(IF(OR(NOT(ISNUMBER(L13)),M13&lt;Config!$B$6),"N/M",L13/(M13*100)),"N/M"))</f>
        <v>0.297771760660552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0.000930392493023256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0.133110401237564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46304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1785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114.539260273973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15.5841760784063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0.142134837273419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46304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147.5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7.18688257534247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22.0808383233533</v>
      </c>
      <c r="K15" s="52" t="n">
        <f aca="false">IF($A15="","",IFERROR(IF(G15&lt;=0,"N/M",D15/G15),"N/M"))</f>
        <v>21.4034884058392</v>
      </c>
      <c r="L15" s="52" t="n">
        <f aca="false">IF($A15="","",IFERROR(IF(H15&lt;=0,"N/M",D15/H15),"N/M"))</f>
        <v>20.5235021518313</v>
      </c>
      <c r="M15" s="49" t="n">
        <f aca="false">IF($A15="","",IFERROR(INDEX(Raw_Est!$C$2:$C$100,MATCH($A15,Raw_Est!$A$2:$A$100,0))/INDEX(Raw_Est!$B$2:$B$100,MATCH($A15,Raw_Est!$A$2:$A$100,0))-1,""))</f>
        <v>0.0319179574332187</v>
      </c>
      <c r="N15" s="51" t="n">
        <f aca="false">IF($A15="","",IFERROR(IF(OR(NOT(ISNUMBER(J15)),I15&lt;Config!$B$6),"N/M",J15/(I15*100)),"N/M"))</f>
        <v>0.199419536994387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0.198715796651592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46304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4690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129.205858027397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77.277970011534</v>
      </c>
      <c r="K16" s="52" t="n">
        <f aca="false">IF($A16="","",IFERROR(IF(G16&lt;=0,"N/M",D16/G16),"N/M"))</f>
        <v>77.7979820298273</v>
      </c>
      <c r="L16" s="52" t="n">
        <f aca="false">IF($A16="","",IFERROR(IF(H16&lt;=0,"N/M",D16/H16),"N/M"))</f>
        <v>36.2986637881815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0.313926569202406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0.0115139056439232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46304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85.7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31.7407407407407</v>
      </c>
      <c r="K17" s="52" t="n">
        <f aca="false">IF($A17="","",IFERROR(IF(G17&lt;=0,"N/M",D17/G17),"N/M"))</f>
        <v>27.3801916932907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46304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89.7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6.86233320547945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15.152027027027</v>
      </c>
      <c r="K18" s="52" t="n">
        <f aca="false">IF($A18="","",IFERROR(IF(G18&lt;=0,"N/M",D18/G18),"N/M"))</f>
        <v>15.7352685784053</v>
      </c>
      <c r="L18" s="52" t="n">
        <f aca="false">IF($A18="","",IFERROR(IF(H18&lt;=0,"N/M",D18/H18),"N/M"))</f>
        <v>13.0713559534498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0.615146396396396</v>
      </c>
      <c r="O18" s="51" t="n">
        <f aca="false">IF($A18="","",IFERROR(IF(OR(NOT(ISNUMBER(L18)),M18&lt;Config!$B$6),"N/M",L18/(M18*100)),"N/M"))</f>
        <v>0.470599133213175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0.0446982925306578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46304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2060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288.364920054795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7.14372608016455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46304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581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9.5487181369863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68.2726204465335</v>
      </c>
      <c r="K20" s="52" t="n">
        <f aca="false">IF($A20="","",IFERROR(IF(G20&lt;=0,"N/M",D20/G20),"N/M"))</f>
        <v>71.6599200270359</v>
      </c>
      <c r="L20" s="52" t="n">
        <f aca="false">IF($A20="","",IFERROR(IF(H20&lt;=0,"N/M",D20/H20),"N/M"))</f>
        <v>60.84586346198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1.94866042525747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0.00344234079173838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46304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12.5973424657534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91.869918699187</v>
      </c>
      <c r="K21" s="52" t="n">
        <f aca="false">IF($A21="","",IFERROR(IF(G21&lt;=0,"N/M",D21/G21),"N/M"))</f>
        <v>83.2106038291605</v>
      </c>
      <c r="L21" s="52" t="n">
        <f aca="false">IF($A21="","",IFERROR(IF(H21&lt;=0,"N/M",D21/H21),"N/M"))</f>
        <v>44.8507295515688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2.05498502353445</v>
      </c>
      <c r="O21" s="51" t="n">
        <f aca="false">IF($A21="","",IFERROR(IF(OR(NOT(ISNUMBER(L21)),M21&lt;Config!$B$6),"N/M",L21/(M21*100)),"N/M"))</f>
        <v>0.49176096644821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0.0027338634159292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46304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667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9.90529024657534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67.3377542097374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46304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177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46.3789518356164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19.5364238410596</v>
      </c>
      <c r="K23" s="52" t="n">
        <f aca="false">IF($A23="","",IFERROR(IF(G23&lt;=0,"N/M",D23/G23),"N/M"))</f>
        <v>10.7214051946117</v>
      </c>
      <c r="L23" s="52" t="n">
        <f aca="false">IF($A23="","",IFERROR(IF(H23&lt;=0,"N/M",D23/H23),"N/M"))</f>
        <v>3.81638637775496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0.0357551789676475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0.00282485875706215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46304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522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106.09756097561</v>
      </c>
      <c r="K25" s="52" t="n">
        <f aca="false">IF($A25="","",IFERROR(IF(G25&lt;=0,"N/M",D25/G25),"N/M"))</f>
        <v>121.113689095128</v>
      </c>
      <c r="L25" s="52" t="n">
        <f aca="false">IF($A25="","",IFERROR(IF(H25&lt;=0,"N/M",D25/H25),"N/M"))</f>
        <v>43.609022556391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0.00191570881226054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46304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12.8140821917808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41.3607460969738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0.161389481140642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46304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8360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105.742999178082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214.304024609075</v>
      </c>
      <c r="K27" s="52" t="n">
        <f aca="false">IF($A27="","",IFERROR(IF(G27&lt;=0,"N/M",D27/G27),"N/M"))</f>
        <v>186.232142821341</v>
      </c>
      <c r="L27" s="52" t="n">
        <f aca="false">IF($A27="","",IFERROR(IF(H27&lt;=0,"N/M",D27/H27),"N/M"))</f>
        <v>79.0596073969956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4.84108673803624</v>
      </c>
      <c r="O27" s="51" t="n">
        <f aca="false">IF($A27="","",IFERROR(IF(OR(NOT(ISNUMBER(L27)),M27&lt;Config!$B$6),"N/M",L27/(M27*100)),"N/M"))</f>
        <v>0.624385080251071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0.00239234449760766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46304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2026-10-09T13:38:52Z</dcterms:created>
  <dc:creator>openpyxl</dc:creator>
  <dc:description/>
  <dc:language>en-US</dc:language>
  <cp:lastModifiedBy/>
  <dcterms:modified xsi:type="dcterms:W3CDTF">2026-10-09T13:38:53Z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