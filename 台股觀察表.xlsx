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<sst xmlns="http://schemas.openxmlformats.org/spreadsheetml/2006/main" count="8221" uniqueCount="1534">
  <si>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</si>
  <si>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</si>
  <si>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</si>
  <si>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</si>
  <si>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</si>
  <si>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</si>
  <si>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</si>
  <si>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</si>
  <si>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</si>
  <si>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</si>
  <si>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</si>
  <si>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</si>
  <si>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</si>
  <si>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</si>
  <si>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</si>
  <si>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</si>
  <si>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</si>
  <si>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</si>
  <si>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</si>
  <si>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</si>
  <si>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</si>
  <si>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</si>
  <si>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</si>
  <si>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</si>
  <si>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</si>
  <si>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</si>
  <si>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</si>
  <si>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</si>
  <si>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</si>
  <si>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</si>
  <si>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</si>
  <si>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</si>
  <si>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</si>
  <si>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</si>
  <si>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</si>
  <si>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</si>
  <si>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</si>
  <si>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</si>
  <si>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</si>
  <si>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</si>
  <si>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</si>
  <si>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</si>
  <si>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</si>
  <si>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</si>
  <si>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</si>
  <si>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</si>
  <si>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</si>
  <si>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</si>
  <si>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</si>
  <si>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</si>
  <si>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</si>
  <si>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</si>
  <si>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</si>
  <si>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</si>
  <si>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</si>
  <si>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</si>
  <si>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</si>
  <si>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</si>
  <si>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</si>
  <si>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</si>
  <si>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</si>
  <si>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</si>
  <si>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</si>
  <si>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</si>
  <si>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</si>
  <si>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</si>
  <si>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</si>
  <si>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</si>
  <si>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</si>
  <si>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</si>
  <si>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</si>
  <si>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</si>
  <si>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</si>
  <si>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</si>
  <si>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</si>
  <si>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</si>
  <si>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</si>
  <si>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</si>
  <si>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</si>
  <si>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</si>
  <si>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</si>
  <si>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</si>
  <si>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</si>
  <si>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</si>
  <si>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</si>
  <si>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</si>
  <si>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</si>
  <si>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</si>
  <si>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</si>
  <si>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</si>
  <si>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</si>
  <si>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</si>
  <si>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</si>
  <si>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</si>
  <si>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</si>
  <si>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</si>
  <si>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</si>
  <si>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</si>
  <si>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</si>
  <si>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</si>
  <si>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</si>
  <si>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</si>
  <si>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</si>
  <si>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</si>
  <si>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</si>
  <si>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</si>
  <si>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</si>
  <si>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</si>
  <si>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</si>
  <si>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</si>
  <si>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</si>
  <si>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</si>
  <si>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</si>
  <si>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</si>
  <si>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</si>
  <si>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</si>
  <si>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</si>
  <si>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</si>
  <si>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</si>
  <si>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</si>
  <si>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</si>
  <si>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</si>
  <si>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</si>
  <si>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</si>
  <si>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</si>
  <si>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</si>
  <si>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</si>
  <si>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</si>
  <si>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</si>
  <si>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</si>
  <si>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</si>
  <si>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</si>
  <si>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</si>
  <si>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</si>
  <si>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</si>
  <si>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</si>
  <si>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</si>
  <si>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</si>
  <si>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</si>
  <si>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</si>
  <si>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</si>
  <si>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</si>
  <si>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</si>
  <si>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</si>
  <si>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</si>
  <si>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</si>
  <si>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</si>
  <si>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</si>
  <si>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</si>
  <si>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</si>
  <si>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</si>
  <si>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</si>
  <si>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</si>
  <si>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</si>
  <si>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</si>
  <si>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</si>
  <si>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</si>
  <si>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</si>
  <si>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</si>
  <si>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</si>
  <si>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</si>
  <si>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</si>
  <si>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</si>
  <si>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</si>
  <si>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</si>
  <si>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</si>
  <si>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</si>
  <si>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</si>
  <si>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</si>
  <si>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</si>
  <si>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</si>
  <si>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</si>
  <si>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</si>
  <si>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</si>
  <si>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</si>
  <si>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</si>
  <si>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</si>
  <si>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</si>
  <si>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</si>
  <si>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</si>
  <si>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</si>
  <si>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</si>
  <si>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</si>
  <si>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</si>
  <si>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</si>
  <si>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</si>
  <si>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</si>
  <si>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</si>
  <si>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</si>
  <si>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</si>
  <si>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</si>
  <si>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</si>
  <si>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</si>
  <si>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</si>
  <si>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</si>
  <si>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</si>
  <si>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</si>
  <si>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</si>
  <si>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</si>
  <si>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</si>
  <si>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</si>
  <si>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</si>
  <si>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</si>
  <si>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</si>
  <si>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</si>
  <si>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</si>
  <si>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</si>
  <si>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</si>
  <si>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</si>
  <si>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</si>
  <si>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</si>
  <si>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</si>
  <si>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</si>
  <si>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</si>
  <si>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</si>
  <si>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</si>
  <si>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</si>
  <si>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</si>
  <si>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</si>
  <si>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</si>
  <si>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</si>
  <si>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</si>
  <si>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</si>
  <si>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</si>
  <si>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</si>
  <si>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</si>
  <si>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</si>
  <si>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</si>
  <si>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</si>
  <si>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</si>
  <si>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</si>
  <si>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</si>
  <si>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</si>
  <si>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</si>
  <si>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</si>
  <si>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</si>
  <si>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</si>
  <si>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</si>
  <si>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</si>
  <si>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</si>
  <si>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</si>
  <si>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</si>
  <si>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</si>
  <si>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</si>
  <si>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</si>
  <si>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</si>
  <si>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</si>
  <si>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</si>
  <si>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</si>
  <si>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</si>
  <si>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</si>
  <si>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</si>
  <si>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</si>
  <si>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</si>
  <si>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</si>
  <si>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</si>
  <si>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</si>
  <si>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</si>
  <si>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</si>
  <si>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</si>
  <si>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</si>
  <si>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</si>
  <si>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</si>
  <si>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</si>
  <si>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</si>
  <si>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</si>
  <si>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</si>
  <si>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</si>
  <si>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</si>
  <si>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</si>
  <si>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</si>
  <si>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</si>
  <si>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</si>
  <si>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</si>
  <si>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</si>
  <si>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</si>
  <si>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</si>
  <si>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</si>
  <si>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</si>
  <si>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</si>
  <si>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</si>
  <si>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</si>
  <si>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</si>
  <si>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</si>
  <si>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</si>
  <si>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</si>
  <si>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</si>
  <si>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</si>
  <si>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</si>
  <si>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</si>
  <si>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</si>
  <si>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</si>
  <si>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</si>
  <si>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</si>
  <si>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</si>
  <si>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</si>
  <si>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</si>
  <si>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</si>
  <si>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</si>
  <si>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</si>
  <si>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</si>
  <si>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</si>
  <si>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</si>
  <si>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</si>
  <si>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</si>
  <si>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</si>
  <si>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</si>
  <si>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</si>
  <si>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</si>
  <si>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</si>
  <si>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</si>
  <si>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</si>
  <si>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</si>
  <si>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</si>
  <si>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</si>
  <si>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</si>
  <si>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</si>
  <si>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</si>
  <si>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</si>
  <si>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</si>
  <si>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</si>
  <si>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</si>
  <si>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</si>
  <si>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</si>
  <si>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</si>
  <si>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</si>
  <si>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</si>
  <si>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</si>
  <si>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</si>
  <si>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</si>
  <si>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</si>
  <si>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</si>
  <si>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</si>
  <si>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</si>
  <si>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</si>
  <si>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</si>
  <si>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</si>
  <si>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</si>
  <si>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</si>
  <si>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</si>
  <si>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</si>
  <si>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</si>
  <si>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</si>
  <si>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</si>
  <si>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</si>
  <si>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</si>
  <si>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</si>
  <si>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</si>
  <si>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</si>
  <si>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</si>
  <si>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</si>
  <si>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</si>
  <si>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</si>
  <si>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</si>
  <si>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</si>
  <si>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</si>
  <si>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</si>
  <si>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</si>
  <si>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</si>
  <si>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</si>
  <si>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</si>
  <si>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</si>
  <si>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</si>
  <si>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</si>
  <si>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</si>
  <si>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</si>
  <si>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</si>
  <si>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</si>
  <si>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</si>
  <si>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</si>
  <si>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</si>
  <si>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</si>
  <si>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</si>
  <si>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</si>
  <si>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</si>
  <si>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</si>
  <si>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</si>
  <si>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</si>
  <si>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</si>
  <si>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</si>
  <si>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</si>
  <si>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</si>
  <si>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</si>
  <si>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</si>
  <si>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</si>
  <si>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</si>
  <si>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</si>
  <si>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</si>
  <si>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</si>
  <si>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</si>
  <si>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</si>
  <si>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</si>
  <si>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</si>
  <si>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</si>
  <si>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</si>
  <si>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</si>
  <si>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</si>
  <si>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</si>
  <si>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</si>
  <si>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</si>
  <si>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</si>
  <si>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</si>
  <si>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</si>
  <si>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</si>
  <si>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</si>
  <si>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</si>
  <si>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</si>
  <si>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</si>
  <si>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</si>
  <si>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</si>
  <si>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</si>
  <si>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</si>
  <si>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</si>
  <si>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</si>
  <si>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</si>
  <si>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</si>
  <si>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</si>
  <si>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</si>
  <si>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</si>
  <si>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</si>
  <si>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</si>
  <si>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</si>
  <si>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</si>
  <si>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</si>
  <si>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</si>
  <si>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</si>
  <si>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</si>
  <si>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</si>
  <si>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</si>
  <si>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</si>
  <si>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</si>
  <si>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</si>
  <si>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</si>
  <si>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</si>
  <si>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</si>
  <si>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</si>
  <si>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</si>
  <si>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</si>
  <si>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</si>
  <si>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</si>
  <si>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</si>
  <si>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</si>
  <si>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</si>
  <si>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</si>
  <si>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</si>
  <si>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</si>
  <si>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</si>
  <si>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</si>
  <si>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</si>
  <si>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</si>
  <si>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</si>
  <si>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</si>
  <si>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</si>
  <si>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</si>
  <si>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</si>
  <si>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</si>
  <si>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</si>
  <si>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</si>
  <si>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</si>
  <si>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</si>
  <si>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</si>
  <si>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</si>
  <si>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</si>
  <si>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</si>
  <si>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</si>
  <si>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</si>
  <si>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</si>
  <si>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</si>
  <si>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</si>
  <si>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</si>
  <si>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</si>
  <si>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</si>
  <si>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</si>
  <si>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</si>
  <si>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</si>
  <si>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</si>
  <si>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</si>
  <si>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</si>
  <si>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</si>
  <si>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</si>
  <si>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</si>
  <si>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</si>
  <si>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</si>
  <si>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</si>
  <si>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</si>
  <si>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</si>
  <si>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</si>
  <si>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</si>
  <si>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</si>
  <si>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</si>
  <si>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</si>
  <si>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</si>
  <si>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</si>
  <si>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</si>
  <si>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</si>
  <si>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</si>
  <si>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</si>
  <si>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</si>
  <si>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</si>
  <si>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</si>
  <si>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</si>
  <si>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</si>
  <si>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</si>
  <si>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</si>
  <si>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</si>
  <si>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</si>
  <si>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</si>
  <si>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</si>
  <si>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</si>
  <si>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</si>
  <si>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</si>
  <si>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</si>
  <si>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</si>
  <si>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</si>
  <si>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</si>
  <si>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</si>
  <si>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</si>
  <si>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</si>
  <si>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</si>
  <si>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</si>
  <si>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</si>
  <si>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</si>
  <si>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</si>
  <si>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</si>
  <si>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</si>
  <si>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</si>
  <si>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</si>
  <si>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</si>
  <si>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</si>
  <si>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</si>
  <si>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</si>
  <si>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</si>
  <si>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</si>
  <si>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</si>
  <si>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</si>
  <si>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</si>
  <si>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</si>
  <si>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</si>
  <si>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</si>
  <si>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</si>
  <si>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</si>
  <si>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</si>
  <si>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</si>
  <si>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</si>
  <si>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</si>
  <si>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</si>
  <si>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</si>
  <si>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</si>
  <si>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</si>
  <si>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</si>
  <si>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</si>
  <si>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</si>
  <si>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</si>
  <si>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</si>
  <si>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</si>
  <si>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</si>
  <si>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</si>
  <si>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</si>
  <si>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</si>
  <si>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</si>
  <si>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</si>
  <si>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</si>
  <si>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</si>
  <si>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</si>
  <si>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</si>
  <si>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</si>
  <si>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</si>
  <si>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</si>
  <si>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</si>
  <si>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</si>
  <si>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</si>
  <si>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</si>
  <si>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</si>
  <si>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</si>
  <si>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</si>
  <si>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</si>
  <si>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</si>
  <si>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</si>
  <si>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</si>
  <si>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</si>
  <si>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</si>
  <si>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</si>
  <si>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</si>
  <si>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</si>
  <si>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</si>
  <si>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</si>
  <si>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</si>
  <si>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</si>
  <si>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</si>
  <si>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</si>
  <si>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</si>
  <si>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</si>
  <si>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</si>
  <si>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</si>
  <si>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</si>
  <si>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</si>
  <si>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</si>
  <si>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</si>
  <si>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</si>
  <si>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</si>
  <si>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</si>
  <si>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</si>
  <si>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</si>
  <si>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</si>
  <si>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</si>
  <si>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</si>
  <si>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</si>
  <si>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</si>
  <si>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</si>
  <si>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</si>
  <si>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</si>
  <si>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</si>
  <si>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</si>
  <si>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</si>
  <si>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</si>
  <si>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</si>
  <si>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</si>
  <si>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</si>
  <si>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</si>
  <si>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</si>
  <si>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</si>
  <si>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</si>
  <si>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</si>
  <si>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</si>
  <si>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</si>
  <si>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</si>
  <si>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</si>
  <si>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</si>
  <si>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</si>
  <si>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</si>
  <si>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</si>
  <si>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</si>
  <si>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</si>
  <si>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</si>
  <si>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</si>
  <si>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</si>
  <si>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</si>
  <si>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</si>
  <si>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</si>
  <si>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</si>
  <si>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</si>
  <si>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</si>
  <si>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</si>
  <si>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</si>
  <si>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</si>
  <si>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</si>
  <si>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</si>
  <si>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</si>
  <si>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</si>
  <si>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</si>
  <si>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</si>
  <si>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</si>
  <si>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</si>
  <si>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</si>
  <si>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</si>
  <si>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</si>
  <si>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</si>
  <si>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</si>
  <si>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</si>
  <si>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</si>
  <si>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</si>
  <si>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</si>
  <si>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</si>
  <si>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</si>
  <si>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</si>
  <si>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</si>
  <si>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</si>
  <si>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</si>
  <si>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</si>
  <si>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</si>
  <si>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</si>
  <si>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</si>
  <si>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</si>
  <si>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</si>
  <si>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</si>
  <si>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</si>
  <si>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</si>
  <si>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</si>
  <si>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</si>
  <si>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</si>
  <si>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</si>
  <si>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</si>
  <si>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</si>
  <si>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</si>
  <si>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</si>
  <si>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</si>
  <si>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</si>
  <si>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</si>
  <si>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</si>
  <si>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</si>
  <si>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</si>
  <si>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</si>
  <si>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</si>
  <si>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</si>
  <si>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</si>
  <si>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</si>
  <si>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</si>
  <si>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</si>
  <si>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</si>
  <si>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</si>
  <si>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</si>
  <si>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</si>
  <si>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</si>
  <si>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</si>
  <si>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</si>
  <si>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</si>
  <si>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</si>
  <si>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</si>
  <si>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</si>
  <si>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</si>
  <si>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</si>
  <si>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</si>
  <si>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</si>
  <si>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</si>
  <si>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</si>
  <si>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</si>
  <si>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</si>
  <si>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</si>
  <si>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</si>
  <si>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</si>
  <si>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</si>
  <si>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</si>
  <si>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</si>
  <si>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</si>
  <si>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</si>
  <si>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</si>
  <si>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</si>
  <si>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</si>
  <si>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</si>
  <si>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</si>
  <si>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</si>
  <si>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</si>
  <si>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</si>
  <si>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</si>
  <si>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</si>
  <si>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</si>
  <si>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</si>
  <si>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</si>
  <si>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</si>
  <si>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</si>
  <si>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</si>
  <si>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</si>
  <si>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</si>
  <si>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</si>
  <si>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</si>
  <si>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</si>
  <si>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</si>
  <si>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</si>
  <si>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</si>
  <si>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</si>
  <si>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</si>
  <si>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</si>
  <si>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</si>
  <si>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</si>
  <si>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</si>
  <si>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</si>
  <si>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</si>
  <si>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</si>
  <si>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</si>
  <si>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</si>
  <si>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</si>
  <si>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</si>
  <si>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</si>
  <si>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</si>
  <si>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</si>
  <si>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</si>
  <si>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</si>
  <si>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</si>
  <si>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</si>
  <si>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</si>
  <si>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</si>
  <si>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</si>
  <si>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</si>
  <si>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</si>
  <si>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</si>
  <si>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</si>
  <si>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</si>
  <si>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</si>
  <si>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</si>
  <si>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</si>
  <si>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</si>
  <si>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</si>
  <si>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</si>
  <si>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</si>
  <si>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</si>
  <si>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</si>
  <si>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</si>
  <si>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</si>
  <si>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</si>
  <si>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</si>
  <si>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</si>
  <si>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</si>
  <si>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</si>
  <si>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</si>
  <si>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</si>
  <si>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</si>
  <si>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</si>
  <si>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</si>
  <si>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</si>
  <si>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</si>
  <si>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</si>
  <si>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</si>
  <si>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</si>
  <si>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</si>
  <si>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</si>
  <si>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</si>
  <si>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</si>
  <si>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</si>
  <si>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</si>
  <si>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</si>
  <si>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</si>
  <si>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</si>
  <si>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</si>
  <si>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</si>
  <si>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</si>
  <si>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</si>
  <si>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</si>
  <si>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</si>
  <si>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</si>
  <si>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</si>
  <si>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</si>
  <si>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</si>
  <si>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</si>
  <si>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</si>
  <si>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</si>
  <si>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</si>
  <si>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</si>
  <si>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</si>
  <si>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</si>
  <si>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</si>
  <si>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</si>
  <si>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</si>
  <si>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</si>
  <si>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</si>
  <si>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</si>
  <si>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</si>
  <si>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</si>
  <si>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</si>
  <si>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</si>
  <si>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</si>
  <si>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</si>
  <si>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</si>
  <si>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</si>
  <si>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</si>
  <si>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</si>
  <si>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</si>
  <si>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</si>
  <si>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</si>
  <si>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</si>
  <si>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</si>
  <si>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</si>
  <si>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</si>
  <si>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</si>
  <si>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</si>
  <si>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</si>
  <si>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</si>
  <si>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</si>
  <si>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</si>
  <si>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</si>
  <si>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</si>
  <si>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</si>
  <si>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</si>
  <si>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</si>
  <si>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</si>
  <si>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</si>
  <si>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</si>
  <si>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</si>
  <si>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</si>
  <si>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</si>
  <si>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</si>
  <si>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</si>
  <si>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</si>
  <si>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</si>
  <si>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</si>
  <si>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</si>
  <si>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</si>
  <si>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</si>
  <si>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</si>
  <si>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</si>
  <si>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</si>
  <si>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</si>
  <si>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</si>
  <si>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</si>
  <si>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</si>
  <si>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</si>
  <si>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</si>
  <si>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</si>
  <si>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</si>
  <si>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</si>
  <si>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</si>
  <si>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</si>
  <si>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</si>
  <si>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</si>
  <si>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</si>
  <si>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</si>
  <si>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</si>
  <si>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</si>
  <si>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</si>
  <si>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</si>
  <si>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</si>
  <si>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</si>
  <si>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</si>
  <si>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</si>
  <si>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</si>
  <si>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</si>
  <si>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</si>
  <si>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</si>
  <si>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</si>
  <si>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</si>
  <si>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</si>
  <si>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</si>
  <si>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</si>
  <si>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</si>
  <si>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</si>
  <si>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</si>
  <si>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</si>
  <si>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</si>
  <si>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</si>
  <si>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</si>
  <si>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</si>
  <si>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</si>
  <si>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</si>
  <si>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</si>
  <si>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</si>
  <si>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</si>
  <si>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</si>
  <si>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</si>
  <si>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</si>
  <si>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</si>
  <si>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</si>
  <si>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</si>
  <si>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</si>
  <si>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</si>
  <si>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</si>
  <si>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</si>
  <si>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</si>
  <si>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</si>
  <si>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</si>
  <si>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</si>
  <si>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</si>
  <si>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</si>
  <si>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</si>
  <si>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</si>
  <si>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</si>
  <si>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</si>
  <si>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</si>
  <si>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</si>
  <si>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</si>
  <si>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</si>
  <si>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</si>
  <si>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</si>
  <si>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</si>
  <si>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</si>
  <si>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</si>
  <si>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</si>
  <si>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</si>
  <si>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</si>
  <si>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</si>
  <si>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</si>
  <si>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</si>
  <si>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</si>
  <si>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</si>
  <si>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</si>
  <si>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</si>
  <si>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</si>
  <si>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</si>
  <si>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</si>
  <si>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</si>
  <si>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</si>
  <si>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</si>
  <si>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</si>
  <si>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</si>
  <si>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</si>
  <si>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</si>
  <si>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</si>
  <si>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</si>
  <si>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</si>
  <si>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</si>
  <si>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</si>
  <si>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</si>
  <si>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</si>
  <si>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</si>
  <si>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</si>
  <si>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</si>
  <si>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</si>
  <si>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</si>
  <si>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</si>
  <si>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</si>
  <si>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</si>
  <si>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</si>
  <si>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</si>
  <si>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</si>
  <si>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</si>
  <si>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</si>
  <si>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</si>
  <si>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</si>
  <si>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</si>
  <si>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</si>
  <si>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</si>
  <si>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</si>
  <si>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</si>
  <si>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</si>
  <si>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</si>
  <si>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</si>
  <si>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</si>
  <si>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</si>
  <si>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</si>
  <si>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</si>
  <si>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</si>
  <si>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</si>
  <si>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</si>
  <si>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</si>
  <si>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</si>
  <si>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</si>
  <si>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</si>
  <si>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</si>
  <si>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</si>
  <si>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</si>
  <si>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</si>
  <si>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</si>
  <si>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</si>
  <si>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</si>
  <si>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</si>
  <si>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</si>
  <si>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</si>
  <si>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</si>
  <si>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</si>
  <si>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</si>
  <si>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</si>
  <si>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</si>
  <si>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</si>
  <si>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</si>
  <si>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</si>
  <si>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</si>
  <si>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</si>
  <si>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</si>
  <si>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</si>
  <si>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</si>
  <si>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</si>
  <si>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</si>
  <si>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</si>
  <si>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</si>
  <si>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</si>
  <si>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</si>
  <si>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</si>
  <si>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</si>
  <si>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</si>
  <si>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</si>
  <si>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</si>
  <si>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</si>
  <si>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</si>
  <si>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</si>
  <si>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</si>
  <si>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</si>
  <si>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</si>
  <si>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</si>
  <si>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</si>
  <si>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</si>
  <si>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</si>
  <si>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</si>
  <si>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</si>
  <si>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</si>
  <si>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</si>
  <si>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</si>
  <si>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</si>
  <si>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</si>
  <si>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</si>
  <si>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</si>
  <si>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</si>
  <si>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</si>
  <si>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</si>
  <si>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</si>
  <si>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</si>
  <si>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</si>
  <si>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</si>
  <si>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</si>
  <si>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</si>
  <si>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</si>
  <si>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</si>
  <si>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</si>
  <si>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</si>
  <si>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</si>
  <si>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</si>
  <si>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</si>
  <si>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</si>
  <si>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</si>
  <si>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</si>
  <si>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</si>
  <si>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</si>
  <si>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</si>
  <si>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</si>
  <si>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</si>
  <si>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</si>
  <si>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</si>
  <si>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</si>
  <si>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</si>
  <si>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</si>
  <si>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</si>
  <si>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</si>
  <si>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</si>
  <si>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</si>
  <si>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</si>
  <si>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</si>
  <si>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</si>
  <si>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</si>
  <si>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</si>
  <si>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</si>
  <si>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</si>
  <si>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</si>
  <si>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</si>
  <si>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</si>
  <si>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</si>
  <si>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</si>
  <si>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</si>
  <si>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</si>
  <si>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</si>
  <si>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</si>
  <si>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</si>
  <si>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</si>
  <si>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</si>
  <si>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</si>
  <si>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</si>
  <si>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</si>
  <si>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</si>
  <si>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</si>
  <si>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</si>
  <si>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</si>
  <si>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</si>
  <si>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</si>
  <si>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</si>
  <si>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</si>
  <si>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</si>
  <si>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</si>
  <si>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</si>
  <si>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</si>
  <si>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</si>
  <si>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</si>
  <si>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</si>
  <si>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</si>
  <si>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</si>
  <si>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</si>
  <si>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</si>
  <si>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</si>
  <si>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</si>
  <si>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</si>
  <si>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</si>
  <si>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</si>
  <si>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</si>
  <si>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</si>
  <si>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</si>
  <si>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</si>
  <si>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</si>
  <si>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</si>
  <si>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</si>
  <si>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</si>
  <si>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</si>
  <si>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</si>
  <si>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</si>
  <si>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</si>
  <si>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</si>
  <si>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</si>
  <si>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</si>
  <si>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</si>
  <si>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</si>
  <si>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</si>
  <si>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</si>
  <si>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</si>
  <si>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</si>
  <si>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</si>
  <si>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</si>
  <si>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</si>
  <si>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</si>
  <si>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</si>
  <si>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</si>
  <si>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</si>
  <si>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</si>
  <si>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</si>
  <si>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</si>
  <si>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</si>
  <si>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</si>
  <si>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</si>
  <si>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</si>
  <si>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</si>
  <si>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</si>
  <si>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</si>
  <si>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</si>
  <si>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</si>
  <si>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</si>
  <si>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</si>
  <si>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</si>
  <si>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</si>
  <si>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</si>
  <si>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</si>
  <si>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</si>
  <si>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</si>
  <si>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</si>
  <si>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</si>
  <si>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</si>
  <si>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</si>
  <si>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</si>
  <si>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</si>
  <si>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</si>
  <si>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</si>
  <si>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</si>
  <si>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</si>
  <si>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</si>
  <si>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</si>
  <si>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</si>
  <si>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</si>
  <si>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</si>
  <si>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</si>
  <si>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</si>
  <si>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</si>
  <si>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</si>
  <si>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</si>
  <si>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</si>
  <si>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</si>
  <si>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</si>
  <si>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</si>
  <si>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</si>
  <si>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</si>
  <si>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</si>
  <si>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</si>
  <si>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</si>
  <si>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</si>
  <si>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</si>
  <si>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</si>
  <si>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</si>
  <si>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</si>
  <si>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</si>
  <si>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</si>
  <si>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</si>
  <si>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</si>
  <si>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</si>
  <si>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</si>
  <si>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</si>
  <si>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</si>
  <si>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</si>
  <si>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</si>
  <si>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</si>
  <si>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</si>
  <si>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</si>
  <si>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</si>
  <si>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</si>
  <si>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</si>
  <si>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</si>
  <si>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</si>
  <si>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</si>
  <si>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</si>
  <si>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</si>
  <si>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</si>
  <si>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</si>
  <si>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</si>
  <si>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</si>
  <si>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</si>
  <si>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</si>
  <si>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</si>
  <si>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</si>
  <si>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</si>
  <si>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2026-10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</si>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</sst>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2575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0.434952637766083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29.8446917014372</v>
      </c>
      <c r="P3" s="22" t="n">
        <f aca="false">IF(Calc!$A$2="","",Calc!L$2)</f>
        <v>19.1057544897748</v>
      </c>
      <c r="Q3" s="18" t="n">
        <f aca="false">IF(Calc!$A$2="","",Calc!N$2)</f>
        <v>0.560745608844821</v>
      </c>
      <c r="R3" s="18" t="n">
        <f aca="false">IF(Calc!$A$2="","",Calc!O$2)</f>
        <v>0.583937962358482</v>
      </c>
      <c r="S3" s="19" t="n">
        <f aca="false">IF(Calc!$A$2="","",Calc!Q$2)</f>
        <v>0.00854372822524272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530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19.5211786372007</v>
      </c>
      <c r="P4" s="22" t="n">
        <f aca="false">IF(Calc!$A$3="","",Calc!L$3)</f>
        <v>5.62147500952594</v>
      </c>
      <c r="Q4" s="18" t="str">
        <f aca="false">IF(Calc!$A$3="","",Calc!N$3)</f>
        <v>N/M</v>
      </c>
      <c r="R4" s="18" t="n">
        <f aca="false">IF(Calc!$A$3="","",Calc!O$3)</f>
        <v>0.119838853997036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5.56803404985574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606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0.27902443098403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147.087378640777</v>
      </c>
      <c r="P6" s="22" t="n">
        <f aca="false">IF(Calc!$A$5="","",Calc!L$5)</f>
        <v>71.0415620888077</v>
      </c>
      <c r="Q6" s="18" t="n">
        <f aca="false">IF(Calc!$A$5="","",Calc!N$5)</f>
        <v>2.3889988250572</v>
      </c>
      <c r="R6" s="18" t="n">
        <f aca="false">IF(Calc!$A$5="","",Calc!O$5)</f>
        <v>1.01965775106838</v>
      </c>
      <c r="S6" s="19" t="n">
        <f aca="false">IF(Calc!$A$5="","",Calc!Q$5)</f>
        <v>0.00432435070957096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543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18.9396581792815</v>
      </c>
      <c r="P7" s="22" t="n">
        <f aca="false">IF(Calc!$A$6="","",Calc!L$6)</f>
        <v>15.5417829300951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0.0515653775322284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2485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0.270704744622308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45.5712451861361</v>
      </c>
      <c r="P8" s="22" t="n">
        <f aca="false">IF(Calc!$A$7="","",Calc!L$7)</f>
        <v>23.1015994994802</v>
      </c>
      <c r="Q8" s="18" t="n">
        <f aca="false">IF(Calc!$A$7="","",Calc!N$7)</f>
        <v>0.793031266731604</v>
      </c>
      <c r="R8" s="18" t="n">
        <f aca="false">IF(Calc!$A$7="","",Calc!O$7)</f>
        <v>0.311961389388545</v>
      </c>
      <c r="S8" s="19" t="n">
        <f aca="false">IF(Calc!$A$7="","",Calc!Q$7)</f>
        <v>0.00422755834607646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620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18.5130192419234</v>
      </c>
      <c r="Q9" s="18" t="str">
        <f aca="false">IF(Calc!$A$8="","",Calc!N$8)</f>
        <v>N/M</v>
      </c>
      <c r="R9" s="18" t="n">
        <f aca="false">IF(Calc!$A$8="","",Calc!O$8)</f>
        <v>1.46521434673772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388.5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0.346627437746392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14.5451141894422</v>
      </c>
      <c r="P10" s="22" t="n">
        <f aca="false">IF(Calc!$A$9="","",Calc!L$9)</f>
        <v>10.570737504662</v>
      </c>
      <c r="Q10" s="18" t="n">
        <f aca="false">IF(Calc!$A$9="","",Calc!N$9)</f>
        <v>0.232099878513742</v>
      </c>
      <c r="R10" s="18" t="n">
        <f aca="false">IF(Calc!$A$9="","",Calc!O$9)</f>
        <v>1.18838738207437</v>
      </c>
      <c r="S10" s="19" t="n">
        <f aca="false">IF(Calc!$A$9="","",Calc!Q$9)</f>
        <v>0.0257400257400257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13355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73.6258889685209</v>
      </c>
      <c r="P11" s="22" t="n">
        <f aca="false">IF(Calc!$A$10="","",Calc!L$10)</f>
        <v>28.8391750834177</v>
      </c>
      <c r="Q11" s="18" t="n">
        <f aca="false">IF(Calc!$A$10="","",Calc!N$10)</f>
        <v>0.436878847489774</v>
      </c>
      <c r="R11" s="18" t="n">
        <f aca="false">IF(Calc!$A$10="","",Calc!O$10)</f>
        <v>0.698198817952116</v>
      </c>
      <c r="S11" s="19" t="n">
        <f aca="false">IF(Calc!$A$10="","",Calc!Q$10)</f>
        <v>0.00241108199176338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3000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267.618198037467</v>
      </c>
      <c r="P12" s="22" t="n">
        <f aca="false">IF(Calc!$A$11="","",Calc!L$11)</f>
        <v>86.5146682270005</v>
      </c>
      <c r="Q12" s="18" t="n">
        <f aca="false">IF(Calc!$A$11="","",Calc!N$11)</f>
        <v>0.475078523827015</v>
      </c>
      <c r="R12" s="18" t="n">
        <f aca="false">IF(Calc!$A$11="","",Calc!O$11)</f>
        <v>0.872708558674884</v>
      </c>
      <c r="S12" s="19" t="n">
        <f aca="false">IF(Calc!$A$11="","",Calc!Q$11)</f>
        <v>0.00016667405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709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73.5477178423237</v>
      </c>
      <c r="P13" s="22" t="str">
        <f aca="false">IF(Calc!$A$12="","",Calc!L$12)</f>
        <v>N/M</v>
      </c>
      <c r="Q13" s="18" t="n">
        <f aca="false">IF(Calc!$A$12="","",Calc!N$12)</f>
        <v>0.275935089765066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1095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0.130990279405076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185.593220338983</v>
      </c>
      <c r="P14" s="22" t="n">
        <f aca="false">IF(Calc!$A$13="","",Calc!L$13)</f>
        <v>46.5330965125202</v>
      </c>
      <c r="Q14" s="18" t="n">
        <f aca="false">IF(Calc!$A$13="","",Calc!N$13)</f>
        <v>0.478822594051534</v>
      </c>
      <c r="R14" s="18" t="n">
        <f aca="false">IF(Calc!$A$13="","",Calc!O$13)</f>
        <v>0.314003357813266</v>
      </c>
      <c r="S14" s="19" t="n">
        <f aca="false">IF(Calc!$A$13="","",Calc!Q$13)</f>
        <v>0.00091339902283105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1705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14.9831936394649</v>
      </c>
      <c r="Q15" s="18" t="str">
        <f aca="false">IF(Calc!$A$14="","",Calc!N$14)</f>
        <v>N/M</v>
      </c>
      <c r="R15" s="18" t="n">
        <f aca="false">IF(Calc!$A$14="","",Calc!O$14)</f>
        <v>0.136653601644832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152.5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0.19694223652111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22.8293413173653</v>
      </c>
      <c r="P16" s="22" t="n">
        <f aca="false">IF(Calc!$A$15="","",Calc!L$15)</f>
        <v>21.4882074879156</v>
      </c>
      <c r="Q16" s="18" t="n">
        <f aca="false">IF(Calc!$A$15="","",Calc!N$15)</f>
        <v>0.206179521299282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5165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0.258028698312981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85.1046300873291</v>
      </c>
      <c r="P17" s="22" t="n">
        <f aca="false">IF(Calc!$A$16="","",Calc!L$16)</f>
        <v>40.2443100183435</v>
      </c>
      <c r="Q17" s="18" t="str">
        <f aca="false">IF(Calc!$A$16="","",Calc!N$16)</f>
        <v>N/M</v>
      </c>
      <c r="R17" s="18" t="n">
        <f aca="false">IF(Calc!$A$16="","",Calc!O$16)</f>
        <v>0.348050227074475</v>
      </c>
      <c r="S17" s="19" t="n">
        <f aca="false">IF(Calc!$A$16="","",Calc!Q$16)</f>
        <v>0.0104550275837367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90.9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33.6666666666667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88.7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14.9831081081081</v>
      </c>
      <c r="P19" s="22" t="n">
        <f aca="false">IF(Calc!$A$18="","",Calc!L$18)</f>
        <v>12.9581076592829</v>
      </c>
      <c r="Q19" s="18" t="n">
        <f aca="false">IF(Calc!$A$18="","",Calc!N$18)</f>
        <v>0.608288577038577</v>
      </c>
      <c r="R19" s="18" t="n">
        <f aca="false">IF(Calc!$A$18="","",Calc!O$18)</f>
        <v>0.466521931944797</v>
      </c>
      <c r="S19" s="19" t="n">
        <f aca="false">IF(Calc!$A$18="","",Calc!Q$18)</f>
        <v>0.0452022191657272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2100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7.25457049909355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615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0.0744417042015389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72.2679200940071</v>
      </c>
      <c r="P21" s="22" t="n">
        <f aca="false">IF(Calc!$A$20="","",Calc!L$20)</f>
        <v>64.5845979082479</v>
      </c>
      <c r="Q21" s="18" t="str">
        <f aca="false">IF(Calc!$A$20="","",Calc!N$20)</f>
        <v>N/M</v>
      </c>
      <c r="R21" s="18" t="n">
        <f aca="false">IF(Calc!$A$20="","",Calc!O$20)</f>
        <v>2.06839779837474</v>
      </c>
      <c r="S21" s="19" t="n">
        <f aca="false">IF(Calc!$A$20="","",Calc!Q$20)</f>
        <v>0.0032520325203252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598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97.2357723577236</v>
      </c>
      <c r="P22" s="22" t="n">
        <f aca="false">IF(Calc!$A$21="","",Calc!L$21)</f>
        <v>47.7503079147771</v>
      </c>
      <c r="Q22" s="18" t="n">
        <f aca="false">IF(Calc!$A$21="","",Calc!N$21)</f>
        <v>2.17501069747539</v>
      </c>
      <c r="R22" s="18" t="n">
        <f aca="false">IF(Calc!$A$21="","",Calc!O$21)</f>
        <v>0.523553079362318</v>
      </c>
      <c r="S22" s="19" t="n">
        <f aca="false">IF(Calc!$A$21="","",Calc!Q$21)</f>
        <v>0.00258299804347826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664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-0.0105348813535131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68.051808305525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181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19.9779249448124</v>
      </c>
      <c r="P24" s="22" t="n">
        <f aca="false">IF(Calc!$A$23="","",Calc!L$23)</f>
        <v>4.03647258503644</v>
      </c>
      <c r="Q24" s="18" t="str">
        <f aca="false">IF(Calc!$A$23="","",Calc!N$23)</f>
        <v>N/M</v>
      </c>
      <c r="R24" s="18" t="n">
        <f aca="false">IF(Calc!$A$23="","",Calc!O$23)</f>
        <v>0.0405112202960808</v>
      </c>
      <c r="S24" s="19" t="n">
        <f aca="false">IF(Calc!$A$23="","",Calc!Q$23)</f>
        <v>0.00276243093922652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548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111.382113821138</v>
      </c>
      <c r="P26" s="22" t="n">
        <f aca="false">IF(Calc!$A$25="","",Calc!L$25)</f>
        <v>45.78111946533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0.00182481751824818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550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44.4234467283764</v>
      </c>
      <c r="Q27" s="18" t="str">
        <f aca="false">IF(Calc!$A$26="","",Calc!N$26)</f>
        <v>N/M</v>
      </c>
      <c r="R27" s="18" t="n">
        <f aca="false">IF(Calc!$A$26="","",Calc!O$26)</f>
        <v>0.239382648861944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8600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220.456293258139</v>
      </c>
      <c r="P28" s="22" t="n">
        <f aca="false">IF(Calc!$A$27="","",Calc!L$27)</f>
        <v>83.3050532493132</v>
      </c>
      <c r="Q28" s="18" t="n">
        <f aca="false">IF(Calc!$A$27="","",Calc!N$27)</f>
        <v>4.98006530467843</v>
      </c>
      <c r="R28" s="18" t="n">
        <f aca="false">IF(Calc!$A$27="","",Calc!O$27)</f>
        <v>0.65869705283214</v>
      </c>
      <c r="S28" s="19" t="n">
        <f aca="false">IF(Calc!$A$27="","",Calc!Q$27)</f>
        <v>0.00232558139534884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3">
    <cfRule type="cellIs" priority="8" operator="lessThan" aboveAverage="0" equalAverage="0" bottom="0" percent="0" rank="0" text="" dxfId="61">
      <formula>1.5</formula>
    </cfRule>
  </conditionalFormatting>
  <conditionalFormatting sqref="R3:R33">
    <cfRule type="cellIs" priority="9" operator="lessThan" aboveAverage="0" equalAverage="0" bottom="0" percent="0" rank="0" text="" dxfId="61">
      <formula>1.5</formula>
    </cfRule>
  </conditionalFormatting>
  <conditionalFormatting sqref="L3:L33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3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2575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46300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29.8446917014372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19.1057544897748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0.560745608844821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0.583937962358482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134.776148273973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0.00854372822524272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0.434952637766083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0.327188087114735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2575</v>
      </c>
      <c r="L12" s="55" t="n">
        <f aca="false">IF(Stock_Card!$B$2="","",IFERROR(INDEX(Calc!$Q$2:$Q$100,MATCH(Stock_Card!$B$2,Calc!$A$2:$A$100,0)),""))</f>
        <v>0.00854372822524272</v>
      </c>
      <c r="M12" s="58" t="n">
        <f aca="false">IF(Stock_Card!$B$2="","",IFERROR(INDEX(Calc!$J$2:$J$100,MATCH(Stock_Card!$B$2,Calc!$A$2:$A$100,0)),""))</f>
        <v>29.8446917014372</v>
      </c>
      <c r="N12" s="57" t="n">
        <f aca="false">IF(Stock_Card!$B$2="","",IFERROR(INDEX(Calc!$N$2:$N$100,MATCH(Stock_Card!$B$2,Calc!$A$2:$A$100,0)),""))</f>
        <v>0.560745608844821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134.776148273973</v>
      </c>
      <c r="H13" s="55" t="n">
        <f aca="false">IF(Stock_Card!$B$2="","",IFERROR(INDEX(Calc!$M$2:$M$100,MATCH(Stock_Card!$B$2,Calc!$A$2:$A$100,0)),""))</f>
        <v>0.327188087114735</v>
      </c>
      <c r="I13" s="55" t="n">
        <f aca="false">IF(Stock_Card!$B$2="","",IFERROR(INDEX(Calc!$AI$2:$AI$100,MATCH(Stock_Card!$B$2,Calc!$A$2:$A$100,0)),""))</f>
        <v>0.434952637766083</v>
      </c>
      <c r="J13" s="59"/>
      <c r="K13" s="59"/>
      <c r="L13" s="59"/>
      <c r="M13" s="58" t="n">
        <f aca="false">IF(Stock_Card!$B$2="","",IFERROR(INDEX(Calc!$L$2:$L$100,MATCH(Stock_Card!$B$2,Calc!$A$2:$A$100,0)),""))</f>
        <v>19.1057544897748</v>
      </c>
      <c r="N13" s="57" t="n">
        <f aca="false">IF(Stock_Card!$B$2="","",IFERROR(INDEX(Calc!$O$2:$O$100,MATCH(Stock_Card!$B$2,Calc!$A$2:$A$100,0)),""))</f>
        <v>0.583937962358482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{93C32780-C279-4F7C-B6DF-ECEEA2A01A2E}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C32780-C279-4F7C-B6DF-ECEEA2A01A2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-46300</v>
      </c>
      <c r="I4" s="67" t="n">
        <f aca="false">IF($A4="","",IFERROR(INDEX(Raw_Price!$E$2:$E$100,MATCH($A4,Raw_Price!$A$2:$A$100,0)),""))</f>
        <v>46300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-46300</v>
      </c>
      <c r="I5" s="67" t="n">
        <f aca="false">IF($A5="","",IFERROR(INDEX(Raw_Price!$E$2:$E$100,MATCH($A5,Raw_Price!$A$2:$A$100,0)),""))</f>
        <v>46300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-46300</v>
      </c>
      <c r="I6" s="67" t="n">
        <f aca="false">IF($A6="","",IFERROR(INDEX(Raw_Price!$E$2:$E$100,MATCH($A6,Raw_Price!$A$2:$A$100,0)),""))</f>
        <v>46300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-46300</v>
      </c>
      <c r="I7" s="67" t="n">
        <f aca="false">IF($A7="","",IFERROR(INDEX(Raw_Price!$E$2:$E$100,MATCH($A7,Raw_Price!$A$2:$A$100,0)),""))</f>
        <v>46300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-46300</v>
      </c>
      <c r="I8" s="67" t="n">
        <f aca="false">IF($A8="","",IFERROR(INDEX(Raw_Price!$E$2:$E$100,MATCH($A8,Raw_Price!$A$2:$A$100,0)),""))</f>
        <v>46300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-46300</v>
      </c>
      <c r="I9" s="67" t="n">
        <f aca="false">IF($A9="","",IFERROR(INDEX(Raw_Price!$E$2:$E$100,MATCH($A9,Raw_Price!$A$2:$A$100,0)),""))</f>
        <v>46300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-46300</v>
      </c>
      <c r="I10" s="67" t="n">
        <f aca="false">IF($A10="","",IFERROR(INDEX(Raw_Price!$E$2:$E$100,MATCH($A10,Raw_Price!$A$2:$A$100,0)),""))</f>
        <v>46300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-46300</v>
      </c>
      <c r="I11" s="67" t="n">
        <f aca="false">IF($A11="","",IFERROR(INDEX(Raw_Price!$E$2:$E$100,MATCH($A11,Raw_Price!$A$2:$A$100,0)),""))</f>
        <v>46300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-46300</v>
      </c>
      <c r="I12" s="67" t="n">
        <f aca="false">IF($A12="","",IFERROR(INDEX(Raw_Price!$E$2:$E$100,MATCH($A12,Raw_Price!$A$2:$A$100,0)),""))</f>
        <v>46300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-46300</v>
      </c>
      <c r="I13" s="67" t="n">
        <f aca="false">IF($A13="","",IFERROR(INDEX(Raw_Price!$E$2:$E$100,MATCH($A13,Raw_Price!$A$2:$A$100,0)),""))</f>
        <v>46300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-46300</v>
      </c>
      <c r="I14" s="67" t="n">
        <f aca="false">IF($A14="","",IFERROR(INDEX(Raw_Price!$E$2:$E$100,MATCH($A14,Raw_Price!$A$2:$A$100,0)),""))</f>
        <v>46300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-46300</v>
      </c>
      <c r="I15" s="67" t="n">
        <f aca="false">IF($A15="","",IFERROR(INDEX(Raw_Price!$E$2:$E$100,MATCH($A15,Raw_Price!$A$2:$A$100,0)),""))</f>
        <v>46300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-46300</v>
      </c>
      <c r="I16" s="67" t="n">
        <f aca="false">IF($A16="","",IFERROR(INDEX(Raw_Price!$E$2:$E$100,MATCH($A16,Raw_Price!$A$2:$A$100,0)),""))</f>
        <v>46300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-46300</v>
      </c>
      <c r="I17" s="67" t="n">
        <f aca="false">IF($A17="","",IFERROR(INDEX(Raw_Price!$E$2:$E$100,MATCH($A17,Raw_Price!$A$2:$A$100,0)),""))</f>
        <v>46300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-46300</v>
      </c>
      <c r="I18" s="67" t="n">
        <f aca="false">IF($A18="","",IFERROR(INDEX(Raw_Price!$E$2:$E$100,MATCH($A18,Raw_Price!$A$2:$A$100,0)),""))</f>
        <v>46300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-46300</v>
      </c>
      <c r="I19" s="67" t="n">
        <f aca="false">IF($A19="","",IFERROR(INDEX(Raw_Price!$E$2:$E$100,MATCH($A19,Raw_Price!$A$2:$A$100,0)),""))</f>
        <v>46300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-46300</v>
      </c>
      <c r="I20" s="67" t="n">
        <f aca="false">IF($A20="","",IFERROR(INDEX(Raw_Price!$E$2:$E$100,MATCH($A20,Raw_Price!$A$2:$A$100,0)),""))</f>
        <v>46300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-46300</v>
      </c>
      <c r="I21" s="67" t="n">
        <f aca="false">IF($A21="","",IFERROR(INDEX(Raw_Price!$E$2:$E$100,MATCH($A21,Raw_Price!$A$2:$A$100,0)),""))</f>
        <v>46300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-46300</v>
      </c>
      <c r="I22" s="67" t="n">
        <f aca="false">IF($A22="","",IFERROR(INDEX(Raw_Price!$E$2:$E$100,MATCH($A22,Raw_Price!$A$2:$A$100,0)),""))</f>
        <v>46300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-46300</v>
      </c>
      <c r="I23" s="67" t="n">
        <f aca="false">IF($A23="","",IFERROR(INDEX(Raw_Price!$E$2:$E$100,MATCH($A23,Raw_Price!$A$2:$A$100,0)),""))</f>
        <v>46300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-46300</v>
      </c>
      <c r="I24" s="67" t="n">
        <f aca="false">IF($A24="","",IFERROR(INDEX(Raw_Price!$E$2:$E$100,MATCH($A24,Raw_Price!$A$2:$A$100,0)),""))</f>
        <v>46300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-46300</v>
      </c>
      <c r="I25" s="67" t="n">
        <f aca="false">IF($A25="","",IFERROR(INDEX(Raw_Price!$E$2:$E$100,MATCH($A25,Raw_Price!$A$2:$A$100,0)),""))</f>
        <v>46300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-46300</v>
      </c>
      <c r="I27" s="67" t="n">
        <f aca="false">IF($A27="","",IFERROR(INDEX(Raw_Price!$E$2:$E$100,MATCH($A27,Raw_Price!$A$2:$A$100,0)),""))</f>
        <v>46300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-46300</v>
      </c>
      <c r="I28" s="67" t="n">
        <f aca="false">IF($A28="","",IFERROR(INDEX(Raw_Price!$E$2:$E$100,MATCH($A28,Raw_Price!$A$2:$A$100,0)),""))</f>
        <v>46300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-46300</v>
      </c>
      <c r="I29" s="67" t="n">
        <f aca="false">IF($A29="","",IFERROR(INDEX(Raw_Price!$E$2:$E$100,MATCH($A29,Raw_Price!$A$2:$A$100,0)),""))</f>
        <v>46300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1079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1089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1099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1109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1119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1125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1210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1211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1212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1213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1214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1215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1216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1217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1218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1219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1220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1221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1222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1223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1224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1225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1226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1227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1228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1229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1230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1231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1232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1233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1234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1235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1236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1237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1238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1239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1240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1241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1242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1243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1244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1245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1246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1247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1248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1249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1250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1251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1252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1253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1254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1255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1256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1257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1258</v>
      </c>
    </row>
    <row r="434" customFormat="false" ht="15" hidden="false" customHeight="false" outlineLevel="0" collapsed="false">
      <c r="A434" s="79" t="s">
        <v>210</v>
      </c>
      <c r="B434" s="79" t="s">
        <v>1259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1079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1080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1081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1082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1083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1084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1085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1086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1087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1088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1089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1090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1091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1092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1093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1094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1095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1096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1097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1098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1099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1100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1101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1102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1103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1105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1107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1109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1111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1113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1115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1117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1119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1121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1123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1259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1079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1080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1081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1082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1083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1084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1085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1086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1087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1088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1089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1090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1091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1092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1093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1094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1095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1096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1097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1098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1099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1100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1101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1102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1103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1105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1107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1109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1111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1113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1115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1117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1119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1121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1123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1079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1089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1099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1109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1119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1125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1259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1079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1080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1081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1082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1083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1084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1085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1086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1087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1088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1089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1090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1091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1092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1093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1094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1095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1096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1097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1098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1099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1100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1101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1102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1103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1105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1107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1109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1111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1113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1115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1117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1119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1121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1123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202609</v>
      </c>
      <c r="D722" s="81" t="n">
        <v>46266</v>
      </c>
      <c r="E722" s="82" t="n">
        <v>8891.805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202608</v>
      </c>
      <c r="D723" s="81" t="n">
        <v>46235</v>
      </c>
      <c r="E723" s="82" t="n">
        <v>9630.165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202607</v>
      </c>
      <c r="D724" s="81" t="n">
        <v>46204</v>
      </c>
      <c r="E724" s="82" t="n">
        <v>8518.109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202606</v>
      </c>
      <c r="D725" s="81" t="n">
        <v>46174</v>
      </c>
      <c r="E725" s="82" t="n">
        <v>7352.121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202605</v>
      </c>
      <c r="D726" s="81" t="n">
        <v>46143</v>
      </c>
      <c r="E726" s="82" t="n">
        <v>7382.955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202604</v>
      </c>
      <c r="D727" s="81" t="n">
        <v>46113</v>
      </c>
      <c r="E727" s="82" t="n">
        <v>7013.696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202603</v>
      </c>
      <c r="D728" s="81" t="n">
        <v>46082</v>
      </c>
      <c r="E728" s="82" t="n">
        <v>6387.852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202602</v>
      </c>
      <c r="D729" s="81" t="n">
        <v>46054</v>
      </c>
      <c r="E729" s="82" t="n">
        <v>7455.82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202601</v>
      </c>
      <c r="D730" s="81" t="n">
        <v>46023</v>
      </c>
      <c r="E730" s="82" t="n">
        <v>6640.666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202512</v>
      </c>
      <c r="D731" s="81" t="n">
        <v>45992</v>
      </c>
      <c r="E731" s="82" t="n">
        <v>6538.775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202511</v>
      </c>
      <c r="D732" s="81" t="n">
        <v>45962</v>
      </c>
      <c r="E732" s="82" t="n">
        <v>6581.49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202510</v>
      </c>
      <c r="D733" s="81" t="n">
        <v>45931</v>
      </c>
      <c r="E733" s="82" t="n">
        <v>6706.222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202509</v>
      </c>
      <c r="D734" s="81" t="n">
        <v>45901</v>
      </c>
      <c r="E734" s="82" t="n">
        <v>5774.218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202508</v>
      </c>
      <c r="D735" s="81" t="n">
        <v>45870</v>
      </c>
      <c r="E735" s="82" t="n">
        <v>6034.282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202507</v>
      </c>
      <c r="D736" s="81" t="n">
        <v>45839</v>
      </c>
      <c r="E736" s="82" t="n">
        <v>5200.632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202506</v>
      </c>
      <c r="D737" s="81" t="n">
        <v>45809</v>
      </c>
      <c r="E737" s="82" t="n">
        <v>5201.409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202505</v>
      </c>
      <c r="D738" s="81" t="n">
        <v>45778</v>
      </c>
      <c r="E738" s="82" t="n">
        <v>6228.086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202504</v>
      </c>
      <c r="D739" s="81" t="n">
        <v>45748</v>
      </c>
      <c r="E739" s="82" t="n">
        <v>5738.989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202503</v>
      </c>
      <c r="D740" s="81" t="n">
        <v>45717</v>
      </c>
      <c r="E740" s="82" t="n">
        <v>5001.88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202502</v>
      </c>
      <c r="D741" s="81" t="n">
        <v>45689</v>
      </c>
      <c r="E741" s="82" t="n">
        <v>5555.836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202501</v>
      </c>
      <c r="D742" s="81" t="n">
        <v>45658</v>
      </c>
      <c r="E742" s="82" t="n">
        <v>4641.987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202412</v>
      </c>
      <c r="D743" s="81" t="n">
        <v>45627</v>
      </c>
      <c r="E743" s="82" t="n">
        <v>4910.75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202411</v>
      </c>
      <c r="D744" s="81" t="n">
        <v>45597</v>
      </c>
      <c r="E744" s="82" t="n">
        <v>4911.147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202410</v>
      </c>
      <c r="D745" s="81" t="n">
        <v>45566</v>
      </c>
      <c r="E745" s="82" t="n">
        <v>4589.632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202409</v>
      </c>
      <c r="D746" s="81" t="n">
        <v>45536</v>
      </c>
      <c r="E746" s="82" t="n">
        <v>4558.801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202408</v>
      </c>
      <c r="D747" s="81" t="n">
        <v>45505</v>
      </c>
      <c r="E747" s="82" t="n">
        <v>5010.561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202407</v>
      </c>
      <c r="D748" s="81" t="n">
        <v>45474</v>
      </c>
      <c r="E748" s="82" t="n">
        <v>4270.645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202406</v>
      </c>
      <c r="D749" s="81" t="n">
        <v>45444</v>
      </c>
      <c r="E749" s="82" t="n">
        <v>4319.672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202405</v>
      </c>
      <c r="D750" s="81" t="n">
        <v>45413</v>
      </c>
      <c r="E750" s="82" t="n">
        <v>4501.705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202404</v>
      </c>
      <c r="D751" s="81" t="n">
        <v>45383</v>
      </c>
      <c r="E751" s="82" t="n">
        <v>4270.952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202403</v>
      </c>
      <c r="D752" s="81" t="n">
        <v>45352</v>
      </c>
      <c r="E752" s="82" t="n">
        <v>3836.515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202402</v>
      </c>
      <c r="D753" s="81" t="n">
        <v>45323</v>
      </c>
      <c r="E753" s="82" t="n">
        <v>4256.429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202401</v>
      </c>
      <c r="D754" s="81" t="n">
        <v>45292</v>
      </c>
      <c r="E754" s="82" t="n">
        <v>3488.338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202312</v>
      </c>
      <c r="D755" s="81" t="n">
        <v>45261</v>
      </c>
      <c r="E755" s="82" t="n">
        <v>4142.794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202311</v>
      </c>
      <c r="D756" s="81" t="n">
        <v>45231</v>
      </c>
      <c r="E756" s="82" t="n">
        <v>4486.505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202310</v>
      </c>
      <c r="D757" s="81" t="n">
        <v>45200</v>
      </c>
      <c r="E757" s="82" t="n">
        <v>4304.914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1079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1080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1081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1082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1083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1084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1085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1086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1087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1088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1089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1090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1091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1092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1093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1094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1095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1096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1097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1098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1099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1100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1101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1102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1103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1105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1107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1109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1111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1113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1115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1117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1119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1121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1123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1125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1079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1080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1081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1082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1083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1084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1085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1086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1087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1088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1089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1090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1091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1092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1093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1094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1095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1096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1097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1098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1099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1100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1101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1102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1103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1105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1107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1109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1111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1113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1115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1117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1119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1121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1123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1125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1259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1079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1080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1081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1082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1083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1084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1085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1086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1087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1088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1089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1090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1091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1092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1093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1094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1095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1096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1097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1098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1099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1100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1101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1102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1103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1105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1107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1109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1111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1113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1115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1117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1119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1121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1123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46300</v>
      </c>
    </row>
    <row r="3" customFormat="false" ht="15" hidden="false" customHeight="false" outlineLevel="0" collapsed="false">
      <c r="A3" s="79" t="s">
        <v>220</v>
      </c>
      <c r="B3" s="83" t="n">
        <v>6.95132</v>
      </c>
      <c r="C3" s="83" t="n">
        <v>7.14248</v>
      </c>
      <c r="D3" s="81" t="n">
        <v>46387</v>
      </c>
      <c r="E3" s="80" t="n">
        <v>13</v>
      </c>
      <c r="F3" s="81" t="n">
        <v>46300</v>
      </c>
    </row>
    <row r="4" customFormat="false" ht="15" hidden="false" customHeight="false" outlineLevel="0" collapsed="false">
      <c r="A4" s="79" t="s">
        <v>345</v>
      </c>
      <c r="B4" s="83" t="n">
        <v>20.06225</v>
      </c>
      <c r="C4" s="83" t="n">
        <v>31.32791</v>
      </c>
      <c r="D4" s="81" t="n">
        <v>46387</v>
      </c>
      <c r="E4" s="80" t="n">
        <v>3</v>
      </c>
      <c r="F4" s="81" t="n">
        <v>46300</v>
      </c>
    </row>
    <row r="5" customFormat="false" ht="15" hidden="false" customHeight="false" outlineLevel="0" collapsed="false">
      <c r="A5" s="79" t="s">
        <v>79</v>
      </c>
      <c r="B5" s="83" t="n">
        <v>107.8899</v>
      </c>
      <c r="C5" s="83" t="n">
        <v>143.19019</v>
      </c>
      <c r="D5" s="81" t="n">
        <v>46387</v>
      </c>
      <c r="E5" s="80" t="n">
        <v>23</v>
      </c>
      <c r="F5" s="81" t="n">
        <v>46300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46300</v>
      </c>
    </row>
    <row r="7" customFormat="false" ht="15" hidden="false" customHeight="false" outlineLevel="0" collapsed="false">
      <c r="A7" s="79" t="s">
        <v>205</v>
      </c>
      <c r="B7" s="83" t="n">
        <v>34.42047</v>
      </c>
      <c r="C7" s="83" t="n">
        <v>37.48218</v>
      </c>
      <c r="D7" s="81" t="n">
        <v>46387</v>
      </c>
      <c r="E7" s="80" t="n">
        <v>8</v>
      </c>
      <c r="F7" s="81" t="n">
        <v>46300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46300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68.24214</v>
      </c>
      <c r="C10" s="83" t="n">
        <v>147.14908</v>
      </c>
      <c r="D10" s="81" t="n">
        <v>46387</v>
      </c>
      <c r="E10" s="80" t="n">
        <v>15</v>
      </c>
      <c r="F10" s="81" t="n">
        <v>46300</v>
      </c>
    </row>
    <row r="11" customFormat="false" ht="15" hidden="false" customHeight="false" outlineLevel="0" collapsed="false">
      <c r="A11" s="79" t="s">
        <v>190</v>
      </c>
      <c r="B11" s="83" t="n">
        <v>5.57293</v>
      </c>
      <c r="C11" s="83" t="n">
        <v>9.4557</v>
      </c>
      <c r="D11" s="81" t="n">
        <v>46387</v>
      </c>
      <c r="E11" s="80" t="n">
        <v>9</v>
      </c>
      <c r="F11" s="81" t="n">
        <v>46300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46300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46300</v>
      </c>
    </row>
    <row r="14" customFormat="false" ht="15" hidden="false" customHeight="false" outlineLevel="0" collapsed="false">
      <c r="A14" s="79" t="s">
        <v>210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46300</v>
      </c>
    </row>
    <row r="15" customFormat="false" ht="15" hidden="false" customHeight="false" outlineLevel="0" collapsed="false">
      <c r="A15" s="79" t="s">
        <v>230</v>
      </c>
      <c r="B15" s="83" t="n">
        <v>7.69288</v>
      </c>
      <c r="C15" s="83" t="n">
        <v>10.09494</v>
      </c>
      <c r="D15" s="81" t="n">
        <v>46387</v>
      </c>
      <c r="E15" s="80" t="n">
        <v>9</v>
      </c>
      <c r="F15" s="81" t="n">
        <v>46300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46300</v>
      </c>
    </row>
    <row r="17" customFormat="false" ht="15" hidden="false" customHeight="false" outlineLevel="0" collapsed="false">
      <c r="A17" s="79" t="s">
        <v>216</v>
      </c>
      <c r="B17" s="83" t="n">
        <v>11.05445</v>
      </c>
      <c r="C17" s="83" t="n">
        <v>27.43637</v>
      </c>
      <c r="D17" s="81" t="n">
        <v>46387</v>
      </c>
      <c r="E17" s="80" t="n">
        <v>9</v>
      </c>
      <c r="F17" s="81" t="n">
        <v>46300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-0.53</v>
      </c>
      <c r="C19" s="83" t="n">
        <v>12.97667</v>
      </c>
      <c r="D19" s="81" t="n">
        <v>46387</v>
      </c>
      <c r="E19" s="80" t="n">
        <v>1</v>
      </c>
      <c r="F19" s="81" t="n">
        <v>46300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46300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46300</v>
      </c>
    </row>
    <row r="22" customFormat="false" ht="15" hidden="false" customHeight="false" outlineLevel="0" collapsed="false">
      <c r="A22" s="79" t="s">
        <v>197</v>
      </c>
      <c r="B22" s="83" t="n">
        <v>68.77689</v>
      </c>
      <c r="C22" s="83" t="n">
        <v>119.70807</v>
      </c>
      <c r="D22" s="81" t="n">
        <v>46387</v>
      </c>
      <c r="E22" s="80" t="n">
        <v>9</v>
      </c>
      <c r="F22" s="81" t="n">
        <v>46300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46300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46300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46300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46300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46300</v>
      </c>
    </row>
    <row r="29" customFormat="false" ht="15" hidden="false" customHeight="false" outlineLevel="0" collapsed="false">
      <c r="A29" s="79" t="s">
        <v>243</v>
      </c>
      <c r="B29" s="83" t="n">
        <v>5.13</v>
      </c>
      <c r="C29" s="83" t="n">
        <v>14.65</v>
      </c>
      <c r="D29" s="81" t="n">
        <v>46387</v>
      </c>
      <c r="E29" s="80" t="n">
        <v>1</v>
      </c>
      <c r="F29" s="81" t="n">
        <v>46300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46300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13355</v>
      </c>
      <c r="C2" s="81" t="n">
        <v>46300</v>
      </c>
      <c r="D2" s="81"/>
      <c r="E2" s="81" t="n">
        <v>46300</v>
      </c>
    </row>
    <row r="3" customFormat="false" ht="15" hidden="false" customHeight="false" outlineLevel="0" collapsed="false">
      <c r="A3" s="79" t="s">
        <v>220</v>
      </c>
      <c r="B3" s="83" t="n">
        <v>152.5</v>
      </c>
      <c r="C3" s="81" t="n">
        <v>46300</v>
      </c>
      <c r="D3" s="81"/>
      <c r="E3" s="81" t="n">
        <v>46300</v>
      </c>
    </row>
    <row r="4" customFormat="false" ht="15" hidden="false" customHeight="false" outlineLevel="0" collapsed="false">
      <c r="A4" s="79" t="s">
        <v>345</v>
      </c>
      <c r="B4" s="83" t="n">
        <v>626</v>
      </c>
      <c r="C4" s="81" t="n">
        <v>46300</v>
      </c>
      <c r="D4" s="81"/>
      <c r="E4" s="81" t="n">
        <v>46300</v>
      </c>
    </row>
    <row r="5" customFormat="false" ht="15" hidden="false" customHeight="false" outlineLevel="0" collapsed="false">
      <c r="A5" s="79" t="s">
        <v>79</v>
      </c>
      <c r="B5" s="83" t="n">
        <v>2575</v>
      </c>
      <c r="C5" s="81" t="n">
        <v>46300</v>
      </c>
      <c r="D5" s="81"/>
      <c r="E5" s="81" t="n">
        <v>46300</v>
      </c>
    </row>
    <row r="6" customFormat="false" ht="15" hidden="false" customHeight="false" outlineLevel="0" collapsed="false">
      <c r="A6" s="79" t="s">
        <v>236</v>
      </c>
      <c r="B6" s="83" t="n">
        <v>181</v>
      </c>
      <c r="C6" s="81" t="n">
        <v>46300</v>
      </c>
      <c r="D6" s="81"/>
      <c r="E6" s="81" t="n">
        <v>46300</v>
      </c>
    </row>
    <row r="7" customFormat="false" ht="15" hidden="false" customHeight="false" outlineLevel="0" collapsed="false">
      <c r="A7" s="79" t="s">
        <v>205</v>
      </c>
      <c r="B7" s="83" t="n">
        <v>388.5</v>
      </c>
      <c r="C7" s="81" t="n">
        <v>46300</v>
      </c>
      <c r="D7" s="81"/>
      <c r="E7" s="81" t="n">
        <v>46300</v>
      </c>
    </row>
    <row r="8" customFormat="false" ht="15" hidden="false" customHeight="false" outlineLevel="0" collapsed="false">
      <c r="A8" s="79" t="s">
        <v>182</v>
      </c>
      <c r="B8" s="83" t="n">
        <v>530</v>
      </c>
      <c r="C8" s="81" t="n">
        <v>46300</v>
      </c>
      <c r="D8" s="81"/>
      <c r="E8" s="81" t="n">
        <v>46300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5165</v>
      </c>
      <c r="C10" s="81" t="n">
        <v>46300</v>
      </c>
      <c r="D10" s="81"/>
      <c r="E10" s="81" t="n">
        <v>46300</v>
      </c>
    </row>
    <row r="11" customFormat="false" ht="15" hidden="false" customHeight="false" outlineLevel="0" collapsed="false">
      <c r="A11" s="79" t="s">
        <v>190</v>
      </c>
      <c r="B11" s="83" t="n">
        <v>606</v>
      </c>
      <c r="C11" s="81" t="n">
        <v>46300</v>
      </c>
      <c r="D11" s="81"/>
      <c r="E11" s="81" t="n">
        <v>46300</v>
      </c>
    </row>
    <row r="12" customFormat="false" ht="15" hidden="false" customHeight="false" outlineLevel="0" collapsed="false">
      <c r="A12" s="79" t="s">
        <v>224</v>
      </c>
      <c r="B12" s="83" t="n">
        <v>90.9</v>
      </c>
      <c r="C12" s="81" t="n">
        <v>46300</v>
      </c>
      <c r="D12" s="81"/>
      <c r="E12" s="81" t="n">
        <v>46300</v>
      </c>
    </row>
    <row r="13" customFormat="false" ht="15" hidden="false" customHeight="false" outlineLevel="0" collapsed="false">
      <c r="A13" s="79" t="s">
        <v>195</v>
      </c>
      <c r="B13" s="83" t="n">
        <v>543</v>
      </c>
      <c r="C13" s="81" t="n">
        <v>46300</v>
      </c>
      <c r="D13" s="81"/>
      <c r="E13" s="81" t="n">
        <v>46300</v>
      </c>
    </row>
    <row r="14" customFormat="false" ht="15" hidden="false" customHeight="false" outlineLevel="0" collapsed="false">
      <c r="A14" s="79" t="s">
        <v>210</v>
      </c>
      <c r="B14" s="83" t="n">
        <v>3000</v>
      </c>
      <c r="C14" s="81" t="n">
        <v>46300</v>
      </c>
      <c r="D14" s="81"/>
      <c r="E14" s="81" t="n">
        <v>46300</v>
      </c>
    </row>
    <row r="15" customFormat="false" ht="15" hidden="false" customHeight="false" outlineLevel="0" collapsed="false">
      <c r="A15" s="79" t="s">
        <v>230</v>
      </c>
      <c r="B15" s="83" t="n">
        <v>615</v>
      </c>
      <c r="C15" s="81" t="n">
        <v>46300</v>
      </c>
      <c r="D15" s="81"/>
      <c r="E15" s="81" t="n">
        <v>46300</v>
      </c>
    </row>
    <row r="16" customFormat="false" ht="15" hidden="false" customHeight="false" outlineLevel="0" collapsed="false">
      <c r="A16" s="79" t="s">
        <v>212</v>
      </c>
      <c r="B16" s="83" t="n">
        <v>709</v>
      </c>
      <c r="C16" s="81" t="n">
        <v>46300</v>
      </c>
      <c r="D16" s="81"/>
      <c r="E16" s="81" t="n">
        <v>46300</v>
      </c>
    </row>
    <row r="17" customFormat="false" ht="15" hidden="false" customHeight="false" outlineLevel="0" collapsed="false">
      <c r="A17" s="79" t="s">
        <v>216</v>
      </c>
      <c r="B17" s="83" t="n">
        <v>1095</v>
      </c>
      <c r="C17" s="81" t="n">
        <v>46300</v>
      </c>
      <c r="D17" s="81"/>
      <c r="E17" s="81" t="n">
        <v>46300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664</v>
      </c>
      <c r="C19" s="81" t="n">
        <v>46300</v>
      </c>
      <c r="D19" s="81"/>
      <c r="E19" s="81" t="n">
        <v>46300</v>
      </c>
    </row>
    <row r="20" customFormat="false" ht="15" hidden="false" customHeight="false" outlineLevel="0" collapsed="false">
      <c r="A20" s="79" t="s">
        <v>245</v>
      </c>
      <c r="B20" s="83" t="n">
        <v>8600</v>
      </c>
      <c r="C20" s="81" t="n">
        <v>46300</v>
      </c>
      <c r="D20" s="81"/>
      <c r="E20" s="81" t="n">
        <v>46300</v>
      </c>
    </row>
    <row r="21" customFormat="false" ht="15" hidden="false" customHeight="false" outlineLevel="0" collapsed="false">
      <c r="A21" s="79" t="s">
        <v>241</v>
      </c>
      <c r="B21" s="83" t="n">
        <v>548</v>
      </c>
      <c r="C21" s="81" t="n">
        <v>46300</v>
      </c>
      <c r="D21" s="81"/>
      <c r="E21" s="81" t="n">
        <v>46300</v>
      </c>
    </row>
    <row r="22" customFormat="false" ht="15" hidden="false" customHeight="false" outlineLevel="0" collapsed="false">
      <c r="A22" s="79" t="s">
        <v>197</v>
      </c>
      <c r="B22" s="83" t="n">
        <v>2485</v>
      </c>
      <c r="C22" s="81" t="n">
        <v>46300</v>
      </c>
      <c r="D22" s="81"/>
      <c r="E22" s="81" t="n">
        <v>46300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88.7</v>
      </c>
      <c r="C24" s="81" t="n">
        <v>46300</v>
      </c>
      <c r="D24" s="81"/>
      <c r="E24" s="81" t="n">
        <v>46300</v>
      </c>
    </row>
    <row r="25" customFormat="false" ht="15" hidden="false" customHeight="false" outlineLevel="0" collapsed="false">
      <c r="A25" s="79" t="s">
        <v>232</v>
      </c>
      <c r="B25" s="83" t="n">
        <v>598</v>
      </c>
      <c r="C25" s="81" t="n">
        <v>46300</v>
      </c>
      <c r="D25" s="81"/>
      <c r="E25" s="81" t="n">
        <v>46300</v>
      </c>
    </row>
    <row r="26" customFormat="false" ht="15" hidden="false" customHeight="false" outlineLevel="0" collapsed="false">
      <c r="A26" s="79" t="s">
        <v>186</v>
      </c>
      <c r="B26" s="83" t="n">
        <v>1295</v>
      </c>
      <c r="C26" s="81" t="n">
        <v>46300</v>
      </c>
      <c r="D26" s="81"/>
      <c r="E26" s="81" t="n">
        <v>46300</v>
      </c>
    </row>
    <row r="27" customFormat="false" ht="15" hidden="false" customHeight="false" outlineLevel="0" collapsed="false">
      <c r="A27" s="79" t="s">
        <v>201</v>
      </c>
      <c r="B27" s="83" t="n">
        <v>620</v>
      </c>
      <c r="C27" s="81" t="n">
        <v>46300</v>
      </c>
      <c r="D27" s="81"/>
      <c r="E27" s="81" t="n">
        <v>46300</v>
      </c>
    </row>
    <row r="28" customFormat="false" ht="15" hidden="false" customHeight="false" outlineLevel="0" collapsed="false">
      <c r="A28" s="79" t="s">
        <v>218</v>
      </c>
      <c r="B28" s="83" t="n">
        <v>1705</v>
      </c>
      <c r="C28" s="81" t="n">
        <v>46300</v>
      </c>
      <c r="D28" s="81"/>
      <c r="E28" s="81" t="n">
        <v>46300</v>
      </c>
    </row>
    <row r="29" customFormat="false" ht="15" hidden="false" customHeight="false" outlineLevel="0" collapsed="false">
      <c r="A29" s="79" t="s">
        <v>243</v>
      </c>
      <c r="B29" s="83" t="n">
        <v>550</v>
      </c>
      <c r="C29" s="81" t="n">
        <v>46300</v>
      </c>
      <c r="D29" s="81"/>
      <c r="E29" s="81" t="n">
        <v>46300</v>
      </c>
    </row>
    <row r="30" customFormat="false" ht="15" hidden="false" customHeight="false" outlineLevel="0" collapsed="false">
      <c r="A30" s="79" t="s">
        <v>228</v>
      </c>
      <c r="B30" s="83" t="n">
        <v>2100</v>
      </c>
      <c r="C30" s="81" t="n">
        <v>46300</v>
      </c>
      <c r="D30" s="81"/>
      <c r="E30" s="81" t="n">
        <v>46300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2575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134.776148273973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29.8446917014372</v>
      </c>
      <c r="K2" s="52" t="n">
        <f aca="false">IF($A2="","",IFERROR(IF(G2&lt;=0,"N/M",D2/G2),"N/M"))</f>
        <v>26.5377820206166</v>
      </c>
      <c r="L2" s="52" t="n">
        <f aca="false">IF($A2="","",IFERROR(IF(H2&lt;=0,"N/M",D2/H2),"N/M"))</f>
        <v>19.1057544897748</v>
      </c>
      <c r="M2" s="49" t="n">
        <f aca="false">IF($A2="","",IFERROR(INDEX(Raw_Est!$C$2:$C$100,MATCH($A2,Raw_Est!$A$2:$A$100,0))/INDEX(Raw_Est!$B$2:$B$100,MATCH($A2,Raw_Est!$A$2:$A$100,0))-1,""))</f>
        <v>0.327188087114735</v>
      </c>
      <c r="N2" s="51" t="n">
        <f aca="false">IF($A2="","",IFERROR(IF(OR(NOT(ISNUMBER(J2)),I2&lt;Config!$B$6),"N/M",J2/(I2*100)),"N/M"))</f>
        <v>0.560745608844821</v>
      </c>
      <c r="O2" s="51" t="n">
        <f aca="false">IF($A2="","",IFERROR(IF(OR(NOT(ISNUMBER(L2)),M2&lt;Config!$B$6),"N/M",L2/(M2*100)),"N/M"))</f>
        <v>0.583937962358482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0.00854372822524272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0.434952637766083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46300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530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94.2813050136986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19.5211786372007</v>
      </c>
      <c r="K3" s="52" t="n">
        <f aca="false">IF($A3="","",IFERROR(IF(G3&lt;=0,"N/M",D3/G3),"N/M"))</f>
        <v>11.1583998012542</v>
      </c>
      <c r="L3" s="52" t="n">
        <f aca="false">IF($A3="","",IFERROR(IF(H3&lt;=0,"N/M",D3/H3),"N/M"))</f>
        <v>5.62147500952594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0.119838853997036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46300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232.577600712329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5.56803404985574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46300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606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8.53021783561644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147.087378640777</v>
      </c>
      <c r="K5" s="52" t="n">
        <f aca="false">IF($A5="","",IFERROR(IF(G5&lt;=0,"N/M",D5/G5),"N/M"))</f>
        <v>129.093004479911</v>
      </c>
      <c r="L5" s="52" t="n">
        <f aca="false">IF($A5="","",IFERROR(IF(H5&lt;=0,"N/M",D5/H5),"N/M"))</f>
        <v>71.0415620888077</v>
      </c>
      <c r="M5" s="49" t="n">
        <f aca="false">IF($A5="","",IFERROR(INDEX(Raw_Est!$C$2:$C$100,MATCH($A5,Raw_Est!$A$2:$A$100,0))/INDEX(Raw_Est!$B$2:$B$100,MATCH($A5,Raw_Est!$A$2:$A$100,0))-1,""))</f>
        <v>0.696719678876282</v>
      </c>
      <c r="N5" s="51" t="n">
        <f aca="false">IF($A5="","",IFERROR(IF(OR(NOT(ISNUMBER(J5)),I5&lt;Config!$B$6),"N/M",J5/(I5*100)),"N/M"))</f>
        <v>2.3889988250572</v>
      </c>
      <c r="O5" s="51" t="n">
        <f aca="false">IF($A5="","",IFERROR(IF(OR(NOT(ISNUMBER(L5)),M5&lt;Config!$B$6),"N/M",L5/(M5*100)),"N/M"))</f>
        <v>1.01965775106838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0.00432435070957096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0.27902443098403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46300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34.9380764383562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15.5417829300951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46300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2485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107.568309287671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45.5712451861361</v>
      </c>
      <c r="K7" s="52" t="n">
        <f aca="false">IF($A7="","",IFERROR(IF(G7&lt;=0,"N/M",D7/G7),"N/M"))</f>
        <v>41.5803894501265</v>
      </c>
      <c r="L7" s="52" t="n">
        <f aca="false">IF($A7="","",IFERROR(IF(H7&lt;=0,"N/M",D7/H7),"N/M"))</f>
        <v>23.1015994994802</v>
      </c>
      <c r="M7" s="49" t="n">
        <f aca="false">IF($A7="","",IFERROR(INDEX(Raw_Est!$C$2:$C$100,MATCH($A7,Raw_Est!$A$2:$A$100,0))/INDEX(Raw_Est!$B$2:$B$100,MATCH($A7,Raw_Est!$A$2:$A$100,0))-1,""))</f>
        <v>0.740527523125864</v>
      </c>
      <c r="N7" s="51" t="n">
        <f aca="false">IF($A7="","",IFERROR(IF(OR(NOT(ISNUMBER(J7)),I7&lt;Config!$B$6),"N/M",J7/(I7*100)),"N/M"))</f>
        <v>0.793031266731604</v>
      </c>
      <c r="O7" s="51" t="n">
        <f aca="false">IF($A7="","",IFERROR(IF(OR(NOT(ISNUMBER(L7)),M7&lt;Config!$B$6),"N/M",L7/(M7*100)),"N/M"))</f>
        <v>0.311961389388545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0.00422755834607646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0.270704744622308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46300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620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33.4899452054795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18.5130192419234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1.46521434673772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46300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388.5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36.7524025479452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14.5451141894422</v>
      </c>
      <c r="K9" s="52" t="n">
        <f aca="false">IF($A9="","",IFERROR(IF(G9&lt;=0,"N/M",D9/G9),"N/M"))</f>
        <v>12.7936361786248</v>
      </c>
      <c r="L9" s="52" t="n">
        <f aca="false">IF($A9="","",IFERROR(IF(H9&lt;=0,"N/M",D9/H9),"N/M"))</f>
        <v>10.570737504662</v>
      </c>
      <c r="M9" s="49" t="n">
        <f aca="false">IF($A9="","",IFERROR(INDEX(Raw_Est!$C$2:$C$100,MATCH($A9,Raw_Est!$A$2:$A$100,0))/INDEX(Raw_Est!$B$2:$B$100,MATCH($A9,Raw_Est!$A$2:$A$100,0))-1,""))</f>
        <v>0.0889502670939706</v>
      </c>
      <c r="N9" s="51" t="n">
        <f aca="false">IF($A9="","",IFERROR(IF(OR(NOT(ISNUMBER(J9)),I9&lt;Config!$B$6),"N/M",J9/(I9*100)),"N/M"))</f>
        <v>0.232099878513742</v>
      </c>
      <c r="O9" s="51" t="n">
        <f aca="false">IF($A9="","",IFERROR(IF(OR(NOT(ISNUMBER(L9)),M9&lt;Config!$B$6),"N/M",L9/(M9*100)),"N/M"))</f>
        <v>1.18838738207437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0.0257400257400257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0.346627437746392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46300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13355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463.085367780822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73.6258889685209</v>
      </c>
      <c r="K10" s="52" t="n">
        <f aca="false">IF($A10="","",IFERROR(IF(G10&lt;=0,"N/M",D10/G10),"N/M"))</f>
        <v>50.1613671085287</v>
      </c>
      <c r="L10" s="52" t="n">
        <f aca="false">IF($A10="","",IFERROR(IF(H10&lt;=0,"N/M",D10/H10),"N/M"))</f>
        <v>28.8391750834177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0.436878847489774</v>
      </c>
      <c r="O10" s="51" t="n">
        <f aca="false">IF($A10="","",IFERROR(IF(OR(NOT(ISNUMBER(L10)),M10&lt;Config!$B$6),"N/M",L10/(M10*100)),"N/M"))</f>
        <v>0.698198817952116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0.00241108199176338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46300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3000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34.6762007123288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267.618198037467</v>
      </c>
      <c r="K11" s="52" t="n">
        <f aca="false">IF($A11="","",IFERROR(IF(G11&lt;=0,"N/M",D11/G11),"N/M"))</f>
        <v>188.442211055276</v>
      </c>
      <c r="L11" s="52" t="n">
        <f aca="false">IF($A11="","",IFERROR(IF(H11&lt;=0,"N/M",D11/H11),"N/M"))</f>
        <v>86.5146682270005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0.475078523827015</v>
      </c>
      <c r="O11" s="51" t="n">
        <f aca="false">IF($A11="","",IFERROR(IF(OR(NOT(ISNUMBER(L11)),M11&lt;Config!$B$6),"N/M",L11/(M11*100)),"N/M"))</f>
        <v>0.872708558674884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0.00016667405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46300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709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73.5477178423237</v>
      </c>
      <c r="K12" s="52" t="n">
        <f aca="false">IF($A12="","",IFERROR(IF(G12&lt;=0,"N/M",D12/G12),"N/M"))</f>
        <v>103.3527696793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0.275935089765066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46300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1095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23.5316383835616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185.593220338983</v>
      </c>
      <c r="K13" s="52" t="n">
        <f aca="false">IF($A13="","",IFERROR(IF(G13&lt;=0,"N/M",D13/G13),"N/M"))</f>
        <v>131.385547589765</v>
      </c>
      <c r="L13" s="52" t="n">
        <f aca="false">IF($A13="","",IFERROR(IF(H13&lt;=0,"N/M",D13/H13),"N/M"))</f>
        <v>46.5330965125202</v>
      </c>
      <c r="M13" s="49" t="n">
        <f aca="false">IF($A13="","",IFERROR(INDEX(Raw_Est!$C$2:$C$100,MATCH($A13,Raw_Est!$A$2:$A$100,0))/INDEX(Raw_Est!$B$2:$B$100,MATCH($A13,Raw_Est!$A$2:$A$100,0))-1,""))</f>
        <v>1.48192990153287</v>
      </c>
      <c r="N13" s="51" t="n">
        <f aca="false">IF($A13="","",IFERROR(IF(OR(NOT(ISNUMBER(J13)),I13&lt;Config!$B$6),"N/M",J13/(I13*100)),"N/M"))</f>
        <v>0.478822594051534</v>
      </c>
      <c r="O13" s="51" t="n">
        <f aca="false">IF($A13="","",IFERROR(IF(OR(NOT(ISNUMBER(L13)),M13&lt;Config!$B$6),"N/M",L13/(M13*100)),"N/M"))</f>
        <v>0.314003357813266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0.00091339902283105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0.130990279405076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46300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113.794164383562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14.9831936394649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0.136653601644832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46300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152.5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7.09691583561644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22.8293413173653</v>
      </c>
      <c r="K15" s="52" t="n">
        <f aca="false">IF($A15="","",IFERROR(IF(G15&lt;=0,"N/M",D15/G15),"N/M"))</f>
        <v>22.1290303856981</v>
      </c>
      <c r="L15" s="52" t="n">
        <f aca="false">IF($A15="","",IFERROR(IF(H15&lt;=0,"N/M",D15/H15),"N/M"))</f>
        <v>21.4882074879156</v>
      </c>
      <c r="M15" s="49" t="n">
        <f aca="false">IF($A15="","",IFERROR(INDEX(Raw_Est!$C$2:$C$100,MATCH($A15,Raw_Est!$A$2:$A$100,0))/INDEX(Raw_Est!$B$2:$B$100,MATCH($A15,Raw_Est!$A$2:$A$100,0))-1,""))</f>
        <v>0.0274998129851596</v>
      </c>
      <c r="N15" s="51" t="n">
        <f aca="false">IF($A15="","",IFERROR(IF(OR(NOT(ISNUMBER(J15)),I15&lt;Config!$B$6),"N/M",J15/(I15*100)),"N/M"))</f>
        <v>0.206179521299282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0.19694223652111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46300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5165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128.341124438356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85.1046300873291</v>
      </c>
      <c r="K16" s="52" t="n">
        <f aca="false">IF($A16="","",IFERROR(IF(G16&lt;=0,"N/M",D16/G16),"N/M"))</f>
        <v>85.6773085680295</v>
      </c>
      <c r="L16" s="52" t="n">
        <f aca="false">IF($A16="","",IFERROR(IF(H16&lt;=0,"N/M",D16/H16),"N/M"))</f>
        <v>40.2443100183435</v>
      </c>
      <c r="M16" s="49" t="n">
        <f aca="false">IF($A16="","",IFERROR(INDEX(Raw_Est!$C$2:$C$100,MATCH($A16,Raw_Est!$A$2:$A$100,0))/INDEX(Raw_Est!$B$2:$B$100,MATCH($A16,Raw_Est!$A$2:$A$100,0))-1,""))</f>
        <v>1.15627880368347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0.348050227074475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0.0104550275837367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0.258028698312981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46300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90.9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33.6666666666667</v>
      </c>
      <c r="K17" s="52" t="n">
        <f aca="false">IF($A17="","",IFERROR(IF(G17&lt;=0,"N/M",D17/G17),"N/M"))</f>
        <v>29.0415335463259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46300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88.7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6.84513528767123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14.9831081081081</v>
      </c>
      <c r="K18" s="52" t="n">
        <f aca="false">IF($A18="","",IFERROR(IF(G18&lt;=0,"N/M",D18/G18),"N/M"))</f>
        <v>15.5598475240195</v>
      </c>
      <c r="L18" s="52" t="n">
        <f aca="false">IF($A18="","",IFERROR(IF(H18&lt;=0,"N/M",D18/H18),"N/M"))</f>
        <v>12.9581076592829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0.608288577038577</v>
      </c>
      <c r="O18" s="51" t="n">
        <f aca="false">IF($A18="","",IFERROR(IF(OR(NOT(ISNUMBER(L18)),M18&lt;Config!$B$6),"N/M",L18/(M18*100)),"N/M"))</f>
        <v>0.466521931944797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0.0452022191657272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46300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2100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289.472684876712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7.25457049909355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46300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615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9.52239419178082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72.2679200940071</v>
      </c>
      <c r="K20" s="52" t="n">
        <f aca="false">IF($A20="","",IFERROR(IF(G20&lt;=0,"N/M",D20/G20),"N/M"))</f>
        <v>75.8534437463461</v>
      </c>
      <c r="L20" s="52" t="n">
        <f aca="false">IF($A20="","",IFERROR(IF(H20&lt;=0,"N/M",D20/H20),"N/M"))</f>
        <v>64.5845979082479</v>
      </c>
      <c r="M20" s="49" t="n">
        <f aca="false">IF($A20="","",IFERROR(INDEX(Raw_Est!$C$2:$C$100,MATCH($A20,Raw_Est!$A$2:$A$100,0))/INDEX(Raw_Est!$B$2:$B$100,MATCH($A20,Raw_Est!$A$2:$A$100,0))-1,""))</f>
        <v>0.312244569004066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2.06839779837474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0.0032520325203252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0.0744417042015389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46300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598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12.5234794520548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97.2357723577236</v>
      </c>
      <c r="K21" s="52" t="n">
        <f aca="false">IF($A21="","",IFERROR(IF(G21&lt;=0,"N/M",D21/G21),"N/M"))</f>
        <v>88.0706921944035</v>
      </c>
      <c r="L21" s="52" t="n">
        <f aca="false">IF($A21="","",IFERROR(IF(H21&lt;=0,"N/M",D21/H21),"N/M"))</f>
        <v>47.7503079147771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2.17501069747539</v>
      </c>
      <c r="O21" s="51" t="n">
        <f aca="false">IF($A21="","",IFERROR(IF(OR(NOT(ISNUMBER(L21)),M21&lt;Config!$B$6),"N/M",L21/(M21*100)),"N/M"))</f>
        <v>0.523553079362318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0.00258299804347826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46300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664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9.75727194520548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68.051808305525</v>
      </c>
      <c r="M22" s="49" t="n">
        <f aca="false">IF($A22="","",IFERROR(INDEX(Raw_Est!$C$2:$C$100,MATCH($A22,Raw_Est!$A$2:$A$100,0))/INDEX(Raw_Est!$B$2:$B$100,MATCH($A22,Raw_Est!$A$2:$A$100,0))-1,""))</f>
        <v>-25.4842830188679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-0.0105348813535131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1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46300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181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44.841132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19.9779249448124</v>
      </c>
      <c r="K23" s="52" t="n">
        <f aca="false">IF($A23="","",IFERROR(IF(G23&lt;=0,"N/M",D23/G23),"N/M"))</f>
        <v>10.9636968374278</v>
      </c>
      <c r="L23" s="52" t="n">
        <f aca="false">IF($A23="","",IFERROR(IF(H23&lt;=0,"N/M",D23/H23),"N/M"))</f>
        <v>4.03647258503644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0.0405112202960808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0.00276243093922652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46300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548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111.382113821138</v>
      </c>
      <c r="K25" s="52" t="n">
        <f aca="false">IF($A25="","",IFERROR(IF(G25&lt;=0,"N/M",D25/G25),"N/M"))</f>
        <v>127.146171693736</v>
      </c>
      <c r="L25" s="52" t="n">
        <f aca="false">IF($A25="","",IFERROR(IF(H25&lt;=0,"N/M",D25/H25),"N/M"))</f>
        <v>45.78111946533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0.00182481751824818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46300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550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12.3808493150685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44.4234467283764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0.239382648861944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46300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8600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103.235033945205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220.456293258139</v>
      </c>
      <c r="K27" s="52" t="n">
        <f aca="false">IF($A27="","",IFERROR(IF(G27&lt;=0,"N/M",D27/G27),"N/M"))</f>
        <v>191.578520127217</v>
      </c>
      <c r="L27" s="52" t="n">
        <f aca="false">IF($A27="","",IFERROR(IF(H27&lt;=0,"N/M",D27/H27),"N/M"))</f>
        <v>83.3050532493132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4.98006530467843</v>
      </c>
      <c r="O27" s="51" t="n">
        <f aca="false">IF($A27="","",IFERROR(IF(OR(NOT(ISNUMBER(L27)),M27&lt;Config!$B$6),"N/M",L27/(M27*100)),"N/M"))</f>
        <v>0.65869705283214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0.00232558139534884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46300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2026-10-05T15:10:35Z</dcterms:created>
  <dc:creator>openpyxl</dc:creator>
  <dc:description/>
  <dc:language>en-US</dc:language>
  <cp:lastModifiedBy/>
  <dcterms:modified xsi:type="dcterms:W3CDTF">2026-10-05T15:10:35Z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