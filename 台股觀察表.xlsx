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<sst xmlns="http://schemas.openxmlformats.org/spreadsheetml/2006/main" count="7955" uniqueCount="1494">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</sst>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9C78E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2425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0.434681845331585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28.1061659712564</v>
      </c>
      <c r="P3" s="22" t="n">
        <f aca="false">IF(Calc!$A$2="","",Calc!L$2)</f>
        <v>18.2880830097911</v>
      </c>
      <c r="Q3" s="18" t="n">
        <f aca="false">IF(Calc!$A$2="","",Calc!N$2)</f>
        <v>0.528080816096579</v>
      </c>
      <c r="R3" s="18" t="n">
        <f aca="false">IF(Calc!$A$2="","",Calc!O$2)</f>
        <v>0.566898559225165</v>
      </c>
      <c r="S3" s="19" t="n">
        <f aca="false">IF(Calc!$A$2="","",Calc!Q$2)</f>
        <v>0.00907220625979381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488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17.9742173112339</v>
      </c>
      <c r="P4" s="22" t="n">
        <f aca="false">IF(Calc!$A$3="","",Calc!L$3)</f>
        <v>5.36184854213756</v>
      </c>
      <c r="Q4" s="18" t="str">
        <f aca="false">IF(Calc!$A$3="","",Calc!N$3)</f>
        <v>N/M</v>
      </c>
      <c r="R4" s="18" t="n">
        <f aca="false">IF(Calc!$A$3="","",Calc!O$3)</f>
        <v>0.11050997005431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1260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11.567061415588</v>
      </c>
      <c r="P5" s="22" t="n">
        <f aca="false">IF(Calc!$A$4="","",Calc!L$4)</f>
        <v>5.2415119099733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534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129.611650485437</v>
      </c>
      <c r="P6" s="22" t="n">
        <f aca="false">IF(Calc!$A$5="","",Calc!L$5)</f>
        <v>65.0580452211994</v>
      </c>
      <c r="Q6" s="18" t="n">
        <f aca="false">IF(Calc!$A$5="","",Calc!N$5)</f>
        <v>2.10515738049595</v>
      </c>
      <c r="R6" s="18" t="n">
        <f aca="false">IF(Calc!$A$5="","",Calc!O$5)</f>
        <v>0.962055330363194</v>
      </c>
      <c r="S6" s="19" t="n">
        <f aca="false">IF(Calc!$A$5="","",Calc!Q$5)</f>
        <v>0.00490740923220974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545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19.0094175095919</v>
      </c>
      <c r="P7" s="22" t="n">
        <f aca="false">IF(Calc!$A$6="","",Calc!L$6)</f>
        <v>15.6347702577303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0.0513761467889908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2010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36.8604437924079</v>
      </c>
      <c r="P8" s="22" t="n">
        <f aca="false">IF(Calc!$A$7="","",Calc!L$7)</f>
        <v>19.9717801591102</v>
      </c>
      <c r="Q8" s="18" t="n">
        <f aca="false">IF(Calc!$A$7="","",Calc!N$7)</f>
        <v>0.641445813332203</v>
      </c>
      <c r="R8" s="18" t="n">
        <f aca="false">IF(Calc!$A$7="","",Calc!O$7)</f>
        <v>0.266458683109505</v>
      </c>
      <c r="S8" s="19" t="n">
        <f aca="false">IF(Calc!$A$7="","",Calc!Q$7)</f>
        <v>0.0052266082039801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15.9161123383809</v>
      </c>
      <c r="Q9" s="18" t="str">
        <f aca="false">IF(Calc!$A$8="","",Calc!N$8)</f>
        <v>N/M</v>
      </c>
      <c r="R9" s="18" t="n">
        <f aca="false">IF(Calc!$A$8="","",Calc!O$8)</f>
        <v>1.25968194802471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13.2909022837888</v>
      </c>
      <c r="P10" s="22" t="n">
        <f aca="false">IF(Calc!$A$9="","",Calc!L$9)</f>
        <v>9.78590752886452</v>
      </c>
      <c r="Q10" s="18" t="n">
        <f aca="false">IF(Calc!$A$9="","",Calc!N$9)</f>
        <v>0.21208611807562</v>
      </c>
      <c r="R10" s="18" t="n">
        <f aca="false">IF(Calc!$A$9="","",Calc!O$9)</f>
        <v>0.975005913980744</v>
      </c>
      <c r="S10" s="19" t="n">
        <f aca="false">IF(Calc!$A$9="","",Calc!Q$9)</f>
        <v>0.028169014084507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12295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67.7821269088704</v>
      </c>
      <c r="P11" s="22" t="n">
        <f aca="false">IF(Calc!$A$10="","",Calc!L$10)</f>
        <v>26.9680491335942</v>
      </c>
      <c r="Q11" s="18" t="n">
        <f aca="false">IF(Calc!$A$10="","",Calc!N$10)</f>
        <v>0.4022033268354</v>
      </c>
      <c r="R11" s="18" t="n">
        <f aca="false">IF(Calc!$A$10="","",Calc!O$10)</f>
        <v>0.652898703693388</v>
      </c>
      <c r="S11" s="19" t="n">
        <f aca="false">IF(Calc!$A$10="","",Calc!Q$10)</f>
        <v>0.00261895079300529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2720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242.64049955397</v>
      </c>
      <c r="P12" s="22" t="n">
        <f aca="false">IF(Calc!$A$11="","",Calc!L$11)</f>
        <v>80.687564025131</v>
      </c>
      <c r="Q12" s="18" t="n">
        <f aca="false">IF(Calc!$A$11="","",Calc!N$11)</f>
        <v>0.43073786160316</v>
      </c>
      <c r="R12" s="18" t="n">
        <f aca="false">IF(Calc!$A$11="","",Calc!O$11)</f>
        <v>0.813928194449032</v>
      </c>
      <c r="S12" s="19" t="n">
        <f aca="false">IF(Calc!$A$11="","",Calc!Q$11)</f>
        <v>0.000183831672794118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67.6348547717843</v>
      </c>
      <c r="P13" s="22" t="str">
        <f aca="false">IF(Calc!$A$12="","",Calc!L$12)</f>
        <v>N/M</v>
      </c>
      <c r="Q13" s="18" t="n">
        <f aca="false">IF(Calc!$A$12="","",Calc!N$12)</f>
        <v>0.253751309628805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805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136.440677966102</v>
      </c>
      <c r="P14" s="22" t="n">
        <f aca="false">IF(Calc!$A$13="","",Calc!L$13)</f>
        <v>36.8417527944907</v>
      </c>
      <c r="Q14" s="18" t="n">
        <f aca="false">IF(Calc!$A$13="","",Calc!N$13)</f>
        <v>0.352011130786744</v>
      </c>
      <c r="R14" s="18" t="n">
        <f aca="false">IF(Calc!$A$13="","",Calc!O$13)</f>
        <v>0.239137604203643</v>
      </c>
      <c r="S14" s="19" t="n">
        <f aca="false">IF(Calc!$A$13="","",Calc!Q$13)</f>
        <v>0.00124244960248447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13.6724297680165</v>
      </c>
      <c r="Q15" s="18" t="str">
        <f aca="false">IF(Calc!$A$14="","",Calc!N$14)</f>
        <v>N/M</v>
      </c>
      <c r="R15" s="18" t="n">
        <f aca="false">IF(Calc!$A$14="","",Calc!O$14)</f>
        <v>0.124698833639462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147.5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22.0808383233533</v>
      </c>
      <c r="P16" s="22" t="n">
        <f aca="false">IF(Calc!$A$15="","",Calc!L$15)</f>
        <v>20.6510266106243</v>
      </c>
      <c r="Q16" s="18" t="n">
        <f aca="false">IF(Calc!$A$15="","",Calc!N$15)</f>
        <v>0.199419536994387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4500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74.147305981216</v>
      </c>
      <c r="P17" s="22" t="n">
        <f aca="false">IF(Calc!$A$16="","",Calc!L$16)</f>
        <v>36.5144827798766</v>
      </c>
      <c r="Q17" s="18" t="str">
        <f aca="false">IF(Calc!$A$16="","",Calc!N$16)</f>
        <v>N/M</v>
      </c>
      <c r="R17" s="18" t="n">
        <f aca="false">IF(Calc!$A$16="","",Calc!O$16)</f>
        <v>0.320522517227836</v>
      </c>
      <c r="S17" s="19" t="n">
        <f aca="false">IF(Calc!$A$16="","",Calc!Q$16)</f>
        <v>0.0120000483266667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89.2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33.037037037037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90.4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15.2702702702703</v>
      </c>
      <c r="P19" s="22" t="n">
        <f aca="false">IF(Calc!$A$18="","",Calc!L$18)</f>
        <v>13.3543018591077</v>
      </c>
      <c r="Q19" s="18" t="n">
        <f aca="false">IF(Calc!$A$18="","",Calc!N$18)</f>
        <v>0.61994686994687</v>
      </c>
      <c r="R19" s="18" t="n">
        <f aca="false">IF(Calc!$A$18="","",Calc!O$18)</f>
        <v>0.48138201817777</v>
      </c>
      <c r="S19" s="19" t="n">
        <f aca="false">IF(Calc!$A$18="","",Calc!Q$18)</f>
        <v>0.0443521774336283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1970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6.90140394980771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471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55.3466509988249</v>
      </c>
      <c r="P21" s="22" t="n">
        <f aca="false">IF(Calc!$A$20="","",Calc!L$20)</f>
        <v>50.7184381901358</v>
      </c>
      <c r="Q21" s="18" t="str">
        <f aca="false">IF(Calc!$A$20="","",Calc!N$20)</f>
        <v>N/M</v>
      </c>
      <c r="R21" s="18" t="n">
        <f aca="false">IF(Calc!$A$20="","",Calc!O$20)</f>
        <v>1.73319628934812</v>
      </c>
      <c r="S21" s="19" t="n">
        <f aca="false">IF(Calc!$A$20="","",Calc!Q$20)</f>
        <v>0.00424628450106157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556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90.4065040650407</v>
      </c>
      <c r="P22" s="22" t="n">
        <f aca="false">IF(Calc!$A$21="","",Calc!L$21)</f>
        <v>45.6070565762121</v>
      </c>
      <c r="Q22" s="18" t="n">
        <f aca="false">IF(Calc!$A$21="","",Calc!N$21)</f>
        <v>2.02225074882328</v>
      </c>
      <c r="R22" s="18" t="n">
        <f aca="false">IF(Calc!$A$21="","",Calc!O$21)</f>
        <v>0.500053632193186</v>
      </c>
      <c r="S22" s="19" t="n">
        <f aca="false">IF(Calc!$A$21="","",Calc!Q$21)</f>
        <v>0.00277811660071942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54.0645971020064</v>
      </c>
      <c r="Q23" s="18" t="str">
        <f aca="false">IF(Calc!$A$22="","",Calc!N$22)</f>
        <v>N/M</v>
      </c>
      <c r="R23" s="18" t="n">
        <f aca="false">IF(Calc!$A$22="","",Calc!O$22)</f>
        <v>0.00662873349635845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170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18.7637969094923</v>
      </c>
      <c r="P24" s="22" t="n">
        <f aca="false">IF(Calc!$A$23="","",Calc!L$23)</f>
        <v>3.81618030806803</v>
      </c>
      <c r="Q24" s="18" t="str">
        <f aca="false">IF(Calc!$A$23="","",Calc!N$23)</f>
        <v>N/M</v>
      </c>
      <c r="R24" s="18" t="n">
        <f aca="false">IF(Calc!$A$23="","",Calc!O$23)</f>
        <v>0.0360858595315066</v>
      </c>
      <c r="S24" s="19" t="n">
        <f aca="false">IF(Calc!$A$23="","",Calc!Q$23)</f>
        <v>0.00294117647058824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106.707317073171</v>
      </c>
      <c r="P26" s="22" t="n">
        <f aca="false">IF(Calc!$A$25="","",Calc!L$25)</f>
        <v>43.859649122807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0.0019047619047619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512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42.9841408577047</v>
      </c>
      <c r="Q27" s="18" t="str">
        <f aca="false">IF(Calc!$A$26="","",Calc!N$26)</f>
        <v>N/M</v>
      </c>
      <c r="R27" s="18" t="n">
        <f aca="false">IF(Calc!$A$26="","",Calc!O$26)</f>
        <v>0.231626725420195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2">
    <cfRule type="cellIs" priority="8" operator="lessThan" aboveAverage="0" equalAverage="0" bottom="0" percent="0" rank="0" text="" dxfId="63">
      <formula>1.5</formula>
    </cfRule>
  </conditionalFormatting>
  <conditionalFormatting sqref="R3:R32">
    <cfRule type="cellIs" priority="9" operator="lessThan" aboveAverage="0" equalAverage="0" bottom="0" percent="0" rank="0" text="" dxfId="63">
      <formula>1.5</formula>
    </cfRule>
  </conditionalFormatting>
  <conditionalFormatting sqref="L3:L32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2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2425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46282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28.1061659712564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18.2880830097911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0.528080816096579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0.566898559225165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132.600010547945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0.00907220625979381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0.434681845331585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0.322598862039572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2425</v>
      </c>
      <c r="L12" s="55" t="n">
        <f aca="false">IF(Stock_Card!$B$2="","",IFERROR(INDEX(Calc!$Q$2:$Q$100,MATCH(Stock_Card!$B$2,Calc!$A$2:$A$100,0)),""))</f>
        <v>0.00907220625979381</v>
      </c>
      <c r="M12" s="58" t="n">
        <f aca="false">IF(Stock_Card!$B$2="","",IFERROR(INDEX(Calc!$J$2:$J$100,MATCH(Stock_Card!$B$2,Calc!$A$2:$A$100,0)),""))</f>
        <v>28.1061659712564</v>
      </c>
      <c r="N12" s="57" t="n">
        <f aca="false">IF(Stock_Card!$B$2="","",IFERROR(INDEX(Calc!$N$2:$N$100,MATCH(Stock_Card!$B$2,Calc!$A$2:$A$100,0)),""))</f>
        <v>0.528080816096579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132.600010547945</v>
      </c>
      <c r="H13" s="55" t="n">
        <f aca="false">IF(Stock_Card!$B$2="","",IFERROR(INDEX(Calc!$M$2:$M$100,MATCH(Stock_Card!$B$2,Calc!$A$2:$A$100,0)),""))</f>
        <v>0.322598862039572</v>
      </c>
      <c r="I13" s="55" t="n">
        <f aca="false">IF(Stock_Card!$B$2="","",IFERROR(INDEX(Calc!$AI$2:$AI$100,MATCH(Stock_Card!$B$2,Calc!$A$2:$A$100,0)),""))</f>
        <v>0.434681845331585</v>
      </c>
      <c r="J13" s="59"/>
      <c r="K13" s="59"/>
      <c r="L13" s="59"/>
      <c r="M13" s="58" t="n">
        <f aca="false">IF(Stock_Card!$B$2="","",IFERROR(INDEX(Calc!$L$2:$L$100,MATCH(Stock_Card!$B$2,Calc!$A$2:$A$100,0)),""))</f>
        <v>18.2880830097911</v>
      </c>
      <c r="N13" s="57" t="n">
        <f aca="false">IF(Stock_Card!$B$2="","",IFERROR(INDEX(Calc!$O$2:$O$100,MATCH(Stock_Card!$B$2,Calc!$A$2:$A$100,0)),""))</f>
        <v>0.566898559225165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{7C8E67E8-7A3A-4DDF-A8C8-9945D589D08C}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8E67E8-7A3A-4DDF-A8C8-9945D589D08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-46282</v>
      </c>
      <c r="I4" s="67" t="n">
        <f aca="false">IF($A4="","",IFERROR(INDEX(Raw_Price!$E$2:$E$100,MATCH($A4,Raw_Price!$A$2:$A$100,0)),""))</f>
        <v>46282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-46282</v>
      </c>
      <c r="I5" s="67" t="n">
        <f aca="false">IF($A5="","",IFERROR(INDEX(Raw_Price!$E$2:$E$100,MATCH($A5,Raw_Price!$A$2:$A$100,0)),""))</f>
        <v>46282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-46282</v>
      </c>
      <c r="I6" s="67" t="n">
        <f aca="false">IF($A6="","",IFERROR(INDEX(Raw_Price!$E$2:$E$100,MATCH($A6,Raw_Price!$A$2:$A$100,0)),""))</f>
        <v>46282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-46282</v>
      </c>
      <c r="I7" s="67" t="n">
        <f aca="false">IF($A7="","",IFERROR(INDEX(Raw_Price!$E$2:$E$100,MATCH($A7,Raw_Price!$A$2:$A$100,0)),""))</f>
        <v>46282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-46282</v>
      </c>
      <c r="I8" s="67" t="n">
        <f aca="false">IF($A8="","",IFERROR(INDEX(Raw_Price!$E$2:$E$100,MATCH($A8,Raw_Price!$A$2:$A$100,0)),""))</f>
        <v>46282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-46282</v>
      </c>
      <c r="I9" s="67" t="n">
        <f aca="false">IF($A9="","",IFERROR(INDEX(Raw_Price!$E$2:$E$100,MATCH($A9,Raw_Price!$A$2:$A$100,0)),""))</f>
        <v>46282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-46282</v>
      </c>
      <c r="I10" s="67" t="n">
        <f aca="false">IF($A10="","",IFERROR(INDEX(Raw_Price!$E$2:$E$100,MATCH($A10,Raw_Price!$A$2:$A$100,0)),""))</f>
        <v>46282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-46282</v>
      </c>
      <c r="I11" s="67" t="n">
        <f aca="false">IF($A11="","",IFERROR(INDEX(Raw_Price!$E$2:$E$100,MATCH($A11,Raw_Price!$A$2:$A$100,0)),""))</f>
        <v>46282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-46282</v>
      </c>
      <c r="I12" s="67" t="n">
        <f aca="false">IF($A12="","",IFERROR(INDEX(Raw_Price!$E$2:$E$100,MATCH($A12,Raw_Price!$A$2:$A$100,0)),""))</f>
        <v>46282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-46282</v>
      </c>
      <c r="I13" s="67" t="n">
        <f aca="false">IF($A13="","",IFERROR(INDEX(Raw_Price!$E$2:$E$100,MATCH($A13,Raw_Price!$A$2:$A$100,0)),""))</f>
        <v>46282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-46282</v>
      </c>
      <c r="I14" s="67" t="n">
        <f aca="false">IF($A14="","",IFERROR(INDEX(Raw_Price!$E$2:$E$100,MATCH($A14,Raw_Price!$A$2:$A$100,0)),""))</f>
        <v>46282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-46282</v>
      </c>
      <c r="I15" s="67" t="n">
        <f aca="false">IF($A15="","",IFERROR(INDEX(Raw_Price!$E$2:$E$100,MATCH($A15,Raw_Price!$A$2:$A$100,0)),""))</f>
        <v>46282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-46282</v>
      </c>
      <c r="I16" s="67" t="n">
        <f aca="false">IF($A16="","",IFERROR(INDEX(Raw_Price!$E$2:$E$100,MATCH($A16,Raw_Price!$A$2:$A$100,0)),""))</f>
        <v>46282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-46282</v>
      </c>
      <c r="I17" s="67" t="n">
        <f aca="false">IF($A17="","",IFERROR(INDEX(Raw_Price!$E$2:$E$100,MATCH($A17,Raw_Price!$A$2:$A$100,0)),""))</f>
        <v>46282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-46282</v>
      </c>
      <c r="I18" s="67" t="n">
        <f aca="false">IF($A18="","",IFERROR(INDEX(Raw_Price!$E$2:$E$100,MATCH($A18,Raw_Price!$A$2:$A$100,0)),""))</f>
        <v>46282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-46282</v>
      </c>
      <c r="I19" s="67" t="n">
        <f aca="false">IF($A19="","",IFERROR(INDEX(Raw_Price!$E$2:$E$100,MATCH($A19,Raw_Price!$A$2:$A$100,0)),""))</f>
        <v>46282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-46282</v>
      </c>
      <c r="I20" s="67" t="n">
        <f aca="false">IF($A20="","",IFERROR(INDEX(Raw_Price!$E$2:$E$100,MATCH($A20,Raw_Price!$A$2:$A$100,0)),""))</f>
        <v>46282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-46282</v>
      </c>
      <c r="I21" s="67" t="n">
        <f aca="false">IF($A21="","",IFERROR(INDEX(Raw_Price!$E$2:$E$100,MATCH($A21,Raw_Price!$A$2:$A$100,0)),""))</f>
        <v>46282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-46282</v>
      </c>
      <c r="I22" s="67" t="n">
        <f aca="false">IF($A22="","",IFERROR(INDEX(Raw_Price!$E$2:$E$100,MATCH($A22,Raw_Price!$A$2:$A$100,0)),""))</f>
        <v>46282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-46282</v>
      </c>
      <c r="I23" s="67" t="n">
        <f aca="false">IF($A23="","",IFERROR(INDEX(Raw_Price!$E$2:$E$100,MATCH($A23,Raw_Price!$A$2:$A$100,0)),""))</f>
        <v>46282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-46282</v>
      </c>
      <c r="I24" s="67" t="n">
        <f aca="false">IF($A24="","",IFERROR(INDEX(Raw_Price!$E$2:$E$100,MATCH($A24,Raw_Price!$A$2:$A$100,0)),""))</f>
        <v>46282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-46282</v>
      </c>
      <c r="I25" s="67" t="n">
        <f aca="false">IF($A25="","",IFERROR(INDEX(Raw_Price!$E$2:$E$100,MATCH($A25,Raw_Price!$A$2:$A$100,0)),""))</f>
        <v>46282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-46282</v>
      </c>
      <c r="I27" s="67" t="n">
        <f aca="false">IF($A27="","",IFERROR(INDEX(Raw_Price!$E$2:$E$100,MATCH($A27,Raw_Price!$A$2:$A$100,0)),""))</f>
        <v>46282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-46282</v>
      </c>
      <c r="I28" s="67" t="n">
        <f aca="false">IF($A28="","",IFERROR(INDEX(Raw_Price!$E$2:$E$100,MATCH($A28,Raw_Price!$A$2:$A$100,0)),""))</f>
        <v>46282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219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219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219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219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219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219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219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219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219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219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219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219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219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219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219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219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219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219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219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219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219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219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219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219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219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221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221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221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221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221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221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221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221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221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221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221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221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221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221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221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221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221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221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221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221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221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221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221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221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221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223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223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223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223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223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223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223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223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223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223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223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223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223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223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223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223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223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223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223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223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223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223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223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223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229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229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229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229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229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229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229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229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229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229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229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229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229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229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229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229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229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229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229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229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229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229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229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229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229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215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215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215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215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215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215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215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215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215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215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215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215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215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215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215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215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215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215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215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215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215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215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215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215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215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233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233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233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233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233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233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233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233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233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233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233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233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233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233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233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233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233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233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233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233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233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233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233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233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233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225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225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225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225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225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225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225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225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225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225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225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225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225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225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225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225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225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225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225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225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225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225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225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225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225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231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231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231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231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231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231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231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231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231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231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231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231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231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231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231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231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231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231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231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231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231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231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231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231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231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217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217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217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217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217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217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217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217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217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217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217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217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217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217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217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217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217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217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217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217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217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217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217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217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217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227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227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227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227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227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227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227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227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227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227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227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227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227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227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227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227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227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227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227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227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227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227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227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227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227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219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219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219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219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219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219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219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219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219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219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219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219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219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219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219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219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219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219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219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219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219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219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219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219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219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219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219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219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219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219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219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219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219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219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219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219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221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221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221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221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221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221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221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221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221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221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221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221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221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221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221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221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221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221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221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221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221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221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221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221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221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221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221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221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221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221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221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221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221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221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221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221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223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223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223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223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223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223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223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223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223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223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223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223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223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223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223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223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223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223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223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223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223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223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223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223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223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223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223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223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223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223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223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223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223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223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223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223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229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229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229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229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229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229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229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229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229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229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229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229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229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229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229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229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229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229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229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229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229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229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229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229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229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229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229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229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229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229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229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229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229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229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229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229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215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215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215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215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215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215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215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215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215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215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215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215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215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215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215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215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215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215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215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215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215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215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215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215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215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215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215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215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215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215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215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215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215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215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215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215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233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233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233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233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233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233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233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233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233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233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233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233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233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233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233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233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233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233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233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233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233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233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233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233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233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233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233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233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233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233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233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233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233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233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233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233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225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225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225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225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225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225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225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225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225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225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225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225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225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225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225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225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225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225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225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225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225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225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225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225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225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225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225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225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225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225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225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225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225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225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225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225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231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231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231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231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231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231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231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231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231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231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231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231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231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231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231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231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231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231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231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231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231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231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231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231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231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231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231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231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231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231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231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231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231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231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231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231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217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217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217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217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217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217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217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217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217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217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217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217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217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217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217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217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217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217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217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217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217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217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217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217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217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217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217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217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217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217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217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217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217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217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217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217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227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227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227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227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227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227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227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227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227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227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227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227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227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227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227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227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227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227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227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227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227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227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227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227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227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227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227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227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227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227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227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227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227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227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227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227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46282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46282</v>
      </c>
    </row>
    <row r="4" customFormat="false" ht="15" hidden="false" customHeight="false" outlineLevel="0" collapsed="false">
      <c r="A4" s="79" t="s">
        <v>343</v>
      </c>
      <c r="B4" s="83" t="n">
        <v>20.23</v>
      </c>
      <c r="C4" s="83" t="n">
        <v>31.60791</v>
      </c>
      <c r="D4" s="81" t="n">
        <v>46387</v>
      </c>
      <c r="E4" s="80" t="n">
        <v>12</v>
      </c>
      <c r="F4" s="81" t="n">
        <v>46282</v>
      </c>
    </row>
    <row r="5" customFormat="false" ht="15" hidden="false" customHeight="false" outlineLevel="0" collapsed="false">
      <c r="A5" s="79" t="s">
        <v>79</v>
      </c>
      <c r="B5" s="83" t="n">
        <v>107.82273</v>
      </c>
      <c r="C5" s="83" t="n">
        <v>142.60622</v>
      </c>
      <c r="D5" s="81" t="n">
        <v>46387</v>
      </c>
      <c r="E5" s="80" t="n">
        <v>23</v>
      </c>
      <c r="F5" s="81" t="n">
        <v>46282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46282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46282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46282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46282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46282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46282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46282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46282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46282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46282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46282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46282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46282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46282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46282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46282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46282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46282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46282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46282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46282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12295</v>
      </c>
      <c r="C2" s="81" t="n">
        <v>46282</v>
      </c>
      <c r="D2" s="81"/>
      <c r="E2" s="81" t="n">
        <v>46282</v>
      </c>
    </row>
    <row r="3" customFormat="false" ht="15" hidden="false" customHeight="false" outlineLevel="0" collapsed="false">
      <c r="A3" s="79" t="s">
        <v>219</v>
      </c>
      <c r="B3" s="83" t="n">
        <v>147.5</v>
      </c>
      <c r="C3" s="81" t="n">
        <v>46282</v>
      </c>
      <c r="D3" s="81"/>
      <c r="E3" s="81" t="n">
        <v>46282</v>
      </c>
    </row>
    <row r="4" customFormat="false" ht="15" hidden="false" customHeight="false" outlineLevel="0" collapsed="false">
      <c r="A4" s="79" t="s">
        <v>343</v>
      </c>
      <c r="B4" s="83" t="n">
        <v>529</v>
      </c>
      <c r="C4" s="81" t="n">
        <v>46282</v>
      </c>
      <c r="D4" s="81"/>
      <c r="E4" s="81" t="n">
        <v>46282</v>
      </c>
    </row>
    <row r="5" customFormat="false" ht="15" hidden="false" customHeight="false" outlineLevel="0" collapsed="false">
      <c r="A5" s="79" t="s">
        <v>79</v>
      </c>
      <c r="B5" s="83" t="n">
        <v>2425</v>
      </c>
      <c r="C5" s="81" t="n">
        <v>46282</v>
      </c>
      <c r="D5" s="81"/>
      <c r="E5" s="81" t="n">
        <v>46282</v>
      </c>
    </row>
    <row r="6" customFormat="false" ht="15" hidden="false" customHeight="false" outlineLevel="0" collapsed="false">
      <c r="A6" s="79" t="s">
        <v>236</v>
      </c>
      <c r="B6" s="83" t="n">
        <v>170</v>
      </c>
      <c r="C6" s="81" t="n">
        <v>46282</v>
      </c>
      <c r="D6" s="81"/>
      <c r="E6" s="81" t="n">
        <v>46282</v>
      </c>
    </row>
    <row r="7" customFormat="false" ht="15" hidden="false" customHeight="false" outlineLevel="0" collapsed="false">
      <c r="A7" s="79" t="s">
        <v>204</v>
      </c>
      <c r="B7" s="83" t="n">
        <v>355</v>
      </c>
      <c r="C7" s="81" t="n">
        <v>46282</v>
      </c>
      <c r="D7" s="81"/>
      <c r="E7" s="81" t="n">
        <v>46282</v>
      </c>
    </row>
    <row r="8" customFormat="false" ht="15" hidden="false" customHeight="false" outlineLevel="0" collapsed="false">
      <c r="A8" s="79" t="s">
        <v>182</v>
      </c>
      <c r="B8" s="83" t="n">
        <v>488</v>
      </c>
      <c r="C8" s="81" t="n">
        <v>46282</v>
      </c>
      <c r="D8" s="81"/>
      <c r="E8" s="81" t="n">
        <v>46282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4500</v>
      </c>
      <c r="C10" s="81" t="n">
        <v>46282</v>
      </c>
      <c r="D10" s="81"/>
      <c r="E10" s="81" t="n">
        <v>46282</v>
      </c>
    </row>
    <row r="11" customFormat="false" ht="15" hidden="false" customHeight="false" outlineLevel="0" collapsed="false">
      <c r="A11" s="79" t="s">
        <v>190</v>
      </c>
      <c r="B11" s="83" t="n">
        <v>534</v>
      </c>
      <c r="C11" s="81" t="n">
        <v>46282</v>
      </c>
      <c r="D11" s="81"/>
      <c r="E11" s="81" t="n">
        <v>46282</v>
      </c>
    </row>
    <row r="12" customFormat="false" ht="15" hidden="false" customHeight="false" outlineLevel="0" collapsed="false">
      <c r="A12" s="79" t="s">
        <v>223</v>
      </c>
      <c r="B12" s="83" t="n">
        <v>89.2</v>
      </c>
      <c r="C12" s="81" t="n">
        <v>46282</v>
      </c>
      <c r="D12" s="81"/>
      <c r="E12" s="81" t="n">
        <v>46282</v>
      </c>
    </row>
    <row r="13" customFormat="false" ht="15" hidden="false" customHeight="false" outlineLevel="0" collapsed="false">
      <c r="A13" s="79" t="s">
        <v>195</v>
      </c>
      <c r="B13" s="83" t="n">
        <v>545</v>
      </c>
      <c r="C13" s="81" t="n">
        <v>46282</v>
      </c>
      <c r="D13" s="81"/>
      <c r="E13" s="81" t="n">
        <v>46282</v>
      </c>
    </row>
    <row r="14" customFormat="false" ht="15" hidden="false" customHeight="false" outlineLevel="0" collapsed="false">
      <c r="A14" s="79" t="s">
        <v>209</v>
      </c>
      <c r="B14" s="83" t="n">
        <v>2720</v>
      </c>
      <c r="C14" s="81" t="n">
        <v>46282</v>
      </c>
      <c r="D14" s="81"/>
      <c r="E14" s="81" t="n">
        <v>46282</v>
      </c>
    </row>
    <row r="15" customFormat="false" ht="15" hidden="false" customHeight="false" outlineLevel="0" collapsed="false">
      <c r="A15" s="79" t="s">
        <v>229</v>
      </c>
      <c r="B15" s="83" t="n">
        <v>471</v>
      </c>
      <c r="C15" s="81" t="n">
        <v>46282</v>
      </c>
      <c r="D15" s="81"/>
      <c r="E15" s="81" t="n">
        <v>46282</v>
      </c>
    </row>
    <row r="16" customFormat="false" ht="15" hidden="false" customHeight="false" outlineLevel="0" collapsed="false">
      <c r="A16" s="79" t="s">
        <v>211</v>
      </c>
      <c r="B16" s="83" t="n">
        <v>652</v>
      </c>
      <c r="C16" s="81" t="n">
        <v>46282</v>
      </c>
      <c r="D16" s="81"/>
      <c r="E16" s="81" t="n">
        <v>46282</v>
      </c>
    </row>
    <row r="17" customFormat="false" ht="15" hidden="false" customHeight="false" outlineLevel="0" collapsed="false">
      <c r="A17" s="79" t="s">
        <v>215</v>
      </c>
      <c r="B17" s="83" t="n">
        <v>805</v>
      </c>
      <c r="C17" s="81" t="n">
        <v>46282</v>
      </c>
      <c r="D17" s="81"/>
      <c r="E17" s="81" t="n">
        <v>46282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655</v>
      </c>
      <c r="C19" s="81" t="n">
        <v>46282</v>
      </c>
      <c r="D19" s="81"/>
      <c r="E19" s="81" t="n">
        <v>46282</v>
      </c>
    </row>
    <row r="20" customFormat="false" ht="15" hidden="false" customHeight="false" outlineLevel="0" collapsed="false">
      <c r="A20" s="79" t="s">
        <v>241</v>
      </c>
      <c r="B20" s="83" t="n">
        <v>525</v>
      </c>
      <c r="C20" s="81" t="n">
        <v>46282</v>
      </c>
      <c r="D20" s="81"/>
      <c r="E20" s="81" t="n">
        <v>46282</v>
      </c>
    </row>
    <row r="21" customFormat="false" ht="15" hidden="false" customHeight="false" outlineLevel="0" collapsed="false">
      <c r="A21" s="79" t="s">
        <v>197</v>
      </c>
      <c r="B21" s="83" t="n">
        <v>2010</v>
      </c>
      <c r="C21" s="81" t="n">
        <v>46282</v>
      </c>
      <c r="D21" s="81"/>
      <c r="E21" s="81" t="n">
        <v>46282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90.4</v>
      </c>
      <c r="C23" s="81" t="n">
        <v>46282</v>
      </c>
      <c r="D23" s="81"/>
      <c r="E23" s="81" t="n">
        <v>46282</v>
      </c>
    </row>
    <row r="24" customFormat="false" ht="15" hidden="false" customHeight="false" outlineLevel="0" collapsed="false">
      <c r="A24" s="79" t="s">
        <v>231</v>
      </c>
      <c r="B24" s="83" t="n">
        <v>556</v>
      </c>
      <c r="C24" s="81" t="n">
        <v>46282</v>
      </c>
      <c r="D24" s="81"/>
      <c r="E24" s="81" t="n">
        <v>46282</v>
      </c>
    </row>
    <row r="25" customFormat="false" ht="15" hidden="false" customHeight="false" outlineLevel="0" collapsed="false">
      <c r="A25" s="79" t="s">
        <v>186</v>
      </c>
      <c r="B25" s="83" t="n">
        <v>1260</v>
      </c>
      <c r="C25" s="81" t="n">
        <v>46282</v>
      </c>
      <c r="D25" s="81"/>
      <c r="E25" s="81" t="n">
        <v>46282</v>
      </c>
    </row>
    <row r="26" customFormat="false" ht="15" hidden="false" customHeight="false" outlineLevel="0" collapsed="false">
      <c r="A26" s="79" t="s">
        <v>201</v>
      </c>
      <c r="B26" s="83" t="n">
        <v>530</v>
      </c>
      <c r="C26" s="81" t="n">
        <v>46282</v>
      </c>
      <c r="D26" s="81"/>
      <c r="E26" s="81" t="n">
        <v>46282</v>
      </c>
    </row>
    <row r="27" customFormat="false" ht="15" hidden="false" customHeight="false" outlineLevel="0" collapsed="false">
      <c r="A27" s="79" t="s">
        <v>217</v>
      </c>
      <c r="B27" s="83" t="n">
        <v>1510</v>
      </c>
      <c r="C27" s="81" t="n">
        <v>46282</v>
      </c>
      <c r="D27" s="81"/>
      <c r="E27" s="81" t="n">
        <v>46282</v>
      </c>
    </row>
    <row r="28" customFormat="false" ht="15" hidden="false" customHeight="false" outlineLevel="0" collapsed="false">
      <c r="A28" s="79" t="s">
        <v>243</v>
      </c>
      <c r="B28" s="83" t="n">
        <v>512</v>
      </c>
      <c r="C28" s="81" t="n">
        <v>46282</v>
      </c>
      <c r="D28" s="81"/>
      <c r="E28" s="81" t="n">
        <v>46282</v>
      </c>
    </row>
    <row r="29" customFormat="false" ht="15" hidden="false" customHeight="false" outlineLevel="0" collapsed="false">
      <c r="A29" s="79" t="s">
        <v>227</v>
      </c>
      <c r="B29" s="83" t="n">
        <v>1970</v>
      </c>
      <c r="C29" s="81" t="n">
        <v>46282</v>
      </c>
      <c r="D29" s="81"/>
      <c r="E29" s="81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2425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132.600010547945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28.1061659712564</v>
      </c>
      <c r="K2" s="52" t="n">
        <f aca="false">IF($A2="","",IFERROR(IF(G2&lt;=0,"N/M",D2/G2),"N/M"))</f>
        <v>24.9918918058234</v>
      </c>
      <c r="L2" s="52" t="n">
        <f aca="false">IF($A2="","",IFERROR(IF(H2&lt;=0,"N/M",D2/H2),"N/M"))</f>
        <v>18.2880830097911</v>
      </c>
      <c r="M2" s="49" t="n">
        <f aca="false">IF($A2="","",IFERROR(INDEX(Raw_Est!$C$2:$C$100,MATCH($A2,Raw_Est!$A$2:$A$100,0))/INDEX(Raw_Est!$B$2:$B$100,MATCH($A2,Raw_Est!$A$2:$A$100,0))-1,""))</f>
        <v>0.322598862039572</v>
      </c>
      <c r="N2" s="51" t="n">
        <f aca="false">IF($A2="","",IFERROR(IF(OR(NOT(ISNUMBER(J2)),I2&lt;Config!$B$6),"N/M",J2/(I2*100)),"N/M"))</f>
        <v>0.528080816096579</v>
      </c>
      <c r="O2" s="51" t="n">
        <f aca="false">IF($A2="","",IFERROR(IF(OR(NOT(ISNUMBER(L2)),M2&lt;Config!$B$6),"N/M",L2/(M2*100)),"N/M"))</f>
        <v>0.566898559225165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0.00907220625979381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0.434681845331585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46282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488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91.0133876712329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17.9742173112339</v>
      </c>
      <c r="K3" s="52" t="n">
        <f aca="false">IF($A3="","",IFERROR(IF(G3&lt;=0,"N/M",D3/G3),"N/M"))</f>
        <v>10.2741492509661</v>
      </c>
      <c r="L3" s="52" t="n">
        <f aca="false">IF($A3="","",IFERROR(IF(H3&lt;=0,"N/M",D3/H3),"N/M"))</f>
        <v>5.36184854213756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0.11050997005431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46282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1260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240.388655342466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11.567061415588</v>
      </c>
      <c r="K4" s="52" t="n">
        <f aca="false">IF($A4="","",IFERROR(IF(G4&lt;=0,"N/M",D4/G4),"N/M"))</f>
        <v>6.05944022314129</v>
      </c>
      <c r="L4" s="52" t="n">
        <f aca="false">IF($A4="","",IFERROR(IF(H4&lt;=0,"N/M",D4/H4),"N/M"))</f>
        <v>5.2415119099733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46282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8.20805479452055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129.611650485437</v>
      </c>
      <c r="K5" s="52" t="n">
        <f aca="false">IF($A5="","",IFERROR(IF(G5&lt;=0,"N/M",D5/G5),"N/M"))</f>
        <v>113.755221769426</v>
      </c>
      <c r="L5" s="52" t="n">
        <f aca="false">IF($A5="","",IFERROR(IF(H5&lt;=0,"N/M",D5/H5),"N/M"))</f>
        <v>65.0580452211994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2.10515738049595</v>
      </c>
      <c r="O5" s="51" t="n">
        <f aca="false">IF($A5="","",IFERROR(IF(OR(NOT(ISNUMBER(L5)),M5&lt;Config!$B$6),"N/M",L5/(M5*100)),"N/M"))</f>
        <v>0.962055330363194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0.00490740923220974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46282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34.8582032876712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19.0094175095919</v>
      </c>
      <c r="K6" s="52" t="n">
        <f aca="false">IF($A6="","",IFERROR(IF(G6&lt;=0,"N/M",D6/G6),"N/M"))</f>
        <v>16.9082792552787</v>
      </c>
      <c r="L6" s="52" t="n">
        <f aca="false">IF($A6="","",IFERROR(IF(H6&lt;=0,"N/M",D6/H6),"N/M"))</f>
        <v>15.6347702577303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0.0513761467889908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46282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2010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100.642005068493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36.8604437924079</v>
      </c>
      <c r="K7" s="52" t="n">
        <f aca="false">IF($A7="","",IFERROR(IF(G7&lt;=0,"N/M",D7/G7),"N/M"))</f>
        <v>33.6324276840058</v>
      </c>
      <c r="L7" s="52" t="n">
        <f aca="false">IF($A7="","",IFERROR(IF(H7&lt;=0,"N/M",D7/H7),"N/M"))</f>
        <v>19.9717801591102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0.641445813332203</v>
      </c>
      <c r="O7" s="51" t="n">
        <f aca="false">IF($A7="","",IFERROR(IF(OR(NOT(ISNUMBER(L7)),M7&lt;Config!$B$6),"N/M",L7/(M7*100)),"N/M"))</f>
        <v>0.266458683109505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0.0052266082039801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46282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33.2995890410959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15.9161123383809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1.25968194802471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46282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36.276655890411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13.2909022837888</v>
      </c>
      <c r="K9" s="52" t="n">
        <f aca="false">IF($A9="","",IFERROR(IF(G9&lt;=0,"N/M",D9/G9),"N/M"))</f>
        <v>11.6904526213946</v>
      </c>
      <c r="L9" s="52" t="n">
        <f aca="false">IF($A9="","",IFERROR(IF(H9&lt;=0,"N/M",D9/H9),"N/M"))</f>
        <v>9.78590752886452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0.21208611807562</v>
      </c>
      <c r="O9" s="51" t="n">
        <f aca="false">IF($A9="","",IFERROR(IF(OR(NOT(ISNUMBER(L9)),M9&lt;Config!$B$6),"N/M",L9/(M9*100)),"N/M"))</f>
        <v>0.975005913980744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0.028169014084507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46282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12295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455.909878356164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67.7821269088704</v>
      </c>
      <c r="K10" s="52" t="n">
        <f aca="false">IF($A10="","",IFERROR(IF(G10&lt;=0,"N/M",D10/G10),"N/M"))</f>
        <v>46.1800081317379</v>
      </c>
      <c r="L10" s="52" t="n">
        <f aca="false">IF($A10="","",IFERROR(IF(H10&lt;=0,"N/M",D10/H10),"N/M"))</f>
        <v>26.9680491335942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0.4022033268354</v>
      </c>
      <c r="O10" s="51" t="n">
        <f aca="false">IF($A10="","",IFERROR(IF(OR(NOT(ISNUMBER(L10)),M10&lt;Config!$B$6),"N/M",L10/(M10*100)),"N/M"))</f>
        <v>0.652898703693388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0.00261895079300529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46282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2720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33.7102753424658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242.64049955397</v>
      </c>
      <c r="K11" s="52" t="n">
        <f aca="false">IF($A11="","",IFERROR(IF(G11&lt;=0,"N/M",D11/G11),"N/M"))</f>
        <v>170.854271356784</v>
      </c>
      <c r="L11" s="52" t="n">
        <f aca="false">IF($A11="","",IFERROR(IF(H11&lt;=0,"N/M",D11/H11),"N/M"))</f>
        <v>80.687564025131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0.43073786160316</v>
      </c>
      <c r="O11" s="51" t="n">
        <f aca="false">IF($A11="","",IFERROR(IF(OR(NOT(ISNUMBER(L11)),M11&lt;Config!$B$6),"N/M",L11/(M11*100)),"N/M"))</f>
        <v>0.813928194449032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0.000183831672794118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46282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67.6348547717843</v>
      </c>
      <c r="K12" s="52" t="n">
        <f aca="false">IF($A12="","",IFERROR(IF(G12&lt;=0,"N/M",D12/G12),"N/M"))</f>
        <v>95.0437317784257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0.253751309628805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46282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805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21.8502090410959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136.440677966102</v>
      </c>
      <c r="K13" s="52" t="n">
        <f aca="false">IF($A13="","",IFERROR(IF(G13&lt;=0,"N/M",D13/G13),"N/M"))</f>
        <v>96.5893751687315</v>
      </c>
      <c r="L13" s="52" t="n">
        <f aca="false">IF($A13="","",IFERROR(IF(H13&lt;=0,"N/M",D13/H13),"N/M"))</f>
        <v>36.8417527944907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0.352011130786744</v>
      </c>
      <c r="O13" s="51" t="n">
        <f aca="false">IF($A13="","",IFERROR(IF(OR(NOT(ISNUMBER(L13)),M13&lt;Config!$B$6),"N/M",L13/(M13*100)),"N/M"))</f>
        <v>0.239137604203643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0.00124244960248447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46282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110.441232876712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13.6724297680165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0.124698833639462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46282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147.5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7.14250205479452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22.0808383233533</v>
      </c>
      <c r="K15" s="52" t="n">
        <f aca="false">IF($A15="","",IFERROR(IF(G15&lt;=0,"N/M",D15/G15),"N/M"))</f>
        <v>21.4034884058392</v>
      </c>
      <c r="L15" s="52" t="n">
        <f aca="false">IF($A15="","",IFERROR(IF(H15&lt;=0,"N/M",D15/H15),"N/M"))</f>
        <v>20.6510266106243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0.199419536994387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46282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4500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123.238771506849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74.147305981216</v>
      </c>
      <c r="K16" s="52" t="n">
        <f aca="false">IF($A16="","",IFERROR(IF(G16&lt;=0,"N/M",D16/G16),"N/M"))</f>
        <v>74.6462514145465</v>
      </c>
      <c r="L16" s="52" t="n">
        <f aca="false">IF($A16="","",IFERROR(IF(H16&lt;=0,"N/M",D16/H16),"N/M"))</f>
        <v>36.5144827798766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0.320522517227836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0.0120000483266667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46282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89.2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33.037037037037</v>
      </c>
      <c r="K17" s="52" t="n">
        <f aca="false">IF($A17="","",IFERROR(IF(G17&lt;=0,"N/M",D17/G17),"N/M"))</f>
        <v>28.4984025559105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46282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90.4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6.76935424657534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15.2702702702703</v>
      </c>
      <c r="K18" s="52" t="n">
        <f aca="false">IF($A18="","",IFERROR(IF(G18&lt;=0,"N/M",D18/G18),"N/M"))</f>
        <v>15.8580633164754</v>
      </c>
      <c r="L18" s="52" t="n">
        <f aca="false">IF($A18="","",IFERROR(IF(H18&lt;=0,"N/M",D18/H18),"N/M"))</f>
        <v>13.3543018591077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0.61994686994687</v>
      </c>
      <c r="O18" s="51" t="n">
        <f aca="false">IF($A18="","",IFERROR(IF(OR(NOT(ISNUMBER(L18)),M18&lt;Config!$B$6),"N/M",L18/(M18*100)),"N/M"))</f>
        <v>0.48138201817777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0.0443521774336283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46282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1970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285.449165753425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6.90140394980771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46282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471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9.28656356164384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55.3466509988249</v>
      </c>
      <c r="K20" s="52" t="n">
        <f aca="false">IF($A20="","",IFERROR(IF(G20&lt;=0,"N/M",D20/G20),"N/M"))</f>
        <v>58.0926374057382</v>
      </c>
      <c r="L20" s="52" t="n">
        <f aca="false">IF($A20="","",IFERROR(IF(H20&lt;=0,"N/M",D20/H20),"N/M"))</f>
        <v>50.7184381901358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1.73319628934812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0.00424628450106157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46282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556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12.191095890411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90.4065040650407</v>
      </c>
      <c r="K21" s="52" t="n">
        <f aca="false">IF($A21="","",IFERROR(IF(G21&lt;=0,"N/M",D21/G21),"N/M"))</f>
        <v>81.8851251840943</v>
      </c>
      <c r="L21" s="52" t="n">
        <f aca="false">IF($A21="","",IFERROR(IF(H21&lt;=0,"N/M",D21/H21),"N/M"))</f>
        <v>45.6070565762121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2.02225074882328</v>
      </c>
      <c r="O21" s="51" t="n">
        <f aca="false">IF($A21="","",IFERROR(IF(OR(NOT(ISNUMBER(L21)),M21&lt;Config!$B$6),"N/M",L21/(M21*100)),"N/M"))</f>
        <v>0.500053632193186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0.00277811660071942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46282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12.1151369863014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54.0645971020064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0.00662873349635845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46282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44.547161369863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18.7637969094923</v>
      </c>
      <c r="K23" s="52" t="n">
        <f aca="false">IF($A23="","",IFERROR(IF(G23&lt;=0,"N/M",D23/G23),"N/M"))</f>
        <v>10.2973948196835</v>
      </c>
      <c r="L23" s="52" t="n">
        <f aca="false">IF($A23="","",IFERROR(IF(H23&lt;=0,"N/M",D23/H23),"N/M"))</f>
        <v>3.81618030806803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0.0360858595315066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0.00294117647058824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46282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106.707317073171</v>
      </c>
      <c r="K25" s="52" t="n">
        <f aca="false">IF($A25="","",IFERROR(IF(G25&lt;=0,"N/M",D25/G25),"N/M"))</f>
        <v>121.809744779582</v>
      </c>
      <c r="L25" s="52" t="n">
        <f aca="false">IF($A25="","",IFERROR(IF(H25&lt;=0,"N/M",D25/H25),"N/M"))</f>
        <v>43.859649122807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0.0019047619047619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46282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512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11.9113698630137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42.9841408577047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0.231626725420195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46282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2026-09-17T12:00:25Z</dcterms:created>
  <dc:creator>openpyxl</dc:creator>
  <dc:description/>
  <dc:language>en-US</dc:language>
  <cp:lastModifiedBy/>
  <dcterms:modified xsi:type="dcterms:W3CDTF">2026-09-17T12:00:25Z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