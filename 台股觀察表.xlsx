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<sst xmlns="http://schemas.openxmlformats.org/spreadsheetml/2006/main" count="7955" uniqueCount="1494">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</sst>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9C78D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28.743625405656</v>
      </c>
      <c r="P3" s="22" t="n">
        <f aca="false">IF(Calc!$A$2="","",Calc!L$2)</f>
        <v>18.649253790552</v>
      </c>
      <c r="Q3" s="18" t="n">
        <f aca="false">IF(Calc!$A$2="","",Calc!N$2)</f>
        <v>0.540057906770934</v>
      </c>
      <c r="R3" s="18" t="n">
        <f aca="false">IF(Calc!$A$2="","",Calc!O$2)</f>
        <v>0.578098075962649</v>
      </c>
      <c r="S3" s="19" t="n">
        <f aca="false">IF(Calc!$A$2="","",Calc!Q$2)</f>
        <v>0.00887100813709678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516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19.0055248618785</v>
      </c>
      <c r="P4" s="22" t="n">
        <f aca="false">IF(Calc!$A$3="","",Calc!L$3)</f>
        <v>5.54650891601352</v>
      </c>
      <c r="Q4" s="18" t="str">
        <f aca="false">IF(Calc!$A$3="","",Calc!N$3)</f>
        <v>N/M</v>
      </c>
      <c r="R4" s="18" t="n">
        <f aca="false">IF(Calc!$A$3="","",Calc!O$3)</f>
        <v>0.118240723485037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5.42629143670948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572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138.834951456311</v>
      </c>
      <c r="P6" s="22" t="n">
        <f aca="false">IF(Calc!$A$5="","",Calc!L$5)</f>
        <v>69.3408310085766</v>
      </c>
      <c r="Q6" s="18" t="n">
        <f aca="false">IF(Calc!$A$5="","",Calc!N$5)</f>
        <v>2.25496258734772</v>
      </c>
      <c r="R6" s="18" t="n">
        <f aca="false">IF(Calc!$A$5="","",Calc!O$5)</f>
        <v>1.02538764970265</v>
      </c>
      <c r="S6" s="19" t="n">
        <f aca="false">IF(Calc!$A$5="","",Calc!Q$5)</f>
        <v>0.00458139253496504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19.1140565050576</v>
      </c>
      <c r="P7" s="22" t="n">
        <f aca="false">IF(Calc!$A$6="","",Calc!L$6)</f>
        <v>15.7128323328455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0.0510948905109489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2300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42.1786172748946</v>
      </c>
      <c r="P8" s="22" t="n">
        <f aca="false">IF(Calc!$A$7="","",Calc!L$7)</f>
        <v>22.7315547311249</v>
      </c>
      <c r="Q8" s="18" t="n">
        <f aca="false">IF(Calc!$A$7="","",Calc!N$7)</f>
        <v>0.733992721723416</v>
      </c>
      <c r="R8" s="18" t="n">
        <f aca="false">IF(Calc!$A$7="","",Calc!O$7)</f>
        <v>0.303278931093393</v>
      </c>
      <c r="S8" s="19" t="n">
        <f aca="false">IF(Calc!$A$7="","",Calc!Q$7)</f>
        <v>0.0045676010826087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537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16.1058654257797</v>
      </c>
      <c r="Q9" s="18" t="str">
        <f aca="false">IF(Calc!$A$8="","",Calc!N$8)</f>
        <v>N/M</v>
      </c>
      <c r="R9" s="18" t="n">
        <f aca="false">IF(Calc!$A$8="","",Calc!O$8)</f>
        <v>1.27469997087454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368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13.7776113815051</v>
      </c>
      <c r="P10" s="22" t="n">
        <f aca="false">IF(Calc!$A$9="","",Calc!L$9)</f>
        <v>10.1338620098929</v>
      </c>
      <c r="Q10" s="18" t="n">
        <f aca="false">IF(Calc!$A$9="","",Calc!N$9)</f>
        <v>0.219852651976981</v>
      </c>
      <c r="R10" s="18" t="n">
        <f aca="false">IF(Calc!$A$9="","",Calc!O$9)</f>
        <v>1.00967389707767</v>
      </c>
      <c r="S10" s="19" t="n">
        <f aca="false">IF(Calc!$A$9="","",Calc!Q$9)</f>
        <v>0.0271739130434783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12800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70.5661833618171</v>
      </c>
      <c r="P11" s="22" t="n">
        <f aca="false">IF(Calc!$A$10="","",Calc!L$10)</f>
        <v>27.977871069595</v>
      </c>
      <c r="Q11" s="18" t="n">
        <f aca="false">IF(Calc!$A$10="","",Calc!N$10)</f>
        <v>0.418723268279229</v>
      </c>
      <c r="R11" s="18" t="n">
        <f aca="false">IF(Calc!$A$10="","",Calc!O$10)</f>
        <v>0.677346576422703</v>
      </c>
      <c r="S11" s="19" t="n">
        <f aca="false">IF(Calc!$A$10="","",Calc!Q$10)</f>
        <v>0.002515625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256.467439785905</v>
      </c>
      <c r="P12" s="22" t="n">
        <f aca="false">IF(Calc!$A$11="","",Calc!L$11)</f>
        <v>84.7459490039254</v>
      </c>
      <c r="Q12" s="18" t="n">
        <f aca="false">IF(Calc!$A$11="","",Calc!N$11)</f>
        <v>0.455283585334223</v>
      </c>
      <c r="R12" s="18" t="n">
        <f aca="false">IF(Calc!$A$11="","",Calc!O$11)</f>
        <v>0.85486677027641</v>
      </c>
      <c r="S12" s="19" t="n">
        <f aca="false">IF(Calc!$A$11="","",Calc!Q$11)</f>
        <v>0.000173920747826087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827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140.169491525424</v>
      </c>
      <c r="P14" s="22" t="n">
        <f aca="false">IF(Calc!$A$13="","",Calc!L$13)</f>
        <v>37.5463749755169</v>
      </c>
      <c r="Q14" s="18" t="n">
        <f aca="false">IF(Calc!$A$13="","",Calc!N$13)</f>
        <v>0.361631310758556</v>
      </c>
      <c r="R14" s="18" t="n">
        <f aca="false">IF(Calc!$A$13="","",Calc!O$13)</f>
        <v>0.243711264452092</v>
      </c>
      <c r="S14" s="19" t="n">
        <f aca="false">IF(Calc!$A$13="","",Calc!Q$13)</f>
        <v>0.00120939773881499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1525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13.7157150245879</v>
      </c>
      <c r="Q15" s="18" t="str">
        <f aca="false">IF(Calc!$A$14="","",Calc!N$14)</f>
        <v>N/M</v>
      </c>
      <c r="R15" s="18" t="n">
        <f aca="false">IF(Calc!$A$14="","",Calc!O$14)</f>
        <v>0.125093615042608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157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23.5029940119761</v>
      </c>
      <c r="P16" s="22" t="n">
        <f aca="false">IF(Calc!$A$15="","",Calc!L$15)</f>
        <v>21.9736215693729</v>
      </c>
      <c r="Q16" s="18" t="n">
        <f aca="false">IF(Calc!$A$15="","",Calc!N$15)</f>
        <v>0.212263507173687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5010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82.5506673257538</v>
      </c>
      <c r="P17" s="22" t="n">
        <f aca="false">IF(Calc!$A$16="","",Calc!L$16)</f>
        <v>40.3745354439031</v>
      </c>
      <c r="Q17" s="18" t="str">
        <f aca="false">IF(Calc!$A$16="","",Calc!N$16)</f>
        <v>N/M</v>
      </c>
      <c r="R17" s="18" t="n">
        <f aca="false">IF(Calc!$A$16="","",Calc!O$16)</f>
        <v>0.354405889038531</v>
      </c>
      <c r="S17" s="19" t="n">
        <f aca="false">IF(Calc!$A$16="","",Calc!Q$16)</f>
        <v>0.0107784865209581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34.0740740740741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90.8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15.3378378378378</v>
      </c>
      <c r="P19" s="22" t="n">
        <f aca="false">IF(Calc!$A$18="","",Calc!L$18)</f>
        <v>13.379427591577</v>
      </c>
      <c r="Q19" s="18" t="n">
        <f aca="false">IF(Calc!$A$18="","",Calc!N$18)</f>
        <v>0.622689997689998</v>
      </c>
      <c r="R19" s="18" t="n">
        <f aca="false">IF(Calc!$A$18="","",Calc!O$18)</f>
        <v>0.48228772451359</v>
      </c>
      <c r="S19" s="19" t="n">
        <f aca="false">IF(Calc!$A$18="","",Calc!Q$18)</f>
        <v>0.0441567933920705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2150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7.56197193746596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490.5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57.6380728554642</v>
      </c>
      <c r="P21" s="22" t="n">
        <f aca="false">IF(Calc!$A$20="","",Calc!L$20)</f>
        <v>52.6784516257647</v>
      </c>
      <c r="Q21" s="18" t="str">
        <f aca="false">IF(Calc!$A$20="","",Calc!N$20)</f>
        <v>N/M</v>
      </c>
      <c r="R21" s="18" t="n">
        <f aca="false">IF(Calc!$A$20="","",Calc!O$20)</f>
        <v>1.80017563916503</v>
      </c>
      <c r="S21" s="19" t="n">
        <f aca="false">IF(Calc!$A$20="","",Calc!Q$20)</f>
        <v>0.00407747196738023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618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100.487804878049</v>
      </c>
      <c r="P22" s="22" t="n">
        <f aca="false">IF(Calc!$A$21="","",Calc!L$21)</f>
        <v>50.3874497119536</v>
      </c>
      <c r="Q22" s="18" t="n">
        <f aca="false">IF(Calc!$A$21="","",Calc!N$21)</f>
        <v>2.24775353016688</v>
      </c>
      <c r="R22" s="18" t="n">
        <f aca="false">IF(Calc!$A$21="","",Calc!O$21)</f>
        <v>0.552467734972311</v>
      </c>
      <c r="S22" s="19" t="n">
        <f aca="false">IF(Calc!$A$21="","",Calc!Q$21)</f>
        <v>0.00249940587378641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661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53.7469605616514</v>
      </c>
      <c r="Q23" s="18" t="str">
        <f aca="false">IF(Calc!$A$22="","",Calc!N$22)</f>
        <v>N/M</v>
      </c>
      <c r="R23" s="18" t="n">
        <f aca="false">IF(Calc!$A$22="","",Calc!O$22)</f>
        <v>0.00658978882484363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174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19.205298013245</v>
      </c>
      <c r="P24" s="22" t="n">
        <f aca="false">IF(Calc!$A$23="","",Calc!L$23)</f>
        <v>3.96655184638885</v>
      </c>
      <c r="Q24" s="18" t="str">
        <f aca="false">IF(Calc!$A$23="","",Calc!N$23)</f>
        <v>N/M</v>
      </c>
      <c r="R24" s="18" t="n">
        <f aca="false">IF(Calc!$A$23="","",Calc!O$23)</f>
        <v>0.0398094752979561</v>
      </c>
      <c r="S24" s="19" t="n">
        <f aca="false">IF(Calc!$A$23="","",Calc!Q$23)</f>
        <v>0.0028735632183908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545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110.772357723577</v>
      </c>
      <c r="P26" s="22" t="n">
        <f aca="false">IF(Calc!$A$25="","",Calc!L$25)</f>
        <v>45.530492898914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0.0018348623853211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553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46.0231249985749</v>
      </c>
      <c r="Q27" s="18" t="str">
        <f aca="false">IF(Calc!$A$26="","",Calc!N$26)</f>
        <v>N/M</v>
      </c>
      <c r="R27" s="18" t="n">
        <f aca="false">IF(Calc!$A$26="","",Calc!O$26)</f>
        <v>0.248002763910388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46286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28.743625405656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18.649253790552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0.540057906770934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0.578098075962649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132.981192054795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0.00887100813709678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2480</v>
      </c>
      <c r="L12" s="55" t="n">
        <f aca="false">IF(Stock_Card!$B$2="","",IFERROR(INDEX(Calc!$Q$2:$Q$100,MATCH(Stock_Card!$B$2,Calc!$A$2:$A$100,0)),""))</f>
        <v>0.00887100813709678</v>
      </c>
      <c r="M12" s="58" t="n">
        <f aca="false">IF(Stock_Card!$B$2="","",IFERROR(INDEX(Calc!$J$2:$J$100,MATCH(Stock_Card!$B$2,Calc!$A$2:$A$100,0)),""))</f>
        <v>28.743625405656</v>
      </c>
      <c r="N12" s="57" t="n">
        <f aca="false">IF(Stock_Card!$B$2="","",IFERROR(INDEX(Calc!$N$2:$N$100,MATCH(Stock_Card!$B$2,Calc!$A$2:$A$100,0)),""))</f>
        <v>0.540057906770934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132.981192054795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18.649253790552</v>
      </c>
      <c r="N13" s="57" t="n">
        <f aca="false">IF(Stock_Card!$B$2="","",IFERROR(INDEX(Calc!$O$2:$O$100,MATCH(Stock_Card!$B$2,Calc!$A$2:$A$100,0)),""))</f>
        <v>0.578098075962649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{E1EF61F9-E454-484E-8BDE-738ED9A09D12}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EF61F9-E454-484E-8BDE-738ED9A09D1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-46286</v>
      </c>
      <c r="I4" s="67" t="n">
        <f aca="false">IF($A4="","",IFERROR(INDEX(Raw_Price!$E$2:$E$100,MATCH($A4,Raw_Price!$A$2:$A$100,0)),""))</f>
        <v>46286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-46286</v>
      </c>
      <c r="I5" s="67" t="n">
        <f aca="false">IF($A5="","",IFERROR(INDEX(Raw_Price!$E$2:$E$100,MATCH($A5,Raw_Price!$A$2:$A$100,0)),""))</f>
        <v>46286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-46286</v>
      </c>
      <c r="I6" s="67" t="n">
        <f aca="false">IF($A6="","",IFERROR(INDEX(Raw_Price!$E$2:$E$100,MATCH($A6,Raw_Price!$A$2:$A$100,0)),""))</f>
        <v>46286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-46286</v>
      </c>
      <c r="I7" s="67" t="n">
        <f aca="false">IF($A7="","",IFERROR(INDEX(Raw_Price!$E$2:$E$100,MATCH($A7,Raw_Price!$A$2:$A$100,0)),""))</f>
        <v>46286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-46286</v>
      </c>
      <c r="I8" s="67" t="n">
        <f aca="false">IF($A8="","",IFERROR(INDEX(Raw_Price!$E$2:$E$100,MATCH($A8,Raw_Price!$A$2:$A$100,0)),""))</f>
        <v>46286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-46286</v>
      </c>
      <c r="I9" s="67" t="n">
        <f aca="false">IF($A9="","",IFERROR(INDEX(Raw_Price!$E$2:$E$100,MATCH($A9,Raw_Price!$A$2:$A$100,0)),""))</f>
        <v>46286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-46286</v>
      </c>
      <c r="I10" s="67" t="n">
        <f aca="false">IF($A10="","",IFERROR(INDEX(Raw_Price!$E$2:$E$100,MATCH($A10,Raw_Price!$A$2:$A$100,0)),""))</f>
        <v>46286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-46286</v>
      </c>
      <c r="I11" s="67" t="n">
        <f aca="false">IF($A11="","",IFERROR(INDEX(Raw_Price!$E$2:$E$100,MATCH($A11,Raw_Price!$A$2:$A$100,0)),""))</f>
        <v>46286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-46286</v>
      </c>
      <c r="I12" s="67" t="n">
        <f aca="false">IF($A12="","",IFERROR(INDEX(Raw_Price!$E$2:$E$100,MATCH($A12,Raw_Price!$A$2:$A$100,0)),""))</f>
        <v>46286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-46286</v>
      </c>
      <c r="I13" s="67" t="n">
        <f aca="false">IF($A13="","",IFERROR(INDEX(Raw_Price!$E$2:$E$100,MATCH($A13,Raw_Price!$A$2:$A$100,0)),""))</f>
        <v>46286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-46286</v>
      </c>
      <c r="I14" s="67" t="n">
        <f aca="false">IF($A14="","",IFERROR(INDEX(Raw_Price!$E$2:$E$100,MATCH($A14,Raw_Price!$A$2:$A$100,0)),""))</f>
        <v>46286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-46286</v>
      </c>
      <c r="I15" s="67" t="n">
        <f aca="false">IF($A15="","",IFERROR(INDEX(Raw_Price!$E$2:$E$100,MATCH($A15,Raw_Price!$A$2:$A$100,0)),""))</f>
        <v>46286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-46286</v>
      </c>
      <c r="I16" s="67" t="n">
        <f aca="false">IF($A16="","",IFERROR(INDEX(Raw_Price!$E$2:$E$100,MATCH($A16,Raw_Price!$A$2:$A$100,0)),""))</f>
        <v>46286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-46286</v>
      </c>
      <c r="I17" s="67" t="n">
        <f aca="false">IF($A17="","",IFERROR(INDEX(Raw_Price!$E$2:$E$100,MATCH($A17,Raw_Price!$A$2:$A$100,0)),""))</f>
        <v>46286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-46286</v>
      </c>
      <c r="I18" s="67" t="n">
        <f aca="false">IF($A18="","",IFERROR(INDEX(Raw_Price!$E$2:$E$100,MATCH($A18,Raw_Price!$A$2:$A$100,0)),""))</f>
        <v>46286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-46286</v>
      </c>
      <c r="I19" s="67" t="n">
        <f aca="false">IF($A19="","",IFERROR(INDEX(Raw_Price!$E$2:$E$100,MATCH($A19,Raw_Price!$A$2:$A$100,0)),""))</f>
        <v>46286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-46286</v>
      </c>
      <c r="I20" s="67" t="n">
        <f aca="false">IF($A20="","",IFERROR(INDEX(Raw_Price!$E$2:$E$100,MATCH($A20,Raw_Price!$A$2:$A$100,0)),""))</f>
        <v>46286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-46286</v>
      </c>
      <c r="I21" s="67" t="n">
        <f aca="false">IF($A21="","",IFERROR(INDEX(Raw_Price!$E$2:$E$100,MATCH($A21,Raw_Price!$A$2:$A$100,0)),""))</f>
        <v>46286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-46286</v>
      </c>
      <c r="I22" s="67" t="n">
        <f aca="false">IF($A22="","",IFERROR(INDEX(Raw_Price!$E$2:$E$100,MATCH($A22,Raw_Price!$A$2:$A$100,0)),""))</f>
        <v>46286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-46286</v>
      </c>
      <c r="I23" s="67" t="n">
        <f aca="false">IF($A23="","",IFERROR(INDEX(Raw_Price!$E$2:$E$100,MATCH($A23,Raw_Price!$A$2:$A$100,0)),""))</f>
        <v>46286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-46286</v>
      </c>
      <c r="I24" s="67" t="n">
        <f aca="false">IF($A24="","",IFERROR(INDEX(Raw_Price!$E$2:$E$100,MATCH($A24,Raw_Price!$A$2:$A$100,0)),""))</f>
        <v>46286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-46286</v>
      </c>
      <c r="I25" s="67" t="n">
        <f aca="false">IF($A25="","",IFERROR(INDEX(Raw_Price!$E$2:$E$100,MATCH($A25,Raw_Price!$A$2:$A$100,0)),""))</f>
        <v>46286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-46286</v>
      </c>
      <c r="I27" s="67" t="n">
        <f aca="false">IF($A27="","",IFERROR(INDEX(Raw_Price!$E$2:$E$100,MATCH($A27,Raw_Price!$A$2:$A$100,0)),""))</f>
        <v>46286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-46286</v>
      </c>
      <c r="I28" s="67" t="n">
        <f aca="false">IF($A28="","",IFERROR(INDEX(Raw_Price!$E$2:$E$100,MATCH($A28,Raw_Price!$A$2:$A$100,0)),""))</f>
        <v>46286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E22" s="77" t="s">
        <v>235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219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219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219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219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219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219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219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219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219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219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219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219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219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219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219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219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219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219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219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219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219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219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219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219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219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221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221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221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221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221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221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221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221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221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221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221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221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221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221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221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221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221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221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221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221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221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221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221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221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221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223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223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223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223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223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223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223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223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223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223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223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223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223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223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223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223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223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223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223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223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223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223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223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223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229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229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229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229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229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229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229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229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229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229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229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229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229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229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229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229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229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229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229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229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229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229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229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229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229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215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215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215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215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215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215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215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215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215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215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215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215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215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215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215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215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215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215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215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215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215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215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215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215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215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233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233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233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233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233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233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233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233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233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233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233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233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233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233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233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233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233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233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233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233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233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233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233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233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233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225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225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225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225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225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225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225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225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225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225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225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225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225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225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225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225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225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225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225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225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225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225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225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225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225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231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231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231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231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231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231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231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231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231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231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231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231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231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231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231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231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231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231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231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231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231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231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231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231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231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217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217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217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217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217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217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217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217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217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217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217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217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217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217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217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217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217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217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217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217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217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217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217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217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217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227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227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227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227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227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227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227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227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227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227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227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227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227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227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227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227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227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227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227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227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227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227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227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227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227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219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219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219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219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219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219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219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219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219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219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219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219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219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219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219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219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219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219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219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219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219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219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219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219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219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219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219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219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219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219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219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219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219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219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219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219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221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221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221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221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221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221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221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221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221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221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221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221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221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221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221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221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221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221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221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221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221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221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221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221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221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221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221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221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221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221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221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221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221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221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221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221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223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223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223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223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223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223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223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223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223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223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223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223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223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223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223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223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223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223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223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223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223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223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223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223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223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223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223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223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223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223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223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223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223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223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223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223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229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229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229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229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229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229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229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229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229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229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229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229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229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229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229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229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229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229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229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229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229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229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229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229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229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229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229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229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229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229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229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229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229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229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229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229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215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215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215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215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215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215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215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215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215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215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215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215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215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215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215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215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215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215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215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215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215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215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215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215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215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215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215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215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215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215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215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215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215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215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215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215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233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233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233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233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233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233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233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233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233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233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233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233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233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233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233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233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233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233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233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233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233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233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233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233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233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233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233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233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233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233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233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233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233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233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233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233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225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225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225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225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225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225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225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225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225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225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225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225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225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225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225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225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225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225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225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225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225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225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225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225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225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225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225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225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225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225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225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225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225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225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225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225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231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231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231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231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231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231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231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231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231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231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231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231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231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231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231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231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231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231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231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231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231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231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231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231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231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231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231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231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231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231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231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231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231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231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231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231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217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217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217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217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217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217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217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217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217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217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217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217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217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217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217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217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217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217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217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217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217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217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217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217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217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217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217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217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217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217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217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217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217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217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217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217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227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227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227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227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227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227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227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227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227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227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227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227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227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227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227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227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227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227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227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227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227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227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227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227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227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227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227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227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227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227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227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227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227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227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227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227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46286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46286</v>
      </c>
    </row>
    <row r="4" customFormat="false" ht="15" hidden="false" customHeight="false" outlineLevel="0" collapsed="false">
      <c r="A4" s="79" t="s">
        <v>343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46286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46286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46286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46286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46286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46286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46286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46286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46286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46286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46286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46286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46286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46286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46286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46286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46286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46286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46286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46286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46286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46286</v>
      </c>
    </row>
    <row r="29" customFormat="false" ht="15" hidden="false" customHeight="false" outlineLevel="0" collapsed="false">
      <c r="A29" s="79" t="s">
        <v>227</v>
      </c>
      <c r="B29" s="83" t="n">
        <v>359.01566</v>
      </c>
      <c r="C29" s="83" t="n">
        <v>255.73962</v>
      </c>
      <c r="D29" s="81" t="n">
        <v>46387</v>
      </c>
      <c r="E29" s="80" t="n">
        <v>7</v>
      </c>
      <c r="F29" s="81" t="n">
        <v>46286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12800</v>
      </c>
      <c r="C2" s="81" t="n">
        <v>46286</v>
      </c>
      <c r="D2" s="81"/>
      <c r="E2" s="81" t="n">
        <v>46286</v>
      </c>
    </row>
    <row r="3" customFormat="false" ht="15" hidden="false" customHeight="false" outlineLevel="0" collapsed="false">
      <c r="A3" s="79" t="s">
        <v>219</v>
      </c>
      <c r="B3" s="83" t="n">
        <v>157</v>
      </c>
      <c r="C3" s="81" t="n">
        <v>46286</v>
      </c>
      <c r="D3" s="81"/>
      <c r="E3" s="81" t="n">
        <v>46286</v>
      </c>
    </row>
    <row r="4" customFormat="false" ht="15" hidden="false" customHeight="false" outlineLevel="0" collapsed="false">
      <c r="A4" s="79" t="s">
        <v>343</v>
      </c>
      <c r="B4" s="83" t="n">
        <v>557</v>
      </c>
      <c r="C4" s="81" t="n">
        <v>46286</v>
      </c>
      <c r="D4" s="81"/>
      <c r="E4" s="81" t="n">
        <v>46286</v>
      </c>
    </row>
    <row r="5" customFormat="false" ht="15" hidden="false" customHeight="false" outlineLevel="0" collapsed="false">
      <c r="A5" s="79" t="s">
        <v>79</v>
      </c>
      <c r="B5" s="83" t="n">
        <v>2480</v>
      </c>
      <c r="C5" s="81" t="n">
        <v>46286</v>
      </c>
      <c r="D5" s="81"/>
      <c r="E5" s="81" t="n">
        <v>46286</v>
      </c>
    </row>
    <row r="6" customFormat="false" ht="15" hidden="false" customHeight="false" outlineLevel="0" collapsed="false">
      <c r="A6" s="79" t="s">
        <v>236</v>
      </c>
      <c r="B6" s="83" t="n">
        <v>174</v>
      </c>
      <c r="C6" s="81" t="n">
        <v>46286</v>
      </c>
      <c r="D6" s="81"/>
      <c r="E6" s="81" t="n">
        <v>46286</v>
      </c>
    </row>
    <row r="7" customFormat="false" ht="15" hidden="false" customHeight="false" outlineLevel="0" collapsed="false">
      <c r="A7" s="79" t="s">
        <v>204</v>
      </c>
      <c r="B7" s="83" t="n">
        <v>368</v>
      </c>
      <c r="C7" s="81" t="n">
        <v>46286</v>
      </c>
      <c r="D7" s="81"/>
      <c r="E7" s="81" t="n">
        <v>46286</v>
      </c>
    </row>
    <row r="8" customFormat="false" ht="15" hidden="false" customHeight="false" outlineLevel="0" collapsed="false">
      <c r="A8" s="79" t="s">
        <v>182</v>
      </c>
      <c r="B8" s="83" t="n">
        <v>516</v>
      </c>
      <c r="C8" s="81" t="n">
        <v>46286</v>
      </c>
      <c r="D8" s="81"/>
      <c r="E8" s="81" t="n">
        <v>46286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5010</v>
      </c>
      <c r="C10" s="81" t="n">
        <v>46286</v>
      </c>
      <c r="D10" s="81"/>
      <c r="E10" s="81" t="n">
        <v>46286</v>
      </c>
    </row>
    <row r="11" customFormat="false" ht="15" hidden="false" customHeight="false" outlineLevel="0" collapsed="false">
      <c r="A11" s="79" t="s">
        <v>190</v>
      </c>
      <c r="B11" s="83" t="n">
        <v>572</v>
      </c>
      <c r="C11" s="81" t="n">
        <v>46286</v>
      </c>
      <c r="D11" s="81"/>
      <c r="E11" s="81" t="n">
        <v>46286</v>
      </c>
    </row>
    <row r="12" customFormat="false" ht="15" hidden="false" customHeight="false" outlineLevel="0" collapsed="false">
      <c r="A12" s="79" t="s">
        <v>223</v>
      </c>
      <c r="B12" s="83" t="n">
        <v>92</v>
      </c>
      <c r="C12" s="81" t="n">
        <v>46286</v>
      </c>
      <c r="D12" s="81"/>
      <c r="E12" s="81" t="n">
        <v>46286</v>
      </c>
    </row>
    <row r="13" customFormat="false" ht="15" hidden="false" customHeight="false" outlineLevel="0" collapsed="false">
      <c r="A13" s="79" t="s">
        <v>195</v>
      </c>
      <c r="B13" s="83" t="n">
        <v>548</v>
      </c>
      <c r="C13" s="81" t="n">
        <v>46286</v>
      </c>
      <c r="D13" s="81"/>
      <c r="E13" s="81" t="n">
        <v>46286</v>
      </c>
    </row>
    <row r="14" customFormat="false" ht="15" hidden="false" customHeight="false" outlineLevel="0" collapsed="false">
      <c r="A14" s="79" t="s">
        <v>209</v>
      </c>
      <c r="B14" s="83" t="n">
        <v>2875</v>
      </c>
      <c r="C14" s="81" t="n">
        <v>46286</v>
      </c>
      <c r="D14" s="81"/>
      <c r="E14" s="81" t="n">
        <v>46286</v>
      </c>
    </row>
    <row r="15" customFormat="false" ht="15" hidden="false" customHeight="false" outlineLevel="0" collapsed="false">
      <c r="A15" s="79" t="s">
        <v>229</v>
      </c>
      <c r="B15" s="83" t="n">
        <v>490.5</v>
      </c>
      <c r="C15" s="81" t="n">
        <v>46286</v>
      </c>
      <c r="D15" s="81"/>
      <c r="E15" s="81" t="n">
        <v>46286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46286</v>
      </c>
      <c r="D16" s="81"/>
      <c r="E16" s="81" t="n">
        <v>46286</v>
      </c>
    </row>
    <row r="17" customFormat="false" ht="15" hidden="false" customHeight="false" outlineLevel="0" collapsed="false">
      <c r="A17" s="79" t="s">
        <v>215</v>
      </c>
      <c r="B17" s="83" t="n">
        <v>827</v>
      </c>
      <c r="C17" s="81" t="n">
        <v>46286</v>
      </c>
      <c r="D17" s="81"/>
      <c r="E17" s="81" t="n">
        <v>46286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661</v>
      </c>
      <c r="C19" s="81" t="n">
        <v>46286</v>
      </c>
      <c r="D19" s="81"/>
      <c r="E19" s="81" t="n">
        <v>46286</v>
      </c>
    </row>
    <row r="20" customFormat="false" ht="15" hidden="false" customHeight="false" outlineLevel="0" collapsed="false">
      <c r="A20" s="79" t="s">
        <v>241</v>
      </c>
      <c r="B20" s="83" t="n">
        <v>545</v>
      </c>
      <c r="C20" s="81" t="n">
        <v>46286</v>
      </c>
      <c r="D20" s="81"/>
      <c r="E20" s="81" t="n">
        <v>46286</v>
      </c>
    </row>
    <row r="21" customFormat="false" ht="15" hidden="false" customHeight="false" outlineLevel="0" collapsed="false">
      <c r="A21" s="79" t="s">
        <v>197</v>
      </c>
      <c r="B21" s="83" t="n">
        <v>2300</v>
      </c>
      <c r="C21" s="81" t="n">
        <v>46286</v>
      </c>
      <c r="D21" s="81"/>
      <c r="E21" s="81" t="n">
        <v>46286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90.8</v>
      </c>
      <c r="C23" s="81" t="n">
        <v>46286</v>
      </c>
      <c r="D23" s="81"/>
      <c r="E23" s="81" t="n">
        <v>46286</v>
      </c>
    </row>
    <row r="24" customFormat="false" ht="15" hidden="false" customHeight="false" outlineLevel="0" collapsed="false">
      <c r="A24" s="79" t="s">
        <v>231</v>
      </c>
      <c r="B24" s="83" t="n">
        <v>618</v>
      </c>
      <c r="C24" s="81" t="n">
        <v>46286</v>
      </c>
      <c r="D24" s="81"/>
      <c r="E24" s="81" t="n">
        <v>46286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46286</v>
      </c>
      <c r="D25" s="81"/>
      <c r="E25" s="81" t="n">
        <v>46286</v>
      </c>
    </row>
    <row r="26" customFormat="false" ht="15" hidden="false" customHeight="false" outlineLevel="0" collapsed="false">
      <c r="A26" s="79" t="s">
        <v>201</v>
      </c>
      <c r="B26" s="83" t="n">
        <v>537</v>
      </c>
      <c r="C26" s="81" t="n">
        <v>46286</v>
      </c>
      <c r="D26" s="81"/>
      <c r="E26" s="81" t="n">
        <v>46286</v>
      </c>
    </row>
    <row r="27" customFormat="false" ht="15" hidden="false" customHeight="false" outlineLevel="0" collapsed="false">
      <c r="A27" s="79" t="s">
        <v>217</v>
      </c>
      <c r="B27" s="83" t="n">
        <v>1525</v>
      </c>
      <c r="C27" s="81" t="n">
        <v>46286</v>
      </c>
      <c r="D27" s="81"/>
      <c r="E27" s="81" t="n">
        <v>46286</v>
      </c>
    </row>
    <row r="28" customFormat="false" ht="15" hidden="false" customHeight="false" outlineLevel="0" collapsed="false">
      <c r="A28" s="79" t="s">
        <v>243</v>
      </c>
      <c r="B28" s="83" t="n">
        <v>553</v>
      </c>
      <c r="C28" s="81" t="n">
        <v>46286</v>
      </c>
      <c r="D28" s="81"/>
      <c r="E28" s="81" t="n">
        <v>46286</v>
      </c>
    </row>
    <row r="29" customFormat="false" ht="15" hidden="false" customHeight="false" outlineLevel="0" collapsed="false">
      <c r="A29" s="79" t="s">
        <v>227</v>
      </c>
      <c r="B29" s="83" t="n">
        <v>2150</v>
      </c>
      <c r="C29" s="81" t="n">
        <v>46286</v>
      </c>
      <c r="D29" s="81"/>
      <c r="E29" s="81" t="n">
        <v>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132.981192054795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28.743625405656</v>
      </c>
      <c r="K2" s="52" t="n">
        <f aca="false">IF($A2="","",IFERROR(IF(G2&lt;=0,"N/M",D2/G2),"N/M"))</f>
        <v>25.5587182179143</v>
      </c>
      <c r="L2" s="52" t="n">
        <f aca="false">IF($A2="","",IFERROR(IF(H2&lt;=0,"N/M",D2/H2),"N/M"))</f>
        <v>18.649253790552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0.540057906770934</v>
      </c>
      <c r="O2" s="51" t="n">
        <f aca="false">IF($A2="","",IFERROR(IF(OR(NOT(ISNUMBER(L2)),M2&lt;Config!$B$6),"N/M",L2/(M2*100)),"N/M"))</f>
        <v>0.578098075962649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0.00887100813709678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46286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93.0314920273973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19.0055248618785</v>
      </c>
      <c r="K3" s="52" t="n">
        <f aca="false">IF($A3="","",IFERROR(IF(G3&lt;=0,"N/M",D3/G3),"N/M"))</f>
        <v>10.8636496178248</v>
      </c>
      <c r="L3" s="52" t="n">
        <f aca="false">IF($A3="","",IFERROR(IF(H3&lt;=0,"N/M",D3/H3),"N/M"))</f>
        <v>5.54650891601352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0.118240723485037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46286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238.652865424658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5.42629143670948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46286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572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8.24910794520548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138.834951456311</v>
      </c>
      <c r="K5" s="52" t="n">
        <f aca="false">IF($A5="","",IFERROR(IF(G5&lt;=0,"N/M",D5/G5),"N/M"))</f>
        <v>121.850162644404</v>
      </c>
      <c r="L5" s="52" t="n">
        <f aca="false">IF($A5="","",IFERROR(IF(H5&lt;=0,"N/M",D5/H5),"N/M"))</f>
        <v>69.3408310085766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2.25496258734772</v>
      </c>
      <c r="O5" s="51" t="n">
        <f aca="false">IF($A5="","",IFERROR(IF(OR(NOT(ISNUMBER(L5)),M5&lt;Config!$B$6),"N/M",L5/(M5*100)),"N/M"))</f>
        <v>1.02538764970265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0.00458139253496504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46286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34.8759528767123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19.1140565050576</v>
      </c>
      <c r="K6" s="52" t="n">
        <f aca="false">IF($A6="","",IFERROR(IF(G6&lt;=0,"N/M",D6/G6),"N/M"))</f>
        <v>17.0013523520968</v>
      </c>
      <c r="L6" s="52" t="n">
        <f aca="false">IF($A6="","",IFERROR(IF(H6&lt;=0,"N/M",D6/H6),"N/M"))</f>
        <v>15.7128323328455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0.0510948905109489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46286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2300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101.180936684932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42.1786172748946</v>
      </c>
      <c r="K7" s="52" t="n">
        <f aca="false">IF($A7="","",IFERROR(IF(G7&lt;=0,"N/M",D7/G7),"N/M"))</f>
        <v>38.4848674991111</v>
      </c>
      <c r="L7" s="52" t="n">
        <f aca="false">IF($A7="","",IFERROR(IF(H7&lt;=0,"N/M",D7/H7),"N/M"))</f>
        <v>22.7315547311249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0.733992721723416</v>
      </c>
      <c r="O7" s="51" t="n">
        <f aca="false">IF($A7="","",IFERROR(IF(OR(NOT(ISNUMBER(L7)),M7&lt;Config!$B$6),"N/M",L7/(M7*100)),"N/M"))</f>
        <v>0.303278931093393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0.0045676010826087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46286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537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33.3418904109589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16.1058654257797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1.27469997087454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46286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368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36.3138949041096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13.7776113815051</v>
      </c>
      <c r="K9" s="52" t="n">
        <f aca="false">IF($A9="","",IFERROR(IF(G9&lt;=0,"N/M",D9/G9),"N/M"))</f>
        <v>12.1185537033049</v>
      </c>
      <c r="L9" s="52" t="n">
        <f aca="false">IF($A9="","",IFERROR(IF(H9&lt;=0,"N/M",D9/H9),"N/M"))</f>
        <v>10.1338620098929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0.219852651976981</v>
      </c>
      <c r="O9" s="51" t="n">
        <f aca="false">IF($A9="","",IFERROR(IF(OR(NOT(ISNUMBER(L9)),M9&lt;Config!$B$6),"N/M",L9/(M9*100)),"N/M"))</f>
        <v>1.00967389707767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0.0271739130434783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46286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12800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457.504431561644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70.5661833618171</v>
      </c>
      <c r="K10" s="52" t="n">
        <f aca="false">IF($A10="","",IFERROR(IF(G10&lt;=0,"N/M",D10/G10),"N/M"))</f>
        <v>48.0767876442656</v>
      </c>
      <c r="L10" s="52" t="n">
        <f aca="false">IF($A10="","",IFERROR(IF(H10&lt;=0,"N/M",D10/H10),"N/M"))</f>
        <v>27.977871069595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0.418723268279229</v>
      </c>
      <c r="O10" s="51" t="n">
        <f aca="false">IF($A10="","",IFERROR(IF(OR(NOT(ISNUMBER(L10)),M10&lt;Config!$B$6),"N/M",L10/(M10*100)),"N/M"))</f>
        <v>0.677346576422703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0.002515625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46286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33.9249254246575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256.467439785905</v>
      </c>
      <c r="K11" s="52" t="n">
        <f aca="false">IF($A11="","",IFERROR(IF(G11&lt;=0,"N/M",D11/G11),"N/M"))</f>
        <v>180.590452261307</v>
      </c>
      <c r="L11" s="52" t="n">
        <f aca="false">IF($A11="","",IFERROR(IF(H11&lt;=0,"N/M",D11/H11),"N/M"))</f>
        <v>84.7459490039254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0.455283585334223</v>
      </c>
      <c r="O11" s="51" t="n">
        <f aca="false">IF($A11="","",IFERROR(IF(OR(NOT(ISNUMBER(L11)),M11&lt;Config!$B$6),"N/M",L11/(M11*100)),"N/M"))</f>
        <v>0.85486677027641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0.000173920747826087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46286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46286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827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22.0260944109589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140.169491525424</v>
      </c>
      <c r="K13" s="52" t="n">
        <f aca="false">IF($A13="","",IFERROR(IF(G13&lt;=0,"N/M",D13/G13),"N/M"))</f>
        <v>99.2290848006719</v>
      </c>
      <c r="L13" s="52" t="n">
        <f aca="false">IF($A13="","",IFERROR(IF(H13&lt;=0,"N/M",D13/H13),"N/M"))</f>
        <v>37.5463749755169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0.361631310758556</v>
      </c>
      <c r="O13" s="51" t="n">
        <f aca="false">IF($A13="","",IFERROR(IF(OR(NOT(ISNUMBER(L13)),M13&lt;Config!$B$6),"N/M",L13/(M13*100)),"N/M"))</f>
        <v>0.243711264452092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0.00120939773881499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46286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1525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111.186328767123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13.7157150245879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0.125093615042608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46286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157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7.14493054794521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23.5029940119761</v>
      </c>
      <c r="K15" s="52" t="n">
        <f aca="false">IF($A15="","",IFERROR(IF(G15&lt;=0,"N/M",D15/G15),"N/M"))</f>
        <v>22.7820181675712</v>
      </c>
      <c r="L15" s="52" t="n">
        <f aca="false">IF($A15="","",IFERROR(IF(H15&lt;=0,"N/M",D15/H15),"N/M"))</f>
        <v>21.9736215693729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0.212263507173687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46286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5010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124.088115068493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82.5506673257538</v>
      </c>
      <c r="K16" s="52" t="n">
        <f aca="false">IF($A16="","",IFERROR(IF(G16&lt;=0,"N/M",D16/G16),"N/M"))</f>
        <v>83.1061599081951</v>
      </c>
      <c r="L16" s="52" t="n">
        <f aca="false">IF($A16="","",IFERROR(IF(H16&lt;=0,"N/M",D16/H16),"N/M"))</f>
        <v>40.3745354439031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0.354405889038531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0.0107784865209581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46286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34.0740740740741</v>
      </c>
      <c r="K17" s="52" t="n">
        <f aca="false">IF($A17="","",IFERROR(IF(G17&lt;=0,"N/M",D17/G17),"N/M"))</f>
        <v>29.3929712460064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46286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90.8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6.78653846575343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15.3378378378378</v>
      </c>
      <c r="K18" s="52" t="n">
        <f aca="false">IF($A18="","",IFERROR(IF(G18&lt;=0,"N/M",D18/G18),"N/M"))</f>
        <v>15.9282317382297</v>
      </c>
      <c r="L18" s="52" t="n">
        <f aca="false">IF($A18="","",IFERROR(IF(H18&lt;=0,"N/M",D18/H18),"N/M"))</f>
        <v>13.379427591577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0.622689997689998</v>
      </c>
      <c r="O18" s="51" t="n">
        <f aca="false">IF($A18="","",IFERROR(IF(OR(NOT(ISNUMBER(L18)),M18&lt;Config!$B$6),"N/M",L18/(M18*100)),"N/M"))</f>
        <v>0.48228772451359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0.0441567933920705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46286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2150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284.317373534247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7.56197193746596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46286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490.5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9.31120761643836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57.6380728554642</v>
      </c>
      <c r="K20" s="52" t="n">
        <f aca="false">IF($A20="","",IFERROR(IF(G20&lt;=0,"N/M",D20/G20),"N/M"))</f>
        <v>60.4977465976955</v>
      </c>
      <c r="L20" s="52" t="n">
        <f aca="false">IF($A20="","",IFERROR(IF(H20&lt;=0,"N/M",D20/H20),"N/M"))</f>
        <v>52.6784516257647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1.80017563916503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0.00407747196738023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46286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618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12.2649589041096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100.487804878049</v>
      </c>
      <c r="K21" s="52" t="n">
        <f aca="false">IF($A21="","",IFERROR(IF(G21&lt;=0,"N/M",D21/G21),"N/M"))</f>
        <v>91.0162002945508</v>
      </c>
      <c r="L21" s="52" t="n">
        <f aca="false">IF($A21="","",IFERROR(IF(H21&lt;=0,"N/M",D21/H21),"N/M"))</f>
        <v>50.3874497119536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2.24775353016688</v>
      </c>
      <c r="O21" s="51" t="n">
        <f aca="false">IF($A21="","",IFERROR(IF(OR(NOT(ISNUMBER(L21)),M21&lt;Config!$B$6),"N/M",L21/(M21*100)),"N/M"))</f>
        <v>0.552467734972311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0.00249940587378641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46286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661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12.2983698630137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53.7469605616514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0.00658978882484363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46286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174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43.866816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19.205298013245</v>
      </c>
      <c r="K23" s="52" t="n">
        <f aca="false">IF($A23="","",IFERROR(IF(G23&lt;=0,"N/M",D23/G23),"N/M"))</f>
        <v>10.5396864624996</v>
      </c>
      <c r="L23" s="52" t="n">
        <f aca="false">IF($A23="","",IFERROR(IF(H23&lt;=0,"N/M",D23/H23),"N/M"))</f>
        <v>3.96655184638885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0.0398094752979561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0.0028735632183908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46286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545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110.772357723577</v>
      </c>
      <c r="K25" s="52" t="n">
        <f aca="false">IF($A25="","",IFERROR(IF(G25&lt;=0,"N/M",D25/G25),"N/M"))</f>
        <v>126.450116009281</v>
      </c>
      <c r="L25" s="52" t="n">
        <f aca="false">IF($A25="","",IFERROR(IF(H25&lt;=0,"N/M",D25/H25),"N/M"))</f>
        <v>45.530492898914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0.0018348623853211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46286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553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12.015698630137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46.0231249985749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0.248002763910388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46286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2026-09-21T13:13:00Z</dcterms:created>
  <dc:creator>openpyxl</dc:creator>
  <dc:description/>
  <dc:language>en-US</dc:language>
  <cp:lastModifiedBy/>
  <dcterms:modified xsi:type="dcterms:W3CDTF">2026-09-21T13:13:00Z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