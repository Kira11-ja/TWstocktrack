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<sst xmlns="http://schemas.openxmlformats.org/spreadsheetml/2006/main" count="8221" uniqueCount="1534">
  <si>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</si>
  <si>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</si>
  <si>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</si>
  <si>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</si>
  <si>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</si>
  <si>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</si>
  <si>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</si>
  <si>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</si>
  <si>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</si>
  <si>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</si>
  <si>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</si>
  <si>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</si>
  <si>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</si>
  <si>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</si>
  <si>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</si>
  <si>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</si>
  <si>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</si>
  <si>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</si>
  <si>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</si>
  <si>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</si>
  <si>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</si>
  <si>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</si>
  <si>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</si>
  <si>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</si>
  <si>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</si>
  <si>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</si>
  <si>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</si>
  <si>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</si>
  <si>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</si>
  <si>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</si>
  <si>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</si>
  <si>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</si>
  <si>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</si>
  <si>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</si>
  <si>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</si>
  <si>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</si>
  <si>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</si>
  <si>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</si>
  <si>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</si>
  <si>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</si>
  <si>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</si>
  <si>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</si>
  <si>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</si>
  <si>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</si>
  <si>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</si>
  <si>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</si>
  <si>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</si>
  <si>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</si>
  <si>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</si>
  <si>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</si>
  <si>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</si>
  <si>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</si>
  <si>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</si>
  <si>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</si>
  <si>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</si>
  <si>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</si>
  <si>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</si>
  <si>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</si>
  <si>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</si>
  <si>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</si>
  <si>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</si>
  <si>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</si>
  <si>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</si>
  <si>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</si>
  <si>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</si>
  <si>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</si>
  <si>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</si>
  <si>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</si>
  <si>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</si>
  <si>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</si>
  <si>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</si>
  <si>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</si>
  <si>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</si>
  <si>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</si>
  <si>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</si>
  <si>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</si>
  <si>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</si>
  <si>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</si>
  <si>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</si>
  <si>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</si>
  <si>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</si>
  <si>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</si>
  <si>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</si>
  <si>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</si>
  <si>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</si>
  <si>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</si>
  <si>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</si>
  <si>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</si>
  <si>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</si>
  <si>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</si>
  <si>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</si>
  <si>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</si>
  <si>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</si>
  <si>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</si>
  <si>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</si>
  <si>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</si>
  <si>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</si>
  <si>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</si>
  <si>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</si>
  <si>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</si>
  <si>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</si>
  <si>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</si>
  <si>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</si>
  <si>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</si>
  <si>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</si>
  <si>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</si>
  <si>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</si>
  <si>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</si>
  <si>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</si>
  <si>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</si>
  <si>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</si>
  <si>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</si>
  <si>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</si>
  <si>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</si>
  <si>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</si>
  <si>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</si>
  <si>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</si>
  <si>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</si>
  <si>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</si>
  <si>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</si>
  <si>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</si>
  <si>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</si>
  <si>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</si>
  <si>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</si>
  <si>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</si>
  <si>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</si>
  <si>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</si>
  <si>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</si>
  <si>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</si>
  <si>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</si>
  <si>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</si>
  <si>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</si>
  <si>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</si>
  <si>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</si>
  <si>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</si>
  <si>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</si>
  <si>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</si>
  <si>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</si>
  <si>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</si>
  <si>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</si>
  <si>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</si>
  <si>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</si>
  <si>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</si>
  <si>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</si>
  <si>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</si>
  <si>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</si>
  <si>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</si>
  <si>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</si>
  <si>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</si>
  <si>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</si>
  <si>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</si>
  <si>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</si>
  <si>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</si>
  <si>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</si>
  <si>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</si>
  <si>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</si>
  <si>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</si>
  <si>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</si>
  <si>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</si>
  <si>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</si>
  <si>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</si>
  <si>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</si>
  <si>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</si>
  <si>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</si>
  <si>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</si>
  <si>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</si>
  <si>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</si>
  <si>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</si>
  <si>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</si>
  <si>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</si>
  <si>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</si>
  <si>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</si>
  <si>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</si>
  <si>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</si>
  <si>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</si>
  <si>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</si>
  <si>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</si>
  <si>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</si>
  <si>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</si>
  <si>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</si>
  <si>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</si>
  <si>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</si>
  <si>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</si>
  <si>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</si>
  <si>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</si>
  <si>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</si>
  <si>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</si>
  <si>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</si>
  <si>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</si>
  <si>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</si>
  <si>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</si>
  <si>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</si>
  <si>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</si>
  <si>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</si>
  <si>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</si>
  <si>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</si>
  <si>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</si>
  <si>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</si>
  <si>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</si>
  <si>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</si>
  <si>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</si>
  <si>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</si>
  <si>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</si>
  <si>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</si>
  <si>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</si>
  <si>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</si>
  <si>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</si>
  <si>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</si>
  <si>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</si>
  <si>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</si>
  <si>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</si>
  <si>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</si>
  <si>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</si>
  <si>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</si>
  <si>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</si>
  <si>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</si>
  <si>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</si>
  <si>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</si>
  <si>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</si>
  <si>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</si>
  <si>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</si>
  <si>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</si>
  <si>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</si>
  <si>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</si>
  <si>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</si>
  <si>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</si>
  <si>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</si>
  <si>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</si>
  <si>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</si>
  <si>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</si>
  <si>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</si>
  <si>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</si>
  <si>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</si>
  <si>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</si>
  <si>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</si>
  <si>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</si>
  <si>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</si>
  <si>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</si>
  <si>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</si>
  <si>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</si>
  <si>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</si>
  <si>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</si>
  <si>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</si>
  <si>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</si>
  <si>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</si>
  <si>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</si>
  <si>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</si>
  <si>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</si>
  <si>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</si>
  <si>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</si>
  <si>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</si>
  <si>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</si>
  <si>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</si>
  <si>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</si>
  <si>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</si>
  <si>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</si>
  <si>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</si>
  <si>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</si>
  <si>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</si>
  <si>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</si>
  <si>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</si>
  <si>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</si>
  <si>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</si>
  <si>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</si>
  <si>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</si>
  <si>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</si>
  <si>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</si>
  <si>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</si>
  <si>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</si>
  <si>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</si>
  <si>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</si>
  <si>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</si>
  <si>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</si>
  <si>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</si>
  <si>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</si>
  <si>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</si>
  <si>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</si>
  <si>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</si>
  <si>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</si>
  <si>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</si>
  <si>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</si>
  <si>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</si>
  <si>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</si>
  <si>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</si>
  <si>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</si>
  <si>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</si>
  <si>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</si>
  <si>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</si>
  <si>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</si>
  <si>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</si>
  <si>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</si>
  <si>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</si>
  <si>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</si>
  <si>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</si>
  <si>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</si>
  <si>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</si>
  <si>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</si>
  <si>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</si>
  <si>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</si>
  <si>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</si>
  <si>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</si>
  <si>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</si>
  <si>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</si>
  <si>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</si>
  <si>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</si>
  <si>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</si>
  <si>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</si>
  <si>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</si>
  <si>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</si>
  <si>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</si>
  <si>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</si>
  <si>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</si>
  <si>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</si>
  <si>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</si>
  <si>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</si>
  <si>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</si>
  <si>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</si>
  <si>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</si>
  <si>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</si>
  <si>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</si>
  <si>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</si>
  <si>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</si>
  <si>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</si>
  <si>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</si>
  <si>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</si>
  <si>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</si>
  <si>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</si>
  <si>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</si>
  <si>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</si>
  <si>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</si>
  <si>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</si>
  <si>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</si>
  <si>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</si>
  <si>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</si>
  <si>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</si>
  <si>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</si>
  <si>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</si>
  <si>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</si>
  <si>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</si>
  <si>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</si>
  <si>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</si>
  <si>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</si>
  <si>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</si>
  <si>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</si>
  <si>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</si>
  <si>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</si>
  <si>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</si>
  <si>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</si>
  <si>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</si>
  <si>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</si>
  <si>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</si>
  <si>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</si>
  <si>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</si>
  <si>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</si>
  <si>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</si>
  <si>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</si>
  <si>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</si>
  <si>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</si>
  <si>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</si>
  <si>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</si>
  <si>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</si>
  <si>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</si>
  <si>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</si>
  <si>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</si>
  <si>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</si>
  <si>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</si>
  <si>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</si>
  <si>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</si>
  <si>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</si>
  <si>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</si>
  <si>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</si>
  <si>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</si>
  <si>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</si>
  <si>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</si>
  <si>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</si>
  <si>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</si>
  <si>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</si>
  <si>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</si>
  <si>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</si>
  <si>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</si>
  <si>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</si>
  <si>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</si>
  <si>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</si>
  <si>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</si>
  <si>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</si>
  <si>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</si>
  <si>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</si>
  <si>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</si>
  <si>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</si>
  <si>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</si>
  <si>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</si>
  <si>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</si>
  <si>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</si>
  <si>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</si>
  <si>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</si>
  <si>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</si>
  <si>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</si>
  <si>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</si>
  <si>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</si>
  <si>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</si>
  <si>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</si>
  <si>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</si>
  <si>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</si>
  <si>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</si>
  <si>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</si>
  <si>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</si>
  <si>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</si>
  <si>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</si>
  <si>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</si>
  <si>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</si>
  <si>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</si>
  <si>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</si>
  <si>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</si>
  <si>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</si>
  <si>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</si>
  <si>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</si>
  <si>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</si>
  <si>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</si>
  <si>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</si>
  <si>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</si>
  <si>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</si>
  <si>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</si>
  <si>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</si>
  <si>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</si>
  <si>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</si>
  <si>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</si>
  <si>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</si>
  <si>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</si>
  <si>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</si>
  <si>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</si>
  <si>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</si>
  <si>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</si>
  <si>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</si>
  <si>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</si>
  <si>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</si>
  <si>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</si>
  <si>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</si>
  <si>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</si>
  <si>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</si>
  <si>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</si>
  <si>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</si>
  <si>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</si>
  <si>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</si>
  <si>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</si>
  <si>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</si>
  <si>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</si>
  <si>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</si>
  <si>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</si>
  <si>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</si>
  <si>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</si>
  <si>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</si>
  <si>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</si>
  <si>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</si>
  <si>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</si>
  <si>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</si>
  <si>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</si>
  <si>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</si>
  <si>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</si>
  <si>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</si>
  <si>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</si>
  <si>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</si>
  <si>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</si>
  <si>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</si>
  <si>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</si>
  <si>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</si>
  <si>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</si>
  <si>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</si>
  <si>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</si>
  <si>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</si>
  <si>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</si>
  <si>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</si>
  <si>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</si>
  <si>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</si>
  <si>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</si>
  <si>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</si>
  <si>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</si>
  <si>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</si>
  <si>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</si>
  <si>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</si>
  <si>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</si>
  <si>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</si>
  <si>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</si>
  <si>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</si>
  <si>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</si>
  <si>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</si>
  <si>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</si>
  <si>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</si>
  <si>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</si>
  <si>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</si>
  <si>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</si>
  <si>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</si>
  <si>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</si>
  <si>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</si>
  <si>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</si>
  <si>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</si>
  <si>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</si>
  <si>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</si>
  <si>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</si>
  <si>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</si>
  <si>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</si>
  <si>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</si>
  <si>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</si>
  <si>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</si>
  <si>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</si>
  <si>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</si>
  <si>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</si>
  <si>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</si>
  <si>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</si>
  <si>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</si>
  <si>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</si>
  <si>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</si>
  <si>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</si>
  <si>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</si>
  <si>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</si>
  <si>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</si>
  <si>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</si>
  <si>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</si>
  <si>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</si>
  <si>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</si>
  <si>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</si>
  <si>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</si>
  <si>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</si>
  <si>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</si>
  <si>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</si>
  <si>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</si>
  <si>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</si>
  <si>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</si>
  <si>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</si>
  <si>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</si>
  <si>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</si>
  <si>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</si>
  <si>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</si>
  <si>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</si>
  <si>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</si>
  <si>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</si>
  <si>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</si>
  <si>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</si>
  <si>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</si>
  <si>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</si>
  <si>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</si>
  <si>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</si>
  <si>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</si>
  <si>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</si>
  <si>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</si>
  <si>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</si>
  <si>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</si>
  <si>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</si>
  <si>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</si>
  <si>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</si>
  <si>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</si>
  <si>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</si>
  <si>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</si>
  <si>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</si>
  <si>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</si>
  <si>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</si>
  <si>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</si>
  <si>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</si>
  <si>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</si>
  <si>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</si>
  <si>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</si>
  <si>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</si>
  <si>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</si>
  <si>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</si>
  <si>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</si>
  <si>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</si>
  <si>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</si>
  <si>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</si>
  <si>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</si>
  <si>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</si>
  <si>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</si>
  <si>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</si>
  <si>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</si>
  <si>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</si>
  <si>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</si>
  <si>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</si>
  <si>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</si>
  <si>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</si>
  <si>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</si>
  <si>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</si>
  <si>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</si>
  <si>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</si>
  <si>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</si>
  <si>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</si>
  <si>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</si>
  <si>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</si>
  <si>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</si>
  <si>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</si>
  <si>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</si>
  <si>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</si>
  <si>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</si>
  <si>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</si>
  <si>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</si>
  <si>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</si>
  <si>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</si>
  <si>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</si>
  <si>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</si>
  <si>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</si>
  <si>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</si>
  <si>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</si>
  <si>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</si>
  <si>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</si>
  <si>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</si>
  <si>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</si>
  <si>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</si>
  <si>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</si>
  <si>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</si>
  <si>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</si>
  <si>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</si>
  <si>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</si>
  <si>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</si>
  <si>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</si>
  <si>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</si>
  <si>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</si>
  <si>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</si>
  <si>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</si>
  <si>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</si>
  <si>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</si>
  <si>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</si>
  <si>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</si>
  <si>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</si>
  <si>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</si>
  <si>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</si>
  <si>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</si>
  <si>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</si>
  <si>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</si>
  <si>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</si>
  <si>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</si>
  <si>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</si>
  <si>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</si>
  <si>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</si>
  <si>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</si>
  <si>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</si>
  <si>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</si>
  <si>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</si>
  <si>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</si>
  <si>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</si>
  <si>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</si>
  <si>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</si>
  <si>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</si>
  <si>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</si>
  <si>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</si>
  <si>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</si>
  <si>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</si>
  <si>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</si>
  <si>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</si>
  <si>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</si>
  <si>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</si>
  <si>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</si>
  <si>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</si>
  <si>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</si>
  <si>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</si>
  <si>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</si>
  <si>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</si>
  <si>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</si>
  <si>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</si>
  <si>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</si>
  <si>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</si>
  <si>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</si>
  <si>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</si>
  <si>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</si>
  <si>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</si>
  <si>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</si>
  <si>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</si>
  <si>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</si>
  <si>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</si>
  <si>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</si>
  <si>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</si>
  <si>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</si>
  <si>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</si>
  <si>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</si>
  <si>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</si>
  <si>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</si>
  <si>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</si>
  <si>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</si>
  <si>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</si>
  <si>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</si>
  <si>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</si>
  <si>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</si>
  <si>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</si>
  <si>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</si>
  <si>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</si>
  <si>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</si>
  <si>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</si>
  <si>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</si>
  <si>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</si>
  <si>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</si>
  <si>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</si>
  <si>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</si>
  <si>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</si>
  <si>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</si>
  <si>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</si>
  <si>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</si>
  <si>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</si>
  <si>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</si>
  <si>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</si>
  <si>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</si>
  <si>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</si>
  <si>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</si>
  <si>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</si>
  <si>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</si>
  <si>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</si>
  <si>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</si>
  <si>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</si>
  <si>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</si>
  <si>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</si>
  <si>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</si>
  <si>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</si>
  <si>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</si>
  <si>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</si>
  <si>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</si>
  <si>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</si>
  <si>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</si>
  <si>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</si>
  <si>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</si>
  <si>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</si>
  <si>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</si>
  <si>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</si>
  <si>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</si>
  <si>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</si>
  <si>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</si>
  <si>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</si>
  <si>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</si>
  <si>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</si>
  <si>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</si>
  <si>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</si>
  <si>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</si>
  <si>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</si>
  <si>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</si>
  <si>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</si>
  <si>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</si>
  <si>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</si>
  <si>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</si>
  <si>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</si>
  <si>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</si>
  <si>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</si>
  <si>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</si>
  <si>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</si>
  <si>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</si>
  <si>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</si>
  <si>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</si>
  <si>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</si>
  <si>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</si>
  <si>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</si>
  <si>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</si>
  <si>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</si>
  <si>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</si>
  <si>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</si>
  <si>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</si>
  <si>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</si>
  <si>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</si>
  <si>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</si>
  <si>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</si>
  <si>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</si>
  <si>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</si>
  <si>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</si>
  <si>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</si>
  <si>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</si>
  <si>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</si>
  <si>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</si>
  <si>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</si>
  <si>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</si>
  <si>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</si>
  <si>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</si>
  <si>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</si>
  <si>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</si>
  <si>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</si>
  <si>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</si>
  <si>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</si>
  <si>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</si>
  <si>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</si>
  <si>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</si>
  <si>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</si>
  <si>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</si>
  <si>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</si>
  <si>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</si>
  <si>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</si>
  <si>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</si>
  <si>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</si>
  <si>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</si>
  <si>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</si>
  <si>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</si>
  <si>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</si>
  <si>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</si>
  <si>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</si>
  <si>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</si>
  <si>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</si>
  <si>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</si>
  <si>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</si>
  <si>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</si>
  <si>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</si>
  <si>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</si>
  <si>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</si>
  <si>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</si>
  <si>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</si>
  <si>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</si>
  <si>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</si>
  <si>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</si>
  <si>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</si>
  <si>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</si>
  <si>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</si>
  <si>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</si>
  <si>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</si>
  <si>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</si>
  <si>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</si>
  <si>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</si>
  <si>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</si>
  <si>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</si>
  <si>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</si>
  <si>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</si>
  <si>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</si>
  <si>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</si>
  <si>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</si>
  <si>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</si>
  <si>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</si>
  <si>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</si>
  <si>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</si>
  <si>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</si>
  <si>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</si>
  <si>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</si>
  <si>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</si>
  <si>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</si>
  <si>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</si>
  <si>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</si>
  <si>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</si>
  <si>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</si>
  <si>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</si>
  <si>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</si>
  <si>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</si>
  <si>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</si>
  <si>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</si>
  <si>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</si>
  <si>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</si>
  <si>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</si>
  <si>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</si>
  <si>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</si>
  <si>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</si>
  <si>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</si>
  <si>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</si>
  <si>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</si>
  <si>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</si>
  <si>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</si>
  <si>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</si>
  <si>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</si>
  <si>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</si>
  <si>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</si>
  <si>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</si>
  <si>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</si>
  <si>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</si>
  <si>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</si>
  <si>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</si>
  <si>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</si>
  <si>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</si>
  <si>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</si>
  <si>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</si>
  <si>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</si>
  <si>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</si>
  <si>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</si>
  <si>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</si>
  <si>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</si>
  <si>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</si>
  <si>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</si>
  <si>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</si>
  <si>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</si>
  <si>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</si>
  <si>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</si>
  <si>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</si>
  <si>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</si>
  <si>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</si>
  <si>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</si>
  <si>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</si>
  <si>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</si>
  <si>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</si>
  <si>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</si>
  <si>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</si>
  <si>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</si>
  <si>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</si>
  <si>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</si>
  <si>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</si>
  <si>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</si>
  <si>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</si>
  <si>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</si>
  <si>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</si>
  <si>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</si>
  <si>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</si>
  <si>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</si>
  <si>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</si>
  <si>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</si>
  <si>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</si>
  <si>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</si>
  <si>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</si>
  <si>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</si>
  <si>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</si>
  <si>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</si>
  <si>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</si>
  <si>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</si>
  <si>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</si>
  <si>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</si>
  <si>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</si>
  <si>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</si>
  <si>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</si>
  <si>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</si>
  <si>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</si>
  <si>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</si>
  <si>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</si>
  <si>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</si>
  <si>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</si>
  <si>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</si>
  <si>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</si>
  <si>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</si>
  <si>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</si>
  <si>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</si>
  <si>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</si>
  <si>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</si>
  <si>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</si>
  <si>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</si>
  <si>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</si>
  <si>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</si>
  <si>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</si>
  <si>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</si>
  <si>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</si>
  <si>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</si>
  <si>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</si>
  <si>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</si>
  <si>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</si>
  <si>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</si>
  <si>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</si>
  <si>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</si>
  <si>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</si>
  <si>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</si>
  <si>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</si>
  <si>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</si>
  <si>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</si>
  <si>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</si>
  <si>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</si>
  <si>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</si>
  <si>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</si>
  <si>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</si>
  <si>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</si>
  <si>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</si>
  <si>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</si>
  <si>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</si>
  <si>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</si>
  <si>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</si>
  <si>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</si>
  <si>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</si>
  <si>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</si>
  <si>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</si>
  <si>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</si>
  <si>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</si>
  <si>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</si>
  <si>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</si>
  <si>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</si>
  <si>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</si>
  <si>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</si>
  <si>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</si>
  <si>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</si>
  <si>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</si>
  <si>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</si>
  <si>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</si>
  <si>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</si>
  <si>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</si>
  <si>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</si>
  <si>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</si>
  <si>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</si>
  <si>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</si>
  <si>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</si>
  <si>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</si>
  <si>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</si>
  <si>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</si>
  <si>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</si>
  <si>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</si>
  <si>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</si>
  <si>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</si>
  <si>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</si>
  <si>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</si>
  <si>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</si>
  <si>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</si>
  <si>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</si>
  <si>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</si>
  <si>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</si>
  <si>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</si>
  <si>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</si>
  <si>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</si>
  <si>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</si>
  <si>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</si>
  <si>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</si>
  <si>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</si>
  <si>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</si>
  <si>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</si>
  <si>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</si>
  <si>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</si>
  <si>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</si>
  <si>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</si>
  <si>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</si>
  <si>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</si>
  <si>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</si>
  <si>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</si>
  <si>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</si>
  <si>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</si>
  <si>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</si>
  <si>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</si>
  <si>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</si>
  <si>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</si>
  <si>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</si>
  <si>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</si>
  <si>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</si>
  <si>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</si>
  <si>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</si>
  <si>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</si>
  <si>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</si>
  <si>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</si>
  <si>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</si>
  <si>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</si>
  <si>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</si>
  <si>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</si>
  <si>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</si>
  <si>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</si>
  <si>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</si>
  <si>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</si>
  <si>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</si>
  <si>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</si>
  <si>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</si>
  <si>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</si>
  <si>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</si>
  <si>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</si>
  <si>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</si>
  <si>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</si>
  <si>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</si>
  <si>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</si>
  <si>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</si>
  <si>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</si>
  <si>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</si>
  <si>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</si>
  <si>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</si>
  <si>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</si>
  <si>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</si>
  <si>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</si>
  <si>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</si>
  <si>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</si>
  <si>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</si>
  <si>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</si>
  <si>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</si>
  <si>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</si>
  <si>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</si>
  <si>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</si>
  <si>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</si>
  <si>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</si>
  <si>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</si>
  <si>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</si>
  <si>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</si>
  <si>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</si>
  <si>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</si>
  <si>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</si>
  <si>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</si>
  <si>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</si>
  <si>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</si>
  <si>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</si>
  <si>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</si>
  <si>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</si>
  <si>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</si>
  <si>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</si>
  <si>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</si>
  <si>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</si>
  <si>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</si>
  <si>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</si>
  <si>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</si>
  <si>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</si>
  <si>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</si>
  <si>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</si>
  <si>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</si>
  <si>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</si>
  <si>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</si>
  <si>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</si>
  <si>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</si>
  <si>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</si>
  <si>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</si>
  <si>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</si>
  <si>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</si>
  <si>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</si>
  <si>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2026-10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</si>
  <si>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</si>
  <si>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</si>
  <si>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</si>
  <si>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</si>
  <si>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</si>
  <si>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</si>
  <si>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</si>
  <si>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</si>
  <si>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</si>
  <si>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</si>
  <si>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</si>
  <si>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</si>
  <si>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</si>
  <si>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</si>
  <si>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</si>
  <si>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</si>
  <si>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</si>
  <si>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</si>
  <si>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</si>
  <si>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</si>
  <si>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</si>
  <si>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</si>
  <si>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</si>
  <si>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</si>
  <si>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2059|25</t>
  </si>
  <si>
    <t xml:space="preserve">2024-09</t>
  </si>
  <si>
    <t xml:space="preserve">2059|26</t>
  </si>
  <si>
    <t xml:space="preserve">2024-08</t>
  </si>
  <si>
    <t xml:space="preserve">2059|27</t>
  </si>
  <si>
    <t xml:space="preserve">2024-07</t>
  </si>
  <si>
    <t xml:space="preserve">2059|28</t>
  </si>
  <si>
    <t xml:space="preserve">2024-06</t>
  </si>
  <si>
    <t xml:space="preserve">2059|29</t>
  </si>
  <si>
    <t xml:space="preserve">2024-05</t>
  </si>
  <si>
    <t xml:space="preserve">2059|30</t>
  </si>
  <si>
    <t xml:space="preserve">2024-04</t>
  </si>
  <si>
    <t xml:space="preserve">2059|31</t>
  </si>
  <si>
    <t xml:space="preserve">2024-03</t>
  </si>
  <si>
    <t xml:space="preserve">2059|32</t>
  </si>
  <si>
    <t xml:space="preserve">2024-02</t>
  </si>
  <si>
    <t xml:space="preserve">2059|33</t>
  </si>
  <si>
    <t xml:space="preserve">2024-01</t>
  </si>
  <si>
    <t xml:space="preserve">2059|34</t>
  </si>
  <si>
    <t xml:space="preserve">2023-12</t>
  </si>
  <si>
    <t xml:space="preserve">2059|35</t>
  </si>
  <si>
    <t xml:space="preserve">2023-11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</si>
  <si>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</si>
  <si>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</si>
  <si>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</si>
  <si>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</si>
  <si>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</si>
  <si>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</si>
  <si>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</si>
  <si>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</si>
  <si>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</si>
  <si>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</si>
  <si>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</si>
  <si>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</si>
  <si>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</si>
  <si>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</si>
  <si>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</si>
  <si>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</si>
  <si>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</si>
  <si>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</si>
  <si>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</si>
  <si>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</si>
  <si>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</si>
  <si>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</si>
  <si>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</si>
  <si>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</si>
  <si>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</si>
  <si>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</si>
  <si>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</si>
  <si>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</si>
  <si>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</si>
  <si>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</si>
  <si>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</si>
  <si>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</si>
  <si>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</si>
  <si>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</si>
  <si>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</si>
  <si>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</si>
  <si>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</si>
  <si>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</si>
  <si>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</si>
  <si>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</si>
  <si>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</si>
  <si>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</si>
  <si>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</si>
  <si>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</si>
  <si>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</si>
  <si>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</si>
  <si>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</si>
  <si>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</si>
  <si>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</si>
  <si>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</si>
  <si>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</si>
  <si>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</si>
  <si>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</si>
  <si>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</si>
  <si>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</si>
  <si>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</si>
  <si>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</si>
  <si>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</si>
  <si>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</si>
  <si>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</si>
  <si>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</si>
  <si>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</si>
  <si>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</si>
  <si>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</si>
  <si>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</si>
  <si>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</si>
  <si>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</si>
  <si>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</si>
  <si>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</si>
  <si>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</si>
  <si>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</si>
  <si>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</si>
  <si>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</si>
  <si>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</si>
  <si>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</si>
  <si>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</si>
  <si>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</si>
  <si>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</si>
  <si>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</si>
  <si>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</si>
  <si>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</si>
  <si>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</si>
  <si>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</si>
  <si>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</si>
  <si>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2023-10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</si>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</sst>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AADCB7"/>
          <bgColor rgb="FF000000"/>
        </patternFill>
      </fill>
    </dxf>
    <dxf>
      <fill>
        <patternFill patternType="solid">
          <fgColor rgb="FFDCF1E1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F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2490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0.437688500053166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28.8595271210014</v>
      </c>
      <c r="P3" s="22" t="n">
        <f aca="false">IF(Calc!$A$2="","",Calc!L$2)</f>
        <v>18.081299317056</v>
      </c>
      <c r="Q3" s="18" t="n">
        <f aca="false">IF(Calc!$A$2="","",Calc!N$2)</f>
        <v>0.542235559620817</v>
      </c>
      <c r="R3" s="18" t="n">
        <f aca="false">IF(Calc!$A$2="","",Calc!O$2)</f>
        <v>0.527807190203137</v>
      </c>
      <c r="S3" s="19" t="n">
        <f aca="false">IF(Calc!$A$2="","",Calc!Q$2)</f>
        <v>0.00883538159839357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488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0.822364173580978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17.9742173112339</v>
      </c>
      <c r="P4" s="22" t="n">
        <f aca="false">IF(Calc!$A$3="","",Calc!L$3)</f>
        <v>4.46806441539836</v>
      </c>
      <c r="Q4" s="18" t="str">
        <f aca="false">IF(Calc!$A$3="","",Calc!N$3)</f>
        <v>N/M</v>
      </c>
      <c r="R4" s="18" t="n">
        <f aca="false">IF(Calc!$A$3="","",Calc!O$3)</f>
        <v>0.0832395568380748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1190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5.19410181996207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508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0.27902443098403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123.300970873786</v>
      </c>
      <c r="P6" s="22" t="n">
        <f aca="false">IF(Calc!$A$5="","",Calc!L$5)</f>
        <v>58.9647303873956</v>
      </c>
      <c r="Q6" s="18" t="n">
        <f aca="false">IF(Calc!$A$5="","",Calc!N$5)</f>
        <v>2.00265908107105</v>
      </c>
      <c r="R6" s="18" t="n">
        <f aca="false">IF(Calc!$A$5="","",Calc!O$5)</f>
        <v>0.846319289882812</v>
      </c>
      <c r="S6" s="19" t="n">
        <f aca="false">IF(Calc!$A$5="","",Calc!Q$5)</f>
        <v>0.00515857584645669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546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0.299427087809628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19.0442971747471</v>
      </c>
      <c r="P7" s="22" t="n">
        <f aca="false">IF(Calc!$A$6="","",Calc!L$6)</f>
        <v>15.5591982770236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0.0512820512820513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2260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0.273562150990253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41.4450761048964</v>
      </c>
      <c r="P8" s="22" t="n">
        <f aca="false">IF(Calc!$A$7="","",Calc!L$7)</f>
        <v>19.5473675457283</v>
      </c>
      <c r="Q8" s="18" t="n">
        <f aca="false">IF(Calc!$A$7="","",Calc!N$7)</f>
        <v>0.721227630910835</v>
      </c>
      <c r="R8" s="18" t="n">
        <f aca="false">IF(Calc!$A$7="","",Calc!O$7)</f>
        <v>0.230852116770515</v>
      </c>
      <c r="S8" s="19" t="n">
        <f aca="false">IF(Calc!$A$7="","",Calc!Q$7)</f>
        <v>0.00464844357964602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595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17.7217575936109</v>
      </c>
      <c r="Q9" s="18" t="str">
        <f aca="false">IF(Calc!$A$8="","",Calc!N$8)</f>
        <v>N/M</v>
      </c>
      <c r="R9" s="18" t="n">
        <f aca="false">IF(Calc!$A$8="","",Calc!O$8)</f>
        <v>1.40258988208501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355.5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0.337122302004036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13.3096218644702</v>
      </c>
      <c r="P10" s="22" t="n">
        <f aca="false">IF(Calc!$A$9="","",Calc!L$9)</f>
        <v>9.8104801305794</v>
      </c>
      <c r="Q10" s="18" t="n">
        <f aca="false">IF(Calc!$A$9="","",Calc!N$9)</f>
        <v>0.21238483091798</v>
      </c>
      <c r="R10" s="18" t="n">
        <f aca="false">IF(Calc!$A$9="","",Calc!O$9)</f>
        <v>0.932332322159763</v>
      </c>
      <c r="S10" s="19" t="n">
        <f aca="false">IF(Calc!$A$9="","",Calc!Q$9)</f>
        <v>0.0281293952180028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10060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0.990033037124845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55.4606097359281</v>
      </c>
      <c r="P11" s="22" t="n">
        <f aca="false">IF(Calc!$A$10="","",Calc!L$10)</f>
        <v>21.6360193239568</v>
      </c>
      <c r="Q11" s="18" t="n">
        <f aca="false">IF(Calc!$A$10="","",Calc!N$10)</f>
        <v>0.329090318663207</v>
      </c>
      <c r="R11" s="18" t="n">
        <f aca="false">IF(Calc!$A$10="","",Calc!O$10)</f>
        <v>0.520113695343174</v>
      </c>
      <c r="S11" s="19" t="n">
        <f aca="false">IF(Calc!$A$10="","",Calc!Q$10)</f>
        <v>0.00320079522862823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2725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0.384482227728418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243.086529884032</v>
      </c>
      <c r="P12" s="22" t="n">
        <f aca="false">IF(Calc!$A$11="","",Calc!L$11)</f>
        <v>77.6087397891312</v>
      </c>
      <c r="Q12" s="18" t="n">
        <f aca="false">IF(Calc!$A$11="","",Calc!N$11)</f>
        <v>0.431529659142872</v>
      </c>
      <c r="R12" s="18" t="n">
        <f aca="false">IF(Calc!$A$11="","",Calc!O$11)</f>
        <v>0.76932809012681</v>
      </c>
      <c r="S12" s="19" t="n">
        <f aca="false">IF(Calc!$A$11="","",Calc!Q$11)</f>
        <v>0.000183494366972477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645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66.9087136929461</v>
      </c>
      <c r="P13" s="22" t="str">
        <f aca="false">IF(Calc!$A$12="","",Calc!L$12)</f>
        <v>N/M</v>
      </c>
      <c r="Q13" s="18" t="n">
        <f aca="false">IF(Calc!$A$12="","",Calc!N$12)</f>
        <v>0.251026985752423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1040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0.13347169407611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176.271186440678</v>
      </c>
      <c r="P14" s="22" t="n">
        <f aca="false">IF(Calc!$A$13="","",Calc!L$13)</f>
        <v>42.5109586442464</v>
      </c>
      <c r="Q14" s="18" t="n">
        <f aca="false">IF(Calc!$A$13="","",Calc!N$13)</f>
        <v>0.454772144122005</v>
      </c>
      <c r="R14" s="18" t="n">
        <f aca="false">IF(Calc!$A$13="","",Calc!O$13)</f>
        <v>0.284232384304918</v>
      </c>
      <c r="S14" s="19" t="n">
        <f aca="false">IF(Calc!$A$13="","",Calc!Q$13)</f>
        <v>0.000961703778846154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1630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14.1389521894522</v>
      </c>
      <c r="Q15" s="18" t="str">
        <f aca="false">IF(Calc!$A$14="","",Calc!N$14)</f>
        <v>N/M</v>
      </c>
      <c r="R15" s="18" t="n">
        <f aca="false">IF(Calc!$A$14="","",Calc!O$14)</f>
        <v>0.128953732205903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141.5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0.198871620624717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21.1826347305389</v>
      </c>
      <c r="P16" s="22" t="n">
        <f aca="false">IF(Calc!$A$15="","",Calc!L$15)</f>
        <v>19.5553723786657</v>
      </c>
      <c r="Q16" s="18" t="n">
        <f aca="false">IF(Calc!$A$15="","",Calc!N$15)</f>
        <v>0.191307555828514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4525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0.258116608323361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74.5592354588895</v>
      </c>
      <c r="P17" s="22" t="n">
        <f aca="false">IF(Calc!$A$16="","",Calc!L$16)</f>
        <v>34.8939163810979</v>
      </c>
      <c r="Q17" s="18" t="str">
        <f aca="false">IF(Calc!$A$16="","",Calc!N$16)</f>
        <v>N/M</v>
      </c>
      <c r="R17" s="18" t="n">
        <f aca="false">IF(Calc!$A$16="","",Calc!O$16)</f>
        <v>0.303920847703438</v>
      </c>
      <c r="S17" s="19" t="n">
        <f aca="false">IF(Calc!$A$16="","",Calc!Q$16)</f>
        <v>0.0119337497171271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89.4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33.1111111111111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102.5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0.0748730420535528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17.3141891891892</v>
      </c>
      <c r="P19" s="22" t="n">
        <f aca="false">IF(Calc!$A$18="","",Calc!L$18)</f>
        <v>14.4728710910492</v>
      </c>
      <c r="Q19" s="18" t="n">
        <f aca="false">IF(Calc!$A$18="","",Calc!N$18)</f>
        <v>0.702926484176484</v>
      </c>
      <c r="R19" s="18" t="n">
        <f aca="false">IF(Calc!$A$18="","",Calc!O$18)</f>
        <v>0.508068142875772</v>
      </c>
      <c r="S19" s="19" t="n">
        <f aca="false">IF(Calc!$A$18="","",Calc!Q$18)</f>
        <v>0.0391164569756098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1965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6.34184587966378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556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0.0754540807228892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65.3349001175088</v>
      </c>
      <c r="P21" s="22" t="n">
        <f aca="false">IF(Calc!$A$20="","",Calc!L$20)</f>
        <v>57.3123456017017</v>
      </c>
      <c r="Q21" s="18" t="str">
        <f aca="false">IF(Calc!$A$20="","",Calc!N$20)</f>
        <v>N/M</v>
      </c>
      <c r="R21" s="18" t="n">
        <f aca="false">IF(Calc!$A$20="","",Calc!O$20)</f>
        <v>1.8393838228388</v>
      </c>
      <c r="S21" s="19" t="n">
        <f aca="false">IF(Calc!$A$20="","",Calc!Q$20)</f>
        <v>0.00359712230215827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535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86.9918699186992</v>
      </c>
      <c r="P22" s="22" t="n">
        <f aca="false">IF(Calc!$A$21="","",Calc!L$21)</f>
        <v>42.2217129118117</v>
      </c>
      <c r="Q22" s="18" t="n">
        <f aca="false">IF(Calc!$A$21="","",Calc!N$21)</f>
        <v>1.94587077449722</v>
      </c>
      <c r="R22" s="18" t="n">
        <f aca="false">IF(Calc!$A$21="","",Calc!O$21)</f>
        <v>0.462935398246719</v>
      </c>
      <c r="S22" s="19" t="n">
        <f aca="false">IF(Calc!$A$21="","",Calc!Q$21)</f>
        <v>0.0028871641682243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547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-0.00864655356373243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64.4404393500773</v>
      </c>
      <c r="Q23" s="18" t="str">
        <f aca="false">IF(Calc!$A$22="","",Calc!N$22)</f>
        <v>N/M</v>
      </c>
      <c r="R23" s="18" t="str">
        <f aca="false">IF(Calc!$A$22="","",Calc!O$22)</f>
        <v>N/M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161.5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0.693177764655042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17.8256070640177</v>
      </c>
      <c r="P24" s="22" t="n">
        <f aca="false">IF(Calc!$A$23="","",Calc!L$23)</f>
        <v>3.46000224433657</v>
      </c>
      <c r="Q24" s="18" t="str">
        <f aca="false">IF(Calc!$A$23="","",Calc!N$23)</f>
        <v>N/M</v>
      </c>
      <c r="R24" s="18" t="n">
        <f aca="false">IF(Calc!$A$23="","",Calc!O$23)</f>
        <v>0.032416266915692</v>
      </c>
      <c r="S24" s="19" t="n">
        <f aca="false">IF(Calc!$A$23="","",Calc!Q$23)</f>
        <v>0.00309597523219814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473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96.1382113821138</v>
      </c>
      <c r="P26" s="22" t="n">
        <f aca="false">IF(Calc!$A$25="","",Calc!L$25)</f>
        <v>39.515455304929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0.00211416490486258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520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40.2014733479906</v>
      </c>
      <c r="Q27" s="18" t="str">
        <f aca="false">IF(Calc!$A$26="","",Calc!N$26)</f>
        <v>N/M</v>
      </c>
      <c r="R27" s="18" t="n">
        <f aca="false">IF(Calc!$A$26="","",Calc!O$26)</f>
        <v>0.156866003081996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8095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0.531975972855065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207.510894642399</v>
      </c>
      <c r="P28" s="22" t="n">
        <f aca="false">IF(Calc!$A$27="","",Calc!L$27)</f>
        <v>76.0203026842902</v>
      </c>
      <c r="Q28" s="18" t="n">
        <f aca="false">IF(Calc!$A$27="","",Calc!N$27)</f>
        <v>4.68763123736882</v>
      </c>
      <c r="R28" s="18" t="n">
        <f aca="false">IF(Calc!$A$27="","",Calc!O$27)</f>
        <v>0.600381716467327</v>
      </c>
      <c r="S28" s="19" t="n">
        <f aca="false">IF(Calc!$A$27="","",Calc!Q$27)</f>
        <v>0.00247066090179123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5">
      <formula>"N/M"</formula>
    </cfRule>
  </conditionalFormatting>
  <conditionalFormatting sqref="Q3:Q33">
    <cfRule type="cellIs" priority="8" operator="lessThan" aboveAverage="0" equalAverage="0" bottom="0" percent="0" rank="0" text="" dxfId="66">
      <formula>1.5</formula>
    </cfRule>
  </conditionalFormatting>
  <conditionalFormatting sqref="R3:R33">
    <cfRule type="cellIs" priority="9" operator="lessThan" aboveAverage="0" equalAverage="0" bottom="0" percent="0" rank="0" text="" dxfId="66">
      <formula>1.5</formula>
    </cfRule>
  </conditionalFormatting>
  <conditionalFormatting sqref="L3:L33">
    <cfRule type="cellIs" priority="10" operator="equal" aboveAverage="0" equalAverage="0" bottom="0" percent="0" rank="0" text="" dxfId="66">
      <formula>"成長且加速"</formula>
    </cfRule>
    <cfRule type="cellIs" priority="11" operator="equal" aboveAverage="0" equalAverage="0" bottom="0" percent="0" rank="0" text="" dxfId="67">
      <formula>"成長但減速"</formula>
    </cfRule>
    <cfRule type="cellIs" priority="12" operator="equal" aboveAverage="0" equalAverage="0" bottom="0" percent="0" rank="0" text="" dxfId="67">
      <formula>"衰退但收斂"</formula>
    </cfRule>
    <cfRule type="cellIs" priority="13" operator="equal" aboveAverage="0" equalAverage="0" bottom="0" percent="0" rank="0" text="" dxfId="68">
      <formula>"衰退且惡化"</formula>
    </cfRule>
  </conditionalFormatting>
  <conditionalFormatting sqref="A3:W33">
    <cfRule type="expression" priority="14" aboveAverage="0" equalAverage="0" bottom="0" percent="0" rank="0" text="" dxfId="69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2490</v>
      </c>
      <c r="D4" s="30" t="s">
        <v>81</v>
      </c>
      <c r="E4" s="32" t="n">
        <f aca="false">IF($B$2="","",IFERROR(INDEX(Calc!$AM$2:$AM$100,MATCH($B$2,Calc!$A$2:$A$100,0)),""))</f>
        <v>24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46308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28.8595271210014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18.081299317056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0.542235559620817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0.527807190203137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137.711342328767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0.00883538159839357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0.437688500053166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0.342573948454492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2490</v>
      </c>
      <c r="L12" s="55" t="n">
        <f aca="false">IF(Stock_Card!$B$2="","",IFERROR(INDEX(Calc!$Q$2:$Q$100,MATCH(Stock_Card!$B$2,Calc!$A$2:$A$100,0)),""))</f>
        <v>0.00883538159839357</v>
      </c>
      <c r="M12" s="58" t="n">
        <f aca="false">IF(Stock_Card!$B$2="","",IFERROR(INDEX(Calc!$J$2:$J$100,MATCH(Stock_Card!$B$2,Calc!$A$2:$A$100,0)),""))</f>
        <v>28.8595271210014</v>
      </c>
      <c r="N12" s="57" t="n">
        <f aca="false">IF(Stock_Card!$B$2="","",IFERROR(INDEX(Calc!$N$2:$N$100,MATCH(Stock_Card!$B$2,Calc!$A$2:$A$100,0)),""))</f>
        <v>0.542235559620817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137.711342328767</v>
      </c>
      <c r="H13" s="55" t="n">
        <f aca="false">IF(Stock_Card!$B$2="","",IFERROR(INDEX(Calc!$M$2:$M$100,MATCH(Stock_Card!$B$2,Calc!$A$2:$A$100,0)),""))</f>
        <v>0.342573948454492</v>
      </c>
      <c r="I13" s="55" t="n">
        <f aca="false">IF(Stock_Card!$B$2="","",IFERROR(INDEX(Calc!$AI$2:$AI$100,MATCH(Stock_Card!$B$2,Calc!$A$2:$A$100,0)),""))</f>
        <v>0.437688500053166</v>
      </c>
      <c r="J13" s="59"/>
      <c r="K13" s="59"/>
      <c r="L13" s="59"/>
      <c r="M13" s="58" t="n">
        <f aca="false">IF(Stock_Card!$B$2="","",IFERROR(INDEX(Calc!$L$2:$L$100,MATCH(Stock_Card!$B$2,Calc!$A$2:$A$100,0)),""))</f>
        <v>18.081299317056</v>
      </c>
      <c r="N13" s="57" t="n">
        <f aca="false">IF(Stock_Card!$B$2="","",IFERROR(INDEX(Calc!$O$2:$O$100,MATCH(Stock_Card!$B$2,Calc!$A$2:$A$100,0)),""))</f>
        <v>0.527807190203137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{FCC2E3FE-F91B-46C4-9B12-80C556497570}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6">
      <formula>"成長且加速"</formula>
    </cfRule>
    <cfRule type="cellIs" priority="5" operator="equal" aboveAverage="0" equalAverage="0" bottom="0" percent="0" rank="0" text="" dxfId="67">
      <formula>"成長但減速"</formula>
    </cfRule>
    <cfRule type="cellIs" priority="6" operator="equal" aboveAverage="0" equalAverage="0" bottom="0" percent="0" rank="0" text="" dxfId="67">
      <formula>"衰退但收斂"</formula>
    </cfRule>
    <cfRule type="cellIs" priority="7" operator="equal" aboveAverage="0" equalAverage="0" bottom="0" percent="0" rank="0" text="" dxfId="68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0">
      <formula>$O5="預估"</formula>
    </cfRule>
  </conditionalFormatting>
  <conditionalFormatting sqref="B24:B28">
    <cfRule type="expression" priority="12" aboveAverage="0" equalAverage="0" bottom="0" percent="0" rank="0" text="" dxfId="70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0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0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0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0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0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0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0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CC2E3FE-F91B-46C4-9B12-80C556497570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2026-10</v>
      </c>
      <c r="B5" s="48" t="n">
        <f aca="false">IF(Stock_Card!$B$2="","",IFERROR(SUMIFS(Raw_M!$E$2:$E$2000,Raw_M!$A$2:$A$2000,Stock_Card!$B$2,Raw_M!$F$2:$F$2000,1),""))</f>
        <v>511857.399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-0.00572631592589734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-10.6724505867708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-1.05669721337775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0.546486120710523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1.32855835633936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0.0249166732548276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4233730.542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0.392158433525024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2026-09</v>
      </c>
      <c r="B6" s="48" t="n">
        <f aca="false">IF(Stock_Card!$B$2="","",IFERROR(SUMIFS(Raw_M!$E$2:$E$2000,Raw_M!$A$2:$A$2000,Stock_Card!$B$2,Raw_M!$F$2:$F$2000,2),""))</f>
        <v>514805.337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0.100998189941811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4.47485722863077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0.795535581421498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0.53320053714713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8.63250244554317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0.193174658274435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成長且加速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3721873.143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0.373310917867224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2026-08</v>
      </c>
      <c r="B7" s="48" t="n">
        <f aca="false">IF(Stock_Card!$B$2="","",IFERROR(SUMIFS(Raw_M!$E$2:$E$2000,Raw_M!$A$2:$A$2000,Stock_Card!$B$2,Raw_M!$F$2:$F$2000,3),""))</f>
        <v>467580.548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0.0562496176555032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-0.539627466830406</v>
      </c>
      <c r="E7" s="49" t="n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-0.0875366462368499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0.446875512691698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-23.1793042157428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-0.341540860411542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成長但減速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3207067.806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0.350700158149915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2026-07</v>
      </c>
      <c r="B8" s="48" t="n">
        <f aca="false">IF(Stock_Card!$B$2="","",IFERROR(SUMIFS(Raw_M!$E$2:$E$2000,Raw_M!$A$2:$A$2000,Stock_Card!$B$2,Raw_M!$F$2:$F$2000,4),""))</f>
        <v>442679.969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0.0616458923238072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4.64287927939948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0.678668554849126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37.7718752821956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1.25508888950143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2739487.258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0.335547834860914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2026-06</v>
      </c>
      <c r="B9" s="48" t="n">
        <f aca="false">IF(Stock_Card!$B$2="","",IFERROR(SUMIFS(Raw_M!$E$2:$E$2000,Raw_M!$A$2:$A$2000,Stock_Card!$B$2,Raw_M!$F$2:$F$2000,5),""))</f>
        <v>416975.163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0.0152170995298124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2.59749759776264</v>
      </c>
      <c r="E9" s="49" t="str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N/M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0.30094980202717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12.5995677360804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0.720164086448807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成長且加速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2296807.289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0.284927397653404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2026-05</v>
      </c>
      <c r="B10" s="48" t="n">
        <f aca="false">IF(Stock_Card!$B$2="","",IFERROR(SUMIFS(Raw_M!$E$2:$E$2000,Raw_M!$A$2:$A$2000,Stock_Card!$B$2,Raw_M!$F$2:$F$2000,6),""))</f>
        <v>410725.118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-0.010757876447814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-31.7803541510043</v>
      </c>
      <c r="E10" s="49" t="n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-1.03503673124854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0.174954124666366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-27.6984264075739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-0.612880584998939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成長但減速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1879832.126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0.28142672062703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2026-04</v>
      </c>
      <c r="B11" s="48" t="n">
        <f aca="false">IF(Stock_Card!$B$2="","",IFERROR(SUMIFS(Raw_M!$E$2:$E$2000,Raw_M!$A$2:$A$2000,Stock_Card!$B$2,Raw_M!$F$2:$F$2000,7),""))</f>
        <v>415191.699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0.307045665062229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51.538821115425</v>
      </c>
      <c r="E11" s="49" t="str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N/M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0.451938388742105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23.0223516449861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1.03837651515954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成長且加速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1469107.008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0.314735062268007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2026-03</v>
      </c>
      <c r="B12" s="48" t="n">
        <f aca="false">IF(Stock_Card!$B$2="","",IFERROR(SUMIFS(Raw_M!$E$2:$E$2000,Raw_M!$A$2:$A$2000,Stock_Card!$B$2,Raw_M!$F$2:$F$2000,8),""))</f>
        <v>317656.613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-0.208342546092022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-40.6106290506827</v>
      </c>
      <c r="E12" s="49" t="n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-2.05349211863135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0.221714872292244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-14.6411597291218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-0.397720917642472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成長但減速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1053915.309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0.267547908240116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2026-02</v>
      </c>
      <c r="B13" s="48" t="n">
        <f aca="false">IF(Stock_Card!$B$2="","",IFERROR(SUMIFS(Raw_M!$E$2:$E$2000,Raw_M!$A$2:$A$2000,Stock_Card!$B$2,Raw_M!$F$2:$F$2000,9),""))</f>
        <v>401255.128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0.197763744414806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22.2821626111886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0.368126469583461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16.3784270457824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0.801519564527749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成長且加速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736258.696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0.288401821296552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2026-01</v>
      </c>
      <c r="B14" s="48" t="n">
        <f aca="false">IF(Stock_Card!$B$2="","",IFERROR(SUMIFS(Raw_M!$E$2:$E$2000,Raw_M!$A$2:$A$2000,Stock_Card!$B$2,Raw_M!$F$2:$F$2000,10),""))</f>
        <v>335003.568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-0.0250578816970803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3.9870006035291</v>
      </c>
      <c r="E14" s="49" t="str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N/M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0.204342199125638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-4.03721594231443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-0.16497666774668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成長但減速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335003.568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0.204342199125638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2025-12</v>
      </c>
      <c r="B15" s="48" t="n">
        <f aca="false">IF(Stock_Card!$B$2="","",IFERROR(SUMIFS(Raw_M!$E$2:$E$2000,Raw_M!$A$2:$A$2000,Stock_Card!$B$2,Raw_M!$F$2:$F$2000,11),""))</f>
        <v>343613.802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-0.0649278877323714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-17.5182373096664</v>
      </c>
      <c r="E15" s="49" t="n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-1.58889112327578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0.244714358548782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7.53107606018859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0.444564115016578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成長且加速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3752213.811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0.343702217693312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2025-11</v>
      </c>
      <c r="B16" s="48" t="n">
        <f aca="false">IF(Stock_Card!$B$2="","",IFERROR(SUMIFS(Raw_M!$E$2:$E$2000,Raw_M!$A$2:$A$2000,Stock_Card!$B$2,Raw_M!$F$2:$F$2000,12),""))</f>
        <v>367473.051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0.110254485364292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12.4522427327273</v>
      </c>
      <c r="E16" s="49" t="str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N/M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0.169403597946896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-14.4676481635523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-0.460635650079672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3408600.009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0.354561610795736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2025-10</v>
      </c>
      <c r="B17" s="48" t="n">
        <f aca="false">IF(Stock_Card!$B$2="","",IFERROR(SUMIFS(Raw_M!$E$2:$E$2000,Raw_M!$A$2:$A$2000,Stock_Card!$B$2,Raw_M!$F$2:$F$2000,13),""))</f>
        <v>330980.92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-0.0142679419629811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-5.32757442357638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-1.36577149010357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0.314080079582419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-2.43683289344219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-0.0720001285903797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成長但減速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3041126.958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0.380983106278847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2025-09</v>
      </c>
      <c r="B18" s="48" t="n">
        <f aca="false">IF(Stock_Card!$B$2="","",IFERROR(SUMIFS(Raw_M!$E$2:$E$2000,Raw_M!$A$2:$A$2000,Stock_Card!$B$2,Raw_M!$F$2:$F$2000,14),""))</f>
        <v>335771.691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0.0390078022727827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-18.6455621274367</v>
      </c>
      <c r="E18" s="49" t="n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-0.826988335140643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0.33844840851684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8.07645750751695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0.313425075979597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成長且加速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2710146.038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0.389623456281395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2025-08</v>
      </c>
      <c r="B19" s="48" t="n">
        <f aca="false">IF(Stock_Card!$B$2="","",IFERROR(SUMIFS(Raw_M!$E$2:$E$2000,Raw_M!$A$2:$A$2000,Stock_Card!$B$2,Raw_M!$F$2:$F$2000,15),""))</f>
        <v>323165.707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0.22546342354715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40.2699448221628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0.257683833441671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-1.09486585132383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-0.0407570150340418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2374374.347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0.397177912679111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2025-07</v>
      </c>
      <c r="B20" s="48" t="n">
        <f aca="false">IF(Stock_Card!$B$2="","",IFERROR(SUMIFS(Raw_M!$E$2:$E$2000,Raw_M!$A$2:$A$2000,Stock_Card!$B$2,Raw_M!$F$2:$F$2000,16),""))</f>
        <v>263708.978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-0.177236024674479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-9.41303711478608</v>
      </c>
      <c r="E20" s="49" t="str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N/M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0.268632491954909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-12.7219052959407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-0.321380716063503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2051208.64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0.422026832762399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2025-06</v>
      </c>
      <c r="B21" s="48" t="n">
        <f aca="false">IF(Stock_Card!$B$2="","",IFERROR(SUMIFS(Raw_M!$E$2:$E$2000,Raw_M!$A$2:$A$2000,Stock_Card!$B$2,Raw_M!$F$2:$F$2000,17),""))</f>
        <v>320515.951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-0.0831056535266178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-30.5552202538928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-1.37359830438196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0.395851544914316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-8.52318083409638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-0.177166405289723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成長但減速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1787499.662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0.447854027249992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2025-05</v>
      </c>
      <c r="B22" s="48" t="n">
        <f aca="false">IF(Stock_Card!$B$2="","",IFERROR(SUMIFS(Raw_M!$E$2:$E$2000,Raw_M!$A$2:$A$2000,Stock_Card!$B$2,Raw_M!$F$2:$F$2000,18),""))</f>
        <v>349566.94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0.222446549012311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12.2649794444054</v>
      </c>
      <c r="E22" s="49" t="n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1.22899582230569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0.48108335325528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1.62216543095597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0.0348956568079269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1466983.711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0.459735861156638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-46308</v>
      </c>
      <c r="I4" s="67" t="n">
        <f aca="false">IF($A4="","",IFERROR(INDEX(Raw_Price!$E$2:$E$100,MATCH($A4,Raw_Price!$A$2:$A$100,0)),""))</f>
        <v>46308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-46308</v>
      </c>
      <c r="I5" s="67" t="n">
        <f aca="false">IF($A5="","",IFERROR(INDEX(Raw_Price!$E$2:$E$100,MATCH($A5,Raw_Price!$A$2:$A$100,0)),""))</f>
        <v>46308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-46308</v>
      </c>
      <c r="I6" s="67" t="n">
        <f aca="false">IF($A6="","",IFERROR(INDEX(Raw_Price!$E$2:$E$100,MATCH($A6,Raw_Price!$A$2:$A$100,0)),""))</f>
        <v>46308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-46308</v>
      </c>
      <c r="I7" s="67" t="n">
        <f aca="false">IF($A7="","",IFERROR(INDEX(Raw_Price!$E$2:$E$100,MATCH($A7,Raw_Price!$A$2:$A$100,0)),""))</f>
        <v>46308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-46308</v>
      </c>
      <c r="I8" s="67" t="n">
        <f aca="false">IF($A8="","",IFERROR(INDEX(Raw_Price!$E$2:$E$100,MATCH($A8,Raw_Price!$A$2:$A$100,0)),""))</f>
        <v>46308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-46308</v>
      </c>
      <c r="I9" s="67" t="n">
        <f aca="false">IF($A9="","",IFERROR(INDEX(Raw_Price!$E$2:$E$100,MATCH($A9,Raw_Price!$A$2:$A$100,0)),""))</f>
        <v>46308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-46308</v>
      </c>
      <c r="I10" s="67" t="n">
        <f aca="false">IF($A10="","",IFERROR(INDEX(Raw_Price!$E$2:$E$100,MATCH($A10,Raw_Price!$A$2:$A$100,0)),""))</f>
        <v>46308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-46308</v>
      </c>
      <c r="I11" s="67" t="n">
        <f aca="false">IF($A11="","",IFERROR(INDEX(Raw_Price!$E$2:$E$100,MATCH($A11,Raw_Price!$A$2:$A$100,0)),""))</f>
        <v>46308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-46308</v>
      </c>
      <c r="I12" s="67" t="n">
        <f aca="false">IF($A12="","",IFERROR(INDEX(Raw_Price!$E$2:$E$100,MATCH($A12,Raw_Price!$A$2:$A$100,0)),""))</f>
        <v>46308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-46308</v>
      </c>
      <c r="I13" s="67" t="n">
        <f aca="false">IF($A13="","",IFERROR(INDEX(Raw_Price!$E$2:$E$100,MATCH($A13,Raw_Price!$A$2:$A$100,0)),""))</f>
        <v>46308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-46308</v>
      </c>
      <c r="I14" s="67" t="n">
        <f aca="false">IF($A14="","",IFERROR(INDEX(Raw_Price!$E$2:$E$100,MATCH($A14,Raw_Price!$A$2:$A$100,0)),""))</f>
        <v>46308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-46308</v>
      </c>
      <c r="I15" s="67" t="n">
        <f aca="false">IF($A15="","",IFERROR(INDEX(Raw_Price!$E$2:$E$100,MATCH($A15,Raw_Price!$A$2:$A$100,0)),""))</f>
        <v>46308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-46308</v>
      </c>
      <c r="I16" s="67" t="n">
        <f aca="false">IF($A16="","",IFERROR(INDEX(Raw_Price!$E$2:$E$100,MATCH($A16,Raw_Price!$A$2:$A$100,0)),""))</f>
        <v>46308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-46308</v>
      </c>
      <c r="I17" s="67" t="n">
        <f aca="false">IF($A17="","",IFERROR(INDEX(Raw_Price!$E$2:$E$100,MATCH($A17,Raw_Price!$A$2:$A$100,0)),""))</f>
        <v>46308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-46308</v>
      </c>
      <c r="I18" s="67" t="n">
        <f aca="false">IF($A18="","",IFERROR(INDEX(Raw_Price!$E$2:$E$100,MATCH($A18,Raw_Price!$A$2:$A$100,0)),""))</f>
        <v>46308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-46308</v>
      </c>
      <c r="I19" s="67" t="n">
        <f aca="false">IF($A19="","",IFERROR(INDEX(Raw_Price!$E$2:$E$100,MATCH($A19,Raw_Price!$A$2:$A$100,0)),""))</f>
        <v>46308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-46308</v>
      </c>
      <c r="I20" s="67" t="n">
        <f aca="false">IF($A20="","",IFERROR(INDEX(Raw_Price!$E$2:$E$100,MATCH($A20,Raw_Price!$A$2:$A$100,0)),""))</f>
        <v>46308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-46308</v>
      </c>
      <c r="I21" s="67" t="n">
        <f aca="false">IF($A21="","",IFERROR(INDEX(Raw_Price!$E$2:$E$100,MATCH($A21,Raw_Price!$A$2:$A$100,0)),""))</f>
        <v>46308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-46308</v>
      </c>
      <c r="I22" s="67" t="n">
        <f aca="false">IF($A22="","",IFERROR(INDEX(Raw_Price!$E$2:$E$100,MATCH($A22,Raw_Price!$A$2:$A$100,0)),""))</f>
        <v>46308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-46308</v>
      </c>
      <c r="I23" s="67" t="n">
        <f aca="false">IF($A23="","",IFERROR(INDEX(Raw_Price!$E$2:$E$100,MATCH($A23,Raw_Price!$A$2:$A$100,0)),""))</f>
        <v>46308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-46308</v>
      </c>
      <c r="I24" s="67" t="n">
        <f aca="false">IF($A24="","",IFERROR(INDEX(Raw_Price!$E$2:$E$100,MATCH($A24,Raw_Price!$A$2:$A$100,0)),""))</f>
        <v>46308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-46308</v>
      </c>
      <c r="I25" s="67" t="n">
        <f aca="false">IF($A25="","",IFERROR(INDEX(Raw_Price!$E$2:$E$100,MATCH($A25,Raw_Price!$A$2:$A$100,0)),""))</f>
        <v>46308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-46308</v>
      </c>
      <c r="I27" s="67" t="n">
        <f aca="false">IF($A27="","",IFERROR(INDEX(Raw_Price!$E$2:$E$100,MATCH($A27,Raw_Price!$A$2:$A$100,0)),""))</f>
        <v>46308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-46308</v>
      </c>
      <c r="I28" s="67" t="n">
        <f aca="false">IF($A28="","",IFERROR(INDEX(Raw_Price!$E$2:$E$100,MATCH($A28,Raw_Price!$A$2:$A$100,0)),""))</f>
        <v>46308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-46308</v>
      </c>
      <c r="I29" s="67" t="n">
        <f aca="false">IF($A29="","",IFERROR(INDEX(Raw_Price!$E$2:$E$100,MATCH($A29,Raw_Price!$A$2:$A$100,0)),""))</f>
        <v>46308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71">
      <formula>"OK"</formula>
    </cfRule>
    <cfRule type="cellIs" priority="3" operator="equal" aboveAverage="0" equalAverage="0" bottom="0" percent="0" rank="0" text="" dxfId="72">
      <formula>"待更新財報"</formula>
    </cfRule>
    <cfRule type="expression" priority="4" aboveAverage="0" equalAverage="0" bottom="0" percent="0" rank="0" text="" dxfId="73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4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1.87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4.14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202610</v>
      </c>
      <c r="D2" s="81" t="n">
        <v>46296</v>
      </c>
      <c r="E2" s="82" t="n">
        <v>4464.393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202609</v>
      </c>
      <c r="D3" s="81" t="n">
        <v>46266</v>
      </c>
      <c r="E3" s="82" t="n">
        <v>6466.169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202608</v>
      </c>
      <c r="D4" s="81" t="n">
        <v>46235</v>
      </c>
      <c r="E4" s="82" t="n">
        <v>6407.256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202607</v>
      </c>
      <c r="D5" s="81" t="n">
        <v>46204</v>
      </c>
      <c r="E5" s="82" t="n">
        <v>4442.581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202606</v>
      </c>
      <c r="D6" s="81" t="n">
        <v>46174</v>
      </c>
      <c r="E6" s="82" t="n">
        <v>3791.303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202605</v>
      </c>
      <c r="D7" s="81" t="n">
        <v>46143</v>
      </c>
      <c r="E7" s="82" t="n">
        <v>2595.892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202604</v>
      </c>
      <c r="D8" s="81" t="n">
        <v>46113</v>
      </c>
      <c r="E8" s="82" t="n">
        <v>1918.166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202603</v>
      </c>
      <c r="D9" s="81" t="n">
        <v>46082</v>
      </c>
      <c r="E9" s="82" t="n">
        <v>1756.868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202602</v>
      </c>
      <c r="D10" s="81" t="n">
        <v>46054</v>
      </c>
      <c r="E10" s="82" t="n">
        <v>1774.956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202601</v>
      </c>
      <c r="D11" s="81" t="n">
        <v>46023</v>
      </c>
      <c r="E11" s="82" t="n">
        <v>1722.455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202512</v>
      </c>
      <c r="D12" s="81" t="n">
        <v>45992</v>
      </c>
      <c r="E12" s="82" t="n">
        <v>1659.348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202511</v>
      </c>
      <c r="D13" s="81" t="n">
        <v>45962</v>
      </c>
      <c r="E13" s="82" t="n">
        <v>1567.264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202510</v>
      </c>
      <c r="D14" s="81" t="n">
        <v>45931</v>
      </c>
      <c r="E14" s="82" t="n">
        <v>1507.097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202509</v>
      </c>
      <c r="D15" s="81" t="n">
        <v>45901</v>
      </c>
      <c r="E15" s="82" t="n">
        <v>1454.984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202508</v>
      </c>
      <c r="D16" s="81" t="n">
        <v>45870</v>
      </c>
      <c r="E16" s="82" t="n">
        <v>1406.573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202507</v>
      </c>
      <c r="D17" s="81" t="n">
        <v>45839</v>
      </c>
      <c r="E17" s="82" t="n">
        <v>1386.041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202506</v>
      </c>
      <c r="D18" s="81" t="n">
        <v>45809</v>
      </c>
      <c r="E18" s="82" t="n">
        <v>1393.592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202505</v>
      </c>
      <c r="D19" s="81" t="n">
        <v>45778</v>
      </c>
      <c r="E19" s="82" t="n">
        <v>1449.099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202504</v>
      </c>
      <c r="D20" s="81" t="n">
        <v>45748</v>
      </c>
      <c r="E20" s="82" t="n">
        <v>1381.226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202503</v>
      </c>
      <c r="D21" s="81" t="n">
        <v>45717</v>
      </c>
      <c r="E21" s="82" t="n">
        <v>1339.536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202502</v>
      </c>
      <c r="D22" s="81" t="n">
        <v>45689</v>
      </c>
      <c r="E22" s="82" t="n">
        <v>1233.439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202501</v>
      </c>
      <c r="D23" s="81" t="n">
        <v>45658</v>
      </c>
      <c r="E23" s="82" t="n">
        <v>1122.385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202412</v>
      </c>
      <c r="D24" s="81" t="n">
        <v>45627</v>
      </c>
      <c r="E24" s="82" t="n">
        <v>1013.472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202411</v>
      </c>
      <c r="D25" s="81" t="n">
        <v>45597</v>
      </c>
      <c r="E25" s="82" t="n">
        <v>962.289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202410</v>
      </c>
      <c r="D26" s="81" t="n">
        <v>45566</v>
      </c>
      <c r="E26" s="82" t="n">
        <v>821.999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202409</v>
      </c>
      <c r="D27" s="81" t="n">
        <v>45536</v>
      </c>
      <c r="E27" s="82" t="n">
        <v>868.862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202408</v>
      </c>
      <c r="D28" s="81" t="n">
        <v>45505</v>
      </c>
      <c r="E28" s="82" t="n">
        <v>885.818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202407</v>
      </c>
      <c r="D29" s="81" t="n">
        <v>45474</v>
      </c>
      <c r="E29" s="82" t="n">
        <v>853.539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202406</v>
      </c>
      <c r="D30" s="81" t="n">
        <v>45444</v>
      </c>
      <c r="E30" s="82" t="n">
        <v>868.403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202405</v>
      </c>
      <c r="D31" s="81" t="n">
        <v>45413</v>
      </c>
      <c r="E31" s="82" t="n">
        <v>794.727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202404</v>
      </c>
      <c r="D32" s="81" t="n">
        <v>45383</v>
      </c>
      <c r="E32" s="82" t="n">
        <v>776.192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202403</v>
      </c>
      <c r="D33" s="81" t="n">
        <v>45352</v>
      </c>
      <c r="E33" s="82" t="n">
        <v>506.067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202402</v>
      </c>
      <c r="D34" s="81" t="n">
        <v>45323</v>
      </c>
      <c r="E34" s="82" t="n">
        <v>655.548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202401</v>
      </c>
      <c r="D35" s="81" t="n">
        <v>45292</v>
      </c>
      <c r="E35" s="82" t="n">
        <v>639.013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202312</v>
      </c>
      <c r="D36" s="81" t="n">
        <v>45261</v>
      </c>
      <c r="E36" s="82" t="n">
        <v>610.458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202311</v>
      </c>
      <c r="D37" s="81" t="n">
        <v>45231</v>
      </c>
      <c r="E37" s="82" t="n">
        <v>615.32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202610</v>
      </c>
      <c r="D38" s="81" t="n">
        <v>46296</v>
      </c>
      <c r="E38" s="82" t="n">
        <v>25350.431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202609</v>
      </c>
      <c r="D39" s="81" t="n">
        <v>46266</v>
      </c>
      <c r="E39" s="82" t="n">
        <v>25044.641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202608</v>
      </c>
      <c r="D40" s="81" t="n">
        <v>46235</v>
      </c>
      <c r="E40" s="82" t="n">
        <v>23844.045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202607</v>
      </c>
      <c r="D41" s="81" t="n">
        <v>46204</v>
      </c>
      <c r="E41" s="82" t="n">
        <v>23124.962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202606</v>
      </c>
      <c r="D42" s="81" t="n">
        <v>46174</v>
      </c>
      <c r="E42" s="82" t="n">
        <v>22943.755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202605</v>
      </c>
      <c r="D43" s="81" t="n">
        <v>46143</v>
      </c>
      <c r="E43" s="82" t="n">
        <v>22663.945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202604</v>
      </c>
      <c r="D44" s="81" t="n">
        <v>46113</v>
      </c>
      <c r="E44" s="82" t="n">
        <v>20830.626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202603</v>
      </c>
      <c r="D45" s="81" t="n">
        <v>46082</v>
      </c>
      <c r="E45" s="82" t="n">
        <v>19345.126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202602</v>
      </c>
      <c r="D46" s="81" t="n">
        <v>46054</v>
      </c>
      <c r="E46" s="82" t="n">
        <v>20862.15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202601</v>
      </c>
      <c r="D47" s="81" t="n">
        <v>46023</v>
      </c>
      <c r="E47" s="82" t="n">
        <v>19280.724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202512</v>
      </c>
      <c r="D48" s="81" t="n">
        <v>45992</v>
      </c>
      <c r="E48" s="82" t="n">
        <v>21233.847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202511</v>
      </c>
      <c r="D49" s="81" t="n">
        <v>45962</v>
      </c>
      <c r="E49" s="82" t="n">
        <v>21294.974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202510</v>
      </c>
      <c r="D50" s="81" t="n">
        <v>45931</v>
      </c>
      <c r="E50" s="82" t="n">
        <v>19927.175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202509</v>
      </c>
      <c r="D51" s="81" t="n">
        <v>45901</v>
      </c>
      <c r="E51" s="82" t="n">
        <v>19159.816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202508</v>
      </c>
      <c r="D52" s="81" t="n">
        <v>45870</v>
      </c>
      <c r="E52" s="82" t="n">
        <v>20040.049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202507</v>
      </c>
      <c r="D53" s="81" t="n">
        <v>45839</v>
      </c>
      <c r="E53" s="82" t="n">
        <v>18823.07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202506</v>
      </c>
      <c r="D54" s="81" t="n">
        <v>45809</v>
      </c>
      <c r="E54" s="82" t="n">
        <v>19480.057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202505</v>
      </c>
      <c r="D55" s="81" t="n">
        <v>45778</v>
      </c>
      <c r="E55" s="82" t="n">
        <v>20454.53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202504</v>
      </c>
      <c r="D56" s="81" t="n">
        <v>45748</v>
      </c>
      <c r="E56" s="82" t="n">
        <v>19858.647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202503</v>
      </c>
      <c r="D57" s="81" t="n">
        <v>45717</v>
      </c>
      <c r="E57" s="82" t="n">
        <v>18193.515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202502</v>
      </c>
      <c r="D58" s="81" t="n">
        <v>45689</v>
      </c>
      <c r="E58" s="82" t="n">
        <v>19806.795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202501</v>
      </c>
      <c r="D59" s="81" t="n">
        <v>45658</v>
      </c>
      <c r="E59" s="82" t="n">
        <v>18965.818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202412</v>
      </c>
      <c r="D60" s="81" t="n">
        <v>45627</v>
      </c>
      <c r="E60" s="82" t="n">
        <v>20049.182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202411</v>
      </c>
      <c r="D61" s="81" t="n">
        <v>45597</v>
      </c>
      <c r="E61" s="82" t="n">
        <v>21371.11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202410</v>
      </c>
      <c r="D62" s="81" t="n">
        <v>45566</v>
      </c>
      <c r="E62" s="82" t="n">
        <v>18942.714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202409</v>
      </c>
      <c r="D63" s="81" t="n">
        <v>45536</v>
      </c>
      <c r="E63" s="82" t="n">
        <v>20645.494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202408</v>
      </c>
      <c r="D64" s="81" t="n">
        <v>45505</v>
      </c>
      <c r="E64" s="82" t="n">
        <v>20896.877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202407</v>
      </c>
      <c r="D65" s="81" t="n">
        <v>45474</v>
      </c>
      <c r="E65" s="82" t="n">
        <v>17548.413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202406</v>
      </c>
      <c r="D66" s="81" t="n">
        <v>45444</v>
      </c>
      <c r="E66" s="82" t="n">
        <v>19509.486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202405</v>
      </c>
      <c r="D67" s="81" t="n">
        <v>45413</v>
      </c>
      <c r="E67" s="82" t="n">
        <v>19741.391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202404</v>
      </c>
      <c r="D68" s="81" t="n">
        <v>45383</v>
      </c>
      <c r="E68" s="82" t="n">
        <v>18167.134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202403</v>
      </c>
      <c r="D69" s="81" t="n">
        <v>45352</v>
      </c>
      <c r="E69" s="82" t="n">
        <v>17451.268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202402</v>
      </c>
      <c r="D70" s="81" t="n">
        <v>45323</v>
      </c>
      <c r="E70" s="82" t="n">
        <v>19013.697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202401</v>
      </c>
      <c r="D71" s="81" t="n">
        <v>45292</v>
      </c>
      <c r="E71" s="82" t="n">
        <v>16979.226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202312</v>
      </c>
      <c r="D72" s="81" t="n">
        <v>45261</v>
      </c>
      <c r="E72" s="82" t="n">
        <v>18787.67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202311</v>
      </c>
      <c r="D73" s="81" t="n">
        <v>45231</v>
      </c>
      <c r="E73" s="82" t="n">
        <v>19191.382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202610</v>
      </c>
      <c r="D74" s="81" t="n">
        <v>46296</v>
      </c>
      <c r="E74" s="82" t="n">
        <v>17068.153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202609</v>
      </c>
      <c r="D75" s="81" t="n">
        <v>46266</v>
      </c>
      <c r="E75" s="82" t="n">
        <v>16332.196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202608</v>
      </c>
      <c r="D76" s="81" t="n">
        <v>46235</v>
      </c>
      <c r="E76" s="82" t="n">
        <v>16131.188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202607</v>
      </c>
      <c r="D77" s="81" t="n">
        <v>46204</v>
      </c>
      <c r="E77" s="82" t="n">
        <v>15359.009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202606</v>
      </c>
      <c r="D78" s="81" t="n">
        <v>46174</v>
      </c>
      <c r="E78" s="82" t="n">
        <v>15058.22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202605</v>
      </c>
      <c r="D79" s="81" t="n">
        <v>46143</v>
      </c>
      <c r="E79" s="82" t="n">
        <v>14039.098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202604</v>
      </c>
      <c r="D80" s="81" t="n">
        <v>46113</v>
      </c>
      <c r="E80" s="82" t="n">
        <v>13630.196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202603</v>
      </c>
      <c r="D81" s="81" t="n">
        <v>46082</v>
      </c>
      <c r="E81" s="82" t="n">
        <v>11505.323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202602</v>
      </c>
      <c r="D82" s="81" t="n">
        <v>46054</v>
      </c>
      <c r="E82" s="82" t="n">
        <v>13030.129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202601</v>
      </c>
      <c r="D83" s="81" t="n">
        <v>46023</v>
      </c>
      <c r="E83" s="82" t="n">
        <v>12350.934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202512</v>
      </c>
      <c r="D84" s="81" t="n">
        <v>45992</v>
      </c>
      <c r="E84" s="82" t="n">
        <v>12264.829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202511</v>
      </c>
      <c r="D85" s="81" t="n">
        <v>45962</v>
      </c>
      <c r="E85" s="82" t="n">
        <v>11352.46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202510</v>
      </c>
      <c r="D86" s="81" t="n">
        <v>45931</v>
      </c>
      <c r="E86" s="82" t="n">
        <v>11680.869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202509</v>
      </c>
      <c r="D87" s="81" t="n">
        <v>45901</v>
      </c>
      <c r="E87" s="82" t="n">
        <v>10759.05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202508</v>
      </c>
      <c r="D88" s="81" t="n">
        <v>45870</v>
      </c>
      <c r="E88" s="82" t="n">
        <v>10646.791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202507</v>
      </c>
      <c r="D89" s="81" t="n">
        <v>45839</v>
      </c>
      <c r="E89" s="82" t="n">
        <v>11056.49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202506</v>
      </c>
      <c r="D90" s="81" t="n">
        <v>45809</v>
      </c>
      <c r="E90" s="82" t="n">
        <v>10211.491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202505</v>
      </c>
      <c r="D91" s="81" t="n">
        <v>45778</v>
      </c>
      <c r="E91" s="82" t="n">
        <v>11503.407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202504</v>
      </c>
      <c r="D92" s="81" t="n">
        <v>45748</v>
      </c>
      <c r="E92" s="82" t="n">
        <v>11101.274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202503</v>
      </c>
      <c r="D93" s="81" t="n">
        <v>45717</v>
      </c>
      <c r="E93" s="82" t="n">
        <v>9752.95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202502</v>
      </c>
      <c r="D94" s="81" t="n">
        <v>45689</v>
      </c>
      <c r="E94" s="82" t="n">
        <v>10249.471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202501</v>
      </c>
      <c r="D95" s="81" t="n">
        <v>45658</v>
      </c>
      <c r="E95" s="82" t="n">
        <v>9519.583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202412</v>
      </c>
      <c r="D96" s="81" t="n">
        <v>45627</v>
      </c>
      <c r="E96" s="82" t="n">
        <v>10020.442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202411</v>
      </c>
      <c r="D97" s="81" t="n">
        <v>45597</v>
      </c>
      <c r="E97" s="82" t="n">
        <v>10465.92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202410</v>
      </c>
      <c r="D98" s="81" t="n">
        <v>45566</v>
      </c>
      <c r="E98" s="82" t="n">
        <v>10415.225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202409</v>
      </c>
      <c r="D99" s="81" t="n">
        <v>45536</v>
      </c>
      <c r="E99" s="82" t="n">
        <v>10317.72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202408</v>
      </c>
      <c r="D100" s="81" t="n">
        <v>45505</v>
      </c>
      <c r="E100" s="82" t="n">
        <v>11005.022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202407</v>
      </c>
      <c r="D101" s="81" t="n">
        <v>45474</v>
      </c>
      <c r="E101" s="82" t="n">
        <v>10003.61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202406</v>
      </c>
      <c r="D102" s="81" t="n">
        <v>45444</v>
      </c>
      <c r="E102" s="82" t="n">
        <v>10711.943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202405</v>
      </c>
      <c r="D103" s="81" t="n">
        <v>45413</v>
      </c>
      <c r="E103" s="82" t="n">
        <v>10703.166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202404</v>
      </c>
      <c r="D104" s="81" t="n">
        <v>45383</v>
      </c>
      <c r="E104" s="82" t="n">
        <v>10023.146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202403</v>
      </c>
      <c r="D105" s="81" t="n">
        <v>45352</v>
      </c>
      <c r="E105" s="82" t="n">
        <v>8460.627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202402</v>
      </c>
      <c r="D106" s="81" t="n">
        <v>45323</v>
      </c>
      <c r="E106" s="82" t="n">
        <v>10020.808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202401</v>
      </c>
      <c r="D107" s="81" t="n">
        <v>45292</v>
      </c>
      <c r="E107" s="82" t="n">
        <v>8948.352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202312</v>
      </c>
      <c r="D108" s="81" t="n">
        <v>45261</v>
      </c>
      <c r="E108" s="82" t="n">
        <v>9350.393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202311</v>
      </c>
      <c r="D109" s="81" t="n">
        <v>45231</v>
      </c>
      <c r="E109" s="82" t="n">
        <v>9061.774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202610</v>
      </c>
      <c r="D110" s="81" t="n">
        <v>46296</v>
      </c>
      <c r="E110" s="82" t="n">
        <v>511857.399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202609</v>
      </c>
      <c r="D111" s="81" t="n">
        <v>46266</v>
      </c>
      <c r="E111" s="82" t="n">
        <v>514805.337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202608</v>
      </c>
      <c r="D112" s="81" t="n">
        <v>46235</v>
      </c>
      <c r="E112" s="82" t="n">
        <v>467580.548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202607</v>
      </c>
      <c r="D113" s="81" t="n">
        <v>46204</v>
      </c>
      <c r="E113" s="82" t="n">
        <v>442679.969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202606</v>
      </c>
      <c r="D114" s="81" t="n">
        <v>46174</v>
      </c>
      <c r="E114" s="82" t="n">
        <v>416975.163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202605</v>
      </c>
      <c r="D115" s="81" t="n">
        <v>46143</v>
      </c>
      <c r="E115" s="82" t="n">
        <v>410725.118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202604</v>
      </c>
      <c r="D116" s="81" t="n">
        <v>46113</v>
      </c>
      <c r="E116" s="82" t="n">
        <v>415191.699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202603</v>
      </c>
      <c r="D117" s="81" t="n">
        <v>46082</v>
      </c>
      <c r="E117" s="82" t="n">
        <v>317656.613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202602</v>
      </c>
      <c r="D118" s="81" t="n">
        <v>46054</v>
      </c>
      <c r="E118" s="82" t="n">
        <v>401255.128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202601</v>
      </c>
      <c r="D119" s="81" t="n">
        <v>46023</v>
      </c>
      <c r="E119" s="82" t="n">
        <v>335003.568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202512</v>
      </c>
      <c r="D120" s="81" t="n">
        <v>45992</v>
      </c>
      <c r="E120" s="82" t="n">
        <v>343613.802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202511</v>
      </c>
      <c r="D121" s="81" t="n">
        <v>45962</v>
      </c>
      <c r="E121" s="82" t="n">
        <v>367473.051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202510</v>
      </c>
      <c r="D122" s="81" t="n">
        <v>45931</v>
      </c>
      <c r="E122" s="82" t="n">
        <v>330980.92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202509</v>
      </c>
      <c r="D123" s="81" t="n">
        <v>45901</v>
      </c>
      <c r="E123" s="82" t="n">
        <v>335771.691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202508</v>
      </c>
      <c r="D124" s="81" t="n">
        <v>45870</v>
      </c>
      <c r="E124" s="82" t="n">
        <v>323165.707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202507</v>
      </c>
      <c r="D125" s="81" t="n">
        <v>45839</v>
      </c>
      <c r="E125" s="82" t="n">
        <v>263708.978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202506</v>
      </c>
      <c r="D126" s="81" t="n">
        <v>45809</v>
      </c>
      <c r="E126" s="82" t="n">
        <v>320515.951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202505</v>
      </c>
      <c r="D127" s="81" t="n">
        <v>45778</v>
      </c>
      <c r="E127" s="82" t="n">
        <v>349566.94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202504</v>
      </c>
      <c r="D128" s="81" t="n">
        <v>45748</v>
      </c>
      <c r="E128" s="82" t="n">
        <v>285956.83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202503</v>
      </c>
      <c r="D129" s="81" t="n">
        <v>45717</v>
      </c>
      <c r="E129" s="82" t="n">
        <v>260008.796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202502</v>
      </c>
      <c r="D130" s="81" t="n">
        <v>45689</v>
      </c>
      <c r="E130" s="82" t="n">
        <v>293288.038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202501</v>
      </c>
      <c r="D131" s="81" t="n">
        <v>45658</v>
      </c>
      <c r="E131" s="82" t="n">
        <v>278163.107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202412</v>
      </c>
      <c r="D132" s="81" t="n">
        <v>45627</v>
      </c>
      <c r="E132" s="82" t="n">
        <v>276058.358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202411</v>
      </c>
      <c r="D133" s="81" t="n">
        <v>45597</v>
      </c>
      <c r="E133" s="82" t="n">
        <v>314239.713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202410</v>
      </c>
      <c r="D134" s="81" t="n">
        <v>45566</v>
      </c>
      <c r="E134" s="82" t="n">
        <v>251872.717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202409</v>
      </c>
      <c r="D135" s="81" t="n">
        <v>45536</v>
      </c>
      <c r="E135" s="82" t="n">
        <v>250866.368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202408</v>
      </c>
      <c r="D136" s="81" t="n">
        <v>45505</v>
      </c>
      <c r="E136" s="82" t="n">
        <v>256953.058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202407</v>
      </c>
      <c r="D137" s="81" t="n">
        <v>45474</v>
      </c>
      <c r="E137" s="82" t="n">
        <v>207868.693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202406</v>
      </c>
      <c r="D138" s="81" t="n">
        <v>45444</v>
      </c>
      <c r="E138" s="82" t="n">
        <v>229620.372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202405</v>
      </c>
      <c r="D139" s="81" t="n">
        <v>45413</v>
      </c>
      <c r="E139" s="82" t="n">
        <v>236021.112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202404</v>
      </c>
      <c r="D140" s="81" t="n">
        <v>45383</v>
      </c>
      <c r="E140" s="82" t="n">
        <v>195210.804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202403</v>
      </c>
      <c r="D141" s="81" t="n">
        <v>45352</v>
      </c>
      <c r="E141" s="82" t="n">
        <v>181648.27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202402</v>
      </c>
      <c r="D142" s="81" t="n">
        <v>45323</v>
      </c>
      <c r="E142" s="82" t="n">
        <v>215785.127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202401</v>
      </c>
      <c r="D143" s="81" t="n">
        <v>45292</v>
      </c>
      <c r="E143" s="82" t="n">
        <v>176299.866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202312</v>
      </c>
      <c r="D144" s="81" t="n">
        <v>45261</v>
      </c>
      <c r="E144" s="82" t="n">
        <v>206026.179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202311</v>
      </c>
      <c r="D145" s="81" t="n">
        <v>45231</v>
      </c>
      <c r="E145" s="82" t="n">
        <v>243202.811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202610</v>
      </c>
      <c r="D146" s="81" t="n">
        <v>46296</v>
      </c>
      <c r="E146" s="82" t="n">
        <v>28248.909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202609</v>
      </c>
      <c r="D147" s="81" t="n">
        <v>46266</v>
      </c>
      <c r="E147" s="82" t="n">
        <v>27308.717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202608</v>
      </c>
      <c r="D148" s="81" t="n">
        <v>46235</v>
      </c>
      <c r="E148" s="82" t="n">
        <v>26773.179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202607</v>
      </c>
      <c r="D149" s="81" t="n">
        <v>46204</v>
      </c>
      <c r="E149" s="82" t="n">
        <v>20596.799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202606</v>
      </c>
      <c r="D150" s="81" t="n">
        <v>46174</v>
      </c>
      <c r="E150" s="82" t="n">
        <v>20001.444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202605</v>
      </c>
      <c r="D151" s="81" t="n">
        <v>46143</v>
      </c>
      <c r="E151" s="82" t="n">
        <v>19245.022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202604</v>
      </c>
      <c r="D152" s="81" t="n">
        <v>46113</v>
      </c>
      <c r="E152" s="82" t="n">
        <v>14501.399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202603</v>
      </c>
      <c r="D153" s="81" t="n">
        <v>46082</v>
      </c>
      <c r="E153" s="82" t="n">
        <v>11973.254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202602</v>
      </c>
      <c r="D154" s="81" t="n">
        <v>46054</v>
      </c>
      <c r="E154" s="82" t="n">
        <v>11778.411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202601</v>
      </c>
      <c r="D155" s="81" t="n">
        <v>46023</v>
      </c>
      <c r="E155" s="82" t="n">
        <v>9770.303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202512</v>
      </c>
      <c r="D156" s="81" t="n">
        <v>45992</v>
      </c>
      <c r="E156" s="82" t="n">
        <v>8629.567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202511</v>
      </c>
      <c r="D157" s="81" t="n">
        <v>45962</v>
      </c>
      <c r="E157" s="82" t="n">
        <v>8225.204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202510</v>
      </c>
      <c r="D158" s="81" t="n">
        <v>45931</v>
      </c>
      <c r="E158" s="82" t="n">
        <v>7920.21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202509</v>
      </c>
      <c r="D159" s="81" t="n">
        <v>45901</v>
      </c>
      <c r="E159" s="82" t="n">
        <v>7012.528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202508</v>
      </c>
      <c r="D160" s="81" t="n">
        <v>45870</v>
      </c>
      <c r="E160" s="82" t="n">
        <v>6837.785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202507</v>
      </c>
      <c r="D161" s="81" t="n">
        <v>45839</v>
      </c>
      <c r="E161" s="82" t="n">
        <v>7105.364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202506</v>
      </c>
      <c r="D162" s="81" t="n">
        <v>45809</v>
      </c>
      <c r="E162" s="82" t="n">
        <v>7093.516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202505</v>
      </c>
      <c r="D163" s="81" t="n">
        <v>45778</v>
      </c>
      <c r="E163" s="82" t="n">
        <v>6819.077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202504</v>
      </c>
      <c r="D164" s="81" t="n">
        <v>45748</v>
      </c>
      <c r="E164" s="82" t="n">
        <v>7572.802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202503</v>
      </c>
      <c r="D165" s="81" t="n">
        <v>45717</v>
      </c>
      <c r="E165" s="82" t="n">
        <v>6353.503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202502</v>
      </c>
      <c r="D166" s="81" t="n">
        <v>45689</v>
      </c>
      <c r="E166" s="82" t="n">
        <v>6066.312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202501</v>
      </c>
      <c r="D167" s="81" t="n">
        <v>45658</v>
      </c>
      <c r="E167" s="82" t="n">
        <v>6372.253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202412</v>
      </c>
      <c r="D168" s="81" t="n">
        <v>45627</v>
      </c>
      <c r="E168" s="82" t="n">
        <v>6221.805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202411</v>
      </c>
      <c r="D169" s="81" t="n">
        <v>45597</v>
      </c>
      <c r="E169" s="82" t="n">
        <v>6097.945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202410</v>
      </c>
      <c r="D170" s="81" t="n">
        <v>45566</v>
      </c>
      <c r="E170" s="82" t="n">
        <v>7231.483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202409</v>
      </c>
      <c r="D171" s="81" t="n">
        <v>45536</v>
      </c>
      <c r="E171" s="82" t="n">
        <v>6997.545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202408</v>
      </c>
      <c r="D172" s="81" t="n">
        <v>45505</v>
      </c>
      <c r="E172" s="82" t="n">
        <v>7083.403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202407</v>
      </c>
      <c r="D173" s="81" t="n">
        <v>45474</v>
      </c>
      <c r="E173" s="82" t="n">
        <v>7377.553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202406</v>
      </c>
      <c r="D174" s="81" t="n">
        <v>45444</v>
      </c>
      <c r="E174" s="82" t="n">
        <v>7125.163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202405</v>
      </c>
      <c r="D175" s="81" t="n">
        <v>45413</v>
      </c>
      <c r="E175" s="82" t="n">
        <v>6981.267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202404</v>
      </c>
      <c r="D176" s="81" t="n">
        <v>45383</v>
      </c>
      <c r="E176" s="82" t="n">
        <v>7511.33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202403</v>
      </c>
      <c r="D177" s="81" t="n">
        <v>45352</v>
      </c>
      <c r="E177" s="82" t="n">
        <v>6207.435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202402</v>
      </c>
      <c r="D178" s="81" t="n">
        <v>45323</v>
      </c>
      <c r="E178" s="82" t="n">
        <v>6402.586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202401</v>
      </c>
      <c r="D179" s="81" t="n">
        <v>45292</v>
      </c>
      <c r="E179" s="82" t="n">
        <v>6507.308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202312</v>
      </c>
      <c r="D180" s="81" t="n">
        <v>45261</v>
      </c>
      <c r="E180" s="82" t="n">
        <v>6368.389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202311</v>
      </c>
      <c r="D181" s="81" t="n">
        <v>45231</v>
      </c>
      <c r="E181" s="82" t="n">
        <v>6297.972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202610</v>
      </c>
      <c r="D182" s="81" t="n">
        <v>46296</v>
      </c>
      <c r="E182" s="82" t="n">
        <v>63099.342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202609</v>
      </c>
      <c r="D183" s="81" t="n">
        <v>46266</v>
      </c>
      <c r="E183" s="82" t="n">
        <v>47400.848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202608</v>
      </c>
      <c r="D184" s="81" t="n">
        <v>46235</v>
      </c>
      <c r="E184" s="82" t="n">
        <v>44213.037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202607</v>
      </c>
      <c r="D185" s="81" t="n">
        <v>46204</v>
      </c>
      <c r="E185" s="82" t="n">
        <v>42892.46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202606</v>
      </c>
      <c r="D186" s="81" t="n">
        <v>46174</v>
      </c>
      <c r="E186" s="82" t="n">
        <v>49053.47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202605</v>
      </c>
      <c r="D187" s="81" t="n">
        <v>46143</v>
      </c>
      <c r="E187" s="82" t="n">
        <v>52267.73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202604</v>
      </c>
      <c r="D188" s="81" t="n">
        <v>46113</v>
      </c>
      <c r="E188" s="82" t="n">
        <v>39028.8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202603</v>
      </c>
      <c r="D189" s="81" t="n">
        <v>46082</v>
      </c>
      <c r="E189" s="82" t="n">
        <v>32908.194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202602</v>
      </c>
      <c r="D190" s="81" t="n">
        <v>46054</v>
      </c>
      <c r="E190" s="82" t="n">
        <v>33118.551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202601</v>
      </c>
      <c r="D191" s="81" t="n">
        <v>46023</v>
      </c>
      <c r="E191" s="82" t="n">
        <v>30306.21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202512</v>
      </c>
      <c r="D192" s="81" t="n">
        <v>45992</v>
      </c>
      <c r="E192" s="82" t="n">
        <v>30729.748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202511</v>
      </c>
      <c r="D193" s="81" t="n">
        <v>45962</v>
      </c>
      <c r="E193" s="82" t="n">
        <v>28318.245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202510</v>
      </c>
      <c r="D194" s="81" t="n">
        <v>45931</v>
      </c>
      <c r="E194" s="82" t="n">
        <v>27988.237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202509</v>
      </c>
      <c r="D195" s="81" t="n">
        <v>45901</v>
      </c>
      <c r="E195" s="82" t="n">
        <v>23888.296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202508</v>
      </c>
      <c r="D196" s="81" t="n">
        <v>45870</v>
      </c>
      <c r="E196" s="82" t="n">
        <v>27690.083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202507</v>
      </c>
      <c r="D197" s="81" t="n">
        <v>45839</v>
      </c>
      <c r="E197" s="82" t="n">
        <v>25447.702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202506</v>
      </c>
      <c r="D198" s="81" t="n">
        <v>45809</v>
      </c>
      <c r="E198" s="82" t="n">
        <v>46728.346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202505</v>
      </c>
      <c r="D199" s="81" t="n">
        <v>45778</v>
      </c>
      <c r="E199" s="82" t="n">
        <v>30098.1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202504</v>
      </c>
      <c r="D200" s="81" t="n">
        <v>45748</v>
      </c>
      <c r="E200" s="82" t="n">
        <v>22322.801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202503</v>
      </c>
      <c r="D201" s="81" t="n">
        <v>45717</v>
      </c>
      <c r="E201" s="82" t="n">
        <v>22326.218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202502</v>
      </c>
      <c r="D202" s="81" t="n">
        <v>45689</v>
      </c>
      <c r="E202" s="82" t="n">
        <v>21091.561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202501</v>
      </c>
      <c r="D203" s="81" t="n">
        <v>45658</v>
      </c>
      <c r="E203" s="82" t="n">
        <v>17597.178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202412</v>
      </c>
      <c r="D204" s="81" t="n">
        <v>45627</v>
      </c>
      <c r="E204" s="82" t="n">
        <v>22242.93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202411</v>
      </c>
      <c r="D205" s="81" t="n">
        <v>45597</v>
      </c>
      <c r="E205" s="82" t="n">
        <v>25771.684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202410</v>
      </c>
      <c r="D206" s="81" t="n">
        <v>45566</v>
      </c>
      <c r="E206" s="82" t="n">
        <v>26735.874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202409</v>
      </c>
      <c r="D207" s="81" t="n">
        <v>45536</v>
      </c>
      <c r="E207" s="82" t="n">
        <v>24662.927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202408</v>
      </c>
      <c r="D208" s="81" t="n">
        <v>45505</v>
      </c>
      <c r="E208" s="82" t="n">
        <v>19035.807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202407</v>
      </c>
      <c r="D209" s="81" t="n">
        <v>45474</v>
      </c>
      <c r="E209" s="82" t="n">
        <v>22932.13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202406</v>
      </c>
      <c r="D210" s="81" t="n">
        <v>45444</v>
      </c>
      <c r="E210" s="82" t="n">
        <v>22477.138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202405</v>
      </c>
      <c r="D211" s="81" t="n">
        <v>45413</v>
      </c>
      <c r="E211" s="82" t="n">
        <v>28523.875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202404</v>
      </c>
      <c r="D212" s="81" t="n">
        <v>45383</v>
      </c>
      <c r="E212" s="82" t="n">
        <v>24253.194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202403</v>
      </c>
      <c r="D213" s="81" t="n">
        <v>45352</v>
      </c>
      <c r="E213" s="82" t="n">
        <v>13968.881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202402</v>
      </c>
      <c r="D214" s="81" t="n">
        <v>45323</v>
      </c>
      <c r="E214" s="82" t="n">
        <v>16930.021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202401</v>
      </c>
      <c r="D215" s="81" t="n">
        <v>45292</v>
      </c>
      <c r="E215" s="82" t="n">
        <v>12845.855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202312</v>
      </c>
      <c r="D216" s="81" t="n">
        <v>45261</v>
      </c>
      <c r="E216" s="82" t="n">
        <v>15915.793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202311</v>
      </c>
      <c r="D217" s="81" t="n">
        <v>45231</v>
      </c>
      <c r="E217" s="82" t="n">
        <v>16764.958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202610</v>
      </c>
      <c r="D218" s="81" t="n">
        <v>46296</v>
      </c>
      <c r="E218" s="82" t="n">
        <v>45091.089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202609</v>
      </c>
      <c r="D219" s="81" t="n">
        <v>46266</v>
      </c>
      <c r="E219" s="82" t="n">
        <v>44690.268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202608</v>
      </c>
      <c r="D220" s="81" t="n">
        <v>46235</v>
      </c>
      <c r="E220" s="82" t="n">
        <v>43867.609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202607</v>
      </c>
      <c r="D221" s="81" t="n">
        <v>46204</v>
      </c>
      <c r="E221" s="82" t="n">
        <v>29388.309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202606</v>
      </c>
      <c r="D222" s="81" t="n">
        <v>46174</v>
      </c>
      <c r="E222" s="82" t="n">
        <v>27669.563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202605</v>
      </c>
      <c r="D223" s="81" t="n">
        <v>46143</v>
      </c>
      <c r="E223" s="82" t="n">
        <v>25491.201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202604</v>
      </c>
      <c r="D224" s="81" t="n">
        <v>46113</v>
      </c>
      <c r="E224" s="82" t="n">
        <v>18169.76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202603</v>
      </c>
      <c r="D225" s="81" t="n">
        <v>46082</v>
      </c>
      <c r="E225" s="82" t="n">
        <v>15607.184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202602</v>
      </c>
      <c r="D226" s="81" t="n">
        <v>46054</v>
      </c>
      <c r="E226" s="82" t="n">
        <v>15309.988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202601</v>
      </c>
      <c r="D227" s="81" t="n">
        <v>46023</v>
      </c>
      <c r="E227" s="82" t="n">
        <v>12017.152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202512</v>
      </c>
      <c r="D228" s="81" t="n">
        <v>45992</v>
      </c>
      <c r="E228" s="82" t="n">
        <v>10168.737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202511</v>
      </c>
      <c r="D229" s="81" t="n">
        <v>45962</v>
      </c>
      <c r="E229" s="82" t="n">
        <v>7907.729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202510</v>
      </c>
      <c r="D230" s="81" t="n">
        <v>45931</v>
      </c>
      <c r="E230" s="82" t="n">
        <v>6664.14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202509</v>
      </c>
      <c r="D231" s="81" t="n">
        <v>45901</v>
      </c>
      <c r="E231" s="82" t="n">
        <v>6762.501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202508</v>
      </c>
      <c r="D232" s="81" t="n">
        <v>45870</v>
      </c>
      <c r="E232" s="82" t="n">
        <v>5352.227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202507</v>
      </c>
      <c r="D233" s="81" t="n">
        <v>45839</v>
      </c>
      <c r="E233" s="82" t="n">
        <v>4074.153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202506</v>
      </c>
      <c r="D234" s="81" t="n">
        <v>45809</v>
      </c>
      <c r="E234" s="82" t="n">
        <v>3333.121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202505</v>
      </c>
      <c r="D235" s="81" t="n">
        <v>45778</v>
      </c>
      <c r="E235" s="82" t="n">
        <v>3118.82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202504</v>
      </c>
      <c r="D236" s="81" t="n">
        <v>45748</v>
      </c>
      <c r="E236" s="82" t="n">
        <v>2752.833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202503</v>
      </c>
      <c r="D237" s="81" t="n">
        <v>45717</v>
      </c>
      <c r="E237" s="82" t="n">
        <v>2272.734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202502</v>
      </c>
      <c r="D238" s="81" t="n">
        <v>45689</v>
      </c>
      <c r="E238" s="82" t="n">
        <v>2162.373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202501</v>
      </c>
      <c r="D239" s="81" t="n">
        <v>45658</v>
      </c>
      <c r="E239" s="82" t="n">
        <v>2205.531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202412</v>
      </c>
      <c r="D240" s="81" t="n">
        <v>45627</v>
      </c>
      <c r="E240" s="82" t="n">
        <v>2187.326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202411</v>
      </c>
      <c r="D241" s="81" t="n">
        <v>45597</v>
      </c>
      <c r="E241" s="82" t="n">
        <v>2182.24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202410</v>
      </c>
      <c r="D242" s="81" t="n">
        <v>45566</v>
      </c>
      <c r="E242" s="82" t="n">
        <v>2584.927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202409</v>
      </c>
      <c r="D243" s="81" t="n">
        <v>45536</v>
      </c>
      <c r="E243" s="82" t="n">
        <v>2802.25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202408</v>
      </c>
      <c r="D244" s="81" t="n">
        <v>45505</v>
      </c>
      <c r="E244" s="82" t="n">
        <v>2745.416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202407</v>
      </c>
      <c r="D245" s="81" t="n">
        <v>45474</v>
      </c>
      <c r="E245" s="82" t="n">
        <v>3363.197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202406</v>
      </c>
      <c r="D246" s="81" t="n">
        <v>45444</v>
      </c>
      <c r="E246" s="82" t="n">
        <v>3351.375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202405</v>
      </c>
      <c r="D247" s="81" t="n">
        <v>45413</v>
      </c>
      <c r="E247" s="82" t="n">
        <v>3206.471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202404</v>
      </c>
      <c r="D248" s="81" t="n">
        <v>45383</v>
      </c>
      <c r="E248" s="82" t="n">
        <v>3391.358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202403</v>
      </c>
      <c r="D249" s="81" t="n">
        <v>45352</v>
      </c>
      <c r="E249" s="82" t="n">
        <v>3050.934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202402</v>
      </c>
      <c r="D250" s="81" t="n">
        <v>45323</v>
      </c>
      <c r="E250" s="82" t="n">
        <v>3060.645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202401</v>
      </c>
      <c r="D251" s="81" t="n">
        <v>45292</v>
      </c>
      <c r="E251" s="82" t="n">
        <v>3161.948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202312</v>
      </c>
      <c r="D252" s="81" t="n">
        <v>45261</v>
      </c>
      <c r="E252" s="82" t="n">
        <v>2874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202311</v>
      </c>
      <c r="D253" s="81" t="n">
        <v>45231</v>
      </c>
      <c r="E253" s="82" t="n">
        <v>2668.03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1080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1081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1082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1083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1084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1085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1086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1087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1088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1089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1090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1091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1092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1093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1094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1095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1096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1097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1098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1099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1100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1101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1102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1103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1105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1107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1109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1111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1113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1115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1117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1119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1121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1123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1125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1210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1211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202610</v>
      </c>
      <c r="D290" s="81" t="n">
        <v>46296</v>
      </c>
      <c r="E290" s="82" t="n">
        <v>55399.497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202609</v>
      </c>
      <c r="D291" s="81" t="n">
        <v>46266</v>
      </c>
      <c r="E291" s="82" t="n">
        <v>64183.361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202608</v>
      </c>
      <c r="D292" s="81" t="n">
        <v>46235</v>
      </c>
      <c r="E292" s="82" t="n">
        <v>48474.93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202607</v>
      </c>
      <c r="D293" s="81" t="n">
        <v>46204</v>
      </c>
      <c r="E293" s="82" t="n">
        <v>58011.756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202606</v>
      </c>
      <c r="D294" s="81" t="n">
        <v>46174</v>
      </c>
      <c r="E294" s="82" t="n">
        <v>47434.191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202605</v>
      </c>
      <c r="D295" s="81" t="n">
        <v>46143</v>
      </c>
      <c r="E295" s="82" t="n">
        <v>46736.664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202604</v>
      </c>
      <c r="D296" s="81" t="n">
        <v>46113</v>
      </c>
      <c r="E296" s="82" t="n">
        <v>63219.184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202603</v>
      </c>
      <c r="D297" s="81" t="n">
        <v>46082</v>
      </c>
      <c r="E297" s="82" t="n">
        <v>38954.271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202602</v>
      </c>
      <c r="D298" s="81" t="n">
        <v>46054</v>
      </c>
      <c r="E298" s="82" t="n">
        <v>46977.055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202601</v>
      </c>
      <c r="D299" s="81" t="n">
        <v>46023</v>
      </c>
      <c r="E299" s="82" t="n">
        <v>51266.079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202512</v>
      </c>
      <c r="D300" s="81" t="n">
        <v>45992</v>
      </c>
      <c r="E300" s="82" t="n">
        <v>46895.68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202511</v>
      </c>
      <c r="D301" s="81" t="n">
        <v>45962</v>
      </c>
      <c r="E301" s="82" t="n">
        <v>52026.251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202510</v>
      </c>
      <c r="D302" s="81" t="n">
        <v>45931</v>
      </c>
      <c r="E302" s="82" t="n">
        <v>54330.057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202509</v>
      </c>
      <c r="D303" s="81" t="n">
        <v>45901</v>
      </c>
      <c r="E303" s="82" t="n">
        <v>44546.643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202508</v>
      </c>
      <c r="D304" s="81" t="n">
        <v>45870</v>
      </c>
      <c r="E304" s="82" t="n">
        <v>43220.164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202507</v>
      </c>
      <c r="D305" s="81" t="n">
        <v>45839</v>
      </c>
      <c r="E305" s="82" t="n">
        <v>56433.621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202506</v>
      </c>
      <c r="D306" s="81" t="n">
        <v>45809</v>
      </c>
      <c r="E306" s="82" t="n">
        <v>45180.526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202505</v>
      </c>
      <c r="D307" s="81" t="n">
        <v>45778</v>
      </c>
      <c r="E307" s="82" t="n">
        <v>48754.424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202504</v>
      </c>
      <c r="D308" s="81" t="n">
        <v>45748</v>
      </c>
      <c r="E308" s="82" t="n">
        <v>55996.226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202503</v>
      </c>
      <c r="D309" s="81" t="n">
        <v>45717</v>
      </c>
      <c r="E309" s="82" t="n">
        <v>46171.723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202502</v>
      </c>
      <c r="D310" s="81" t="n">
        <v>45689</v>
      </c>
      <c r="E310" s="82" t="n">
        <v>51144.288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202501</v>
      </c>
      <c r="D311" s="81" t="n">
        <v>45658</v>
      </c>
      <c r="E311" s="82" t="n">
        <v>41683.43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202412</v>
      </c>
      <c r="D312" s="81" t="n">
        <v>45627</v>
      </c>
      <c r="E312" s="82" t="n">
        <v>45242.346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202411</v>
      </c>
      <c r="D313" s="81" t="n">
        <v>45597</v>
      </c>
      <c r="E313" s="82" t="n">
        <v>51117.348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202410</v>
      </c>
      <c r="D314" s="81" t="n">
        <v>45566</v>
      </c>
      <c r="E314" s="82" t="n">
        <v>44675.936</v>
      </c>
      <c r="F314" s="80" t="n">
        <v>25</v>
      </c>
      <c r="G314" s="79" t="s">
        <v>1212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202409</v>
      </c>
      <c r="D315" s="81" t="n">
        <v>45536</v>
      </c>
      <c r="E315" s="82" t="n">
        <v>41527.835</v>
      </c>
      <c r="F315" s="80" t="n">
        <v>26</v>
      </c>
      <c r="G315" s="79" t="s">
        <v>1213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202408</v>
      </c>
      <c r="D316" s="81" t="n">
        <v>45505</v>
      </c>
      <c r="E316" s="82" t="n">
        <v>45609.723</v>
      </c>
      <c r="F316" s="80" t="n">
        <v>27</v>
      </c>
      <c r="G316" s="79" t="s">
        <v>1214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202407</v>
      </c>
      <c r="D317" s="81" t="n">
        <v>45474</v>
      </c>
      <c r="E317" s="82" t="n">
        <v>43092.056</v>
      </c>
      <c r="F317" s="80" t="n">
        <v>28</v>
      </c>
      <c r="G317" s="79" t="s">
        <v>1215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202406</v>
      </c>
      <c r="D318" s="81" t="n">
        <v>45444</v>
      </c>
      <c r="E318" s="82" t="n">
        <v>42151.178</v>
      </c>
      <c r="F318" s="80" t="n">
        <v>29</v>
      </c>
      <c r="G318" s="79" t="s">
        <v>1216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202405</v>
      </c>
      <c r="D319" s="81" t="n">
        <v>45413</v>
      </c>
      <c r="E319" s="82" t="n">
        <v>42027.887</v>
      </c>
      <c r="F319" s="80" t="n">
        <v>30</v>
      </c>
      <c r="G319" s="79" t="s">
        <v>1217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202404</v>
      </c>
      <c r="D320" s="81" t="n">
        <v>45383</v>
      </c>
      <c r="E320" s="82" t="n">
        <v>50479.987</v>
      </c>
      <c r="F320" s="80" t="n">
        <v>31</v>
      </c>
      <c r="G320" s="79" t="s">
        <v>1218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202403</v>
      </c>
      <c r="D321" s="81" t="n">
        <v>45352</v>
      </c>
      <c r="E321" s="82" t="n">
        <v>38481.87</v>
      </c>
      <c r="F321" s="80" t="n">
        <v>32</v>
      </c>
      <c r="G321" s="79" t="s">
        <v>1219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202402</v>
      </c>
      <c r="D322" s="81" t="n">
        <v>45323</v>
      </c>
      <c r="E322" s="82" t="n">
        <v>44496.29</v>
      </c>
      <c r="F322" s="80" t="n">
        <v>33</v>
      </c>
      <c r="G322" s="79" t="s">
        <v>1220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202401</v>
      </c>
      <c r="D323" s="81" t="n">
        <v>45292</v>
      </c>
      <c r="E323" s="82" t="n">
        <v>43679.986</v>
      </c>
      <c r="F323" s="80" t="n">
        <v>34</v>
      </c>
      <c r="G323" s="79" t="s">
        <v>1221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202312</v>
      </c>
      <c r="D324" s="81" t="n">
        <v>45261</v>
      </c>
      <c r="E324" s="82" t="n">
        <v>43071.172</v>
      </c>
      <c r="F324" s="80" t="n">
        <v>35</v>
      </c>
      <c r="G324" s="79" t="s">
        <v>1222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202311</v>
      </c>
      <c r="D325" s="81" t="n">
        <v>45231</v>
      </c>
      <c r="E325" s="82" t="n">
        <v>42810.847</v>
      </c>
      <c r="F325" s="80" t="n">
        <v>36</v>
      </c>
      <c r="G325" s="79" t="s">
        <v>1223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202610</v>
      </c>
      <c r="D326" s="81" t="n">
        <v>46296</v>
      </c>
      <c r="E326" s="82" t="n">
        <v>449.063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202609</v>
      </c>
      <c r="D327" s="81" t="n">
        <v>46266</v>
      </c>
      <c r="E327" s="82" t="n">
        <v>470.904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202608</v>
      </c>
      <c r="D328" s="81" t="n">
        <v>46235</v>
      </c>
      <c r="E328" s="82" t="n">
        <v>422.106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202607</v>
      </c>
      <c r="D329" s="81" t="n">
        <v>46204</v>
      </c>
      <c r="E329" s="82" t="n">
        <v>325.993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202606</v>
      </c>
      <c r="D330" s="81" t="n">
        <v>46174</v>
      </c>
      <c r="E330" s="82" t="n">
        <v>320.785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202605</v>
      </c>
      <c r="D331" s="81" t="n">
        <v>46143</v>
      </c>
      <c r="E331" s="82" t="n">
        <v>318.595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202604</v>
      </c>
      <c r="D332" s="81" t="n">
        <v>46113</v>
      </c>
      <c r="E332" s="82" t="n">
        <v>311.246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202603</v>
      </c>
      <c r="D333" s="81" t="n">
        <v>46082</v>
      </c>
      <c r="E333" s="82" t="n">
        <v>307.741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202602</v>
      </c>
      <c r="D334" s="81" t="n">
        <v>46054</v>
      </c>
      <c r="E334" s="82" t="n">
        <v>340.323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202601</v>
      </c>
      <c r="D335" s="81" t="n">
        <v>46023</v>
      </c>
      <c r="E335" s="82" t="n">
        <v>319.238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202512</v>
      </c>
      <c r="D336" s="81" t="n">
        <v>45992</v>
      </c>
      <c r="E336" s="82" t="n">
        <v>285.178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202511</v>
      </c>
      <c r="D337" s="81" t="n">
        <v>45962</v>
      </c>
      <c r="E337" s="82" t="n">
        <v>355.173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202510</v>
      </c>
      <c r="D338" s="81" t="n">
        <v>45931</v>
      </c>
      <c r="E338" s="82" t="n">
        <v>346.803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202509</v>
      </c>
      <c r="D339" s="81" t="n">
        <v>45901</v>
      </c>
      <c r="E339" s="82" t="n">
        <v>275.126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202508</v>
      </c>
      <c r="D340" s="81" t="n">
        <v>45870</v>
      </c>
      <c r="E340" s="82" t="n">
        <v>290.875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202507</v>
      </c>
      <c r="D341" s="81" t="n">
        <v>45839</v>
      </c>
      <c r="E341" s="82" t="n">
        <v>263.848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202506</v>
      </c>
      <c r="D342" s="81" t="n">
        <v>45809</v>
      </c>
      <c r="E342" s="82" t="n">
        <v>218.948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202505</v>
      </c>
      <c r="D343" s="81" t="n">
        <v>45778</v>
      </c>
      <c r="E343" s="82" t="n">
        <v>231.292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202504</v>
      </c>
      <c r="D344" s="81" t="n">
        <v>45748</v>
      </c>
      <c r="E344" s="82" t="n">
        <v>266.842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202503</v>
      </c>
      <c r="D345" s="81" t="n">
        <v>45717</v>
      </c>
      <c r="E345" s="82" t="n">
        <v>265.548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202502</v>
      </c>
      <c r="D346" s="81" t="n">
        <v>45689</v>
      </c>
      <c r="E346" s="82" t="n">
        <v>261.272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202501</v>
      </c>
      <c r="D347" s="81" t="n">
        <v>45658</v>
      </c>
      <c r="E347" s="82" t="n">
        <v>248.868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202412</v>
      </c>
      <c r="D348" s="81" t="n">
        <v>45627</v>
      </c>
      <c r="E348" s="82" t="n">
        <v>237.339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202411</v>
      </c>
      <c r="D349" s="81" t="n">
        <v>45597</v>
      </c>
      <c r="E349" s="82" t="n">
        <v>236.267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202410</v>
      </c>
      <c r="D350" s="81" t="n">
        <v>45566</v>
      </c>
      <c r="E350" s="82" t="n">
        <v>269.294</v>
      </c>
      <c r="F350" s="80" t="n">
        <v>25</v>
      </c>
      <c r="G350" s="79" t="s">
        <v>1224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202409</v>
      </c>
      <c r="D351" s="81" t="n">
        <v>45536</v>
      </c>
      <c r="E351" s="82" t="n">
        <v>273.961</v>
      </c>
      <c r="F351" s="80" t="n">
        <v>26</v>
      </c>
      <c r="G351" s="79" t="s">
        <v>1225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202408</v>
      </c>
      <c r="D352" s="81" t="n">
        <v>45505</v>
      </c>
      <c r="E352" s="82" t="n">
        <v>262.493</v>
      </c>
      <c r="F352" s="80" t="n">
        <v>27</v>
      </c>
      <c r="G352" s="79" t="s">
        <v>1226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202407</v>
      </c>
      <c r="D353" s="81" t="n">
        <v>45474</v>
      </c>
      <c r="E353" s="82" t="n">
        <v>296.919</v>
      </c>
      <c r="F353" s="80" t="n">
        <v>28</v>
      </c>
      <c r="G353" s="79" t="s">
        <v>1227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202406</v>
      </c>
      <c r="D354" s="81" t="n">
        <v>45444</v>
      </c>
      <c r="E354" s="82" t="n">
        <v>291.927</v>
      </c>
      <c r="F354" s="80" t="n">
        <v>29</v>
      </c>
      <c r="G354" s="79" t="s">
        <v>1228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202405</v>
      </c>
      <c r="D355" s="81" t="n">
        <v>45413</v>
      </c>
      <c r="E355" s="82" t="n">
        <v>286.755</v>
      </c>
      <c r="F355" s="80" t="n">
        <v>30</v>
      </c>
      <c r="G355" s="79" t="s">
        <v>1229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202404</v>
      </c>
      <c r="D356" s="81" t="n">
        <v>45383</v>
      </c>
      <c r="E356" s="82" t="n">
        <v>295.997</v>
      </c>
      <c r="F356" s="80" t="n">
        <v>31</v>
      </c>
      <c r="G356" s="79" t="s">
        <v>1230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202403</v>
      </c>
      <c r="D357" s="81" t="n">
        <v>45352</v>
      </c>
      <c r="E357" s="82" t="n">
        <v>263.703</v>
      </c>
      <c r="F357" s="80" t="n">
        <v>32</v>
      </c>
      <c r="G357" s="79" t="s">
        <v>1231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202402</v>
      </c>
      <c r="D358" s="81" t="n">
        <v>45323</v>
      </c>
      <c r="E358" s="82" t="n">
        <v>277.694</v>
      </c>
      <c r="F358" s="80" t="n">
        <v>33</v>
      </c>
      <c r="G358" s="79" t="s">
        <v>1232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202401</v>
      </c>
      <c r="D359" s="81" t="n">
        <v>45292</v>
      </c>
      <c r="E359" s="82" t="n">
        <v>294.549</v>
      </c>
      <c r="F359" s="80" t="n">
        <v>34</v>
      </c>
      <c r="G359" s="79" t="s">
        <v>1233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202312</v>
      </c>
      <c r="D360" s="81" t="n">
        <v>45261</v>
      </c>
      <c r="E360" s="82" t="n">
        <v>325.709</v>
      </c>
      <c r="F360" s="80" t="n">
        <v>35</v>
      </c>
      <c r="G360" s="79" t="s">
        <v>1234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202311</v>
      </c>
      <c r="D361" s="81" t="n">
        <v>45231</v>
      </c>
      <c r="E361" s="82" t="n">
        <v>316.68</v>
      </c>
      <c r="F361" s="80" t="n">
        <v>36</v>
      </c>
      <c r="G361" s="79" t="s">
        <v>1235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202610</v>
      </c>
      <c r="D362" s="81" t="n">
        <v>46296</v>
      </c>
      <c r="E362" s="82" t="n">
        <v>1063.596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202609</v>
      </c>
      <c r="D363" s="81" t="n">
        <v>46266</v>
      </c>
      <c r="E363" s="82" t="n">
        <v>1180.621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202608</v>
      </c>
      <c r="D364" s="81" t="n">
        <v>46235</v>
      </c>
      <c r="E364" s="82" t="n">
        <v>1070.629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202607</v>
      </c>
      <c r="D365" s="81" t="n">
        <v>46204</v>
      </c>
      <c r="E365" s="82" t="n">
        <v>937.969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202606</v>
      </c>
      <c r="D366" s="81" t="n">
        <v>46174</v>
      </c>
      <c r="E366" s="82" t="n">
        <v>704.375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202605</v>
      </c>
      <c r="D367" s="81" t="n">
        <v>46143</v>
      </c>
      <c r="E367" s="82" t="n">
        <v>863.341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202604</v>
      </c>
      <c r="D368" s="81" t="n">
        <v>46113</v>
      </c>
      <c r="E368" s="82" t="n">
        <v>624.91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202603</v>
      </c>
      <c r="D369" s="81" t="n">
        <v>46082</v>
      </c>
      <c r="E369" s="82" t="n">
        <v>477.648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202602</v>
      </c>
      <c r="D370" s="81" t="n">
        <v>46054</v>
      </c>
      <c r="E370" s="82" t="n">
        <v>466.63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202601</v>
      </c>
      <c r="D371" s="81" t="n">
        <v>46023</v>
      </c>
      <c r="E371" s="82" t="n">
        <v>360.721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202512</v>
      </c>
      <c r="D372" s="81" t="n">
        <v>45992</v>
      </c>
      <c r="E372" s="82" t="n">
        <v>307.434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202511</v>
      </c>
      <c r="D373" s="81" t="n">
        <v>45962</v>
      </c>
      <c r="E373" s="82" t="n">
        <v>259.818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202510</v>
      </c>
      <c r="D374" s="81" t="n">
        <v>45931</v>
      </c>
      <c r="E374" s="82" t="n">
        <v>1426.276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202509</v>
      </c>
      <c r="D375" s="81" t="n">
        <v>45901</v>
      </c>
      <c r="E375" s="82" t="n">
        <v>244.302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202508</v>
      </c>
      <c r="D376" s="81" t="n">
        <v>45870</v>
      </c>
      <c r="E376" s="82" t="n">
        <v>281.096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202507</v>
      </c>
      <c r="D377" s="81" t="n">
        <v>45839</v>
      </c>
      <c r="E377" s="82" t="n">
        <v>145.673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202506</v>
      </c>
      <c r="D378" s="81" t="n">
        <v>45809</v>
      </c>
      <c r="E378" s="82" t="n">
        <v>299.296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202505</v>
      </c>
      <c r="D379" s="81" t="n">
        <v>45778</v>
      </c>
      <c r="E379" s="82" t="n">
        <v>313.034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202504</v>
      </c>
      <c r="D380" s="81" t="n">
        <v>45748</v>
      </c>
      <c r="E380" s="82" t="n">
        <v>341.205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202503</v>
      </c>
      <c r="D381" s="81" t="n">
        <v>45717</v>
      </c>
      <c r="E381" s="82" t="n">
        <v>210.023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202502</v>
      </c>
      <c r="D382" s="81" t="n">
        <v>45689</v>
      </c>
      <c r="E382" s="82" t="n">
        <v>269.109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202501</v>
      </c>
      <c r="D383" s="81" t="n">
        <v>45658</v>
      </c>
      <c r="E383" s="82" t="n">
        <v>938.899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202412</v>
      </c>
      <c r="D384" s="81" t="n">
        <v>45627</v>
      </c>
      <c r="E384" s="82" t="n">
        <v>340.838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202411</v>
      </c>
      <c r="D385" s="81" t="n">
        <v>45597</v>
      </c>
      <c r="E385" s="82" t="n">
        <v>348.625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202410</v>
      </c>
      <c r="D386" s="81" t="n">
        <v>45566</v>
      </c>
      <c r="E386" s="82" t="n">
        <v>325.865</v>
      </c>
      <c r="F386" s="80" t="n">
        <v>25</v>
      </c>
      <c r="G386" s="79" t="s">
        <v>1236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202409</v>
      </c>
      <c r="D387" s="81" t="n">
        <v>45536</v>
      </c>
      <c r="E387" s="82" t="n">
        <v>427.36</v>
      </c>
      <c r="F387" s="80" t="n">
        <v>26</v>
      </c>
      <c r="G387" s="79" t="s">
        <v>1237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202408</v>
      </c>
      <c r="D388" s="81" t="n">
        <v>45505</v>
      </c>
      <c r="E388" s="82" t="n">
        <v>255.025</v>
      </c>
      <c r="F388" s="80" t="n">
        <v>27</v>
      </c>
      <c r="G388" s="79" t="s">
        <v>1238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202407</v>
      </c>
      <c r="D389" s="81" t="n">
        <v>45474</v>
      </c>
      <c r="E389" s="82" t="n">
        <v>211.274</v>
      </c>
      <c r="F389" s="80" t="n">
        <v>28</v>
      </c>
      <c r="G389" s="79" t="s">
        <v>1239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202406</v>
      </c>
      <c r="D390" s="81" t="n">
        <v>45444</v>
      </c>
      <c r="E390" s="82" t="n">
        <v>260.814</v>
      </c>
      <c r="F390" s="80" t="n">
        <v>29</v>
      </c>
      <c r="G390" s="79" t="s">
        <v>1240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202405</v>
      </c>
      <c r="D391" s="81" t="n">
        <v>45413</v>
      </c>
      <c r="E391" s="82" t="n">
        <v>247.293</v>
      </c>
      <c r="F391" s="80" t="n">
        <v>30</v>
      </c>
      <c r="G391" s="79" t="s">
        <v>1241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202404</v>
      </c>
      <c r="D392" s="81" t="n">
        <v>45383</v>
      </c>
      <c r="E392" s="82" t="n">
        <v>383.428</v>
      </c>
      <c r="F392" s="80" t="n">
        <v>31</v>
      </c>
      <c r="G392" s="79" t="s">
        <v>1242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202403</v>
      </c>
      <c r="D393" s="81" t="n">
        <v>45352</v>
      </c>
      <c r="E393" s="82" t="n">
        <v>223.093</v>
      </c>
      <c r="F393" s="80" t="n">
        <v>32</v>
      </c>
      <c r="G393" s="79" t="s">
        <v>1243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202402</v>
      </c>
      <c r="D394" s="81" t="n">
        <v>45323</v>
      </c>
      <c r="E394" s="82" t="n">
        <v>333.294</v>
      </c>
      <c r="F394" s="80" t="n">
        <v>33</v>
      </c>
      <c r="G394" s="79" t="s">
        <v>1244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202401</v>
      </c>
      <c r="D395" s="81" t="n">
        <v>45292</v>
      </c>
      <c r="E395" s="82" t="n">
        <v>591.964</v>
      </c>
      <c r="F395" s="80" t="n">
        <v>34</v>
      </c>
      <c r="G395" s="79" t="s">
        <v>1245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202312</v>
      </c>
      <c r="D396" s="81" t="n">
        <v>45261</v>
      </c>
      <c r="E396" s="82" t="n">
        <v>710.103</v>
      </c>
      <c r="F396" s="80" t="n">
        <v>35</v>
      </c>
      <c r="G396" s="79" t="s">
        <v>1246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202311</v>
      </c>
      <c r="D397" s="81" t="n">
        <v>45231</v>
      </c>
      <c r="E397" s="82" t="n">
        <v>419.757</v>
      </c>
      <c r="F397" s="80" t="n">
        <v>36</v>
      </c>
      <c r="G397" s="79" t="s">
        <v>1247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202610</v>
      </c>
      <c r="D398" s="81" t="n">
        <v>46296</v>
      </c>
      <c r="E398" s="82" t="n">
        <v>10347.34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202609</v>
      </c>
      <c r="D399" s="81" t="n">
        <v>46266</v>
      </c>
      <c r="E399" s="82" t="n">
        <v>10327.444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202608</v>
      </c>
      <c r="D400" s="81" t="n">
        <v>46235</v>
      </c>
      <c r="E400" s="82" t="n">
        <v>10296.332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202607</v>
      </c>
      <c r="D401" s="81" t="n">
        <v>46204</v>
      </c>
      <c r="E401" s="82" t="n">
        <v>10022.596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202606</v>
      </c>
      <c r="D402" s="81" t="n">
        <v>46174</v>
      </c>
      <c r="E402" s="82" t="n">
        <v>9412.486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202605</v>
      </c>
      <c r="D403" s="81" t="n">
        <v>46143</v>
      </c>
      <c r="E403" s="82" t="n">
        <v>9225.016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202604</v>
      </c>
      <c r="D404" s="81" t="n">
        <v>46113</v>
      </c>
      <c r="E404" s="82" t="n">
        <v>8468.607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202603</v>
      </c>
      <c r="D405" s="81" t="n">
        <v>46082</v>
      </c>
      <c r="E405" s="82" t="n">
        <v>7059.376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202602</v>
      </c>
      <c r="D406" s="81" t="n">
        <v>46054</v>
      </c>
      <c r="E406" s="82" t="n">
        <v>7617.321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202601</v>
      </c>
      <c r="D407" s="81" t="n">
        <v>46023</v>
      </c>
      <c r="E407" s="82" t="n">
        <v>7319.722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202512</v>
      </c>
      <c r="D408" s="81" t="n">
        <v>45992</v>
      </c>
      <c r="E408" s="82" t="n">
        <v>7618.617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202511</v>
      </c>
      <c r="D409" s="81" t="n">
        <v>45962</v>
      </c>
      <c r="E409" s="82" t="n">
        <v>7878.87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202510</v>
      </c>
      <c r="D410" s="81" t="n">
        <v>45931</v>
      </c>
      <c r="E410" s="82" t="n">
        <v>8278.299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202509</v>
      </c>
      <c r="D411" s="81" t="n">
        <v>45901</v>
      </c>
      <c r="E411" s="82" t="n">
        <v>8174.953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202508</v>
      </c>
      <c r="D412" s="81" t="n">
        <v>45870</v>
      </c>
      <c r="E412" s="82" t="n">
        <v>8120.418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202507</v>
      </c>
      <c r="D413" s="81" t="n">
        <v>45839</v>
      </c>
      <c r="E413" s="82" t="n">
        <v>8425.263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202506</v>
      </c>
      <c r="D414" s="81" t="n">
        <v>45809</v>
      </c>
      <c r="E414" s="82" t="n">
        <v>8607.337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202505</v>
      </c>
      <c r="D415" s="81" t="n">
        <v>45778</v>
      </c>
      <c r="E415" s="82" t="n">
        <v>9119.463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202504</v>
      </c>
      <c r="D416" s="81" t="n">
        <v>45748</v>
      </c>
      <c r="E416" s="82" t="n">
        <v>9372.1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202503</v>
      </c>
      <c r="D417" s="81" t="n">
        <v>45717</v>
      </c>
      <c r="E417" s="82" t="n">
        <v>9267.233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202502</v>
      </c>
      <c r="D418" s="81" t="n">
        <v>45689</v>
      </c>
      <c r="E418" s="82" t="n">
        <v>8480.869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202501</v>
      </c>
      <c r="D419" s="81" t="n">
        <v>45658</v>
      </c>
      <c r="E419" s="82" t="n">
        <v>8527.147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202412</v>
      </c>
      <c r="D420" s="81" t="n">
        <v>45627</v>
      </c>
      <c r="E420" s="82" t="n">
        <v>8212.667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202411</v>
      </c>
      <c r="D421" s="81" t="n">
        <v>45597</v>
      </c>
      <c r="E421" s="82" t="n">
        <v>8522.705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202410</v>
      </c>
      <c r="D422" s="81" t="n">
        <v>45566</v>
      </c>
      <c r="E422" s="82" t="n">
        <v>8918.212</v>
      </c>
      <c r="F422" s="80" t="n">
        <v>25</v>
      </c>
      <c r="G422" s="79" t="s">
        <v>1248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202409</v>
      </c>
      <c r="D423" s="81" t="n">
        <v>45536</v>
      </c>
      <c r="E423" s="82" t="n">
        <v>9680.155</v>
      </c>
      <c r="F423" s="80" t="n">
        <v>26</v>
      </c>
      <c r="G423" s="79" t="s">
        <v>1249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202408</v>
      </c>
      <c r="D424" s="81" t="n">
        <v>45505</v>
      </c>
      <c r="E424" s="82" t="n">
        <v>9267.96</v>
      </c>
      <c r="F424" s="80" t="n">
        <v>27</v>
      </c>
      <c r="G424" s="79" t="s">
        <v>1250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202407</v>
      </c>
      <c r="D425" s="81" t="n">
        <v>45474</v>
      </c>
      <c r="E425" s="82" t="n">
        <v>8463.25</v>
      </c>
      <c r="F425" s="80" t="n">
        <v>28</v>
      </c>
      <c r="G425" s="79" t="s">
        <v>1251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202406</v>
      </c>
      <c r="D426" s="81" t="n">
        <v>45444</v>
      </c>
      <c r="E426" s="82" t="n">
        <v>8438.693</v>
      </c>
      <c r="F426" s="80" t="n">
        <v>29</v>
      </c>
      <c r="G426" s="79" t="s">
        <v>1252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202405</v>
      </c>
      <c r="D427" s="81" t="n">
        <v>45413</v>
      </c>
      <c r="E427" s="82" t="n">
        <v>8329.076</v>
      </c>
      <c r="F427" s="80" t="n">
        <v>30</v>
      </c>
      <c r="G427" s="79" t="s">
        <v>1253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202404</v>
      </c>
      <c r="D428" s="81" t="n">
        <v>45383</v>
      </c>
      <c r="E428" s="82" t="n">
        <v>8575.205</v>
      </c>
      <c r="F428" s="80" t="n">
        <v>31</v>
      </c>
      <c r="G428" s="79" t="s">
        <v>1254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202403</v>
      </c>
      <c r="D429" s="81" t="n">
        <v>45352</v>
      </c>
      <c r="E429" s="82" t="n">
        <v>7132.911</v>
      </c>
      <c r="F429" s="80" t="n">
        <v>32</v>
      </c>
      <c r="G429" s="79" t="s">
        <v>1255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202402</v>
      </c>
      <c r="D430" s="81" t="n">
        <v>45323</v>
      </c>
      <c r="E430" s="82" t="n">
        <v>8719.77</v>
      </c>
      <c r="F430" s="80" t="n">
        <v>33</v>
      </c>
      <c r="G430" s="79" t="s">
        <v>1256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202401</v>
      </c>
      <c r="D431" s="81" t="n">
        <v>45292</v>
      </c>
      <c r="E431" s="82" t="n">
        <v>8679.433</v>
      </c>
      <c r="F431" s="80" t="n">
        <v>34</v>
      </c>
      <c r="G431" s="79" t="s">
        <v>1257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202312</v>
      </c>
      <c r="D432" s="81" t="n">
        <v>45261</v>
      </c>
      <c r="E432" s="82" t="n">
        <v>8948.713</v>
      </c>
      <c r="F432" s="80" t="n">
        <v>35</v>
      </c>
      <c r="G432" s="79" t="s">
        <v>1258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202311</v>
      </c>
      <c r="D433" s="81" t="n">
        <v>45231</v>
      </c>
      <c r="E433" s="82" t="n">
        <v>9525.678</v>
      </c>
      <c r="F433" s="80" t="n">
        <v>36</v>
      </c>
      <c r="G433" s="79" t="s">
        <v>1259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202610</v>
      </c>
      <c r="D434" s="81" t="n">
        <v>46296</v>
      </c>
      <c r="E434" s="82" t="n">
        <v>540.492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202609</v>
      </c>
      <c r="D435" s="81" t="n">
        <v>46266</v>
      </c>
      <c r="E435" s="82" t="n">
        <v>520.469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202608</v>
      </c>
      <c r="D436" s="81" t="n">
        <v>46235</v>
      </c>
      <c r="E436" s="82" t="n">
        <v>501.21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202607</v>
      </c>
      <c r="D437" s="81" t="n">
        <v>46204</v>
      </c>
      <c r="E437" s="82" t="n">
        <v>420.507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202606</v>
      </c>
      <c r="D438" s="81" t="n">
        <v>46174</v>
      </c>
      <c r="E438" s="82" t="n">
        <v>405.322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202605</v>
      </c>
      <c r="D439" s="81" t="n">
        <v>46143</v>
      </c>
      <c r="E439" s="82" t="n">
        <v>395.349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202604</v>
      </c>
      <c r="D440" s="81" t="n">
        <v>46113</v>
      </c>
      <c r="E440" s="82" t="n">
        <v>343.319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202603</v>
      </c>
      <c r="D441" s="81" t="n">
        <v>46082</v>
      </c>
      <c r="E441" s="82" t="n">
        <v>290.3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202602</v>
      </c>
      <c r="D442" s="81" t="n">
        <v>46054</v>
      </c>
      <c r="E442" s="82" t="n">
        <v>270.77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202601</v>
      </c>
      <c r="D443" s="81" t="n">
        <v>46023</v>
      </c>
      <c r="E443" s="82" t="n">
        <v>230.664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202512</v>
      </c>
      <c r="D444" s="81" t="n">
        <v>45992</v>
      </c>
      <c r="E444" s="82" t="n">
        <v>210.28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202511</v>
      </c>
      <c r="D445" s="81" t="n">
        <v>45962</v>
      </c>
      <c r="E445" s="82" t="n">
        <v>201.479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202510</v>
      </c>
      <c r="D446" s="81" t="n">
        <v>45931</v>
      </c>
      <c r="E446" s="82" t="n">
        <v>186.272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202509</v>
      </c>
      <c r="D447" s="81" t="n">
        <v>45901</v>
      </c>
      <c r="E447" s="82" t="n">
        <v>185.285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202508</v>
      </c>
      <c r="D448" s="81" t="n">
        <v>45870</v>
      </c>
      <c r="E448" s="82" t="n">
        <v>181.246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202507</v>
      </c>
      <c r="D449" s="81" t="n">
        <v>45839</v>
      </c>
      <c r="E449" s="82" t="n">
        <v>184.322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202506</v>
      </c>
      <c r="D450" s="81" t="n">
        <v>45809</v>
      </c>
      <c r="E450" s="82" t="n">
        <v>185.217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202505</v>
      </c>
      <c r="D451" s="81" t="n">
        <v>45778</v>
      </c>
      <c r="E451" s="82" t="n">
        <v>183.555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202504</v>
      </c>
      <c r="D452" s="81" t="n">
        <v>45748</v>
      </c>
      <c r="E452" s="82" t="n">
        <v>181.318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202503</v>
      </c>
      <c r="D453" s="81" t="n">
        <v>45717</v>
      </c>
      <c r="E453" s="82" t="n">
        <v>151.644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202502</v>
      </c>
      <c r="D454" s="81" t="n">
        <v>45689</v>
      </c>
      <c r="E454" s="82" t="n">
        <v>121.54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202501</v>
      </c>
      <c r="D455" s="81" t="n">
        <v>45658</v>
      </c>
      <c r="E455" s="82" t="n">
        <v>89.084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202412</v>
      </c>
      <c r="D456" s="81" t="n">
        <v>45627</v>
      </c>
      <c r="E456" s="82" t="n">
        <v>85.131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202411</v>
      </c>
      <c r="D457" s="81" t="n">
        <v>45597</v>
      </c>
      <c r="E457" s="82" t="n">
        <v>114.595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202410</v>
      </c>
      <c r="D458" s="81" t="n">
        <v>45566</v>
      </c>
      <c r="E458" s="82" t="n">
        <v>110.497</v>
      </c>
      <c r="F458" s="80" t="n">
        <v>25</v>
      </c>
      <c r="G458" s="79" t="s">
        <v>1260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202409</v>
      </c>
      <c r="D459" s="81" t="n">
        <v>45536</v>
      </c>
      <c r="E459" s="82" t="n">
        <v>107.291</v>
      </c>
      <c r="F459" s="80" t="n">
        <v>26</v>
      </c>
      <c r="G459" s="79" t="s">
        <v>1261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202408</v>
      </c>
      <c r="D460" s="81" t="n">
        <v>45505</v>
      </c>
      <c r="E460" s="82" t="n">
        <v>105.257</v>
      </c>
      <c r="F460" s="80" t="n">
        <v>27</v>
      </c>
      <c r="G460" s="79" t="s">
        <v>1262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202407</v>
      </c>
      <c r="D461" s="81" t="n">
        <v>45474</v>
      </c>
      <c r="E461" s="82" t="n">
        <v>101.56</v>
      </c>
      <c r="F461" s="80" t="n">
        <v>28</v>
      </c>
      <c r="G461" s="79" t="s">
        <v>1263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202406</v>
      </c>
      <c r="D462" s="81" t="n">
        <v>45444</v>
      </c>
      <c r="E462" s="82" t="n">
        <v>68.682</v>
      </c>
      <c r="F462" s="80" t="n">
        <v>29</v>
      </c>
      <c r="G462" s="79" t="s">
        <v>1264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202405</v>
      </c>
      <c r="D463" s="81" t="n">
        <v>45413</v>
      </c>
      <c r="E463" s="82" t="n">
        <v>102.346</v>
      </c>
      <c r="F463" s="80" t="n">
        <v>30</v>
      </c>
      <c r="G463" s="79" t="s">
        <v>1265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202404</v>
      </c>
      <c r="D464" s="81" t="n">
        <v>45383</v>
      </c>
      <c r="E464" s="82" t="n">
        <v>110.324</v>
      </c>
      <c r="F464" s="80" t="n">
        <v>31</v>
      </c>
      <c r="G464" s="79" t="s">
        <v>1266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202403</v>
      </c>
      <c r="D465" s="81" t="n">
        <v>45352</v>
      </c>
      <c r="E465" s="82" t="n">
        <v>100.496</v>
      </c>
      <c r="F465" s="80" t="n">
        <v>32</v>
      </c>
      <c r="G465" s="79" t="s">
        <v>1267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202402</v>
      </c>
      <c r="D466" s="81" t="n">
        <v>45323</v>
      </c>
      <c r="E466" s="82" t="n">
        <v>113.159</v>
      </c>
      <c r="F466" s="80" t="n">
        <v>33</v>
      </c>
      <c r="G466" s="79" t="s">
        <v>1268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202401</v>
      </c>
      <c r="D467" s="81" t="n">
        <v>45292</v>
      </c>
      <c r="E467" s="82" t="n">
        <v>110.473</v>
      </c>
      <c r="F467" s="80" t="n">
        <v>34</v>
      </c>
      <c r="G467" s="79" t="s">
        <v>1269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202312</v>
      </c>
      <c r="D468" s="81" t="n">
        <v>45261</v>
      </c>
      <c r="E468" s="82" t="n">
        <v>105.453</v>
      </c>
      <c r="F468" s="80" t="n">
        <v>35</v>
      </c>
      <c r="G468" s="79" t="s">
        <v>1270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202311</v>
      </c>
      <c r="D469" s="81" t="n">
        <v>45231</v>
      </c>
      <c r="E469" s="82" t="n">
        <v>80.821</v>
      </c>
      <c r="F469" s="80" t="n">
        <v>36</v>
      </c>
      <c r="G469" s="79" t="s">
        <v>1271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202610</v>
      </c>
      <c r="D470" s="81" t="n">
        <v>46296</v>
      </c>
      <c r="E470" s="82" t="n">
        <v>2029.54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202609</v>
      </c>
      <c r="D471" s="81" t="n">
        <v>46266</v>
      </c>
      <c r="E471" s="82" t="n">
        <v>1937.397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202608</v>
      </c>
      <c r="D472" s="81" t="n">
        <v>46235</v>
      </c>
      <c r="E472" s="82" t="n">
        <v>1892.049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202607</v>
      </c>
      <c r="D473" s="81" t="n">
        <v>46204</v>
      </c>
      <c r="E473" s="82" t="n">
        <v>1767.694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202606</v>
      </c>
      <c r="D474" s="81" t="n">
        <v>46174</v>
      </c>
      <c r="E474" s="82" t="n">
        <v>1755.488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202605</v>
      </c>
      <c r="D475" s="81" t="n">
        <v>46143</v>
      </c>
      <c r="E475" s="82" t="n">
        <v>1734.086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202604</v>
      </c>
      <c r="D476" s="81" t="n">
        <v>46113</v>
      </c>
      <c r="E476" s="82" t="n">
        <v>1648.656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202603</v>
      </c>
      <c r="D477" s="81" t="n">
        <v>46082</v>
      </c>
      <c r="E477" s="82" t="n">
        <v>1473.703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202602</v>
      </c>
      <c r="D478" s="81" t="n">
        <v>46054</v>
      </c>
      <c r="E478" s="82" t="n">
        <v>1467.701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202601</v>
      </c>
      <c r="D479" s="81" t="n">
        <v>46023</v>
      </c>
      <c r="E479" s="82" t="n">
        <v>1614.459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202512</v>
      </c>
      <c r="D480" s="81" t="n">
        <v>45992</v>
      </c>
      <c r="E480" s="82" t="n">
        <v>1620.599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202511</v>
      </c>
      <c r="D481" s="81" t="n">
        <v>45962</v>
      </c>
      <c r="E481" s="82" t="n">
        <v>1559.396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202510</v>
      </c>
      <c r="D482" s="81" t="n">
        <v>45931</v>
      </c>
      <c r="E482" s="82" t="n">
        <v>1560.931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202509</v>
      </c>
      <c r="D483" s="81" t="n">
        <v>45901</v>
      </c>
      <c r="E483" s="82" t="n">
        <v>1484.003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202508</v>
      </c>
      <c r="D484" s="81" t="n">
        <v>45870</v>
      </c>
      <c r="E484" s="82" t="n">
        <v>1442.357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202507</v>
      </c>
      <c r="D485" s="81" t="n">
        <v>45839</v>
      </c>
      <c r="E485" s="82" t="n">
        <v>1364.461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202506</v>
      </c>
      <c r="D486" s="81" t="n">
        <v>45809</v>
      </c>
      <c r="E486" s="82" t="n">
        <v>1251.261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202505</v>
      </c>
      <c r="D487" s="81" t="n">
        <v>45778</v>
      </c>
      <c r="E487" s="82" t="n">
        <v>1164.676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202504</v>
      </c>
      <c r="D488" s="81" t="n">
        <v>45748</v>
      </c>
      <c r="E488" s="82" t="n">
        <v>1228.088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202503</v>
      </c>
      <c r="D489" s="81" t="n">
        <v>45717</v>
      </c>
      <c r="E489" s="82" t="n">
        <v>1170.381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202502</v>
      </c>
      <c r="D490" s="81" t="n">
        <v>45689</v>
      </c>
      <c r="E490" s="82" t="n">
        <v>1177.334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202501</v>
      </c>
      <c r="D491" s="81" t="n">
        <v>45658</v>
      </c>
      <c r="E491" s="82" t="n">
        <v>1229.948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202412</v>
      </c>
      <c r="D492" s="81" t="n">
        <v>45627</v>
      </c>
      <c r="E492" s="82" t="n">
        <v>1250.441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202411</v>
      </c>
      <c r="D493" s="81" t="n">
        <v>45597</v>
      </c>
      <c r="E493" s="82" t="n">
        <v>1225.676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202410</v>
      </c>
      <c r="D494" s="81" t="n">
        <v>45566</v>
      </c>
      <c r="E494" s="82" t="n">
        <v>1235.694</v>
      </c>
      <c r="F494" s="80" t="n">
        <v>25</v>
      </c>
      <c r="G494" s="79" t="s">
        <v>1272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202409</v>
      </c>
      <c r="D495" s="81" t="n">
        <v>45536</v>
      </c>
      <c r="E495" s="82" t="n">
        <v>1501.179</v>
      </c>
      <c r="F495" s="80" t="n">
        <v>26</v>
      </c>
      <c r="G495" s="79" t="s">
        <v>1273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202408</v>
      </c>
      <c r="D496" s="81" t="n">
        <v>45505</v>
      </c>
      <c r="E496" s="82" t="n">
        <v>1610.948</v>
      </c>
      <c r="F496" s="80" t="n">
        <v>27</v>
      </c>
      <c r="G496" s="79" t="s">
        <v>1274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202407</v>
      </c>
      <c r="D497" s="81" t="n">
        <v>45474</v>
      </c>
      <c r="E497" s="82" t="n">
        <v>1665.949</v>
      </c>
      <c r="F497" s="80" t="n">
        <v>28</v>
      </c>
      <c r="G497" s="79" t="s">
        <v>1275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202406</v>
      </c>
      <c r="D498" s="81" t="n">
        <v>45444</v>
      </c>
      <c r="E498" s="82" t="n">
        <v>1653.217</v>
      </c>
      <c r="F498" s="80" t="n">
        <v>29</v>
      </c>
      <c r="G498" s="79" t="s">
        <v>1276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202405</v>
      </c>
      <c r="D499" s="81" t="n">
        <v>45413</v>
      </c>
      <c r="E499" s="82" t="n">
        <v>1642.26</v>
      </c>
      <c r="F499" s="80" t="n">
        <v>30</v>
      </c>
      <c r="G499" s="79" t="s">
        <v>1277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202404</v>
      </c>
      <c r="D500" s="81" t="n">
        <v>45383</v>
      </c>
      <c r="E500" s="82" t="n">
        <v>1613.349</v>
      </c>
      <c r="F500" s="80" t="n">
        <v>31</v>
      </c>
      <c r="G500" s="79" t="s">
        <v>1278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202403</v>
      </c>
      <c r="D501" s="81" t="n">
        <v>45352</v>
      </c>
      <c r="E501" s="82" t="n">
        <v>1315.488</v>
      </c>
      <c r="F501" s="80" t="n">
        <v>32</v>
      </c>
      <c r="G501" s="79" t="s">
        <v>1279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202402</v>
      </c>
      <c r="D502" s="81" t="n">
        <v>45323</v>
      </c>
      <c r="E502" s="82" t="n">
        <v>1514.003</v>
      </c>
      <c r="F502" s="80" t="n">
        <v>33</v>
      </c>
      <c r="G502" s="79" t="s">
        <v>1280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202401</v>
      </c>
      <c r="D503" s="81" t="n">
        <v>45292</v>
      </c>
      <c r="E503" s="82" t="n">
        <v>1667.234</v>
      </c>
      <c r="F503" s="80" t="n">
        <v>34</v>
      </c>
      <c r="G503" s="79" t="s">
        <v>1281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202312</v>
      </c>
      <c r="D504" s="81" t="n">
        <v>45261</v>
      </c>
      <c r="E504" s="82" t="n">
        <v>1610.421</v>
      </c>
      <c r="F504" s="80" t="n">
        <v>35</v>
      </c>
      <c r="G504" s="79" t="s">
        <v>1282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202311</v>
      </c>
      <c r="D505" s="81" t="n">
        <v>45231</v>
      </c>
      <c r="E505" s="82" t="n">
        <v>1590.381</v>
      </c>
      <c r="F505" s="80" t="n">
        <v>36</v>
      </c>
      <c r="G505" s="79" t="s">
        <v>1283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202610</v>
      </c>
      <c r="D506" s="81" t="n">
        <v>46296</v>
      </c>
      <c r="E506" s="82" t="n">
        <v>242.257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202609</v>
      </c>
      <c r="D507" s="81" t="n">
        <v>46266</v>
      </c>
      <c r="E507" s="82" t="n">
        <v>205.091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202608</v>
      </c>
      <c r="D508" s="81" t="n">
        <v>46235</v>
      </c>
      <c r="E508" s="82" t="n">
        <v>210.064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202607</v>
      </c>
      <c r="D509" s="81" t="n">
        <v>46204</v>
      </c>
      <c r="E509" s="82" t="n">
        <v>181.188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202606</v>
      </c>
      <c r="D510" s="81" t="n">
        <v>46174</v>
      </c>
      <c r="E510" s="82" t="n">
        <v>211.521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202605</v>
      </c>
      <c r="D511" s="81" t="n">
        <v>46143</v>
      </c>
      <c r="E511" s="82" t="n">
        <v>199.142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202604</v>
      </c>
      <c r="D512" s="81" t="n">
        <v>46113</v>
      </c>
      <c r="E512" s="82" t="n">
        <v>247.473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202603</v>
      </c>
      <c r="D513" s="81" t="n">
        <v>46082</v>
      </c>
      <c r="E513" s="82" t="n">
        <v>173.919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202602</v>
      </c>
      <c r="D514" s="81" t="n">
        <v>46054</v>
      </c>
      <c r="E514" s="82" t="n">
        <v>234.703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202601</v>
      </c>
      <c r="D515" s="81" t="n">
        <v>46023</v>
      </c>
      <c r="E515" s="82" t="n">
        <v>223.394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202512</v>
      </c>
      <c r="D516" s="81" t="n">
        <v>45992</v>
      </c>
      <c r="E516" s="82" t="n">
        <v>213.422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202511</v>
      </c>
      <c r="D517" s="81" t="n">
        <v>45962</v>
      </c>
      <c r="E517" s="82" t="n">
        <v>186.088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202510</v>
      </c>
      <c r="D518" s="81" t="n">
        <v>45931</v>
      </c>
      <c r="E518" s="82" t="n">
        <v>190.099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202509</v>
      </c>
      <c r="D519" s="81" t="n">
        <v>45901</v>
      </c>
      <c r="E519" s="82" t="n">
        <v>186.973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202508</v>
      </c>
      <c r="D520" s="81" t="n">
        <v>45870</v>
      </c>
      <c r="E520" s="82" t="n">
        <v>163.28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202507</v>
      </c>
      <c r="D521" s="81" t="n">
        <v>45839</v>
      </c>
      <c r="E521" s="82" t="n">
        <v>204.803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202506</v>
      </c>
      <c r="D522" s="81" t="n">
        <v>45809</v>
      </c>
      <c r="E522" s="82" t="n">
        <v>162.745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202505</v>
      </c>
      <c r="D523" s="81" t="n">
        <v>45778</v>
      </c>
      <c r="E523" s="82" t="n">
        <v>170.936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202504</v>
      </c>
      <c r="D524" s="81" t="n">
        <v>45748</v>
      </c>
      <c r="E524" s="82" t="n">
        <v>200.11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202503</v>
      </c>
      <c r="D525" s="81" t="n">
        <v>45717</v>
      </c>
      <c r="E525" s="82" t="n">
        <v>165.097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202502</v>
      </c>
      <c r="D526" s="81" t="n">
        <v>45689</v>
      </c>
      <c r="E526" s="82" t="n">
        <v>158.704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202501</v>
      </c>
      <c r="D527" s="81" t="n">
        <v>45658</v>
      </c>
      <c r="E527" s="82" t="n">
        <v>166.142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202412</v>
      </c>
      <c r="D528" s="81" t="n">
        <v>45627</v>
      </c>
      <c r="E528" s="82" t="n">
        <v>152.549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202411</v>
      </c>
      <c r="D529" s="81" t="n">
        <v>45597</v>
      </c>
      <c r="E529" s="82" t="n">
        <v>157.909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202410</v>
      </c>
      <c r="D530" s="81" t="n">
        <v>45566</v>
      </c>
      <c r="E530" s="82" t="n">
        <v>168.434</v>
      </c>
      <c r="F530" s="80" t="n">
        <v>25</v>
      </c>
      <c r="G530" s="79" t="s">
        <v>1284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202409</v>
      </c>
      <c r="D531" s="81" t="n">
        <v>45536</v>
      </c>
      <c r="E531" s="82" t="n">
        <v>140.363</v>
      </c>
      <c r="F531" s="80" t="n">
        <v>26</v>
      </c>
      <c r="G531" s="79" t="s">
        <v>1285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202408</v>
      </c>
      <c r="D532" s="81" t="n">
        <v>45505</v>
      </c>
      <c r="E532" s="82" t="n">
        <v>147.626</v>
      </c>
      <c r="F532" s="80" t="n">
        <v>27</v>
      </c>
      <c r="G532" s="79" t="s">
        <v>1286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202407</v>
      </c>
      <c r="D533" s="81" t="n">
        <v>45474</v>
      </c>
      <c r="E533" s="82" t="n">
        <v>176.791</v>
      </c>
      <c r="F533" s="80" t="n">
        <v>28</v>
      </c>
      <c r="G533" s="79" t="s">
        <v>1287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202406</v>
      </c>
      <c r="D534" s="81" t="n">
        <v>45444</v>
      </c>
      <c r="E534" s="82" t="n">
        <v>130.878</v>
      </c>
      <c r="F534" s="80" t="n">
        <v>29</v>
      </c>
      <c r="G534" s="79" t="s">
        <v>1288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202405</v>
      </c>
      <c r="D535" s="81" t="n">
        <v>45413</v>
      </c>
      <c r="E535" s="82" t="n">
        <v>151.778</v>
      </c>
      <c r="F535" s="80" t="n">
        <v>30</v>
      </c>
      <c r="G535" s="79" t="s">
        <v>1289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202404</v>
      </c>
      <c r="D536" s="81" t="n">
        <v>45383</v>
      </c>
      <c r="E536" s="82" t="n">
        <v>156.182</v>
      </c>
      <c r="F536" s="80" t="n">
        <v>31</v>
      </c>
      <c r="G536" s="79" t="s">
        <v>1290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202403</v>
      </c>
      <c r="D537" s="81" t="n">
        <v>45352</v>
      </c>
      <c r="E537" s="82" t="n">
        <v>155.064</v>
      </c>
      <c r="F537" s="80" t="n">
        <v>32</v>
      </c>
      <c r="G537" s="79" t="s">
        <v>1291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202402</v>
      </c>
      <c r="D538" s="81" t="n">
        <v>45323</v>
      </c>
      <c r="E538" s="82" t="n">
        <v>237.554</v>
      </c>
      <c r="F538" s="80" t="n">
        <v>33</v>
      </c>
      <c r="G538" s="79" t="s">
        <v>1292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202401</v>
      </c>
      <c r="D539" s="81" t="n">
        <v>45292</v>
      </c>
      <c r="E539" s="82" t="n">
        <v>268.317</v>
      </c>
      <c r="F539" s="80" t="n">
        <v>34</v>
      </c>
      <c r="G539" s="79" t="s">
        <v>1293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202312</v>
      </c>
      <c r="D540" s="81" t="n">
        <v>45261</v>
      </c>
      <c r="E540" s="82" t="n">
        <v>274.338</v>
      </c>
      <c r="F540" s="80" t="n">
        <v>35</v>
      </c>
      <c r="G540" s="79" t="s">
        <v>1294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202311</v>
      </c>
      <c r="D541" s="81" t="n">
        <v>45231</v>
      </c>
      <c r="E541" s="82" t="n">
        <v>262.123</v>
      </c>
      <c r="F541" s="80" t="n">
        <v>36</v>
      </c>
      <c r="G541" s="79" t="s">
        <v>1295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202610</v>
      </c>
      <c r="D542" s="81" t="n">
        <v>46296</v>
      </c>
      <c r="E542" s="82" t="n">
        <v>5181.276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202609</v>
      </c>
      <c r="D543" s="81" t="n">
        <v>46266</v>
      </c>
      <c r="E543" s="82" t="n">
        <v>4809.631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202608</v>
      </c>
      <c r="D544" s="81" t="n">
        <v>46235</v>
      </c>
      <c r="E544" s="82" t="n">
        <v>4548.833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202607</v>
      </c>
      <c r="D545" s="81" t="n">
        <v>46204</v>
      </c>
      <c r="E545" s="82" t="n">
        <v>4224.069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202606</v>
      </c>
      <c r="D546" s="81" t="n">
        <v>46174</v>
      </c>
      <c r="E546" s="82" t="n">
        <v>4199.867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202605</v>
      </c>
      <c r="D547" s="81" t="n">
        <v>46143</v>
      </c>
      <c r="E547" s="82" t="n">
        <v>4072.319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202604</v>
      </c>
      <c r="D548" s="81" t="n">
        <v>46113</v>
      </c>
      <c r="E548" s="82" t="n">
        <v>3939.324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202603</v>
      </c>
      <c r="D549" s="81" t="n">
        <v>46082</v>
      </c>
      <c r="E549" s="82" t="n">
        <v>3204.487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202602</v>
      </c>
      <c r="D550" s="81" t="n">
        <v>46054</v>
      </c>
      <c r="E550" s="82" t="n">
        <v>3961.154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202601</v>
      </c>
      <c r="D551" s="81" t="n">
        <v>46023</v>
      </c>
      <c r="E551" s="82" t="n">
        <v>3688.833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202512</v>
      </c>
      <c r="D552" s="81" t="n">
        <v>45992</v>
      </c>
      <c r="E552" s="82" t="n">
        <v>3521.383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202511</v>
      </c>
      <c r="D553" s="81" t="n">
        <v>45962</v>
      </c>
      <c r="E553" s="82" t="n">
        <v>3601.222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202510</v>
      </c>
      <c r="D554" s="81" t="n">
        <v>45931</v>
      </c>
      <c r="E554" s="82" t="n">
        <v>3586.439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202509</v>
      </c>
      <c r="D555" s="81" t="n">
        <v>45901</v>
      </c>
      <c r="E555" s="82" t="n">
        <v>3421.382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202508</v>
      </c>
      <c r="D556" s="81" t="n">
        <v>45870</v>
      </c>
      <c r="E556" s="82" t="n">
        <v>3348.367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202507</v>
      </c>
      <c r="D557" s="81" t="n">
        <v>45839</v>
      </c>
      <c r="E557" s="82" t="n">
        <v>3193.58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202506</v>
      </c>
      <c r="D558" s="81" t="n">
        <v>45809</v>
      </c>
      <c r="E558" s="82" t="n">
        <v>3157.305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202505</v>
      </c>
      <c r="D559" s="81" t="n">
        <v>45778</v>
      </c>
      <c r="E559" s="82" t="n">
        <v>3212.841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202504</v>
      </c>
      <c r="D560" s="81" t="n">
        <v>45748</v>
      </c>
      <c r="E560" s="82" t="n">
        <v>3150.041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202503</v>
      </c>
      <c r="D561" s="81" t="n">
        <v>45717</v>
      </c>
      <c r="E561" s="82" t="n">
        <v>2913.173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202502</v>
      </c>
      <c r="D562" s="81" t="n">
        <v>45689</v>
      </c>
      <c r="E562" s="82" t="n">
        <v>2556.53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202501</v>
      </c>
      <c r="D563" s="81" t="n">
        <v>45658</v>
      </c>
      <c r="E563" s="82" t="n">
        <v>2945.583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202412</v>
      </c>
      <c r="D564" s="81" t="n">
        <v>45627</v>
      </c>
      <c r="E564" s="82" t="n">
        <v>2520.732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202411</v>
      </c>
      <c r="D565" s="81" t="n">
        <v>45597</v>
      </c>
      <c r="E565" s="82" t="n">
        <v>2576.678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202410</v>
      </c>
      <c r="D566" s="81" t="n">
        <v>45566</v>
      </c>
      <c r="E566" s="82" t="n">
        <v>2646.537</v>
      </c>
      <c r="F566" s="80" t="n">
        <v>25</v>
      </c>
      <c r="G566" s="79" t="s">
        <v>1296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202409</v>
      </c>
      <c r="D567" s="81" t="n">
        <v>45536</v>
      </c>
      <c r="E567" s="82" t="n">
        <v>2858.462</v>
      </c>
      <c r="F567" s="80" t="n">
        <v>26</v>
      </c>
      <c r="G567" s="79" t="s">
        <v>1297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202408</v>
      </c>
      <c r="D568" s="81" t="n">
        <v>45505</v>
      </c>
      <c r="E568" s="82" t="n">
        <v>2692.121</v>
      </c>
      <c r="F568" s="80" t="n">
        <v>27</v>
      </c>
      <c r="G568" s="79" t="s">
        <v>1298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202407</v>
      </c>
      <c r="D569" s="81" t="n">
        <v>45474</v>
      </c>
      <c r="E569" s="82" t="n">
        <v>2400.808</v>
      </c>
      <c r="F569" s="80" t="n">
        <v>28</v>
      </c>
      <c r="G569" s="79" t="s">
        <v>1299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202406</v>
      </c>
      <c r="D570" s="81" t="n">
        <v>45444</v>
      </c>
      <c r="E570" s="82" t="n">
        <v>2511.206</v>
      </c>
      <c r="F570" s="80" t="n">
        <v>29</v>
      </c>
      <c r="G570" s="79" t="s">
        <v>1300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202405</v>
      </c>
      <c r="D571" s="81" t="n">
        <v>45413</v>
      </c>
      <c r="E571" s="82" t="n">
        <v>2388.468</v>
      </c>
      <c r="F571" s="80" t="n">
        <v>30</v>
      </c>
      <c r="G571" s="79" t="s">
        <v>1301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202404</v>
      </c>
      <c r="D572" s="81" t="n">
        <v>45383</v>
      </c>
      <c r="E572" s="82" t="n">
        <v>2443.094</v>
      </c>
      <c r="F572" s="80" t="n">
        <v>31</v>
      </c>
      <c r="G572" s="79" t="s">
        <v>1302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202403</v>
      </c>
      <c r="D573" s="81" t="n">
        <v>45352</v>
      </c>
      <c r="E573" s="82" t="n">
        <v>2238.258</v>
      </c>
      <c r="F573" s="80" t="n">
        <v>32</v>
      </c>
      <c r="G573" s="79" t="s">
        <v>1303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202402</v>
      </c>
      <c r="D574" s="81" t="n">
        <v>45323</v>
      </c>
      <c r="E574" s="82" t="n">
        <v>2313.032</v>
      </c>
      <c r="F574" s="80" t="n">
        <v>33</v>
      </c>
      <c r="G574" s="79" t="s">
        <v>1304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202401</v>
      </c>
      <c r="D575" s="81" t="n">
        <v>45292</v>
      </c>
      <c r="E575" s="82" t="n">
        <v>2450.705</v>
      </c>
      <c r="F575" s="80" t="n">
        <v>34</v>
      </c>
      <c r="G575" s="79" t="s">
        <v>1305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202312</v>
      </c>
      <c r="D576" s="81" t="n">
        <v>45261</v>
      </c>
      <c r="E576" s="82" t="n">
        <v>2530.422</v>
      </c>
      <c r="F576" s="80" t="n">
        <v>35</v>
      </c>
      <c r="G576" s="79" t="s">
        <v>1306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202311</v>
      </c>
      <c r="D577" s="81" t="n">
        <v>45231</v>
      </c>
      <c r="E577" s="82" t="n">
        <v>2508.336</v>
      </c>
      <c r="F577" s="80" t="n">
        <v>36</v>
      </c>
      <c r="G577" s="79" t="s">
        <v>1307</v>
      </c>
    </row>
    <row r="578" customFormat="false" ht="15" hidden="false" customHeight="false" outlineLevel="0" collapsed="false">
      <c r="A578" s="79" t="s">
        <v>695</v>
      </c>
      <c r="B578" s="79" t="s">
        <v>1080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1081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1082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1083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1084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1085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1086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1087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1088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1089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1090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1091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1092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1093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1094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1095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1096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1097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1098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1099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1100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1101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1102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1103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1105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1308</v>
      </c>
    </row>
    <row r="603" customFormat="false" ht="15" hidden="false" customHeight="false" outlineLevel="0" collapsed="false">
      <c r="A603" s="79" t="s">
        <v>695</v>
      </c>
      <c r="B603" s="79" t="s">
        <v>1107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1309</v>
      </c>
    </row>
    <row r="604" customFormat="false" ht="15" hidden="false" customHeight="false" outlineLevel="0" collapsed="false">
      <c r="A604" s="79" t="s">
        <v>695</v>
      </c>
      <c r="B604" s="79" t="s">
        <v>1109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1310</v>
      </c>
    </row>
    <row r="605" customFormat="false" ht="15" hidden="false" customHeight="false" outlineLevel="0" collapsed="false">
      <c r="A605" s="79" t="s">
        <v>695</v>
      </c>
      <c r="B605" s="79" t="s">
        <v>1111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1311</v>
      </c>
    </row>
    <row r="606" customFormat="false" ht="15" hidden="false" customHeight="false" outlineLevel="0" collapsed="false">
      <c r="A606" s="79" t="s">
        <v>695</v>
      </c>
      <c r="B606" s="79" t="s">
        <v>1113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1312</v>
      </c>
    </row>
    <row r="607" customFormat="false" ht="15" hidden="false" customHeight="false" outlineLevel="0" collapsed="false">
      <c r="A607" s="79" t="s">
        <v>695</v>
      </c>
      <c r="B607" s="79" t="s">
        <v>1115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1313</v>
      </c>
    </row>
    <row r="608" customFormat="false" ht="15" hidden="false" customHeight="false" outlineLevel="0" collapsed="false">
      <c r="A608" s="79" t="s">
        <v>695</v>
      </c>
      <c r="B608" s="79" t="s">
        <v>1117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1314</v>
      </c>
    </row>
    <row r="609" customFormat="false" ht="15" hidden="false" customHeight="false" outlineLevel="0" collapsed="false">
      <c r="A609" s="79" t="s">
        <v>695</v>
      </c>
      <c r="B609" s="79" t="s">
        <v>1119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1315</v>
      </c>
    </row>
    <row r="610" customFormat="false" ht="15" hidden="false" customHeight="false" outlineLevel="0" collapsed="false">
      <c r="A610" s="79" t="s">
        <v>695</v>
      </c>
      <c r="B610" s="79" t="s">
        <v>1121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1316</v>
      </c>
    </row>
    <row r="611" customFormat="false" ht="15" hidden="false" customHeight="false" outlineLevel="0" collapsed="false">
      <c r="A611" s="79" t="s">
        <v>695</v>
      </c>
      <c r="B611" s="79" t="s">
        <v>1123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1317</v>
      </c>
    </row>
    <row r="612" customFormat="false" ht="15" hidden="false" customHeight="false" outlineLevel="0" collapsed="false">
      <c r="A612" s="79" t="s">
        <v>695</v>
      </c>
      <c r="B612" s="79" t="s">
        <v>1125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1318</v>
      </c>
    </row>
    <row r="613" customFormat="false" ht="15" hidden="false" customHeight="false" outlineLevel="0" collapsed="false">
      <c r="A613" s="79" t="s">
        <v>695</v>
      </c>
      <c r="B613" s="79" t="s">
        <v>1210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1319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202610</v>
      </c>
      <c r="D614" s="81" t="n">
        <v>46296</v>
      </c>
      <c r="E614" s="82" t="n">
        <v>224.257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202609</v>
      </c>
      <c r="D615" s="81" t="n">
        <v>46266</v>
      </c>
      <c r="E615" s="82" t="n">
        <v>204.482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202608</v>
      </c>
      <c r="D616" s="81" t="n">
        <v>46235</v>
      </c>
      <c r="E616" s="82" t="n">
        <v>170.843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202607</v>
      </c>
      <c r="D617" s="81" t="n">
        <v>46204</v>
      </c>
      <c r="E617" s="82" t="n">
        <v>157.445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202606</v>
      </c>
      <c r="D618" s="81" t="n">
        <v>46174</v>
      </c>
      <c r="E618" s="82" t="n">
        <v>143.8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202605</v>
      </c>
      <c r="D619" s="81" t="n">
        <v>46143</v>
      </c>
      <c r="E619" s="82" t="n">
        <v>127.943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202604</v>
      </c>
      <c r="D620" s="81" t="n">
        <v>46113</v>
      </c>
      <c r="E620" s="82" t="n">
        <v>117.274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202603</v>
      </c>
      <c r="D621" s="81" t="n">
        <v>46082</v>
      </c>
      <c r="E621" s="82" t="n">
        <v>128.013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202602</v>
      </c>
      <c r="D622" s="81" t="n">
        <v>46054</v>
      </c>
      <c r="E622" s="82" t="n">
        <v>136.682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202601</v>
      </c>
      <c r="D623" s="81" t="n">
        <v>46023</v>
      </c>
      <c r="E623" s="82" t="n">
        <v>131.042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202512</v>
      </c>
      <c r="D624" s="81" t="n">
        <v>45992</v>
      </c>
      <c r="E624" s="82" t="n">
        <v>125.44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202511</v>
      </c>
      <c r="D625" s="81" t="n">
        <v>45962</v>
      </c>
      <c r="E625" s="82" t="n">
        <v>134.292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202510</v>
      </c>
      <c r="D626" s="81" t="n">
        <v>45931</v>
      </c>
      <c r="E626" s="82" t="n">
        <v>174.688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202509</v>
      </c>
      <c r="D627" s="81" t="n">
        <v>45901</v>
      </c>
      <c r="E627" s="82" t="n">
        <v>180.642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202508</v>
      </c>
      <c r="D628" s="81" t="n">
        <v>45870</v>
      </c>
      <c r="E628" s="82" t="n">
        <v>152.411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202507</v>
      </c>
      <c r="D629" s="81" t="n">
        <v>45839</v>
      </c>
      <c r="E629" s="82" t="n">
        <v>186.77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202506</v>
      </c>
      <c r="D630" s="81" t="n">
        <v>45809</v>
      </c>
      <c r="E630" s="82" t="n">
        <v>191.237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202505</v>
      </c>
      <c r="D631" s="81" t="n">
        <v>45778</v>
      </c>
      <c r="E631" s="82" t="n">
        <v>204.069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202504</v>
      </c>
      <c r="D632" s="81" t="n">
        <v>45748</v>
      </c>
      <c r="E632" s="82" t="n">
        <v>157.864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202503</v>
      </c>
      <c r="D633" s="81" t="n">
        <v>45717</v>
      </c>
      <c r="E633" s="82" t="n">
        <v>100.272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202502</v>
      </c>
      <c r="D634" s="81" t="n">
        <v>45689</v>
      </c>
      <c r="E634" s="82" t="n">
        <v>153.267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202501</v>
      </c>
      <c r="D635" s="81" t="n">
        <v>45658</v>
      </c>
      <c r="E635" s="82" t="n">
        <v>107.627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202412</v>
      </c>
      <c r="D636" s="81" t="n">
        <v>45627</v>
      </c>
      <c r="E636" s="82" t="n">
        <v>150.187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202411</v>
      </c>
      <c r="D637" s="81" t="n">
        <v>45597</v>
      </c>
      <c r="E637" s="82" t="n">
        <v>102.062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202410</v>
      </c>
      <c r="D638" s="81" t="n">
        <v>45566</v>
      </c>
      <c r="E638" s="82" t="n">
        <v>122.342</v>
      </c>
      <c r="F638" s="80" t="n">
        <v>25</v>
      </c>
      <c r="G638" s="79" t="s">
        <v>1320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202409</v>
      </c>
      <c r="D639" s="81" t="n">
        <v>45536</v>
      </c>
      <c r="E639" s="82" t="n">
        <v>126.641</v>
      </c>
      <c r="F639" s="80" t="n">
        <v>26</v>
      </c>
      <c r="G639" s="79" t="s">
        <v>1321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202408</v>
      </c>
      <c r="D640" s="81" t="n">
        <v>45505</v>
      </c>
      <c r="E640" s="82" t="n">
        <v>133.715</v>
      </c>
      <c r="F640" s="80" t="n">
        <v>27</v>
      </c>
      <c r="G640" s="79" t="s">
        <v>1322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202407</v>
      </c>
      <c r="D641" s="81" t="n">
        <v>45474</v>
      </c>
      <c r="E641" s="82" t="n">
        <v>124.041</v>
      </c>
      <c r="F641" s="80" t="n">
        <v>28</v>
      </c>
      <c r="G641" s="79" t="s">
        <v>1323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202406</v>
      </c>
      <c r="D642" s="81" t="n">
        <v>45444</v>
      </c>
      <c r="E642" s="82" t="n">
        <v>115.703</v>
      </c>
      <c r="F642" s="80" t="n">
        <v>29</v>
      </c>
      <c r="G642" s="79" t="s">
        <v>1324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202405</v>
      </c>
      <c r="D643" s="81" t="n">
        <v>45413</v>
      </c>
      <c r="E643" s="82" t="n">
        <v>113.02</v>
      </c>
      <c r="F643" s="80" t="n">
        <v>30</v>
      </c>
      <c r="G643" s="79" t="s">
        <v>1325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202404</v>
      </c>
      <c r="D644" s="81" t="n">
        <v>45383</v>
      </c>
      <c r="E644" s="82" t="n">
        <v>108.199</v>
      </c>
      <c r="F644" s="80" t="n">
        <v>31</v>
      </c>
      <c r="G644" s="79" t="s">
        <v>1326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202403</v>
      </c>
      <c r="D645" s="81" t="n">
        <v>45352</v>
      </c>
      <c r="E645" s="82" t="n">
        <v>71.672</v>
      </c>
      <c r="F645" s="80" t="n">
        <v>32</v>
      </c>
      <c r="G645" s="79" t="s">
        <v>1327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202402</v>
      </c>
      <c r="D646" s="81" t="n">
        <v>45323</v>
      </c>
      <c r="E646" s="82" t="n">
        <v>88.668</v>
      </c>
      <c r="F646" s="80" t="n">
        <v>33</v>
      </c>
      <c r="G646" s="79" t="s">
        <v>1328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202401</v>
      </c>
      <c r="D647" s="81" t="n">
        <v>45292</v>
      </c>
      <c r="E647" s="82" t="n">
        <v>117.796</v>
      </c>
      <c r="F647" s="80" t="n">
        <v>34</v>
      </c>
      <c r="G647" s="79" t="s">
        <v>1329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202312</v>
      </c>
      <c r="D648" s="81" t="n">
        <v>45261</v>
      </c>
      <c r="E648" s="82" t="n">
        <v>107.961</v>
      </c>
      <c r="F648" s="80" t="n">
        <v>35</v>
      </c>
      <c r="G648" s="79" t="s">
        <v>1330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202311</v>
      </c>
      <c r="D649" s="81" t="n">
        <v>45231</v>
      </c>
      <c r="E649" s="82" t="n">
        <v>111.518</v>
      </c>
      <c r="F649" s="80" t="n">
        <v>36</v>
      </c>
      <c r="G649" s="79" t="s">
        <v>1331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202610</v>
      </c>
      <c r="D650" s="81" t="n">
        <v>46296</v>
      </c>
      <c r="E650" s="82" t="n">
        <v>7145.236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202609</v>
      </c>
      <c r="D651" s="81" t="n">
        <v>46266</v>
      </c>
      <c r="E651" s="82" t="n">
        <v>5840.094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202608</v>
      </c>
      <c r="D652" s="81" t="n">
        <v>46235</v>
      </c>
      <c r="E652" s="82" t="n">
        <v>5769.17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202607</v>
      </c>
      <c r="D653" s="81" t="n">
        <v>46204</v>
      </c>
      <c r="E653" s="82" t="n">
        <v>4928.512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202606</v>
      </c>
      <c r="D654" s="81" t="n">
        <v>46174</v>
      </c>
      <c r="E654" s="82" t="n">
        <v>4674.012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202605</v>
      </c>
      <c r="D655" s="81" t="n">
        <v>46143</v>
      </c>
      <c r="E655" s="82" t="n">
        <v>4294.033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202604</v>
      </c>
      <c r="D656" s="81" t="n">
        <v>46113</v>
      </c>
      <c r="E656" s="82" t="n">
        <v>3860.47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202603</v>
      </c>
      <c r="D657" s="81" t="n">
        <v>46082</v>
      </c>
      <c r="E657" s="82" t="n">
        <v>3351.5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202602</v>
      </c>
      <c r="D658" s="81" t="n">
        <v>46054</v>
      </c>
      <c r="E658" s="82" t="n">
        <v>4235.842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202601</v>
      </c>
      <c r="D659" s="81" t="n">
        <v>46023</v>
      </c>
      <c r="E659" s="82" t="n">
        <v>4747.837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202512</v>
      </c>
      <c r="D660" s="81" t="n">
        <v>45992</v>
      </c>
      <c r="E660" s="82" t="n">
        <v>3936.093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202511</v>
      </c>
      <c r="D661" s="81" t="n">
        <v>45962</v>
      </c>
      <c r="E661" s="82" t="n">
        <v>3715.719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202510</v>
      </c>
      <c r="D662" s="81" t="n">
        <v>45931</v>
      </c>
      <c r="E662" s="82" t="n">
        <v>3612.747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202509</v>
      </c>
      <c r="D663" s="81" t="n">
        <v>45901</v>
      </c>
      <c r="E663" s="82" t="n">
        <v>2767.549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202508</v>
      </c>
      <c r="D664" s="81" t="n">
        <v>45870</v>
      </c>
      <c r="E664" s="82" t="n">
        <v>2232.812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202507</v>
      </c>
      <c r="D665" s="81" t="n">
        <v>45839</v>
      </c>
      <c r="E665" s="82" t="n">
        <v>2419.27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202506</v>
      </c>
      <c r="D666" s="81" t="n">
        <v>45809</v>
      </c>
      <c r="E666" s="82" t="n">
        <v>2013.507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202505</v>
      </c>
      <c r="D667" s="81" t="n">
        <v>45778</v>
      </c>
      <c r="E667" s="82" t="n">
        <v>1671.8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202504</v>
      </c>
      <c r="D668" s="81" t="n">
        <v>45748</v>
      </c>
      <c r="E668" s="82" t="n">
        <v>2892.233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202503</v>
      </c>
      <c r="D669" s="81" t="n">
        <v>45717</v>
      </c>
      <c r="E669" s="82" t="n">
        <v>2092.746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202502</v>
      </c>
      <c r="D670" s="81" t="n">
        <v>45689</v>
      </c>
      <c r="E670" s="82" t="n">
        <v>2038.665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202501</v>
      </c>
      <c r="D671" s="81" t="n">
        <v>45658</v>
      </c>
      <c r="E671" s="82" t="n">
        <v>2702.478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202412</v>
      </c>
      <c r="D672" s="81" t="n">
        <v>45627</v>
      </c>
      <c r="E672" s="82" t="n">
        <v>1837.436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202411</v>
      </c>
      <c r="D673" s="81" t="n">
        <v>45597</v>
      </c>
      <c r="E673" s="82" t="n">
        <v>1482.729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202410</v>
      </c>
      <c r="D674" s="81" t="n">
        <v>45566</v>
      </c>
      <c r="E674" s="82" t="n">
        <v>1763.514</v>
      </c>
      <c r="F674" s="80" t="n">
        <v>25</v>
      </c>
      <c r="G674" s="79" t="s">
        <v>1332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202409</v>
      </c>
      <c r="D675" s="81" t="n">
        <v>45536</v>
      </c>
      <c r="E675" s="82" t="n">
        <v>1944.75</v>
      </c>
      <c r="F675" s="80" t="n">
        <v>26</v>
      </c>
      <c r="G675" s="79" t="s">
        <v>1333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202408</v>
      </c>
      <c r="D676" s="81" t="n">
        <v>45505</v>
      </c>
      <c r="E676" s="82" t="n">
        <v>2903.133</v>
      </c>
      <c r="F676" s="80" t="n">
        <v>27</v>
      </c>
      <c r="G676" s="79" t="s">
        <v>1334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202407</v>
      </c>
      <c r="D677" s="81" t="n">
        <v>45474</v>
      </c>
      <c r="E677" s="82" t="n">
        <v>2673.12</v>
      </c>
      <c r="F677" s="80" t="n">
        <v>28</v>
      </c>
      <c r="G677" s="79" t="s">
        <v>1335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202406</v>
      </c>
      <c r="D678" s="81" t="n">
        <v>45444</v>
      </c>
      <c r="E678" s="82" t="n">
        <v>2353.184</v>
      </c>
      <c r="F678" s="80" t="n">
        <v>29</v>
      </c>
      <c r="G678" s="79" t="s">
        <v>1336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202405</v>
      </c>
      <c r="D679" s="81" t="n">
        <v>45413</v>
      </c>
      <c r="E679" s="82" t="n">
        <v>1693.477</v>
      </c>
      <c r="F679" s="80" t="n">
        <v>30</v>
      </c>
      <c r="G679" s="79" t="s">
        <v>1337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202404</v>
      </c>
      <c r="D680" s="81" t="n">
        <v>45383</v>
      </c>
      <c r="E680" s="82" t="n">
        <v>2192.386</v>
      </c>
      <c r="F680" s="80" t="n">
        <v>31</v>
      </c>
      <c r="G680" s="79" t="s">
        <v>1338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202403</v>
      </c>
      <c r="D681" s="81" t="n">
        <v>45352</v>
      </c>
      <c r="E681" s="82" t="n">
        <v>1760.131</v>
      </c>
      <c r="F681" s="80" t="n">
        <v>32</v>
      </c>
      <c r="G681" s="79" t="s">
        <v>1339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202402</v>
      </c>
      <c r="D682" s="81" t="n">
        <v>45323</v>
      </c>
      <c r="E682" s="82" t="n">
        <v>1737.854</v>
      </c>
      <c r="F682" s="80" t="n">
        <v>33</v>
      </c>
      <c r="G682" s="79" t="s">
        <v>1340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202401</v>
      </c>
      <c r="D683" s="81" t="n">
        <v>45292</v>
      </c>
      <c r="E683" s="82" t="n">
        <v>2208.208</v>
      </c>
      <c r="F683" s="80" t="n">
        <v>34</v>
      </c>
      <c r="G683" s="79" t="s">
        <v>1341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202312</v>
      </c>
      <c r="D684" s="81" t="n">
        <v>45261</v>
      </c>
      <c r="E684" s="82" t="n">
        <v>1978.714</v>
      </c>
      <c r="F684" s="80" t="n">
        <v>35</v>
      </c>
      <c r="G684" s="79" t="s">
        <v>1342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202311</v>
      </c>
      <c r="D685" s="81" t="n">
        <v>45231</v>
      </c>
      <c r="E685" s="82" t="n">
        <v>2127.874</v>
      </c>
      <c r="F685" s="80" t="n">
        <v>36</v>
      </c>
      <c r="G685" s="79" t="s">
        <v>1343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202610</v>
      </c>
      <c r="D686" s="81" t="n">
        <v>46296</v>
      </c>
      <c r="E686" s="82" t="n">
        <v>1289.341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202609</v>
      </c>
      <c r="D687" s="81" t="n">
        <v>46266</v>
      </c>
      <c r="E687" s="82" t="n">
        <v>1247.981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202608</v>
      </c>
      <c r="D688" s="81" t="n">
        <v>46235</v>
      </c>
      <c r="E688" s="82" t="n">
        <v>1218.533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202607</v>
      </c>
      <c r="D689" s="81" t="n">
        <v>46204</v>
      </c>
      <c r="E689" s="82" t="n">
        <v>1138.635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202606</v>
      </c>
      <c r="D690" s="81" t="n">
        <v>46174</v>
      </c>
      <c r="E690" s="82" t="n">
        <v>960.221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202605</v>
      </c>
      <c r="D691" s="81" t="n">
        <v>46143</v>
      </c>
      <c r="E691" s="82" t="n">
        <v>877.785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202604</v>
      </c>
      <c r="D692" s="81" t="n">
        <v>46113</v>
      </c>
      <c r="E692" s="82" t="n">
        <v>727.713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202603</v>
      </c>
      <c r="D693" s="81" t="n">
        <v>46082</v>
      </c>
      <c r="E693" s="82" t="n">
        <v>607.616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202602</v>
      </c>
      <c r="D694" s="81" t="n">
        <v>46054</v>
      </c>
      <c r="E694" s="82" t="n">
        <v>751.552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202601</v>
      </c>
      <c r="D695" s="81" t="n">
        <v>46023</v>
      </c>
      <c r="E695" s="82" t="n">
        <v>791.973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202512</v>
      </c>
      <c r="D696" s="81" t="n">
        <v>45992</v>
      </c>
      <c r="E696" s="82" t="n">
        <v>631.105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202511</v>
      </c>
      <c r="D697" s="81" t="n">
        <v>45962</v>
      </c>
      <c r="E697" s="82" t="n">
        <v>698.87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202510</v>
      </c>
      <c r="D698" s="81" t="n">
        <v>45931</v>
      </c>
      <c r="E698" s="82" t="n">
        <v>645.366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202509</v>
      </c>
      <c r="D699" s="81" t="n">
        <v>45901</v>
      </c>
      <c r="E699" s="82" t="n">
        <v>594.962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202508</v>
      </c>
      <c r="D700" s="81" t="n">
        <v>45870</v>
      </c>
      <c r="E700" s="82" t="n">
        <v>615.415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202507</v>
      </c>
      <c r="D701" s="81" t="n">
        <v>45839</v>
      </c>
      <c r="E701" s="82" t="n">
        <v>605.082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202506</v>
      </c>
      <c r="D702" s="81" t="n">
        <v>45809</v>
      </c>
      <c r="E702" s="82" t="n">
        <v>640.52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202505</v>
      </c>
      <c r="D703" s="81" t="n">
        <v>45778</v>
      </c>
      <c r="E703" s="82" t="n">
        <v>603.299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202504</v>
      </c>
      <c r="D704" s="81" t="n">
        <v>45748</v>
      </c>
      <c r="E704" s="82" t="n">
        <v>977.959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202503</v>
      </c>
      <c r="D705" s="81" t="n">
        <v>45717</v>
      </c>
      <c r="E705" s="82" t="n">
        <v>958.464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202502</v>
      </c>
      <c r="D706" s="81" t="n">
        <v>45689</v>
      </c>
      <c r="E706" s="82" t="n">
        <v>821.579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202501</v>
      </c>
      <c r="D707" s="81" t="n">
        <v>45658</v>
      </c>
      <c r="E707" s="82" t="n">
        <v>824.908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202412</v>
      </c>
      <c r="D708" s="81" t="n">
        <v>45627</v>
      </c>
      <c r="E708" s="82" t="n">
        <v>786.997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202411</v>
      </c>
      <c r="D709" s="81" t="n">
        <v>45597</v>
      </c>
      <c r="E709" s="82" t="n">
        <v>864.645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202410</v>
      </c>
      <c r="D710" s="81" t="n">
        <v>45566</v>
      </c>
      <c r="E710" s="82" t="n">
        <v>797.761</v>
      </c>
      <c r="F710" s="80" t="n">
        <v>25</v>
      </c>
      <c r="G710" s="79" t="s">
        <v>1344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202409</v>
      </c>
      <c r="D711" s="81" t="n">
        <v>45536</v>
      </c>
      <c r="E711" s="82" t="n">
        <v>658.197</v>
      </c>
      <c r="F711" s="80" t="n">
        <v>26</v>
      </c>
      <c r="G711" s="79" t="s">
        <v>1345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202408</v>
      </c>
      <c r="D712" s="81" t="n">
        <v>45505</v>
      </c>
      <c r="E712" s="82" t="n">
        <v>644.812</v>
      </c>
      <c r="F712" s="80" t="n">
        <v>27</v>
      </c>
      <c r="G712" s="79" t="s">
        <v>1346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202407</v>
      </c>
      <c r="D713" s="81" t="n">
        <v>45474</v>
      </c>
      <c r="E713" s="82" t="n">
        <v>540.921</v>
      </c>
      <c r="F713" s="80" t="n">
        <v>28</v>
      </c>
      <c r="G713" s="79" t="s">
        <v>1347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202406</v>
      </c>
      <c r="D714" s="81" t="n">
        <v>45444</v>
      </c>
      <c r="E714" s="82" t="n">
        <v>575.706</v>
      </c>
      <c r="F714" s="80" t="n">
        <v>29</v>
      </c>
      <c r="G714" s="79" t="s">
        <v>1348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202405</v>
      </c>
      <c r="D715" s="81" t="n">
        <v>45413</v>
      </c>
      <c r="E715" s="82" t="n">
        <v>588.227</v>
      </c>
      <c r="F715" s="80" t="n">
        <v>30</v>
      </c>
      <c r="G715" s="79" t="s">
        <v>1349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202404</v>
      </c>
      <c r="D716" s="81" t="n">
        <v>45383</v>
      </c>
      <c r="E716" s="82" t="n">
        <v>477.34</v>
      </c>
      <c r="F716" s="80" t="n">
        <v>31</v>
      </c>
      <c r="G716" s="79" t="s">
        <v>1350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202403</v>
      </c>
      <c r="D717" s="81" t="n">
        <v>45352</v>
      </c>
      <c r="E717" s="82" t="n">
        <v>385.194</v>
      </c>
      <c r="F717" s="80" t="n">
        <v>32</v>
      </c>
      <c r="G717" s="79" t="s">
        <v>1351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202402</v>
      </c>
      <c r="D718" s="81" t="n">
        <v>45323</v>
      </c>
      <c r="E718" s="82" t="n">
        <v>422.954</v>
      </c>
      <c r="F718" s="80" t="n">
        <v>33</v>
      </c>
      <c r="G718" s="79" t="s">
        <v>1352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202401</v>
      </c>
      <c r="D719" s="81" t="n">
        <v>45292</v>
      </c>
      <c r="E719" s="82" t="n">
        <v>454.498</v>
      </c>
      <c r="F719" s="80" t="n">
        <v>34</v>
      </c>
      <c r="G719" s="79" t="s">
        <v>1353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202312</v>
      </c>
      <c r="D720" s="81" t="n">
        <v>45261</v>
      </c>
      <c r="E720" s="82" t="n">
        <v>484.156</v>
      </c>
      <c r="F720" s="80" t="n">
        <v>35</v>
      </c>
      <c r="G720" s="79" t="s">
        <v>1354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202311</v>
      </c>
      <c r="D721" s="81" t="n">
        <v>45231</v>
      </c>
      <c r="E721" s="82" t="n">
        <v>499.66</v>
      </c>
      <c r="F721" s="80" t="n">
        <v>36</v>
      </c>
      <c r="G721" s="79" t="s">
        <v>1355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202610</v>
      </c>
      <c r="D722" s="81" t="n">
        <v>46296</v>
      </c>
      <c r="E722" s="82" t="n">
        <v>9332.402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202609</v>
      </c>
      <c r="D723" s="81" t="n">
        <v>46266</v>
      </c>
      <c r="E723" s="82" t="n">
        <v>8891.805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202608</v>
      </c>
      <c r="D724" s="81" t="n">
        <v>46235</v>
      </c>
      <c r="E724" s="82" t="n">
        <v>9630.165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202607</v>
      </c>
      <c r="D725" s="81" t="n">
        <v>46204</v>
      </c>
      <c r="E725" s="82" t="n">
        <v>8518.109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202606</v>
      </c>
      <c r="D726" s="81" t="n">
        <v>46174</v>
      </c>
      <c r="E726" s="82" t="n">
        <v>7352.121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202605</v>
      </c>
      <c r="D727" s="81" t="n">
        <v>46143</v>
      </c>
      <c r="E727" s="82" t="n">
        <v>7382.955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202604</v>
      </c>
      <c r="D728" s="81" t="n">
        <v>46113</v>
      </c>
      <c r="E728" s="82" t="n">
        <v>7013.696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202603</v>
      </c>
      <c r="D729" s="81" t="n">
        <v>46082</v>
      </c>
      <c r="E729" s="82" t="n">
        <v>6387.852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202602</v>
      </c>
      <c r="D730" s="81" t="n">
        <v>46054</v>
      </c>
      <c r="E730" s="82" t="n">
        <v>7455.82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202601</v>
      </c>
      <c r="D731" s="81" t="n">
        <v>46023</v>
      </c>
      <c r="E731" s="82" t="n">
        <v>6640.666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202512</v>
      </c>
      <c r="D732" s="81" t="n">
        <v>45992</v>
      </c>
      <c r="E732" s="82" t="n">
        <v>6538.775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202511</v>
      </c>
      <c r="D733" s="81" t="n">
        <v>45962</v>
      </c>
      <c r="E733" s="82" t="n">
        <v>6581.49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202510</v>
      </c>
      <c r="D734" s="81" t="n">
        <v>45931</v>
      </c>
      <c r="E734" s="82" t="n">
        <v>6706.222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202509</v>
      </c>
      <c r="D735" s="81" t="n">
        <v>45901</v>
      </c>
      <c r="E735" s="82" t="n">
        <v>5774.218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202508</v>
      </c>
      <c r="D736" s="81" t="n">
        <v>45870</v>
      </c>
      <c r="E736" s="82" t="n">
        <v>6034.282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202507</v>
      </c>
      <c r="D737" s="81" t="n">
        <v>45839</v>
      </c>
      <c r="E737" s="82" t="n">
        <v>5200.632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202506</v>
      </c>
      <c r="D738" s="81" t="n">
        <v>45809</v>
      </c>
      <c r="E738" s="82" t="n">
        <v>5201.409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202505</v>
      </c>
      <c r="D739" s="81" t="n">
        <v>45778</v>
      </c>
      <c r="E739" s="82" t="n">
        <v>6228.086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202504</v>
      </c>
      <c r="D740" s="81" t="n">
        <v>45748</v>
      </c>
      <c r="E740" s="82" t="n">
        <v>5738.989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202503</v>
      </c>
      <c r="D741" s="81" t="n">
        <v>45717</v>
      </c>
      <c r="E741" s="82" t="n">
        <v>5001.88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202502</v>
      </c>
      <c r="D742" s="81" t="n">
        <v>45689</v>
      </c>
      <c r="E742" s="82" t="n">
        <v>5555.836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202501</v>
      </c>
      <c r="D743" s="81" t="n">
        <v>45658</v>
      </c>
      <c r="E743" s="82" t="n">
        <v>4641.987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202412</v>
      </c>
      <c r="D744" s="81" t="n">
        <v>45627</v>
      </c>
      <c r="E744" s="82" t="n">
        <v>4910.75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202411</v>
      </c>
      <c r="D745" s="81" t="n">
        <v>45597</v>
      </c>
      <c r="E745" s="82" t="n">
        <v>4911.147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202410</v>
      </c>
      <c r="D746" s="81" t="n">
        <v>45566</v>
      </c>
      <c r="E746" s="82" t="n">
        <v>4589.632</v>
      </c>
      <c r="F746" s="80" t="n">
        <v>25</v>
      </c>
      <c r="G746" s="79" t="s">
        <v>1356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202409</v>
      </c>
      <c r="D747" s="81" t="n">
        <v>45536</v>
      </c>
      <c r="E747" s="82" t="n">
        <v>4558.801</v>
      </c>
      <c r="F747" s="80" t="n">
        <v>26</v>
      </c>
      <c r="G747" s="79" t="s">
        <v>1357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202408</v>
      </c>
      <c r="D748" s="81" t="n">
        <v>45505</v>
      </c>
      <c r="E748" s="82" t="n">
        <v>5010.561</v>
      </c>
      <c r="F748" s="80" t="n">
        <v>27</v>
      </c>
      <c r="G748" s="79" t="s">
        <v>1358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202407</v>
      </c>
      <c r="D749" s="81" t="n">
        <v>45474</v>
      </c>
      <c r="E749" s="82" t="n">
        <v>4270.645</v>
      </c>
      <c r="F749" s="80" t="n">
        <v>28</v>
      </c>
      <c r="G749" s="79" t="s">
        <v>1359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202406</v>
      </c>
      <c r="D750" s="81" t="n">
        <v>45444</v>
      </c>
      <c r="E750" s="82" t="n">
        <v>4319.672</v>
      </c>
      <c r="F750" s="80" t="n">
        <v>29</v>
      </c>
      <c r="G750" s="79" t="s">
        <v>1360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202405</v>
      </c>
      <c r="D751" s="81" t="n">
        <v>45413</v>
      </c>
      <c r="E751" s="82" t="n">
        <v>4501.705</v>
      </c>
      <c r="F751" s="80" t="n">
        <v>30</v>
      </c>
      <c r="G751" s="79" t="s">
        <v>1361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202404</v>
      </c>
      <c r="D752" s="81" t="n">
        <v>45383</v>
      </c>
      <c r="E752" s="82" t="n">
        <v>4270.952</v>
      </c>
      <c r="F752" s="80" t="n">
        <v>31</v>
      </c>
      <c r="G752" s="79" t="s">
        <v>1362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202403</v>
      </c>
      <c r="D753" s="81" t="n">
        <v>45352</v>
      </c>
      <c r="E753" s="82" t="n">
        <v>3836.515</v>
      </c>
      <c r="F753" s="80" t="n">
        <v>32</v>
      </c>
      <c r="G753" s="79" t="s">
        <v>1363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202402</v>
      </c>
      <c r="D754" s="81" t="n">
        <v>45323</v>
      </c>
      <c r="E754" s="82" t="n">
        <v>4256.429</v>
      </c>
      <c r="F754" s="80" t="n">
        <v>33</v>
      </c>
      <c r="G754" s="79" t="s">
        <v>1364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202401</v>
      </c>
      <c r="D755" s="81" t="n">
        <v>45292</v>
      </c>
      <c r="E755" s="82" t="n">
        <v>3488.338</v>
      </c>
      <c r="F755" s="80" t="n">
        <v>34</v>
      </c>
      <c r="G755" s="79" t="s">
        <v>1365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202312</v>
      </c>
      <c r="D756" s="81" t="n">
        <v>45261</v>
      </c>
      <c r="E756" s="82" t="n">
        <v>4142.794</v>
      </c>
      <c r="F756" s="80" t="n">
        <v>35</v>
      </c>
      <c r="G756" s="79" t="s">
        <v>1366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202311</v>
      </c>
      <c r="D757" s="81" t="n">
        <v>45231</v>
      </c>
      <c r="E757" s="82" t="n">
        <v>4486.505</v>
      </c>
      <c r="F757" s="80" t="n">
        <v>36</v>
      </c>
      <c r="G757" s="79" t="s">
        <v>1367</v>
      </c>
    </row>
    <row r="758" customFormat="false" ht="15" hidden="false" customHeight="false" outlineLevel="0" collapsed="false">
      <c r="A758" s="79" t="s">
        <v>820</v>
      </c>
      <c r="B758" s="79" t="s">
        <v>1080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1081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1082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1083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1084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1085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1086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1087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1088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1089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1090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1091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1092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1093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1094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1095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1096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1097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1098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1099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1100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1101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1102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1103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1105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1368</v>
      </c>
    </row>
    <row r="783" customFormat="false" ht="15" hidden="false" customHeight="false" outlineLevel="0" collapsed="false">
      <c r="A783" s="79" t="s">
        <v>820</v>
      </c>
      <c r="B783" s="79" t="s">
        <v>1107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1369</v>
      </c>
    </row>
    <row r="784" customFormat="false" ht="15" hidden="false" customHeight="false" outlineLevel="0" collapsed="false">
      <c r="A784" s="79" t="s">
        <v>820</v>
      </c>
      <c r="B784" s="79" t="s">
        <v>1109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1370</v>
      </c>
    </row>
    <row r="785" customFormat="false" ht="15" hidden="false" customHeight="false" outlineLevel="0" collapsed="false">
      <c r="A785" s="79" t="s">
        <v>820</v>
      </c>
      <c r="B785" s="79" t="s">
        <v>1111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1371</v>
      </c>
    </row>
    <row r="786" customFormat="false" ht="15" hidden="false" customHeight="false" outlineLevel="0" collapsed="false">
      <c r="A786" s="79" t="s">
        <v>820</v>
      </c>
      <c r="B786" s="79" t="s">
        <v>1113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1372</v>
      </c>
    </row>
    <row r="787" customFormat="false" ht="15" hidden="false" customHeight="false" outlineLevel="0" collapsed="false">
      <c r="A787" s="79" t="s">
        <v>820</v>
      </c>
      <c r="B787" s="79" t="s">
        <v>1115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1373</v>
      </c>
    </row>
    <row r="788" customFormat="false" ht="15" hidden="false" customHeight="false" outlineLevel="0" collapsed="false">
      <c r="A788" s="79" t="s">
        <v>820</v>
      </c>
      <c r="B788" s="79" t="s">
        <v>1117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1374</v>
      </c>
    </row>
    <row r="789" customFormat="false" ht="15" hidden="false" customHeight="false" outlineLevel="0" collapsed="false">
      <c r="A789" s="79" t="s">
        <v>820</v>
      </c>
      <c r="B789" s="79" t="s">
        <v>1119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1375</v>
      </c>
    </row>
    <row r="790" customFormat="false" ht="15" hidden="false" customHeight="false" outlineLevel="0" collapsed="false">
      <c r="A790" s="79" t="s">
        <v>820</v>
      </c>
      <c r="B790" s="79" t="s">
        <v>1121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1376</v>
      </c>
    </row>
    <row r="791" customFormat="false" ht="15" hidden="false" customHeight="false" outlineLevel="0" collapsed="false">
      <c r="A791" s="79" t="s">
        <v>820</v>
      </c>
      <c r="B791" s="79" t="s">
        <v>1123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1377</v>
      </c>
    </row>
    <row r="792" customFormat="false" ht="15" hidden="false" customHeight="false" outlineLevel="0" collapsed="false">
      <c r="A792" s="79" t="s">
        <v>820</v>
      </c>
      <c r="B792" s="79" t="s">
        <v>1125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1378</v>
      </c>
    </row>
    <row r="793" customFormat="false" ht="15" hidden="false" customHeight="false" outlineLevel="0" collapsed="false">
      <c r="A793" s="79" t="s">
        <v>820</v>
      </c>
      <c r="B793" s="79" t="s">
        <v>1210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1379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202610</v>
      </c>
      <c r="D794" s="81" t="n">
        <v>46296</v>
      </c>
      <c r="E794" s="82" t="n">
        <v>214752.761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202609</v>
      </c>
      <c r="D795" s="81" t="n">
        <v>46266</v>
      </c>
      <c r="E795" s="82" t="n">
        <v>88304.931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202608</v>
      </c>
      <c r="D796" s="81" t="n">
        <v>46235</v>
      </c>
      <c r="E796" s="82" t="n">
        <v>86015.154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202607</v>
      </c>
      <c r="D797" s="81" t="n">
        <v>46204</v>
      </c>
      <c r="E797" s="82" t="n">
        <v>91295.615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202606</v>
      </c>
      <c r="D798" s="81" t="n">
        <v>46174</v>
      </c>
      <c r="E798" s="82" t="n">
        <v>95962.959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202605</v>
      </c>
      <c r="D799" s="81" t="n">
        <v>46143</v>
      </c>
      <c r="E799" s="82" t="n">
        <v>87189.236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202604</v>
      </c>
      <c r="D800" s="81" t="n">
        <v>46113</v>
      </c>
      <c r="E800" s="82" t="n">
        <v>83964.774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202603</v>
      </c>
      <c r="D801" s="81" t="n">
        <v>46082</v>
      </c>
      <c r="E801" s="82" t="n">
        <v>67982.207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202602</v>
      </c>
      <c r="D802" s="81" t="n">
        <v>46054</v>
      </c>
      <c r="E802" s="82" t="n">
        <v>92158.23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202601</v>
      </c>
      <c r="D803" s="81" t="n">
        <v>46023</v>
      </c>
      <c r="E803" s="82" t="n">
        <v>99893.947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202512</v>
      </c>
      <c r="D804" s="81" t="n">
        <v>45992</v>
      </c>
      <c r="E804" s="82" t="n">
        <v>101800.641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202511</v>
      </c>
      <c r="D805" s="81" t="n">
        <v>45962</v>
      </c>
      <c r="E805" s="82" t="n">
        <v>117826.131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202510</v>
      </c>
      <c r="D806" s="81" t="n">
        <v>45931</v>
      </c>
      <c r="E806" s="82" t="n">
        <v>114908.884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202509</v>
      </c>
      <c r="D807" s="81" t="n">
        <v>45901</v>
      </c>
      <c r="E807" s="82" t="n">
        <v>65843.721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202508</v>
      </c>
      <c r="D808" s="81" t="n">
        <v>45870</v>
      </c>
      <c r="E808" s="82" t="n">
        <v>77103.455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202507</v>
      </c>
      <c r="D809" s="81" t="n">
        <v>45839</v>
      </c>
      <c r="E809" s="82" t="n">
        <v>78771.196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202506</v>
      </c>
      <c r="D810" s="81" t="n">
        <v>45809</v>
      </c>
      <c r="E810" s="82" t="n">
        <v>85685.084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202505</v>
      </c>
      <c r="D811" s="81" t="n">
        <v>45778</v>
      </c>
      <c r="E811" s="82" t="n">
        <v>102871.394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202504</v>
      </c>
      <c r="D812" s="81" t="n">
        <v>45748</v>
      </c>
      <c r="E812" s="82" t="n">
        <v>84630.395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202503</v>
      </c>
      <c r="D813" s="81" t="n">
        <v>45717</v>
      </c>
      <c r="E813" s="82" t="n">
        <v>82478.016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202502</v>
      </c>
      <c r="D814" s="81" t="n">
        <v>45689</v>
      </c>
      <c r="E814" s="82" t="n">
        <v>105321.84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202501</v>
      </c>
      <c r="D815" s="81" t="n">
        <v>45658</v>
      </c>
      <c r="E815" s="82" t="n">
        <v>102445.999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202412</v>
      </c>
      <c r="D816" s="81" t="n">
        <v>45627</v>
      </c>
      <c r="E816" s="82" t="n">
        <v>105757.504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202411</v>
      </c>
      <c r="D817" s="81" t="n">
        <v>45597</v>
      </c>
      <c r="E817" s="82" t="n">
        <v>118801.102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202410</v>
      </c>
      <c r="D818" s="81" t="n">
        <v>45566</v>
      </c>
      <c r="E818" s="82" t="n">
        <v>109264.099</v>
      </c>
      <c r="F818" s="80" t="n">
        <v>25</v>
      </c>
      <c r="G818" s="79" t="s">
        <v>1380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202409</v>
      </c>
      <c r="D819" s="81" t="n">
        <v>45536</v>
      </c>
      <c r="E819" s="82" t="n">
        <v>88437.775</v>
      </c>
      <c r="F819" s="80" t="n">
        <v>26</v>
      </c>
      <c r="G819" s="79" t="s">
        <v>1381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202408</v>
      </c>
      <c r="D820" s="81" t="n">
        <v>45505</v>
      </c>
      <c r="E820" s="82" t="n">
        <v>96528.903</v>
      </c>
      <c r="F820" s="80" t="n">
        <v>27</v>
      </c>
      <c r="G820" s="79" t="s">
        <v>1382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202407</v>
      </c>
      <c r="D821" s="81" t="n">
        <v>45474</v>
      </c>
      <c r="E821" s="82" t="n">
        <v>70928.276</v>
      </c>
      <c r="F821" s="80" t="n">
        <v>28</v>
      </c>
      <c r="G821" s="79" t="s">
        <v>1383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202406</v>
      </c>
      <c r="D822" s="81" t="n">
        <v>45444</v>
      </c>
      <c r="E822" s="82" t="n">
        <v>93103.612</v>
      </c>
      <c r="F822" s="80" t="n">
        <v>29</v>
      </c>
      <c r="G822" s="79" t="s">
        <v>1384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202405</v>
      </c>
      <c r="D823" s="81" t="n">
        <v>45413</v>
      </c>
      <c r="E823" s="82" t="n">
        <v>89675.82</v>
      </c>
      <c r="F823" s="80" t="n">
        <v>30</v>
      </c>
      <c r="G823" s="79" t="s">
        <v>1385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202404</v>
      </c>
      <c r="D824" s="81" t="n">
        <v>45383</v>
      </c>
      <c r="E824" s="82" t="n">
        <v>74751.634</v>
      </c>
      <c r="F824" s="80" t="n">
        <v>31</v>
      </c>
      <c r="G824" s="79" t="s">
        <v>1386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202403</v>
      </c>
      <c r="D825" s="81" t="n">
        <v>45352</v>
      </c>
      <c r="E825" s="82" t="n">
        <v>66296.038</v>
      </c>
      <c r="F825" s="80" t="n">
        <v>32</v>
      </c>
      <c r="G825" s="79" t="s">
        <v>1387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202402</v>
      </c>
      <c r="D826" s="81" t="n">
        <v>45323</v>
      </c>
      <c r="E826" s="82" t="n">
        <v>109353.732</v>
      </c>
      <c r="F826" s="80" t="n">
        <v>33</v>
      </c>
      <c r="G826" s="79" t="s">
        <v>1388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202401</v>
      </c>
      <c r="D827" s="81" t="n">
        <v>45292</v>
      </c>
      <c r="E827" s="82" t="n">
        <v>83100.034</v>
      </c>
      <c r="F827" s="80" t="n">
        <v>34</v>
      </c>
      <c r="G827" s="79" t="s">
        <v>1389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202312</v>
      </c>
      <c r="D828" s="81" t="n">
        <v>45261</v>
      </c>
      <c r="E828" s="82" t="n">
        <v>116781.153</v>
      </c>
      <c r="F828" s="80" t="n">
        <v>35</v>
      </c>
      <c r="G828" s="79" t="s">
        <v>1390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202311</v>
      </c>
      <c r="D829" s="81" t="n">
        <v>45231</v>
      </c>
      <c r="E829" s="82" t="n">
        <v>142204.362</v>
      </c>
      <c r="F829" s="80" t="n">
        <v>36</v>
      </c>
      <c r="G829" s="79" t="s">
        <v>1391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202610</v>
      </c>
      <c r="D830" s="81" t="n">
        <v>46296</v>
      </c>
      <c r="E830" s="82" t="n">
        <v>574.774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202609</v>
      </c>
      <c r="D831" s="81" t="n">
        <v>46266</v>
      </c>
      <c r="E831" s="82" t="n">
        <v>545.866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202608</v>
      </c>
      <c r="D832" s="81" t="n">
        <v>46235</v>
      </c>
      <c r="E832" s="82" t="n">
        <v>508.777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202607</v>
      </c>
      <c r="D833" s="81" t="n">
        <v>46204</v>
      </c>
      <c r="E833" s="82" t="n">
        <v>455.083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202606</v>
      </c>
      <c r="D834" s="81" t="n">
        <v>46174</v>
      </c>
      <c r="E834" s="82" t="n">
        <v>421.247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202605</v>
      </c>
      <c r="D835" s="81" t="n">
        <v>46143</v>
      </c>
      <c r="E835" s="82" t="n">
        <v>412.778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202604</v>
      </c>
      <c r="D836" s="81" t="n">
        <v>46113</v>
      </c>
      <c r="E836" s="82" t="n">
        <v>451.568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202603</v>
      </c>
      <c r="D837" s="81" t="n">
        <v>46082</v>
      </c>
      <c r="E837" s="82" t="n">
        <v>329.586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202602</v>
      </c>
      <c r="D838" s="81" t="n">
        <v>46054</v>
      </c>
      <c r="E838" s="82" t="n">
        <v>412.324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202601</v>
      </c>
      <c r="D839" s="81" t="n">
        <v>46023</v>
      </c>
      <c r="E839" s="82" t="n">
        <v>421.117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202512</v>
      </c>
      <c r="D840" s="81" t="n">
        <v>45992</v>
      </c>
      <c r="E840" s="82" t="n">
        <v>414.874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202511</v>
      </c>
      <c r="D841" s="81" t="n">
        <v>45962</v>
      </c>
      <c r="E841" s="82" t="n">
        <v>318.369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202510</v>
      </c>
      <c r="D842" s="81" t="n">
        <v>45931</v>
      </c>
      <c r="E842" s="82" t="n">
        <v>290.607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202509</v>
      </c>
      <c r="D843" s="81" t="n">
        <v>45901</v>
      </c>
      <c r="E843" s="82" t="n">
        <v>397.141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202508</v>
      </c>
      <c r="D844" s="81" t="n">
        <v>45870</v>
      </c>
      <c r="E844" s="82" t="n">
        <v>388.346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202507</v>
      </c>
      <c r="D845" s="81" t="n">
        <v>45839</v>
      </c>
      <c r="E845" s="82" t="n">
        <v>356.414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202506</v>
      </c>
      <c r="D846" s="81" t="n">
        <v>45809</v>
      </c>
      <c r="E846" s="82" t="n">
        <v>347.922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202505</v>
      </c>
      <c r="D847" s="81" t="n">
        <v>45778</v>
      </c>
      <c r="E847" s="82" t="n">
        <v>383.15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202504</v>
      </c>
      <c r="D848" s="81" t="n">
        <v>45748</v>
      </c>
      <c r="E848" s="82" t="n">
        <v>375.732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202503</v>
      </c>
      <c r="D849" s="81" t="n">
        <v>45717</v>
      </c>
      <c r="E849" s="82" t="n">
        <v>366.068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202502</v>
      </c>
      <c r="D850" s="81" t="n">
        <v>45689</v>
      </c>
      <c r="E850" s="82" t="n">
        <v>325.106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202501</v>
      </c>
      <c r="D851" s="81" t="n">
        <v>45658</v>
      </c>
      <c r="E851" s="82" t="n">
        <v>351.851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202412</v>
      </c>
      <c r="D852" s="81" t="n">
        <v>45627</v>
      </c>
      <c r="E852" s="82" t="n">
        <v>366.735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202411</v>
      </c>
      <c r="D853" s="81" t="n">
        <v>45597</v>
      </c>
      <c r="E853" s="82" t="n">
        <v>329.524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202410</v>
      </c>
      <c r="D854" s="81" t="n">
        <v>45566</v>
      </c>
      <c r="E854" s="82" t="n">
        <v>324.554</v>
      </c>
      <c r="F854" s="80" t="n">
        <v>25</v>
      </c>
      <c r="G854" s="79" t="s">
        <v>1392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202409</v>
      </c>
      <c r="D855" s="81" t="n">
        <v>45536</v>
      </c>
      <c r="E855" s="82" t="n">
        <v>319.033</v>
      </c>
      <c r="F855" s="80" t="n">
        <v>26</v>
      </c>
      <c r="G855" s="79" t="s">
        <v>1393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202408</v>
      </c>
      <c r="D856" s="81" t="n">
        <v>45505</v>
      </c>
      <c r="E856" s="82" t="n">
        <v>302.044</v>
      </c>
      <c r="F856" s="80" t="n">
        <v>27</v>
      </c>
      <c r="G856" s="79" t="s">
        <v>1394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202407</v>
      </c>
      <c r="D857" s="81" t="n">
        <v>45474</v>
      </c>
      <c r="E857" s="82" t="n">
        <v>267.703</v>
      </c>
      <c r="F857" s="80" t="n">
        <v>28</v>
      </c>
      <c r="G857" s="79" t="s">
        <v>1395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202406</v>
      </c>
      <c r="D858" s="81" t="n">
        <v>45444</v>
      </c>
      <c r="E858" s="82" t="n">
        <v>264.096</v>
      </c>
      <c r="F858" s="80" t="n">
        <v>29</v>
      </c>
      <c r="G858" s="79" t="s">
        <v>1396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202405</v>
      </c>
      <c r="D859" s="81" t="n">
        <v>45413</v>
      </c>
      <c r="E859" s="82" t="n">
        <v>269.469</v>
      </c>
      <c r="F859" s="80" t="n">
        <v>30</v>
      </c>
      <c r="G859" s="79" t="s">
        <v>1397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202404</v>
      </c>
      <c r="D860" s="81" t="n">
        <v>45383</v>
      </c>
      <c r="E860" s="82" t="n">
        <v>263.114</v>
      </c>
      <c r="F860" s="80" t="n">
        <v>31</v>
      </c>
      <c r="G860" s="79" t="s">
        <v>1398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202403</v>
      </c>
      <c r="D861" s="81" t="n">
        <v>45352</v>
      </c>
      <c r="E861" s="82" t="n">
        <v>178.135</v>
      </c>
      <c r="F861" s="80" t="n">
        <v>32</v>
      </c>
      <c r="G861" s="79" t="s">
        <v>1399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202402</v>
      </c>
      <c r="D862" s="81" t="n">
        <v>45323</v>
      </c>
      <c r="E862" s="82" t="n">
        <v>214.785</v>
      </c>
      <c r="F862" s="80" t="n">
        <v>33</v>
      </c>
      <c r="G862" s="79" t="s">
        <v>1400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202401</v>
      </c>
      <c r="D863" s="81" t="n">
        <v>45292</v>
      </c>
      <c r="E863" s="82" t="n">
        <v>293.695</v>
      </c>
      <c r="F863" s="80" t="n">
        <v>34</v>
      </c>
      <c r="G863" s="79" t="s">
        <v>1401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202312</v>
      </c>
      <c r="D864" s="81" t="n">
        <v>45261</v>
      </c>
      <c r="E864" s="82" t="n">
        <v>390.314</v>
      </c>
      <c r="F864" s="80" t="n">
        <v>35</v>
      </c>
      <c r="G864" s="79" t="s">
        <v>1402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202311</v>
      </c>
      <c r="D865" s="81" t="n">
        <v>45231</v>
      </c>
      <c r="E865" s="82" t="n">
        <v>327.755</v>
      </c>
      <c r="F865" s="80" t="n">
        <v>36</v>
      </c>
      <c r="G865" s="79" t="s">
        <v>1403</v>
      </c>
    </row>
    <row r="866" customFormat="false" ht="15" hidden="false" customHeight="false" outlineLevel="0" collapsed="false">
      <c r="A866" s="79" t="s">
        <v>896</v>
      </c>
      <c r="B866" s="79" t="s">
        <v>1080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1081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1082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1083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1084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1085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1086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1087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1088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1089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1090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1091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1092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1093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1094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1095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1096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1097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1098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1099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1100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1101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1102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1103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1105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1404</v>
      </c>
    </row>
    <row r="891" customFormat="false" ht="15" hidden="false" customHeight="false" outlineLevel="0" collapsed="false">
      <c r="A891" s="79" t="s">
        <v>896</v>
      </c>
      <c r="B891" s="79" t="s">
        <v>1107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1405</v>
      </c>
    </row>
    <row r="892" customFormat="false" ht="15" hidden="false" customHeight="false" outlineLevel="0" collapsed="false">
      <c r="A892" s="79" t="s">
        <v>896</v>
      </c>
      <c r="B892" s="79" t="s">
        <v>1109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1406</v>
      </c>
    </row>
    <row r="893" customFormat="false" ht="15" hidden="false" customHeight="false" outlineLevel="0" collapsed="false">
      <c r="A893" s="79" t="s">
        <v>896</v>
      </c>
      <c r="B893" s="79" t="s">
        <v>1111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1407</v>
      </c>
    </row>
    <row r="894" customFormat="false" ht="15" hidden="false" customHeight="false" outlineLevel="0" collapsed="false">
      <c r="A894" s="79" t="s">
        <v>896</v>
      </c>
      <c r="B894" s="79" t="s">
        <v>1113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1408</v>
      </c>
    </row>
    <row r="895" customFormat="false" ht="15" hidden="false" customHeight="false" outlineLevel="0" collapsed="false">
      <c r="A895" s="79" t="s">
        <v>896</v>
      </c>
      <c r="B895" s="79" t="s">
        <v>1115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1409</v>
      </c>
    </row>
    <row r="896" customFormat="false" ht="15" hidden="false" customHeight="false" outlineLevel="0" collapsed="false">
      <c r="A896" s="79" t="s">
        <v>896</v>
      </c>
      <c r="B896" s="79" t="s">
        <v>1117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1410</v>
      </c>
    </row>
    <row r="897" customFormat="false" ht="15" hidden="false" customHeight="false" outlineLevel="0" collapsed="false">
      <c r="A897" s="79" t="s">
        <v>896</v>
      </c>
      <c r="B897" s="79" t="s">
        <v>1119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1411</v>
      </c>
    </row>
    <row r="898" customFormat="false" ht="15" hidden="false" customHeight="false" outlineLevel="0" collapsed="false">
      <c r="A898" s="79" t="s">
        <v>896</v>
      </c>
      <c r="B898" s="79" t="s">
        <v>1121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1412</v>
      </c>
    </row>
    <row r="899" customFormat="false" ht="15" hidden="false" customHeight="false" outlineLevel="0" collapsed="false">
      <c r="A899" s="79" t="s">
        <v>896</v>
      </c>
      <c r="B899" s="79" t="s">
        <v>1123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1413</v>
      </c>
    </row>
    <row r="900" customFormat="false" ht="15" hidden="false" customHeight="false" outlineLevel="0" collapsed="false">
      <c r="A900" s="79" t="s">
        <v>896</v>
      </c>
      <c r="B900" s="79" t="s">
        <v>1125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1414</v>
      </c>
    </row>
    <row r="901" customFormat="false" ht="15" hidden="false" customHeight="false" outlineLevel="0" collapsed="false">
      <c r="A901" s="79" t="s">
        <v>896</v>
      </c>
      <c r="B901" s="79" t="s">
        <v>1210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1415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202610</v>
      </c>
      <c r="D902" s="81" t="n">
        <v>46296</v>
      </c>
      <c r="E902" s="82" t="n">
        <v>8712.798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202609</v>
      </c>
      <c r="D903" s="81" t="n">
        <v>46266</v>
      </c>
      <c r="E903" s="82" t="n">
        <v>8680.123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202608</v>
      </c>
      <c r="D904" s="81" t="n">
        <v>46235</v>
      </c>
      <c r="E904" s="82" t="n">
        <v>8494.81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202607</v>
      </c>
      <c r="D905" s="81" t="n">
        <v>46204</v>
      </c>
      <c r="E905" s="82" t="n">
        <v>8207.987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202606</v>
      </c>
      <c r="D906" s="81" t="n">
        <v>46174</v>
      </c>
      <c r="E906" s="82" t="n">
        <v>7564.591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202605</v>
      </c>
      <c r="D907" s="81" t="n">
        <v>46143</v>
      </c>
      <c r="E907" s="82" t="n">
        <v>6670.833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202604</v>
      </c>
      <c r="D908" s="81" t="n">
        <v>46113</v>
      </c>
      <c r="E908" s="82" t="n">
        <v>5672.453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202603</v>
      </c>
      <c r="D909" s="81" t="n">
        <v>46082</v>
      </c>
      <c r="E909" s="82" t="n">
        <v>4178.683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202602</v>
      </c>
      <c r="D910" s="81" t="n">
        <v>46054</v>
      </c>
      <c r="E910" s="82" t="n">
        <v>3331.472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202601</v>
      </c>
      <c r="D911" s="81" t="n">
        <v>46023</v>
      </c>
      <c r="E911" s="82" t="n">
        <v>1813.153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202512</v>
      </c>
      <c r="D912" s="81" t="n">
        <v>45992</v>
      </c>
      <c r="E912" s="82" t="n">
        <v>1596.065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202511</v>
      </c>
      <c r="D913" s="81" t="n">
        <v>45962</v>
      </c>
      <c r="E913" s="82" t="n">
        <v>1397.472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202510</v>
      </c>
      <c r="D914" s="81" t="n">
        <v>45931</v>
      </c>
      <c r="E914" s="82" t="n">
        <v>1370.557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202509</v>
      </c>
      <c r="D915" s="81" t="n">
        <v>45901</v>
      </c>
      <c r="E915" s="82" t="n">
        <v>1283.486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202508</v>
      </c>
      <c r="D916" s="81" t="n">
        <v>45870</v>
      </c>
      <c r="E916" s="82" t="n">
        <v>1153.358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202507</v>
      </c>
      <c r="D917" s="81" t="n">
        <v>45839</v>
      </c>
      <c r="E917" s="82" t="n">
        <v>1030.756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202506</v>
      </c>
      <c r="D918" s="81" t="n">
        <v>45809</v>
      </c>
      <c r="E918" s="82" t="n">
        <v>1021.135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202505</v>
      </c>
      <c r="D919" s="81" t="n">
        <v>45778</v>
      </c>
      <c r="E919" s="82" t="n">
        <v>976.538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202504</v>
      </c>
      <c r="D920" s="81" t="n">
        <v>45748</v>
      </c>
      <c r="E920" s="82" t="n">
        <v>970.015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202503</v>
      </c>
      <c r="D921" s="81" t="n">
        <v>45717</v>
      </c>
      <c r="E921" s="82" t="n">
        <v>830.404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202502</v>
      </c>
      <c r="D922" s="81" t="n">
        <v>45689</v>
      </c>
      <c r="E922" s="82" t="n">
        <v>818.323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202501</v>
      </c>
      <c r="D923" s="81" t="n">
        <v>45658</v>
      </c>
      <c r="E923" s="82" t="n">
        <v>720.756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202412</v>
      </c>
      <c r="D924" s="81" t="n">
        <v>45627</v>
      </c>
      <c r="E924" s="82" t="n">
        <v>759.244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202411</v>
      </c>
      <c r="D925" s="81" t="n">
        <v>45597</v>
      </c>
      <c r="E925" s="82" t="n">
        <v>748.005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202410</v>
      </c>
      <c r="D926" s="81" t="n">
        <v>45566</v>
      </c>
      <c r="E926" s="82" t="n">
        <v>712.853</v>
      </c>
      <c r="F926" s="80" t="n">
        <v>25</v>
      </c>
      <c r="G926" s="79" t="s">
        <v>1416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202409</v>
      </c>
      <c r="D927" s="81" t="n">
        <v>45536</v>
      </c>
      <c r="E927" s="82" t="n">
        <v>789.6</v>
      </c>
      <c r="F927" s="80" t="n">
        <v>26</v>
      </c>
      <c r="G927" s="79" t="s">
        <v>1417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202408</v>
      </c>
      <c r="D928" s="81" t="n">
        <v>45505</v>
      </c>
      <c r="E928" s="82" t="n">
        <v>818.966</v>
      </c>
      <c r="F928" s="80" t="n">
        <v>27</v>
      </c>
      <c r="G928" s="79" t="s">
        <v>1418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202407</v>
      </c>
      <c r="D929" s="81" t="n">
        <v>45474</v>
      </c>
      <c r="E929" s="82" t="n">
        <v>749.527</v>
      </c>
      <c r="F929" s="80" t="n">
        <v>28</v>
      </c>
      <c r="G929" s="79" t="s">
        <v>1419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202406</v>
      </c>
      <c r="D930" s="81" t="n">
        <v>45444</v>
      </c>
      <c r="E930" s="82" t="n">
        <v>675.797</v>
      </c>
      <c r="F930" s="80" t="n">
        <v>29</v>
      </c>
      <c r="G930" s="79" t="s">
        <v>1420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202405</v>
      </c>
      <c r="D931" s="81" t="n">
        <v>45413</v>
      </c>
      <c r="E931" s="82" t="n">
        <v>764.905</v>
      </c>
      <c r="F931" s="80" t="n">
        <v>30</v>
      </c>
      <c r="G931" s="79" t="s">
        <v>1421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202404</v>
      </c>
      <c r="D932" s="81" t="n">
        <v>45383</v>
      </c>
      <c r="E932" s="82" t="n">
        <v>755.176</v>
      </c>
      <c r="F932" s="80" t="n">
        <v>31</v>
      </c>
      <c r="G932" s="79" t="s">
        <v>1422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202403</v>
      </c>
      <c r="D933" s="81" t="n">
        <v>45352</v>
      </c>
      <c r="E933" s="82" t="n">
        <v>623.797</v>
      </c>
      <c r="F933" s="80" t="n">
        <v>32</v>
      </c>
      <c r="G933" s="79" t="s">
        <v>1423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202402</v>
      </c>
      <c r="D934" s="81" t="n">
        <v>45323</v>
      </c>
      <c r="E934" s="82" t="n">
        <v>797.016</v>
      </c>
      <c r="F934" s="80" t="n">
        <v>33</v>
      </c>
      <c r="G934" s="79" t="s">
        <v>1424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202401</v>
      </c>
      <c r="D935" s="81" t="n">
        <v>45292</v>
      </c>
      <c r="E935" s="82" t="n">
        <v>718.585</v>
      </c>
      <c r="F935" s="80" t="n">
        <v>34</v>
      </c>
      <c r="G935" s="79" t="s">
        <v>1425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202312</v>
      </c>
      <c r="D936" s="81" t="n">
        <v>45261</v>
      </c>
      <c r="E936" s="82" t="n">
        <v>722.497</v>
      </c>
      <c r="F936" s="80" t="n">
        <v>35</v>
      </c>
      <c r="G936" s="79" t="s">
        <v>1426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202311</v>
      </c>
      <c r="D937" s="81" t="n">
        <v>45231</v>
      </c>
      <c r="E937" s="82" t="n">
        <v>688.967</v>
      </c>
      <c r="F937" s="80" t="n">
        <v>36</v>
      </c>
      <c r="G937" s="79" t="s">
        <v>1427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202610</v>
      </c>
      <c r="D938" s="81" t="n">
        <v>46296</v>
      </c>
      <c r="E938" s="82" t="n">
        <v>7701.235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202609</v>
      </c>
      <c r="D939" s="81" t="n">
        <v>46266</v>
      </c>
      <c r="E939" s="82" t="n">
        <v>7791.761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202608</v>
      </c>
      <c r="D940" s="81" t="n">
        <v>46235</v>
      </c>
      <c r="E940" s="82" t="n">
        <v>8173.773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202607</v>
      </c>
      <c r="D941" s="81" t="n">
        <v>46204</v>
      </c>
      <c r="E941" s="82" t="n">
        <v>7507.318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202606</v>
      </c>
      <c r="D942" s="81" t="n">
        <v>46174</v>
      </c>
      <c r="E942" s="82" t="n">
        <v>6542.058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202605</v>
      </c>
      <c r="D943" s="81" t="n">
        <v>46143</v>
      </c>
      <c r="E943" s="82" t="n">
        <v>6776.034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202604</v>
      </c>
      <c r="D944" s="81" t="n">
        <v>46113</v>
      </c>
      <c r="E944" s="82" t="n">
        <v>7014.545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202603</v>
      </c>
      <c r="D945" s="81" t="n">
        <v>46082</v>
      </c>
      <c r="E945" s="82" t="n">
        <v>5517.727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202602</v>
      </c>
      <c r="D946" s="81" t="n">
        <v>46054</v>
      </c>
      <c r="E946" s="82" t="n">
        <v>6004.421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202601</v>
      </c>
      <c r="D947" s="81" t="n">
        <v>46023</v>
      </c>
      <c r="E947" s="82" t="n">
        <v>6479.605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202512</v>
      </c>
      <c r="D948" s="81" t="n">
        <v>45992</v>
      </c>
      <c r="E948" s="82" t="n">
        <v>5740.079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202511</v>
      </c>
      <c r="D949" s="81" t="n">
        <v>45962</v>
      </c>
      <c r="E949" s="82" t="n">
        <v>5078.957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202510</v>
      </c>
      <c r="D950" s="81" t="n">
        <v>45931</v>
      </c>
      <c r="E950" s="82" t="n">
        <v>6092.008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202509</v>
      </c>
      <c r="D951" s="81" t="n">
        <v>45901</v>
      </c>
      <c r="E951" s="82" t="n">
        <v>5715.135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202508</v>
      </c>
      <c r="D952" s="81" t="n">
        <v>45870</v>
      </c>
      <c r="E952" s="82" t="n">
        <v>5731.436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202507</v>
      </c>
      <c r="D953" s="81" t="n">
        <v>45839</v>
      </c>
      <c r="E953" s="82" t="n">
        <v>5650.654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202506</v>
      </c>
      <c r="D954" s="81" t="n">
        <v>45809</v>
      </c>
      <c r="E954" s="82" t="n">
        <v>5515.648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202505</v>
      </c>
      <c r="D955" s="81" t="n">
        <v>45778</v>
      </c>
      <c r="E955" s="82" t="n">
        <v>5820.548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202504</v>
      </c>
      <c r="D956" s="81" t="n">
        <v>45748</v>
      </c>
      <c r="E956" s="82" t="n">
        <v>5369.196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202503</v>
      </c>
      <c r="D957" s="81" t="n">
        <v>45717</v>
      </c>
      <c r="E957" s="82" t="n">
        <v>4843.533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202502</v>
      </c>
      <c r="D958" s="81" t="n">
        <v>45689</v>
      </c>
      <c r="E958" s="82" t="n">
        <v>5546.732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202501</v>
      </c>
      <c r="D959" s="81" t="n">
        <v>45658</v>
      </c>
      <c r="E959" s="82" t="n">
        <v>5450.18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202412</v>
      </c>
      <c r="D960" s="81" t="n">
        <v>45627</v>
      </c>
      <c r="E960" s="82" t="n">
        <v>5218.606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202411</v>
      </c>
      <c r="D961" s="81" t="n">
        <v>45597</v>
      </c>
      <c r="E961" s="82" t="n">
        <v>5238.146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202410</v>
      </c>
      <c r="D962" s="81" t="n">
        <v>45566</v>
      </c>
      <c r="E962" s="82" t="n">
        <v>5314.01</v>
      </c>
      <c r="F962" s="80" t="n">
        <v>25</v>
      </c>
      <c r="G962" s="79" t="s">
        <v>1428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202409</v>
      </c>
      <c r="D963" s="81" t="n">
        <v>45536</v>
      </c>
      <c r="E963" s="82" t="n">
        <v>5304.489</v>
      </c>
      <c r="F963" s="80" t="n">
        <v>26</v>
      </c>
      <c r="G963" s="79" t="s">
        <v>1429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202408</v>
      </c>
      <c r="D964" s="81" t="n">
        <v>45505</v>
      </c>
      <c r="E964" s="82" t="n">
        <v>4748.025</v>
      </c>
      <c r="F964" s="80" t="n">
        <v>27</v>
      </c>
      <c r="G964" s="79" t="s">
        <v>1430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202407</v>
      </c>
      <c r="D965" s="81" t="n">
        <v>45474</v>
      </c>
      <c r="E965" s="82" t="n">
        <v>4530.736</v>
      </c>
      <c r="F965" s="80" t="n">
        <v>28</v>
      </c>
      <c r="G965" s="79" t="s">
        <v>1431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202406</v>
      </c>
      <c r="D966" s="81" t="n">
        <v>45444</v>
      </c>
      <c r="E966" s="82" t="n">
        <v>4581.022</v>
      </c>
      <c r="F966" s="80" t="n">
        <v>29</v>
      </c>
      <c r="G966" s="79" t="s">
        <v>1432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202405</v>
      </c>
      <c r="D967" s="81" t="n">
        <v>45413</v>
      </c>
      <c r="E967" s="82" t="n">
        <v>4679.738</v>
      </c>
      <c r="F967" s="80" t="n">
        <v>30</v>
      </c>
      <c r="G967" s="79" t="s">
        <v>1433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202404</v>
      </c>
      <c r="D968" s="81" t="n">
        <v>45383</v>
      </c>
      <c r="E968" s="82" t="n">
        <v>4138.871</v>
      </c>
      <c r="F968" s="80" t="n">
        <v>31</v>
      </c>
      <c r="G968" s="79" t="s">
        <v>1434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202403</v>
      </c>
      <c r="D969" s="81" t="n">
        <v>45352</v>
      </c>
      <c r="E969" s="82" t="n">
        <v>3744.48</v>
      </c>
      <c r="F969" s="80" t="n">
        <v>32</v>
      </c>
      <c r="G969" s="79" t="s">
        <v>1435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202402</v>
      </c>
      <c r="D970" s="81" t="n">
        <v>45323</v>
      </c>
      <c r="E970" s="82" t="n">
        <v>4048.51</v>
      </c>
      <c r="F970" s="80" t="n">
        <v>33</v>
      </c>
      <c r="G970" s="79" t="s">
        <v>1436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202401</v>
      </c>
      <c r="D971" s="81" t="n">
        <v>45292</v>
      </c>
      <c r="E971" s="82" t="n">
        <v>3927.48</v>
      </c>
      <c r="F971" s="80" t="n">
        <v>34</v>
      </c>
      <c r="G971" s="79" t="s">
        <v>1437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202312</v>
      </c>
      <c r="D972" s="81" t="n">
        <v>45261</v>
      </c>
      <c r="E972" s="82" t="n">
        <v>3961.991</v>
      </c>
      <c r="F972" s="80" t="n">
        <v>35</v>
      </c>
      <c r="G972" s="79" t="s">
        <v>1438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202311</v>
      </c>
      <c r="D973" s="81" t="n">
        <v>45231</v>
      </c>
      <c r="E973" s="82" t="n">
        <v>4343.215</v>
      </c>
      <c r="F973" s="80" t="n">
        <v>36</v>
      </c>
      <c r="G973" s="79" t="s">
        <v>1439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202610</v>
      </c>
      <c r="D974" s="81" t="n">
        <v>46296</v>
      </c>
      <c r="E974" s="82" t="n">
        <v>2061.154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202609</v>
      </c>
      <c r="D975" s="81" t="n">
        <v>46266</v>
      </c>
      <c r="E975" s="82" t="n">
        <v>1628.177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202608</v>
      </c>
      <c r="D976" s="81" t="n">
        <v>46235</v>
      </c>
      <c r="E976" s="82" t="n">
        <v>1229.355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202607</v>
      </c>
      <c r="D977" s="81" t="n">
        <v>46204</v>
      </c>
      <c r="E977" s="82" t="n">
        <v>1069.405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202606</v>
      </c>
      <c r="D978" s="81" t="n">
        <v>46174</v>
      </c>
      <c r="E978" s="82" t="n">
        <v>1725.672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202605</v>
      </c>
      <c r="D979" s="81" t="n">
        <v>46143</v>
      </c>
      <c r="E979" s="82" t="n">
        <v>886.439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202604</v>
      </c>
      <c r="D980" s="81" t="n">
        <v>46113</v>
      </c>
      <c r="E980" s="82" t="n">
        <v>1012.955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202603</v>
      </c>
      <c r="D981" s="81" t="n">
        <v>46082</v>
      </c>
      <c r="E981" s="82" t="n">
        <v>738.625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202602</v>
      </c>
      <c r="D982" s="81" t="n">
        <v>46054</v>
      </c>
      <c r="E982" s="82" t="n">
        <v>954.509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202601</v>
      </c>
      <c r="D983" s="81" t="n">
        <v>46023</v>
      </c>
      <c r="E983" s="82" t="n">
        <v>1185.469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202512</v>
      </c>
      <c r="D984" s="81" t="n">
        <v>45992</v>
      </c>
      <c r="E984" s="82" t="n">
        <v>809.742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202511</v>
      </c>
      <c r="D985" s="81" t="n">
        <v>45962</v>
      </c>
      <c r="E985" s="82" t="n">
        <v>1006.381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202510</v>
      </c>
      <c r="D986" s="81" t="n">
        <v>45931</v>
      </c>
      <c r="E986" s="82" t="n">
        <v>1045.018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202509</v>
      </c>
      <c r="D987" s="81" t="n">
        <v>45901</v>
      </c>
      <c r="E987" s="82" t="n">
        <v>645.477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202508</v>
      </c>
      <c r="D988" s="81" t="n">
        <v>45870</v>
      </c>
      <c r="E988" s="82" t="n">
        <v>823.662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202507</v>
      </c>
      <c r="D989" s="81" t="n">
        <v>45839</v>
      </c>
      <c r="E989" s="82" t="n">
        <v>1052.104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202506</v>
      </c>
      <c r="D990" s="81" t="n">
        <v>45809</v>
      </c>
      <c r="E990" s="82" t="n">
        <v>798.847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202505</v>
      </c>
      <c r="D991" s="81" t="n">
        <v>45778</v>
      </c>
      <c r="E991" s="82" t="n">
        <v>1057.879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202504</v>
      </c>
      <c r="D992" s="81" t="n">
        <v>45748</v>
      </c>
      <c r="E992" s="82" t="n">
        <v>576.974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202503</v>
      </c>
      <c r="D993" s="81" t="n">
        <v>45717</v>
      </c>
      <c r="E993" s="82" t="n">
        <v>512.631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202502</v>
      </c>
      <c r="D994" s="81" t="n">
        <v>45689</v>
      </c>
      <c r="E994" s="82" t="n">
        <v>1015.105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202501</v>
      </c>
      <c r="D995" s="81" t="n">
        <v>45658</v>
      </c>
      <c r="E995" s="82" t="n">
        <v>1361.285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202412</v>
      </c>
      <c r="D996" s="81" t="n">
        <v>45627</v>
      </c>
      <c r="E996" s="82" t="n">
        <v>554.701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202411</v>
      </c>
      <c r="D997" s="81" t="n">
        <v>45597</v>
      </c>
      <c r="E997" s="82" t="n">
        <v>587.739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202410</v>
      </c>
      <c r="D998" s="81" t="n">
        <v>45566</v>
      </c>
      <c r="E998" s="82" t="n">
        <v>561.522</v>
      </c>
      <c r="F998" s="80" t="n">
        <v>25</v>
      </c>
      <c r="G998" s="79" t="s">
        <v>1440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202409</v>
      </c>
      <c r="D999" s="81" t="n">
        <v>45536</v>
      </c>
      <c r="E999" s="82" t="n">
        <v>533.264</v>
      </c>
      <c r="F999" s="80" t="n">
        <v>26</v>
      </c>
      <c r="G999" s="79" t="s">
        <v>1441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202408</v>
      </c>
      <c r="D1000" s="81" t="n">
        <v>45505</v>
      </c>
      <c r="E1000" s="82" t="n">
        <v>546.113</v>
      </c>
      <c r="F1000" s="80" t="n">
        <v>27</v>
      </c>
      <c r="G1000" s="79" t="s">
        <v>1442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202407</v>
      </c>
      <c r="D1001" s="81" t="n">
        <v>45474</v>
      </c>
      <c r="E1001" s="82" t="n">
        <v>588.151</v>
      </c>
      <c r="F1001" s="80" t="n">
        <v>28</v>
      </c>
      <c r="G1001" s="79" t="s">
        <v>1443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202406</v>
      </c>
      <c r="D1002" s="81" t="n">
        <v>45444</v>
      </c>
      <c r="E1002" s="82" t="n">
        <v>495.06</v>
      </c>
      <c r="F1002" s="80" t="n">
        <v>29</v>
      </c>
      <c r="G1002" s="79" t="s">
        <v>1444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202405</v>
      </c>
      <c r="D1003" s="81" t="n">
        <v>45413</v>
      </c>
      <c r="E1003" s="82" t="n">
        <v>359.103</v>
      </c>
      <c r="F1003" s="80" t="n">
        <v>30</v>
      </c>
      <c r="G1003" s="79" t="s">
        <v>1445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202404</v>
      </c>
      <c r="D1004" s="81" t="n">
        <v>45383</v>
      </c>
      <c r="E1004" s="82" t="n">
        <v>322.871</v>
      </c>
      <c r="F1004" s="80" t="n">
        <v>31</v>
      </c>
      <c r="G1004" s="79" t="s">
        <v>1446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202403</v>
      </c>
      <c r="D1005" s="81" t="n">
        <v>45352</v>
      </c>
      <c r="E1005" s="82" t="n">
        <v>250.814</v>
      </c>
      <c r="F1005" s="80" t="n">
        <v>32</v>
      </c>
      <c r="G1005" s="79" t="s">
        <v>1447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202402</v>
      </c>
      <c r="D1006" s="81" t="n">
        <v>45323</v>
      </c>
      <c r="E1006" s="82" t="n">
        <v>252.633</v>
      </c>
      <c r="F1006" s="80" t="n">
        <v>33</v>
      </c>
      <c r="G1006" s="79" t="s">
        <v>1448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202401</v>
      </c>
      <c r="D1007" s="81" t="n">
        <v>45292</v>
      </c>
      <c r="E1007" s="82" t="n">
        <v>232.903</v>
      </c>
      <c r="F1007" s="80" t="n">
        <v>34</v>
      </c>
      <c r="G1007" s="79" t="s">
        <v>1449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202312</v>
      </c>
      <c r="D1008" s="81" t="n">
        <v>45261</v>
      </c>
      <c r="E1008" s="82" t="n">
        <v>156.024</v>
      </c>
      <c r="F1008" s="80" t="n">
        <v>35</v>
      </c>
      <c r="G1008" s="79" t="s">
        <v>1450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202311</v>
      </c>
      <c r="D1009" s="81" t="n">
        <v>45231</v>
      </c>
      <c r="E1009" s="82" t="n">
        <v>231.218</v>
      </c>
      <c r="F1009" s="80" t="n">
        <v>36</v>
      </c>
      <c r="G1009" s="79" t="s">
        <v>1451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202610</v>
      </c>
      <c r="D1010" s="81" t="n">
        <v>46296</v>
      </c>
      <c r="E1010" s="82" t="n">
        <v>264.589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202609</v>
      </c>
      <c r="D1011" s="81" t="n">
        <v>46266</v>
      </c>
      <c r="E1011" s="82" t="n">
        <v>254.051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202608</v>
      </c>
      <c r="D1012" s="81" t="n">
        <v>46235</v>
      </c>
      <c r="E1012" s="82" t="n">
        <v>240.751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202607</v>
      </c>
      <c r="D1013" s="81" t="n">
        <v>46204</v>
      </c>
      <c r="E1013" s="82" t="n">
        <v>206.268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202606</v>
      </c>
      <c r="D1014" s="81" t="n">
        <v>46174</v>
      </c>
      <c r="E1014" s="82" t="n">
        <v>217.107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202605</v>
      </c>
      <c r="D1015" s="81" t="n">
        <v>46143</v>
      </c>
      <c r="E1015" s="82" t="n">
        <v>211.78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202604</v>
      </c>
      <c r="D1016" s="81" t="n">
        <v>46113</v>
      </c>
      <c r="E1016" s="82" t="n">
        <v>224.233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202603</v>
      </c>
      <c r="D1017" s="81" t="n">
        <v>46082</v>
      </c>
      <c r="E1017" s="82" t="n">
        <v>152.439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202602</v>
      </c>
      <c r="D1018" s="81" t="n">
        <v>46054</v>
      </c>
      <c r="E1018" s="82" t="n">
        <v>202.054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202601</v>
      </c>
      <c r="D1019" s="81" t="n">
        <v>46023</v>
      </c>
      <c r="E1019" s="82" t="n">
        <v>213.484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202512</v>
      </c>
      <c r="D1020" s="81" t="n">
        <v>45992</v>
      </c>
      <c r="E1020" s="82" t="n">
        <v>207.144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202511</v>
      </c>
      <c r="D1021" s="81" t="n">
        <v>45962</v>
      </c>
      <c r="E1021" s="82" t="n">
        <v>171.566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202510</v>
      </c>
      <c r="D1022" s="81" t="n">
        <v>45931</v>
      </c>
      <c r="E1022" s="82" t="n">
        <v>193.543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202509</v>
      </c>
      <c r="D1023" s="81" t="n">
        <v>45901</v>
      </c>
      <c r="E1023" s="82" t="n">
        <v>192.532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202508</v>
      </c>
      <c r="D1024" s="81" t="n">
        <v>45870</v>
      </c>
      <c r="E1024" s="82" t="n">
        <v>190.849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202507</v>
      </c>
      <c r="D1025" s="81" t="n">
        <v>45839</v>
      </c>
      <c r="E1025" s="82" t="n">
        <v>186.903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202506</v>
      </c>
      <c r="D1026" s="81" t="n">
        <v>45809</v>
      </c>
      <c r="E1026" s="82" t="n">
        <v>181.797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202505</v>
      </c>
      <c r="D1027" s="81" t="n">
        <v>45778</v>
      </c>
      <c r="E1027" s="82" t="n">
        <v>176.136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202504</v>
      </c>
      <c r="D1028" s="81" t="n">
        <v>45748</v>
      </c>
      <c r="E1028" s="82" t="n">
        <v>182.487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202503</v>
      </c>
      <c r="D1029" s="81" t="n">
        <v>45717</v>
      </c>
      <c r="E1029" s="82" t="n">
        <v>121.2</v>
      </c>
      <c r="F1029" s="80" t="n">
        <v>20</v>
      </c>
      <c r="G1029" s="79" t="s">
        <v>1452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202502</v>
      </c>
      <c r="D1030" s="81" t="n">
        <v>45689</v>
      </c>
      <c r="E1030" s="82" t="n">
        <v>161.006</v>
      </c>
      <c r="F1030" s="80" t="n">
        <v>21</v>
      </c>
      <c r="G1030" s="79" t="s">
        <v>1453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202501</v>
      </c>
      <c r="D1031" s="81" t="n">
        <v>45658</v>
      </c>
      <c r="E1031" s="82" t="n">
        <v>174.821</v>
      </c>
      <c r="F1031" s="80" t="n">
        <v>22</v>
      </c>
      <c r="G1031" s="79" t="s">
        <v>1454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202412</v>
      </c>
      <c r="D1032" s="81" t="n">
        <v>45627</v>
      </c>
      <c r="E1032" s="82" t="n">
        <v>168.464</v>
      </c>
      <c r="F1032" s="80" t="n">
        <v>23</v>
      </c>
      <c r="G1032" s="79" t="s">
        <v>1455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202411</v>
      </c>
      <c r="D1033" s="81" t="n">
        <v>45597</v>
      </c>
      <c r="E1033" s="82" t="n">
        <v>160.73</v>
      </c>
      <c r="F1033" s="80" t="n">
        <v>24</v>
      </c>
      <c r="G1033" s="79" t="s">
        <v>1456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202410</v>
      </c>
      <c r="D1034" s="81" t="n">
        <v>45566</v>
      </c>
      <c r="E1034" s="82" t="n">
        <v>166.502</v>
      </c>
      <c r="F1034" s="80" t="n">
        <v>25</v>
      </c>
      <c r="G1034" s="79" t="s">
        <v>1457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202409</v>
      </c>
      <c r="D1035" s="81" t="n">
        <v>45536</v>
      </c>
      <c r="E1035" s="82" t="n">
        <v>170.87</v>
      </c>
      <c r="F1035" s="80" t="n">
        <v>26</v>
      </c>
      <c r="G1035" s="79" t="s">
        <v>1458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202408</v>
      </c>
      <c r="D1036" s="81" t="n">
        <v>45505</v>
      </c>
      <c r="E1036" s="82" t="n">
        <v>181.14</v>
      </c>
      <c r="F1036" s="80" t="n">
        <v>27</v>
      </c>
      <c r="G1036" s="79" t="s">
        <v>1459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202407</v>
      </c>
      <c r="D1037" s="81" t="n">
        <v>45474</v>
      </c>
      <c r="E1037" s="82" t="n">
        <v>174.683</v>
      </c>
      <c r="F1037" s="80" t="n">
        <v>28</v>
      </c>
      <c r="G1037" s="79" t="s">
        <v>1460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202406</v>
      </c>
      <c r="D1038" s="81" t="n">
        <v>45444</v>
      </c>
      <c r="E1038" s="82" t="n">
        <v>181.012</v>
      </c>
      <c r="F1038" s="80" t="n">
        <v>29</v>
      </c>
      <c r="G1038" s="79" t="s">
        <v>1461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202405</v>
      </c>
      <c r="D1039" s="81" t="n">
        <v>45413</v>
      </c>
      <c r="E1039" s="82" t="n">
        <v>153.596</v>
      </c>
      <c r="F1039" s="80" t="n">
        <v>30</v>
      </c>
      <c r="G1039" s="79" t="s">
        <v>1462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202404</v>
      </c>
      <c r="D1040" s="81" t="n">
        <v>45383</v>
      </c>
      <c r="E1040" s="82" t="n">
        <v>152.794</v>
      </c>
      <c r="F1040" s="80" t="n">
        <v>31</v>
      </c>
      <c r="G1040" s="79" t="s">
        <v>1463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202403</v>
      </c>
      <c r="D1041" s="81" t="n">
        <v>45352</v>
      </c>
      <c r="E1041" s="82" t="n">
        <v>123.583</v>
      </c>
      <c r="F1041" s="80" t="n">
        <v>32</v>
      </c>
      <c r="G1041" s="79" t="s">
        <v>1464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202402</v>
      </c>
      <c r="D1042" s="81" t="n">
        <v>45323</v>
      </c>
      <c r="E1042" s="82" t="n">
        <v>158.474</v>
      </c>
      <c r="F1042" s="80" t="n">
        <v>33</v>
      </c>
      <c r="G1042" s="79" t="s">
        <v>1465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202401</v>
      </c>
      <c r="D1043" s="81" t="n">
        <v>45292</v>
      </c>
      <c r="E1043" s="82" t="n">
        <v>161.516</v>
      </c>
      <c r="F1043" s="80" t="n">
        <v>34</v>
      </c>
      <c r="G1043" s="79" t="s">
        <v>1466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202312</v>
      </c>
      <c r="D1044" s="81" t="n">
        <v>45261</v>
      </c>
      <c r="E1044" s="82" t="n">
        <v>164.562</v>
      </c>
      <c r="F1044" s="80" t="n">
        <v>35</v>
      </c>
      <c r="G1044" s="79" t="s">
        <v>1467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202311</v>
      </c>
      <c r="D1045" s="81" t="n">
        <v>45231</v>
      </c>
      <c r="E1045" s="82" t="n">
        <v>143.023</v>
      </c>
      <c r="F1045" s="80" t="n">
        <v>36</v>
      </c>
      <c r="G1045" s="79" t="s">
        <v>1468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202610</v>
      </c>
      <c r="D1046" s="81" t="n">
        <v>46296</v>
      </c>
      <c r="E1046" s="82" t="n">
        <v>30638.984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202609</v>
      </c>
      <c r="D1047" s="81" t="n">
        <v>46266</v>
      </c>
      <c r="E1047" s="82" t="n">
        <v>28275.661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202608</v>
      </c>
      <c r="D1048" s="81" t="n">
        <v>46235</v>
      </c>
      <c r="E1048" s="82" t="n">
        <v>27161.687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202607</v>
      </c>
      <c r="D1049" s="81" t="n">
        <v>46204</v>
      </c>
      <c r="E1049" s="82" t="n">
        <v>24852.784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202606</v>
      </c>
      <c r="D1050" s="81" t="n">
        <v>46174</v>
      </c>
      <c r="E1050" s="82" t="n">
        <v>22827.979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202605</v>
      </c>
      <c r="D1051" s="81" t="n">
        <v>46143</v>
      </c>
      <c r="E1051" s="82" t="n">
        <v>20207.493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202604</v>
      </c>
      <c r="D1052" s="81" t="n">
        <v>46113</v>
      </c>
      <c r="E1052" s="82" t="n">
        <v>18316.974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202603</v>
      </c>
      <c r="D1053" s="81" t="n">
        <v>46082</v>
      </c>
      <c r="E1053" s="82" t="n">
        <v>12198.386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202602</v>
      </c>
      <c r="D1054" s="81" t="n">
        <v>46054</v>
      </c>
      <c r="E1054" s="82" t="n">
        <v>10451.593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202601</v>
      </c>
      <c r="D1055" s="81" t="n">
        <v>46023</v>
      </c>
      <c r="E1055" s="82" t="n">
        <v>8711.746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202512</v>
      </c>
      <c r="D1056" s="81" t="n">
        <v>45992</v>
      </c>
      <c r="E1056" s="82" t="n">
        <v>7021.586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202511</v>
      </c>
      <c r="D1057" s="81" t="n">
        <v>45962</v>
      </c>
      <c r="E1057" s="82" t="n">
        <v>7065.326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202510</v>
      </c>
      <c r="D1058" s="81" t="n">
        <v>45931</v>
      </c>
      <c r="E1058" s="82" t="n">
        <v>6515.278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202509</v>
      </c>
      <c r="D1059" s="81" t="n">
        <v>45901</v>
      </c>
      <c r="E1059" s="82" t="n">
        <v>5933.811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202508</v>
      </c>
      <c r="D1060" s="81" t="n">
        <v>45870</v>
      </c>
      <c r="E1060" s="82" t="n">
        <v>5687.708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202507</v>
      </c>
      <c r="D1061" s="81" t="n">
        <v>45839</v>
      </c>
      <c r="E1061" s="82" t="n">
        <v>6197.679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202506</v>
      </c>
      <c r="D1062" s="81" t="n">
        <v>45809</v>
      </c>
      <c r="E1062" s="82" t="n">
        <v>5689.559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202505</v>
      </c>
      <c r="D1063" s="81" t="n">
        <v>45778</v>
      </c>
      <c r="E1063" s="82" t="n">
        <v>6002.833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202504</v>
      </c>
      <c r="D1064" s="81" t="n">
        <v>45748</v>
      </c>
      <c r="E1064" s="82" t="n">
        <v>5697.759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202503</v>
      </c>
      <c r="D1065" s="81" t="n">
        <v>45717</v>
      </c>
      <c r="E1065" s="82" t="n">
        <v>4527.416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202502</v>
      </c>
      <c r="D1066" s="81" t="n">
        <v>45689</v>
      </c>
      <c r="E1066" s="82" t="n">
        <v>3613.39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202501</v>
      </c>
      <c r="D1067" s="81" t="n">
        <v>45658</v>
      </c>
      <c r="E1067" s="82" t="n">
        <v>4521.378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202412</v>
      </c>
      <c r="D1068" s="81" t="n">
        <v>45627</v>
      </c>
      <c r="E1068" s="82" t="n">
        <v>4333.904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202411</v>
      </c>
      <c r="D1069" s="81" t="n">
        <v>45597</v>
      </c>
      <c r="E1069" s="82" t="n">
        <v>3717.027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202410</v>
      </c>
      <c r="D1070" s="81" t="n">
        <v>45566</v>
      </c>
      <c r="E1070" s="82" t="n">
        <v>4430.879</v>
      </c>
      <c r="F1070" s="80" t="n">
        <v>25</v>
      </c>
      <c r="G1070" s="79" t="s">
        <v>1469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202409</v>
      </c>
      <c r="D1071" s="81" t="n">
        <v>45536</v>
      </c>
      <c r="E1071" s="82" t="n">
        <v>4805.588</v>
      </c>
      <c r="F1071" s="80" t="n">
        <v>26</v>
      </c>
      <c r="G1071" s="79" t="s">
        <v>1470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202408</v>
      </c>
      <c r="D1072" s="81" t="n">
        <v>45505</v>
      </c>
      <c r="E1072" s="82" t="n">
        <v>4706.092</v>
      </c>
      <c r="F1072" s="80" t="n">
        <v>27</v>
      </c>
      <c r="G1072" s="79" t="s">
        <v>1471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202407</v>
      </c>
      <c r="D1073" s="81" t="n">
        <v>45474</v>
      </c>
      <c r="E1073" s="82" t="n">
        <v>5361.009</v>
      </c>
      <c r="F1073" s="80" t="n">
        <v>28</v>
      </c>
      <c r="G1073" s="79" t="s">
        <v>1472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202406</v>
      </c>
      <c r="D1074" s="81" t="n">
        <v>45444</v>
      </c>
      <c r="E1074" s="82" t="n">
        <v>5377.566</v>
      </c>
      <c r="F1074" s="80" t="n">
        <v>29</v>
      </c>
      <c r="G1074" s="79" t="s">
        <v>1473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202405</v>
      </c>
      <c r="D1075" s="81" t="n">
        <v>45413</v>
      </c>
      <c r="E1075" s="82" t="n">
        <v>5156.193</v>
      </c>
      <c r="F1075" s="80" t="n">
        <v>30</v>
      </c>
      <c r="G1075" s="79" t="s">
        <v>1474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202404</v>
      </c>
      <c r="D1076" s="81" t="n">
        <v>45383</v>
      </c>
      <c r="E1076" s="82" t="n">
        <v>6774.966</v>
      </c>
      <c r="F1076" s="80" t="n">
        <v>31</v>
      </c>
      <c r="G1076" s="79" t="s">
        <v>1475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202403</v>
      </c>
      <c r="D1077" s="81" t="n">
        <v>45352</v>
      </c>
      <c r="E1077" s="82" t="n">
        <v>4664.908</v>
      </c>
      <c r="F1077" s="80" t="n">
        <v>32</v>
      </c>
      <c r="G1077" s="79" t="s">
        <v>1476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202402</v>
      </c>
      <c r="D1078" s="81" t="n">
        <v>45323</v>
      </c>
      <c r="E1078" s="82" t="n">
        <v>5086.003</v>
      </c>
      <c r="F1078" s="80" t="n">
        <v>33</v>
      </c>
      <c r="G1078" s="79" t="s">
        <v>1477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202401</v>
      </c>
      <c r="D1079" s="81" t="n">
        <v>45292</v>
      </c>
      <c r="E1079" s="82" t="n">
        <v>5181.825</v>
      </c>
      <c r="F1079" s="80" t="n">
        <v>34</v>
      </c>
      <c r="G1079" s="79" t="s">
        <v>1478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202312</v>
      </c>
      <c r="D1080" s="81" t="n">
        <v>45261</v>
      </c>
      <c r="E1080" s="82" t="n">
        <v>5407.27</v>
      </c>
      <c r="F1080" s="80" t="n">
        <v>35</v>
      </c>
      <c r="G1080" s="79" t="s">
        <v>1479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202311</v>
      </c>
      <c r="D1081" s="81" t="n">
        <v>45231</v>
      </c>
      <c r="E1081" s="82" t="n">
        <v>5158.905</v>
      </c>
      <c r="F1081" s="80" t="n">
        <v>36</v>
      </c>
      <c r="G1081" s="79" t="s">
        <v>1480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1481</v>
      </c>
      <c r="C1" s="15" t="s">
        <v>1482</v>
      </c>
      <c r="D1" s="15" t="s">
        <v>1483</v>
      </c>
      <c r="E1" s="15" t="s">
        <v>1484</v>
      </c>
      <c r="F1" s="15" t="s">
        <v>1485</v>
      </c>
    </row>
    <row r="2" customFormat="false" ht="15" hidden="false" customHeight="false" outlineLevel="0" collapsed="false">
      <c r="A2" s="79" t="s">
        <v>208</v>
      </c>
      <c r="B2" s="83" t="n">
        <v>350.6656</v>
      </c>
      <c r="C2" s="83" t="n">
        <v>496.5377</v>
      </c>
      <c r="D2" s="81" t="n">
        <v>46387</v>
      </c>
      <c r="E2" s="80" t="n">
        <v>10</v>
      </c>
      <c r="F2" s="81" t="n">
        <v>46308</v>
      </c>
    </row>
    <row r="3" customFormat="false" ht="15" hidden="false" customHeight="false" outlineLevel="0" collapsed="false">
      <c r="A3" s="79" t="s">
        <v>220</v>
      </c>
      <c r="B3" s="83" t="n">
        <v>7.01942</v>
      </c>
      <c r="C3" s="83" t="n">
        <v>7.29565</v>
      </c>
      <c r="D3" s="81" t="n">
        <v>46387</v>
      </c>
      <c r="E3" s="80" t="n">
        <v>13</v>
      </c>
      <c r="F3" s="81" t="n">
        <v>46308</v>
      </c>
    </row>
    <row r="4" customFormat="false" ht="15" hidden="false" customHeight="false" outlineLevel="0" collapsed="false">
      <c r="A4" s="79" t="s">
        <v>345</v>
      </c>
      <c r="B4" s="83" t="n">
        <v>20.11068</v>
      </c>
      <c r="C4" s="83" t="n">
        <v>31.56477</v>
      </c>
      <c r="D4" s="81" t="n">
        <v>46387</v>
      </c>
      <c r="E4" s="80" t="n">
        <v>3</v>
      </c>
      <c r="F4" s="81" t="n">
        <v>46308</v>
      </c>
    </row>
    <row r="5" customFormat="false" ht="15" hidden="false" customHeight="false" outlineLevel="0" collapsed="false">
      <c r="A5" s="79" t="s">
        <v>79</v>
      </c>
      <c r="B5" s="83" t="n">
        <v>108.56853</v>
      </c>
      <c r="C5" s="83" t="n">
        <v>145.76128</v>
      </c>
      <c r="D5" s="81" t="n">
        <v>46387</v>
      </c>
      <c r="E5" s="80" t="n">
        <v>24</v>
      </c>
      <c r="F5" s="81" t="n">
        <v>46308</v>
      </c>
    </row>
    <row r="6" customFormat="false" ht="15" hidden="false" customHeight="false" outlineLevel="0" collapsed="false">
      <c r="A6" s="79" t="s">
        <v>236</v>
      </c>
      <c r="B6" s="83" t="n">
        <v>25.418</v>
      </c>
      <c r="C6" s="83" t="n">
        <v>52.54831</v>
      </c>
      <c r="D6" s="81" t="n">
        <v>46387</v>
      </c>
      <c r="E6" s="80" t="n">
        <v>5</v>
      </c>
      <c r="F6" s="81" t="n">
        <v>46308</v>
      </c>
    </row>
    <row r="7" customFormat="false" ht="15" hidden="false" customHeight="false" outlineLevel="0" collapsed="false">
      <c r="A7" s="79" t="s">
        <v>205</v>
      </c>
      <c r="B7" s="83" t="n">
        <v>33.4766</v>
      </c>
      <c r="C7" s="83" t="n">
        <v>36.99918</v>
      </c>
      <c r="D7" s="81" t="n">
        <v>46387</v>
      </c>
      <c r="E7" s="80" t="n">
        <v>8</v>
      </c>
      <c r="F7" s="81" t="n">
        <v>46308</v>
      </c>
    </row>
    <row r="8" customFormat="false" ht="15" hidden="false" customHeight="false" outlineLevel="0" collapsed="false">
      <c r="A8" s="79" t="s">
        <v>182</v>
      </c>
      <c r="B8" s="83" t="n">
        <v>76.88303</v>
      </c>
      <c r="C8" s="83" t="n">
        <v>118.15167</v>
      </c>
      <c r="D8" s="81" t="n">
        <v>46387</v>
      </c>
      <c r="E8" s="80" t="n">
        <v>3</v>
      </c>
      <c r="F8" s="81" t="n">
        <v>46308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68.26539</v>
      </c>
      <c r="C10" s="83" t="n">
        <v>146.6426</v>
      </c>
      <c r="D10" s="81" t="n">
        <v>46387</v>
      </c>
      <c r="E10" s="80" t="n">
        <v>15</v>
      </c>
      <c r="F10" s="81" t="n">
        <v>46308</v>
      </c>
    </row>
    <row r="11" customFormat="false" ht="15" hidden="false" customHeight="false" outlineLevel="0" collapsed="false">
      <c r="A11" s="79" t="s">
        <v>190</v>
      </c>
      <c r="B11" s="83" t="n">
        <v>5.57293</v>
      </c>
      <c r="C11" s="83" t="n">
        <v>9.4557</v>
      </c>
      <c r="D11" s="81" t="n">
        <v>46387</v>
      </c>
      <c r="E11" s="80" t="n">
        <v>9</v>
      </c>
      <c r="F11" s="81" t="n">
        <v>46308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46308</v>
      </c>
    </row>
    <row r="13" customFormat="false" ht="15" hidden="false" customHeight="false" outlineLevel="0" collapsed="false">
      <c r="A13" s="79" t="s">
        <v>195</v>
      </c>
      <c r="B13" s="83" t="n">
        <v>33.93331</v>
      </c>
      <c r="C13" s="83" t="n">
        <v>35.41178</v>
      </c>
      <c r="D13" s="81" t="n">
        <v>46387</v>
      </c>
      <c r="E13" s="80" t="n">
        <v>15</v>
      </c>
      <c r="F13" s="81" t="n">
        <v>46308</v>
      </c>
    </row>
    <row r="14" customFormat="false" ht="15" hidden="false" customHeight="false" outlineLevel="0" collapsed="false">
      <c r="A14" s="79" t="s">
        <v>210</v>
      </c>
      <c r="B14" s="83" t="n">
        <v>19.61077</v>
      </c>
      <c r="C14" s="83" t="n">
        <v>39.39384</v>
      </c>
      <c r="D14" s="81" t="n">
        <v>46387</v>
      </c>
      <c r="E14" s="80" t="n">
        <v>7</v>
      </c>
      <c r="F14" s="81" t="n">
        <v>46308</v>
      </c>
    </row>
    <row r="15" customFormat="false" ht="15" hidden="false" customHeight="false" outlineLevel="0" collapsed="false">
      <c r="A15" s="79" t="s">
        <v>230</v>
      </c>
      <c r="B15" s="83" t="n">
        <v>7.7975</v>
      </c>
      <c r="C15" s="83" t="n">
        <v>10.22708</v>
      </c>
      <c r="D15" s="81" t="n">
        <v>46387</v>
      </c>
      <c r="E15" s="80" t="n">
        <v>10</v>
      </c>
      <c r="F15" s="81" t="n">
        <v>46308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46308</v>
      </c>
    </row>
    <row r="17" customFormat="false" ht="15" hidden="false" customHeight="false" outlineLevel="0" collapsed="false">
      <c r="A17" s="79" t="s">
        <v>216</v>
      </c>
      <c r="B17" s="83" t="n">
        <v>11.26386</v>
      </c>
      <c r="C17" s="83" t="n">
        <v>28.11055</v>
      </c>
      <c r="D17" s="81" t="n">
        <v>46387</v>
      </c>
      <c r="E17" s="80" t="n">
        <v>6</v>
      </c>
      <c r="F17" s="81" t="n">
        <v>46308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-0.435</v>
      </c>
      <c r="C19" s="83" t="n">
        <v>10.95333</v>
      </c>
      <c r="D19" s="81" t="n">
        <v>46387</v>
      </c>
      <c r="E19" s="80" t="n">
        <v>3</v>
      </c>
      <c r="F19" s="81" t="n">
        <v>46308</v>
      </c>
    </row>
    <row r="20" customFormat="false" ht="15" hidden="false" customHeight="false" outlineLevel="0" collapsed="false">
      <c r="A20" s="79" t="s">
        <v>245</v>
      </c>
      <c r="B20" s="83" t="n">
        <v>53.45228</v>
      </c>
      <c r="C20" s="83" t="n">
        <v>121.13353</v>
      </c>
      <c r="D20" s="81" t="n">
        <v>46387</v>
      </c>
      <c r="E20" s="80" t="n">
        <v>17</v>
      </c>
      <c r="F20" s="81" t="n">
        <v>46308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46308</v>
      </c>
    </row>
    <row r="22" customFormat="false" ht="15" hidden="false" customHeight="false" outlineLevel="0" collapsed="false">
      <c r="A22" s="79" t="s">
        <v>197</v>
      </c>
      <c r="B22" s="83" t="n">
        <v>69.50286</v>
      </c>
      <c r="C22" s="83" t="n">
        <v>128.3543</v>
      </c>
      <c r="D22" s="81" t="n">
        <v>46387</v>
      </c>
      <c r="E22" s="80" t="n">
        <v>9</v>
      </c>
      <c r="F22" s="81" t="n">
        <v>46308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5.78988</v>
      </c>
      <c r="C24" s="83" t="n">
        <v>7.43919</v>
      </c>
      <c r="D24" s="81" t="n">
        <v>46387</v>
      </c>
      <c r="E24" s="80" t="n">
        <v>6</v>
      </c>
      <c r="F24" s="81" t="n">
        <v>46308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46308</v>
      </c>
    </row>
    <row r="26" customFormat="false" ht="15" hidden="false" customHeight="false" outlineLevel="0" collapsed="false">
      <c r="A26" s="79" t="s">
        <v>186</v>
      </c>
      <c r="B26" s="83" t="n">
        <v>353.215</v>
      </c>
      <c r="C26" s="83" t="n">
        <v>194.82417</v>
      </c>
      <c r="D26" s="81" t="n">
        <v>46387</v>
      </c>
      <c r="E26" s="80" t="n">
        <v>2</v>
      </c>
      <c r="F26" s="81" t="n">
        <v>46308</v>
      </c>
    </row>
    <row r="27" customFormat="false" ht="15" hidden="false" customHeight="false" outlineLevel="0" collapsed="false">
      <c r="A27" s="79" t="s">
        <v>201</v>
      </c>
      <c r="B27" s="83" t="n">
        <v>30.55</v>
      </c>
      <c r="C27" s="83" t="n">
        <v>34.41</v>
      </c>
      <c r="D27" s="81" t="n">
        <v>46387</v>
      </c>
      <c r="E27" s="80" t="n">
        <v>3</v>
      </c>
      <c r="F27" s="81" t="n">
        <v>46308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46308</v>
      </c>
    </row>
    <row r="29" customFormat="false" ht="15" hidden="false" customHeight="false" outlineLevel="0" collapsed="false">
      <c r="A29" s="79" t="s">
        <v>243</v>
      </c>
      <c r="B29" s="83" t="n">
        <v>4.3</v>
      </c>
      <c r="C29" s="83" t="n">
        <v>15.32</v>
      </c>
      <c r="D29" s="81" t="n">
        <v>46387</v>
      </c>
      <c r="E29" s="80"/>
      <c r="F29" s="81" t="n">
        <v>46308</v>
      </c>
    </row>
    <row r="30" customFormat="false" ht="15" hidden="false" customHeight="false" outlineLevel="0" collapsed="false">
      <c r="A30" s="79" t="s">
        <v>228</v>
      </c>
      <c r="B30" s="83" t="n">
        <v>412.3421</v>
      </c>
      <c r="C30" s="83" t="n">
        <v>281.53503</v>
      </c>
      <c r="D30" s="81" t="n">
        <v>46387</v>
      </c>
      <c r="E30" s="80" t="n">
        <v>7</v>
      </c>
      <c r="F30" s="81" t="n">
        <v>46308</v>
      </c>
    </row>
    <row r="32" customFormat="false" ht="15" hidden="false" customHeight="false" outlineLevel="0" collapsed="false">
      <c r="A32" s="25" t="s">
        <v>1486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1487</v>
      </c>
      <c r="C1" s="15" t="s">
        <v>1488</v>
      </c>
      <c r="D1" s="15" t="s">
        <v>1489</v>
      </c>
      <c r="E1" s="15" t="s">
        <v>1485</v>
      </c>
    </row>
    <row r="2" customFormat="false" ht="15" hidden="false" customHeight="false" outlineLevel="0" collapsed="false">
      <c r="A2" s="79" t="s">
        <v>208</v>
      </c>
      <c r="B2" s="83" t="n">
        <v>10060</v>
      </c>
      <c r="C2" s="81" t="n">
        <v>46308</v>
      </c>
      <c r="D2" s="81"/>
      <c r="E2" s="81" t="n">
        <v>46308</v>
      </c>
    </row>
    <row r="3" customFormat="false" ht="15" hidden="false" customHeight="false" outlineLevel="0" collapsed="false">
      <c r="A3" s="79" t="s">
        <v>220</v>
      </c>
      <c r="B3" s="83" t="n">
        <v>141.5</v>
      </c>
      <c r="C3" s="81" t="n">
        <v>46308</v>
      </c>
      <c r="D3" s="81"/>
      <c r="E3" s="81" t="n">
        <v>46308</v>
      </c>
    </row>
    <row r="4" customFormat="false" ht="15" hidden="false" customHeight="false" outlineLevel="0" collapsed="false">
      <c r="A4" s="79" t="s">
        <v>345</v>
      </c>
      <c r="B4" s="83" t="n">
        <v>599</v>
      </c>
      <c r="C4" s="81" t="n">
        <v>46308</v>
      </c>
      <c r="D4" s="81"/>
      <c r="E4" s="81" t="n">
        <v>46308</v>
      </c>
    </row>
    <row r="5" customFormat="false" ht="15" hidden="false" customHeight="false" outlineLevel="0" collapsed="false">
      <c r="A5" s="79" t="s">
        <v>79</v>
      </c>
      <c r="B5" s="83" t="n">
        <v>2490</v>
      </c>
      <c r="C5" s="81" t="n">
        <v>46308</v>
      </c>
      <c r="D5" s="81"/>
      <c r="E5" s="81" t="n">
        <v>46308</v>
      </c>
    </row>
    <row r="6" customFormat="false" ht="15" hidden="false" customHeight="false" outlineLevel="0" collapsed="false">
      <c r="A6" s="79" t="s">
        <v>236</v>
      </c>
      <c r="B6" s="83" t="n">
        <v>161.5</v>
      </c>
      <c r="C6" s="81" t="n">
        <v>46308</v>
      </c>
      <c r="D6" s="81"/>
      <c r="E6" s="81" t="n">
        <v>46308</v>
      </c>
    </row>
    <row r="7" customFormat="false" ht="15" hidden="false" customHeight="false" outlineLevel="0" collapsed="false">
      <c r="A7" s="79" t="s">
        <v>205</v>
      </c>
      <c r="B7" s="83" t="n">
        <v>355.5</v>
      </c>
      <c r="C7" s="81" t="n">
        <v>46308</v>
      </c>
      <c r="D7" s="81"/>
      <c r="E7" s="81" t="n">
        <v>46308</v>
      </c>
    </row>
    <row r="8" customFormat="false" ht="15" hidden="false" customHeight="false" outlineLevel="0" collapsed="false">
      <c r="A8" s="79" t="s">
        <v>182</v>
      </c>
      <c r="B8" s="83" t="n">
        <v>488</v>
      </c>
      <c r="C8" s="81" t="n">
        <v>46308</v>
      </c>
      <c r="D8" s="81"/>
      <c r="E8" s="81" t="n">
        <v>46308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4525</v>
      </c>
      <c r="C10" s="81" t="n">
        <v>46308</v>
      </c>
      <c r="D10" s="81"/>
      <c r="E10" s="81" t="n">
        <v>46308</v>
      </c>
    </row>
    <row r="11" customFormat="false" ht="15" hidden="false" customHeight="false" outlineLevel="0" collapsed="false">
      <c r="A11" s="79" t="s">
        <v>190</v>
      </c>
      <c r="B11" s="83" t="n">
        <v>508</v>
      </c>
      <c r="C11" s="81" t="n">
        <v>46308</v>
      </c>
      <c r="D11" s="81"/>
      <c r="E11" s="81" t="n">
        <v>46308</v>
      </c>
    </row>
    <row r="12" customFormat="false" ht="15" hidden="false" customHeight="false" outlineLevel="0" collapsed="false">
      <c r="A12" s="79" t="s">
        <v>224</v>
      </c>
      <c r="B12" s="83" t="n">
        <v>89.4</v>
      </c>
      <c r="C12" s="81" t="n">
        <v>46308</v>
      </c>
      <c r="D12" s="81"/>
      <c r="E12" s="81" t="n">
        <v>46308</v>
      </c>
    </row>
    <row r="13" customFormat="false" ht="15" hidden="false" customHeight="false" outlineLevel="0" collapsed="false">
      <c r="A13" s="79" t="s">
        <v>195</v>
      </c>
      <c r="B13" s="83" t="n">
        <v>546</v>
      </c>
      <c r="C13" s="81" t="n">
        <v>46308</v>
      </c>
      <c r="D13" s="81"/>
      <c r="E13" s="81" t="n">
        <v>46308</v>
      </c>
    </row>
    <row r="14" customFormat="false" ht="15" hidden="false" customHeight="false" outlineLevel="0" collapsed="false">
      <c r="A14" s="79" t="s">
        <v>210</v>
      </c>
      <c r="B14" s="83" t="n">
        <v>2725</v>
      </c>
      <c r="C14" s="81" t="n">
        <v>46308</v>
      </c>
      <c r="D14" s="81"/>
      <c r="E14" s="81" t="n">
        <v>46308</v>
      </c>
    </row>
    <row r="15" customFormat="false" ht="15" hidden="false" customHeight="false" outlineLevel="0" collapsed="false">
      <c r="A15" s="79" t="s">
        <v>230</v>
      </c>
      <c r="B15" s="83" t="n">
        <v>556</v>
      </c>
      <c r="C15" s="81" t="n">
        <v>46308</v>
      </c>
      <c r="D15" s="81"/>
      <c r="E15" s="81" t="n">
        <v>46308</v>
      </c>
    </row>
    <row r="16" customFormat="false" ht="15" hidden="false" customHeight="false" outlineLevel="0" collapsed="false">
      <c r="A16" s="79" t="s">
        <v>212</v>
      </c>
      <c r="B16" s="83" t="n">
        <v>645</v>
      </c>
      <c r="C16" s="81" t="n">
        <v>46308</v>
      </c>
      <c r="D16" s="81"/>
      <c r="E16" s="81" t="n">
        <v>46308</v>
      </c>
    </row>
    <row r="17" customFormat="false" ht="15" hidden="false" customHeight="false" outlineLevel="0" collapsed="false">
      <c r="A17" s="79" t="s">
        <v>216</v>
      </c>
      <c r="B17" s="83" t="n">
        <v>1040</v>
      </c>
      <c r="C17" s="81" t="n">
        <v>46308</v>
      </c>
      <c r="D17" s="81"/>
      <c r="E17" s="81" t="n">
        <v>46308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547</v>
      </c>
      <c r="C19" s="81" t="n">
        <v>46308</v>
      </c>
      <c r="D19" s="81"/>
      <c r="E19" s="81" t="n">
        <v>46308</v>
      </c>
    </row>
    <row r="20" customFormat="false" ht="15" hidden="false" customHeight="false" outlineLevel="0" collapsed="false">
      <c r="A20" s="79" t="s">
        <v>245</v>
      </c>
      <c r="B20" s="83" t="n">
        <v>8095</v>
      </c>
      <c r="C20" s="81" t="n">
        <v>46308</v>
      </c>
      <c r="D20" s="81"/>
      <c r="E20" s="81" t="n">
        <v>46308</v>
      </c>
    </row>
    <row r="21" customFormat="false" ht="15" hidden="false" customHeight="false" outlineLevel="0" collapsed="false">
      <c r="A21" s="79" t="s">
        <v>241</v>
      </c>
      <c r="B21" s="83" t="n">
        <v>473</v>
      </c>
      <c r="C21" s="81" t="n">
        <v>46308</v>
      </c>
      <c r="D21" s="81"/>
      <c r="E21" s="81" t="n">
        <v>46308</v>
      </c>
    </row>
    <row r="22" customFormat="false" ht="15" hidden="false" customHeight="false" outlineLevel="0" collapsed="false">
      <c r="A22" s="79" t="s">
        <v>197</v>
      </c>
      <c r="B22" s="83" t="n">
        <v>2260</v>
      </c>
      <c r="C22" s="81" t="n">
        <v>46308</v>
      </c>
      <c r="D22" s="81"/>
      <c r="E22" s="81" t="n">
        <v>46308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102.5</v>
      </c>
      <c r="C24" s="81" t="n">
        <v>46308</v>
      </c>
      <c r="D24" s="81"/>
      <c r="E24" s="81" t="n">
        <v>46308</v>
      </c>
    </row>
    <row r="25" customFormat="false" ht="15" hidden="false" customHeight="false" outlineLevel="0" collapsed="false">
      <c r="A25" s="79" t="s">
        <v>232</v>
      </c>
      <c r="B25" s="83" t="n">
        <v>535</v>
      </c>
      <c r="C25" s="81" t="n">
        <v>46308</v>
      </c>
      <c r="D25" s="81"/>
      <c r="E25" s="81" t="n">
        <v>46308</v>
      </c>
    </row>
    <row r="26" customFormat="false" ht="15" hidden="false" customHeight="false" outlineLevel="0" collapsed="false">
      <c r="A26" s="79" t="s">
        <v>186</v>
      </c>
      <c r="B26" s="83" t="n">
        <v>1190</v>
      </c>
      <c r="C26" s="81" t="n">
        <v>46308</v>
      </c>
      <c r="D26" s="81"/>
      <c r="E26" s="81" t="n">
        <v>46308</v>
      </c>
    </row>
    <row r="27" customFormat="false" ht="15" hidden="false" customHeight="false" outlineLevel="0" collapsed="false">
      <c r="A27" s="79" t="s">
        <v>201</v>
      </c>
      <c r="B27" s="83" t="n">
        <v>595</v>
      </c>
      <c r="C27" s="81" t="n">
        <v>46308</v>
      </c>
      <c r="D27" s="81"/>
      <c r="E27" s="81" t="n">
        <v>46308</v>
      </c>
    </row>
    <row r="28" customFormat="false" ht="15" hidden="false" customHeight="false" outlineLevel="0" collapsed="false">
      <c r="A28" s="79" t="s">
        <v>218</v>
      </c>
      <c r="B28" s="83" t="n">
        <v>1630</v>
      </c>
      <c r="C28" s="81" t="n">
        <v>46308</v>
      </c>
      <c r="D28" s="81"/>
      <c r="E28" s="81" t="n">
        <v>46308</v>
      </c>
    </row>
    <row r="29" customFormat="false" ht="15" hidden="false" customHeight="false" outlineLevel="0" collapsed="false">
      <c r="A29" s="79" t="s">
        <v>243</v>
      </c>
      <c r="B29" s="83" t="n">
        <v>520</v>
      </c>
      <c r="C29" s="81" t="n">
        <v>46308</v>
      </c>
      <c r="D29" s="81"/>
      <c r="E29" s="81" t="n">
        <v>46308</v>
      </c>
    </row>
    <row r="30" customFormat="false" ht="15" hidden="false" customHeight="false" outlineLevel="0" collapsed="false">
      <c r="A30" s="79" t="s">
        <v>228</v>
      </c>
      <c r="B30" s="83" t="n">
        <v>1965</v>
      </c>
      <c r="C30" s="81" t="n">
        <v>46308</v>
      </c>
      <c r="D30" s="81"/>
      <c r="E30" s="81" t="n">
        <v>46308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1490</v>
      </c>
      <c r="F1" s="15" t="s">
        <v>1491</v>
      </c>
      <c r="G1" s="15" t="s">
        <v>1492</v>
      </c>
      <c r="H1" s="15" t="s">
        <v>1493</v>
      </c>
      <c r="I1" s="15" t="s">
        <v>1494</v>
      </c>
      <c r="J1" s="15" t="s">
        <v>66</v>
      </c>
      <c r="K1" s="15" t="s">
        <v>1495</v>
      </c>
      <c r="L1" s="15" t="s">
        <v>1496</v>
      </c>
      <c r="M1" s="15" t="s">
        <v>1497</v>
      </c>
      <c r="N1" s="15" t="s">
        <v>68</v>
      </c>
      <c r="O1" s="15" t="s">
        <v>69</v>
      </c>
      <c r="P1" s="15" t="s">
        <v>1498</v>
      </c>
      <c r="Q1" s="16" t="s">
        <v>51</v>
      </c>
      <c r="R1" s="16" t="s">
        <v>70</v>
      </c>
      <c r="S1" s="16" t="s">
        <v>1499</v>
      </c>
      <c r="T1" s="16" t="s">
        <v>1500</v>
      </c>
      <c r="U1" s="16" t="s">
        <v>1501</v>
      </c>
      <c r="V1" s="16" t="s">
        <v>1502</v>
      </c>
      <c r="W1" s="16" t="s">
        <v>1503</v>
      </c>
      <c r="X1" s="16" t="s">
        <v>63</v>
      </c>
      <c r="Y1" s="16" t="s">
        <v>64</v>
      </c>
      <c r="Z1" s="15" t="s">
        <v>1504</v>
      </c>
      <c r="AA1" s="16" t="s">
        <v>1505</v>
      </c>
      <c r="AB1" s="16" t="s">
        <v>1506</v>
      </c>
      <c r="AC1" s="15" t="s">
        <v>1507</v>
      </c>
      <c r="AD1" s="15" t="s">
        <v>139</v>
      </c>
      <c r="AE1" s="16" t="s">
        <v>101</v>
      </c>
      <c r="AF1" s="16" t="s">
        <v>1508</v>
      </c>
      <c r="AG1" s="15" t="s">
        <v>58</v>
      </c>
      <c r="AH1" s="15" t="s">
        <v>59</v>
      </c>
      <c r="AI1" s="15" t="s">
        <v>1509</v>
      </c>
      <c r="AJ1" s="16" t="s">
        <v>65</v>
      </c>
      <c r="AK1" s="16" t="s">
        <v>71</v>
      </c>
      <c r="AL1" s="16" t="s">
        <v>1510</v>
      </c>
      <c r="AM1" s="16" t="s">
        <v>81</v>
      </c>
      <c r="AN1" s="16" t="s">
        <v>82</v>
      </c>
      <c r="AO1" s="16" t="s">
        <v>83</v>
      </c>
      <c r="AP1" s="15" t="s">
        <v>1511</v>
      </c>
      <c r="AQ1" s="15" t="s">
        <v>1512</v>
      </c>
      <c r="AR1" s="15" t="s">
        <v>1513</v>
      </c>
      <c r="AS1" s="15" t="s">
        <v>1514</v>
      </c>
      <c r="AT1" s="15" t="s">
        <v>1515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2490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137.711342328767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28.8595271210014</v>
      </c>
      <c r="K2" s="52" t="n">
        <f aca="false">IF($A2="","",IFERROR(IF(G2&lt;=0,"N/M",D2/G2),"N/M"))</f>
        <v>25.6617775655671</v>
      </c>
      <c r="L2" s="52" t="n">
        <f aca="false">IF($A2="","",IFERROR(IF(H2&lt;=0,"N/M",D2/H2),"N/M"))</f>
        <v>18.081299317056</v>
      </c>
      <c r="M2" s="49" t="n">
        <f aca="false">IF($A2="","",IFERROR(INDEX(Raw_Est!$C$2:$C$100,MATCH($A2,Raw_Est!$A$2:$A$100,0))/INDEX(Raw_Est!$B$2:$B$100,MATCH($A2,Raw_Est!$A$2:$A$100,0))-1,""))</f>
        <v>0.342573948454492</v>
      </c>
      <c r="N2" s="51" t="n">
        <f aca="false">IF($A2="","",IFERROR(IF(OR(NOT(ISNUMBER(J2)),I2&lt;Config!$B$6),"N/M",J2/(I2*100)),"N/M"))</f>
        <v>0.542235559620817</v>
      </c>
      <c r="O2" s="51" t="n">
        <f aca="false">IF($A2="","",IFERROR(IF(OR(NOT(ISNUMBER(L2)),M2&lt;Config!$B$6),"N/M",L2/(M2*100)),"N/M"))</f>
        <v>0.527807190203137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0.00883538159839357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0.437688500053166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24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46308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488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109.21955339726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17.9742173112339</v>
      </c>
      <c r="K3" s="52" t="n">
        <f aca="false">IF($A3="","",IFERROR(IF(G3&lt;=0,"N/M",D3/G3),"N/M"))</f>
        <v>10.2741492509661</v>
      </c>
      <c r="L3" s="52" t="n">
        <f aca="false">IF($A3="","",IFERROR(IF(H3&lt;=0,"N/M",D3/H3),"N/M"))</f>
        <v>4.46806441539836</v>
      </c>
      <c r="M3" s="49" t="n">
        <f aca="false">IF($A3="","",IFERROR(INDEX(Raw_Est!$C$2:$C$100,MATCH($A3,Raw_Est!$A$2:$A$100,0))/INDEX(Raw_Est!$B$2:$B$100,MATCH($A3,Raw_Est!$A$2:$A$100,0))-1,""))</f>
        <v>0.536771768750529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0.0832395568380748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0.822364173580978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3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46308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1190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229.106020876712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5.19410181996207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46308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508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8.61531964383562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123.300970873786</v>
      </c>
      <c r="K5" s="52" t="n">
        <f aca="false">IF($A5="","",IFERROR(IF(G5&lt;=0,"N/M",D5/G5),"N/M"))</f>
        <v>108.216578012862</v>
      </c>
      <c r="L5" s="52" t="n">
        <f aca="false">IF($A5="","",IFERROR(IF(H5&lt;=0,"N/M",D5/H5),"N/M"))</f>
        <v>58.9647303873956</v>
      </c>
      <c r="M5" s="49" t="n">
        <f aca="false">IF($A5="","",IFERROR(INDEX(Raw_Est!$C$2:$C$100,MATCH($A5,Raw_Est!$A$2:$A$100,0))/INDEX(Raw_Est!$B$2:$B$100,MATCH($A5,Raw_Est!$A$2:$A$100,0))-1,""))</f>
        <v>0.696719678876282</v>
      </c>
      <c r="N5" s="51" t="n">
        <f aca="false">IF($A5="","",IFERROR(IF(OR(NOT(ISNUMBER(J5)),I5&lt;Config!$B$6),"N/M",J5/(I5*100)),"N/M"))</f>
        <v>2.00265908107105</v>
      </c>
      <c r="O5" s="51" t="n">
        <f aca="false">IF($A5="","",IFERROR(IF(OR(NOT(ISNUMBER(L5)),M5&lt;Config!$B$6),"N/M",L5/(M5*100)),"N/M"))</f>
        <v>0.846319289882812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0.00515857584645669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0.27902443098403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46308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546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35.0917823835616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19.0442971747471</v>
      </c>
      <c r="K6" s="52" t="n">
        <f aca="false">IF($A6="","",IFERROR(IF(G6&lt;=0,"N/M",D6/G6),"N/M"))</f>
        <v>16.9393036208847</v>
      </c>
      <c r="L6" s="52" t="n">
        <f aca="false">IF($A6="","",IFERROR(IF(H6&lt;=0,"N/M",D6/H6),"N/M"))</f>
        <v>15.5591982770236</v>
      </c>
      <c r="M6" s="49" t="n">
        <f aca="false">IF($A6="","",IFERROR(INDEX(Raw_Est!$C$2:$C$100,MATCH($A6,Raw_Est!$A$2:$A$100,0))/INDEX(Raw_Est!$B$2:$B$100,MATCH($A6,Raw_Est!$A$2:$A$100,0))-1,""))</f>
        <v>0.0435698727887142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0.0512820512820513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0.299427087809628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15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46308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2260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115.616591068493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41.4450761048964</v>
      </c>
      <c r="K7" s="52" t="n">
        <f aca="false">IF($A7="","",IFERROR(IF(G7&lt;=0,"N/M",D7/G7),"N/M"))</f>
        <v>37.8155654556483</v>
      </c>
      <c r="L7" s="52" t="n">
        <f aca="false">IF($A7="","",IFERROR(IF(H7&lt;=0,"N/M",D7/H7),"N/M"))</f>
        <v>19.5473675457283</v>
      </c>
      <c r="M7" s="49" t="n">
        <f aca="false">IF($A7="","",IFERROR(INDEX(Raw_Est!$C$2:$C$100,MATCH($A7,Raw_Est!$A$2:$A$100,0))/INDEX(Raw_Est!$B$2:$B$100,MATCH($A7,Raw_Est!$A$2:$A$100,0))-1,""))</f>
        <v>0.846748464739437</v>
      </c>
      <c r="N7" s="51" t="n">
        <f aca="false">IF($A7="","",IFERROR(IF(OR(NOT(ISNUMBER(J7)),I7&lt;Config!$B$6),"N/M",J7/(I7*100)),"N/M"))</f>
        <v>0.721227630910835</v>
      </c>
      <c r="O7" s="51" t="n">
        <f aca="false">IF($A7="","",IFERROR(IF(OR(NOT(ISNUMBER(L7)),M7&lt;Config!$B$6),"N/M",L7/(M7*100)),"N/M"))</f>
        <v>0.230852116770515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0.00464844357964602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0.273562150990253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9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46308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595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33.5745479452055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17.7217575936109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1.40258988208501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46308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355.5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36.2367585753425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13.3096218644702</v>
      </c>
      <c r="K9" s="52" t="n">
        <f aca="false">IF($A9="","",IFERROR(IF(G9&lt;=0,"N/M",D9/G9),"N/M"))</f>
        <v>11.706918047622</v>
      </c>
      <c r="L9" s="52" t="n">
        <f aca="false">IF($A9="","",IFERROR(IF(H9&lt;=0,"N/M",D9/H9),"N/M"))</f>
        <v>9.8104801305794</v>
      </c>
      <c r="M9" s="49" t="n">
        <f aca="false">IF($A9="","",IFERROR(INDEX(Raw_Est!$C$2:$C$100,MATCH($A9,Raw_Est!$A$2:$A$100,0))/INDEX(Raw_Est!$B$2:$B$100,MATCH($A9,Raw_Est!$A$2:$A$100,0))-1,""))</f>
        <v>0.10522514233823</v>
      </c>
      <c r="N9" s="51" t="n">
        <f aca="false">IF($A9="","",IFERROR(IF(OR(NOT(ISNUMBER(J9)),I9&lt;Config!$B$6),"N/M",J9/(I9*100)),"N/M"))</f>
        <v>0.21238483091798</v>
      </c>
      <c r="O9" s="51" t="n">
        <f aca="false">IF($A9="","",IFERROR(IF(OR(NOT(ISNUMBER(L9)),M9&lt;Config!$B$6),"N/M",L9/(M9*100)),"N/M"))</f>
        <v>0.932332322159763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0.0281293952180028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0.337122302004036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46308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10060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464.965382465753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55.4606097359281</v>
      </c>
      <c r="K10" s="52" t="n">
        <f aca="false">IF($A10="","",IFERROR(IF(G10&lt;=0,"N/M",D10/G10),"N/M"))</f>
        <v>37.785350289165</v>
      </c>
      <c r="L10" s="52" t="n">
        <f aca="false">IF($A10="","",IFERROR(IF(H10&lt;=0,"N/M",D10/H10),"N/M"))</f>
        <v>21.6360193239568</v>
      </c>
      <c r="M10" s="49" t="n">
        <f aca="false">IF($A10="","",IFERROR(INDEX(Raw_Est!$C$2:$C$100,MATCH($A10,Raw_Est!$A$2:$A$100,0))/INDEX(Raw_Est!$B$2:$B$100,MATCH($A10,Raw_Est!$A$2:$A$100,0))-1,""))</f>
        <v>0.41598634140332</v>
      </c>
      <c r="N10" s="51" t="n">
        <f aca="false">IF($A10="","",IFERROR(IF(OR(NOT(ISNUMBER(J10)),I10&lt;Config!$B$6),"N/M",J10/(I10*100)),"N/M"))</f>
        <v>0.329090318663207</v>
      </c>
      <c r="O10" s="51" t="n">
        <f aca="false">IF($A10="","",IFERROR(IF(OR(NOT(ISNUMBER(L10)),M10&lt;Config!$B$6),"N/M",L10/(M10*100)),"N/M"))</f>
        <v>0.520113695343174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0.00320079522862823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0.990033037124845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10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46308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2725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35.1120248493151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243.086529884032</v>
      </c>
      <c r="K11" s="52" t="n">
        <f aca="false">IF($A11="","",IFERROR(IF(G11&lt;=0,"N/M",D11/G11),"N/M"))</f>
        <v>171.168341708543</v>
      </c>
      <c r="L11" s="52" t="n">
        <f aca="false">IF($A11="","",IFERROR(IF(H11&lt;=0,"N/M",D11/H11),"N/M"))</f>
        <v>77.6087397891312</v>
      </c>
      <c r="M11" s="49" t="n">
        <f aca="false">IF($A11="","",IFERROR(INDEX(Raw_Est!$C$2:$C$100,MATCH($A11,Raw_Est!$A$2:$A$100,0))/INDEX(Raw_Est!$B$2:$B$100,MATCH($A11,Raw_Est!$A$2:$A$100,0))-1,""))</f>
        <v>1.00878598851549</v>
      </c>
      <c r="N11" s="51" t="n">
        <f aca="false">IF($A11="","",IFERROR(IF(OR(NOT(ISNUMBER(J11)),I11&lt;Config!$B$6),"N/M",J11/(I11*100)),"N/M"))</f>
        <v>0.431529659142872</v>
      </c>
      <c r="O11" s="51" t="n">
        <f aca="false">IF($A11="","",IFERROR(IF(OR(NOT(ISNUMBER(L11)),M11&lt;Config!$B$6),"N/M",L11/(M11*100)),"N/M"))</f>
        <v>0.76932809012681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0.000183494366972477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0.384482227728418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7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46308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645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66.9087136929461</v>
      </c>
      <c r="K12" s="52" t="n">
        <f aca="false">IF($A12="","",IFERROR(IF(G12&lt;=0,"N/M",D12/G12),"N/M"))</f>
        <v>94.0233236151604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0.251026985752423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46308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1040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24.464280109589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176.271186440678</v>
      </c>
      <c r="K13" s="52" t="n">
        <f aca="false">IF($A13="","",IFERROR(IF(G13&lt;=0,"N/M",D13/G13),"N/M"))</f>
        <v>124.786273509914</v>
      </c>
      <c r="L13" s="52" t="n">
        <f aca="false">IF($A13="","",IFERROR(IF(H13&lt;=0,"N/M",D13/H13),"N/M"))</f>
        <v>42.5109586442464</v>
      </c>
      <c r="M13" s="49" t="n">
        <f aca="false">IF($A13="","",IFERROR(INDEX(Raw_Est!$C$2:$C$100,MATCH($A13,Raw_Est!$A$2:$A$100,0))/INDEX(Raw_Est!$B$2:$B$100,MATCH($A13,Raw_Est!$A$2:$A$100,0))-1,""))</f>
        <v>1.4956409259348</v>
      </c>
      <c r="N13" s="51" t="n">
        <f aca="false">IF($A13="","",IFERROR(IF(OR(NOT(ISNUMBER(J13)),I13&lt;Config!$B$6),"N/M",J13/(I13*100)),"N/M"))</f>
        <v>0.454772144122005</v>
      </c>
      <c r="O13" s="51" t="n">
        <f aca="false">IF($A13="","",IFERROR(IF(OR(NOT(ISNUMBER(L13)),M13&lt;Config!$B$6),"N/M",L13/(M13*100)),"N/M"))</f>
        <v>0.284232384304918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0.000961703778846154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0.13347169407611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6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46308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1630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115.284356164384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14.1389521894522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0.128953732205903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46308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141.5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7.23586323287671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21.1826347305389</v>
      </c>
      <c r="K15" s="52" t="n">
        <f aca="false">IF($A15="","",IFERROR(IF(G15&lt;=0,"N/M",D15/G15),"N/M"))</f>
        <v>20.5328380300084</v>
      </c>
      <c r="L15" s="52" t="n">
        <f aca="false">IF($A15="","",IFERROR(IF(H15&lt;=0,"N/M",D15/H15),"N/M"))</f>
        <v>19.5553723786657</v>
      </c>
      <c r="M15" s="49" t="n">
        <f aca="false">IF($A15="","",IFERROR(INDEX(Raw_Est!$C$2:$C$100,MATCH($A15,Raw_Est!$A$2:$A$100,0))/INDEX(Raw_Est!$B$2:$B$100,MATCH($A15,Raw_Est!$A$2:$A$100,0))-1,""))</f>
        <v>0.0393522541748463</v>
      </c>
      <c r="N15" s="51" t="n">
        <f aca="false">IF($A15="","",IFERROR(IF(OR(NOT(ISNUMBER(J15)),I15&lt;Config!$B$6),"N/M",J15/(I15*100)),"N/M"))</f>
        <v>0.191307555828514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0.198871620624717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46308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4525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129.678765506849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74.5592354588895</v>
      </c>
      <c r="K16" s="52" t="n">
        <f aca="false">IF($A16="","",IFERROR(IF(G16&lt;=0,"N/M",D16/G16),"N/M"))</f>
        <v>75.0609528112939</v>
      </c>
      <c r="L16" s="52" t="n">
        <f aca="false">IF($A16="","",IFERROR(IF(H16&lt;=0,"N/M",D16/H16),"N/M"))</f>
        <v>34.8939163810979</v>
      </c>
      <c r="M16" s="49" t="n">
        <f aca="false">IF($A16="","",IFERROR(INDEX(Raw_Est!$C$2:$C$100,MATCH($A16,Raw_Est!$A$2:$A$100,0))/INDEX(Raw_Est!$B$2:$B$100,MATCH($A16,Raw_Est!$A$2:$A$100,0))-1,""))</f>
        <v>1.14812513339483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0.303920847703438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0.0119337497171271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0.258116608323361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15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46308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89.4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33.1111111111111</v>
      </c>
      <c r="K17" s="52" t="n">
        <f aca="false">IF($A17="","",IFERROR(IF(G17&lt;=0,"N/M",D17/G17),"N/M"))</f>
        <v>28.5623003194888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46308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102.5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7.08221605479452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17.3141891891892</v>
      </c>
      <c r="K18" s="52" t="n">
        <f aca="false">IF($A18="","",IFERROR(IF(G18&lt;=0,"N/M",D18/G18),"N/M"))</f>
        <v>17.9806580745434</v>
      </c>
      <c r="L18" s="52" t="n">
        <f aca="false">IF($A18="","",IFERROR(IF(H18&lt;=0,"N/M",D18/H18),"N/M"))</f>
        <v>14.4728710910492</v>
      </c>
      <c r="M18" s="49" t="n">
        <f aca="false">IF($A18="","",IFERROR(INDEX(Raw_Est!$C$2:$C$100,MATCH($A18,Raw_Est!$A$2:$A$100,0))/INDEX(Raw_Est!$B$2:$B$100,MATCH($A18,Raw_Est!$A$2:$A$100,0))-1,""))</f>
        <v>0.284860826131111</v>
      </c>
      <c r="N18" s="51" t="n">
        <f aca="false">IF($A18="","",IFERROR(IF(OR(NOT(ISNUMBER(J18)),I18&lt;Config!$B$6),"N/M",J18/(I18*100)),"N/M"))</f>
        <v>0.702926484176484</v>
      </c>
      <c r="O18" s="51" t="n">
        <f aca="false">IF($A18="","",IFERROR(IF(OR(NOT(ISNUMBER(L18)),M18&lt;Config!$B$6),"N/M",L18/(M18*100)),"N/M"))</f>
        <v>0.508068142875772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0.0391164569756098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0.0748730420535528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46308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1965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309.84669720548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6.34184587966378</v>
      </c>
      <c r="M19" s="49" t="n">
        <f aca="false">IF($A19="","",IFERROR(INDEX(Raw_Est!$C$2:$C$100,MATCH($A19,Raw_Est!$A$2:$A$100,0))/INDEX(Raw_Est!$B$2:$B$100,MATCH($A19,Raw_Est!$A$2:$A$100,0))-1,""))</f>
        <v>-0.317229480084619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46308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556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9.70122569863014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65.3349001175088</v>
      </c>
      <c r="K20" s="52" t="n">
        <f aca="false">IF($A20="","",IFERROR(IF(G20&lt;=0,"N/M",D20/G20),"N/M"))</f>
        <v>68.5764467040137</v>
      </c>
      <c r="L20" s="52" t="n">
        <f aca="false">IF($A20="","",IFERROR(IF(H20&lt;=0,"N/M",D20/H20),"N/M"))</f>
        <v>57.3123456017017</v>
      </c>
      <c r="M20" s="49" t="n">
        <f aca="false">IF($A20="","",IFERROR(INDEX(Raw_Est!$C$2:$C$100,MATCH($A20,Raw_Est!$A$2:$A$100,0))/INDEX(Raw_Est!$B$2:$B$100,MATCH($A20,Raw_Est!$A$2:$A$100,0))-1,""))</f>
        <v>0.311584482205835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1.8393838228388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0.00359712230215827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0.0754540807228892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10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46308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535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12.6712054794521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86.9918699186992</v>
      </c>
      <c r="K21" s="52" t="n">
        <f aca="false">IF($A21="","",IFERROR(IF(G21&lt;=0,"N/M",D21/G21),"N/M"))</f>
        <v>78.7923416789396</v>
      </c>
      <c r="L21" s="52" t="n">
        <f aca="false">IF($A21="","",IFERROR(IF(H21&lt;=0,"N/M",D21/H21),"N/M"))</f>
        <v>42.2217129118117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1.94587077449722</v>
      </c>
      <c r="O21" s="51" t="n">
        <f aca="false">IF($A21="","",IFERROR(IF(OR(NOT(ISNUMBER(L21)),M21&lt;Config!$B$6),"N/M",L21/(M21*100)),"N/M"))</f>
        <v>0.462935398246719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0.0028871641682243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46308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547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8.48845857534247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64.4404393500773</v>
      </c>
      <c r="M22" s="49" t="n">
        <f aca="false">IF($A22="","",IFERROR(INDEX(Raw_Est!$C$2:$C$100,MATCH($A22,Raw_Est!$A$2:$A$100,0))/INDEX(Raw_Est!$B$2:$B$100,MATCH($A22,Raw_Est!$A$2:$A$100,0))-1,""))</f>
        <v>-26.1800689655172</v>
      </c>
      <c r="N22" s="51" t="str">
        <f aca="false">IF($A22="","",IFERROR(IF(OR(NOT(ISNUMBER(J22)),I22&lt;Config!$B$6),"N/M",J22/(I22*100)),"N/M"))</f>
        <v>N/M</v>
      </c>
      <c r="O22" s="51" t="str">
        <f aca="false">IF($A22="","",IFERROR(IF(OR(NOT(ISNUMBER(L22)),M22&lt;Config!$B$6),"N/M",L22/(M22*100)),"N/M"))</f>
        <v>N/M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-0.00864655356373243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3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46308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161.5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46.6762703013699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17.8256070640177</v>
      </c>
      <c r="K23" s="52" t="n">
        <f aca="false">IF($A23="","",IFERROR(IF(G23&lt;=0,"N/M",D23/G23),"N/M"))</f>
        <v>9.78252507869935</v>
      </c>
      <c r="L23" s="52" t="n">
        <f aca="false">IF($A23="","",IFERROR(IF(H23&lt;=0,"N/M",D23/H23),"N/M"))</f>
        <v>3.46000224433657</v>
      </c>
      <c r="M23" s="49" t="n">
        <f aca="false">IF($A23="","",IFERROR(INDEX(Raw_Est!$C$2:$C$100,MATCH($A23,Raw_Est!$A$2:$A$100,0))/INDEX(Raw_Est!$B$2:$B$100,MATCH($A23,Raw_Est!$A$2:$A$100,0))-1,""))</f>
        <v>1.06736603981431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0.032416266915692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0.00309597523219814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0.693177764655042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46308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473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96.1382113821138</v>
      </c>
      <c r="K25" s="52" t="n">
        <f aca="false">IF($A25="","",IFERROR(IF(G25&lt;=0,"N/M",D25/G25),"N/M"))</f>
        <v>109.744779582367</v>
      </c>
      <c r="L25" s="52" t="n">
        <f aca="false">IF($A25="","",IFERROR(IF(H25&lt;=0,"N/M",D25/H25),"N/M"))</f>
        <v>39.515455304929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0.00211416490486258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46308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520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12.9348493150685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40.2014733479906</v>
      </c>
      <c r="M26" s="49" t="n">
        <f aca="false">IF($A26="","",IFERROR(INDEX(Raw_Est!$C$2:$C$100,MATCH($A26,Raw_Est!$A$2:$A$100,0))/INDEX(Raw_Est!$B$2:$B$100,MATCH($A26,Raw_Est!$A$2:$A$100,0))-1,""))</f>
        <v>2.56279069767442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0.156866003081996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0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46308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8095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106.484711506849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207.510894642399</v>
      </c>
      <c r="K27" s="52" t="n">
        <f aca="false">IF($A27="","",IFERROR(IF(G27&lt;=0,"N/M",D27/G27),"N/M"))</f>
        <v>180.32885121277</v>
      </c>
      <c r="L27" s="52" t="n">
        <f aca="false">IF($A27="","",IFERROR(IF(H27&lt;=0,"N/M",D27/H27),"N/M"))</f>
        <v>76.0203026842902</v>
      </c>
      <c r="M27" s="49" t="n">
        <f aca="false">IF($A27="","",IFERROR(INDEX(Raw_Est!$C$2:$C$100,MATCH($A27,Raw_Est!$A$2:$A$100,0))/INDEX(Raw_Est!$B$2:$B$100,MATCH($A27,Raw_Est!$A$2:$A$100,0))-1,""))</f>
        <v>1.26619949607388</v>
      </c>
      <c r="N27" s="51" t="n">
        <f aca="false">IF($A27="","",IFERROR(IF(OR(NOT(ISNUMBER(J27)),I27&lt;Config!$B$6),"N/M",J27/(I27*100)),"N/M"))</f>
        <v>4.68763123736882</v>
      </c>
      <c r="O27" s="51" t="n">
        <f aca="false">IF($A27="","",IFERROR(IF(OR(NOT(ISNUMBER(L27)),M27&lt;Config!$B$6),"N/M",L27/(M27*100)),"N/M"))</f>
        <v>0.600381716467327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0.00247066090179123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0.531975972855065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17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46308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1517</v>
      </c>
    </row>
    <row r="3" customFormat="false" ht="31.5" hidden="false" customHeight="true" outlineLevel="0" collapsed="false">
      <c r="A3" s="16" t="s">
        <v>1518</v>
      </c>
      <c r="B3" s="16" t="s">
        <v>1519</v>
      </c>
      <c r="C3" s="16" t="s">
        <v>1520</v>
      </c>
    </row>
    <row r="4" customFormat="false" ht="15" hidden="false" customHeight="false" outlineLevel="0" collapsed="false">
      <c r="A4" s="5" t="s">
        <v>1521</v>
      </c>
      <c r="B4" s="86" t="n">
        <v>24</v>
      </c>
      <c r="C4" s="25" t="s">
        <v>1522</v>
      </c>
    </row>
    <row r="5" customFormat="false" ht="15" hidden="false" customHeight="false" outlineLevel="0" collapsed="false">
      <c r="A5" s="5" t="s">
        <v>1523</v>
      </c>
      <c r="B5" s="86" t="n">
        <v>20</v>
      </c>
      <c r="C5" s="25" t="s">
        <v>1524</v>
      </c>
    </row>
    <row r="6" customFormat="false" ht="15" hidden="false" customHeight="false" outlineLevel="0" collapsed="false">
      <c r="A6" s="2" t="s">
        <v>1525</v>
      </c>
      <c r="B6" s="87" t="n">
        <v>0.05</v>
      </c>
      <c r="C6" s="24" t="s">
        <v>1526</v>
      </c>
    </row>
    <row r="7" customFormat="false" ht="15" hidden="false" customHeight="false" outlineLevel="0" collapsed="false">
      <c r="A7" s="5" t="s">
        <v>1527</v>
      </c>
      <c r="B7" s="86" t="n">
        <v>5</v>
      </c>
      <c r="C7" s="24" t="s">
        <v>1528</v>
      </c>
    </row>
    <row r="8" customFormat="false" ht="15" hidden="false" customHeight="false" outlineLevel="0" collapsed="false">
      <c r="A8" s="2" t="s">
        <v>1529</v>
      </c>
      <c r="B8" s="86" t="n">
        <v>365</v>
      </c>
      <c r="C8" s="25" t="s">
        <v>1530</v>
      </c>
    </row>
    <row r="9" customFormat="false" ht="15" hidden="false" customHeight="false" outlineLevel="0" collapsed="false">
      <c r="A9" s="5" t="s">
        <v>1531</v>
      </c>
      <c r="B9" s="87" t="n">
        <v>0.02</v>
      </c>
      <c r="C9" s="24" t="s">
        <v>1532</v>
      </c>
    </row>
    <row r="11" customFormat="false" ht="15" hidden="false" customHeight="false" outlineLevel="0" collapsed="false">
      <c r="A11" s="24" t="s">
        <v>1533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2026-10-13T14:30:23Z</dcterms:created>
  <dc:creator>openpyxl</dc:creator>
  <dc:description/>
  <dc:language>en-US</dc:language>
  <cp:lastModifiedBy/>
  <dcterms:modified xsi:type="dcterms:W3CDTF">2026-10-13T14:30:23Z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