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<sst xmlns="http://schemas.openxmlformats.org/spreadsheetml/2006/main" count="8221" uniqueCount="1534">
  <si>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</si>
  <si>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</si>
  <si>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</si>
  <si>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</si>
  <si>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</si>
  <si>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</si>
  <si>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</si>
  <si>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</si>
  <si>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</si>
  <si>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</si>
  <si>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</si>
  <si>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</si>
  <si>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</si>
  <si>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</si>
  <si>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</si>
  <si>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</si>
  <si>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</si>
  <si>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</si>
  <si>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</si>
  <si>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</si>
  <si>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</si>
  <si>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</si>
  <si>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</si>
  <si>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</si>
  <si>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</si>
  <si>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</si>
  <si>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</si>
  <si>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</si>
  <si>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</si>
  <si>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</si>
  <si>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</si>
  <si>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</si>
  <si>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</si>
  <si>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</si>
  <si>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</si>
  <si>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</si>
  <si>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</si>
  <si>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</si>
  <si>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</si>
  <si>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</si>
  <si>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</si>
  <si>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</si>
  <si>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</si>
  <si>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</si>
  <si>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</si>
  <si>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</si>
  <si>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</si>
  <si>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</si>
  <si>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</si>
  <si>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</si>
  <si>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</si>
  <si>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</si>
  <si>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</si>
  <si>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</si>
  <si>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</si>
  <si>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</si>
  <si>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</si>
  <si>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</si>
  <si>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</si>
  <si>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</si>
  <si>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</si>
  <si>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</si>
  <si>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</si>
  <si>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</si>
  <si>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</si>
  <si>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</si>
  <si>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</si>
  <si>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</si>
  <si>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</si>
  <si>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</si>
  <si>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</si>
  <si>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</si>
  <si>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</si>
  <si>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</si>
  <si>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</si>
  <si>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</si>
  <si>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</si>
  <si>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</si>
  <si>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</si>
  <si>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</si>
  <si>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</si>
  <si>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</si>
  <si>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</si>
  <si>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</si>
  <si>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</si>
  <si>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</si>
  <si>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</si>
  <si>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</si>
  <si>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</si>
  <si>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</si>
  <si>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</si>
  <si>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</si>
  <si>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</si>
  <si>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</si>
  <si>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</si>
  <si>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</si>
  <si>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</si>
  <si>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</si>
  <si>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</si>
  <si>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</si>
  <si>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</si>
  <si>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</si>
  <si>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</si>
  <si>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</si>
  <si>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</si>
  <si>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</si>
  <si>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</si>
  <si>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</si>
  <si>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</si>
  <si>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</si>
  <si>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</si>
  <si>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</si>
  <si>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</si>
  <si>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</si>
  <si>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</si>
  <si>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</si>
  <si>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</si>
  <si>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</si>
  <si>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</si>
  <si>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</si>
  <si>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</si>
  <si>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</si>
  <si>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</si>
  <si>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</si>
  <si>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</si>
  <si>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</si>
  <si>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</si>
  <si>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</si>
  <si>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</si>
  <si>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</si>
  <si>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</si>
  <si>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</si>
  <si>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</si>
  <si>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</si>
  <si>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</si>
  <si>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</si>
  <si>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</si>
  <si>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</si>
  <si>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</si>
  <si>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</si>
  <si>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</si>
  <si>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</si>
  <si>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</si>
  <si>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</si>
  <si>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</si>
  <si>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</si>
  <si>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</si>
  <si>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</si>
  <si>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</si>
  <si>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</si>
  <si>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</si>
  <si>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</si>
  <si>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</si>
  <si>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</si>
  <si>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</si>
  <si>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</si>
  <si>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</si>
  <si>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</si>
  <si>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</si>
  <si>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</si>
  <si>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</si>
  <si>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</si>
  <si>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</si>
  <si>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</si>
  <si>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</si>
  <si>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</si>
  <si>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</si>
  <si>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</si>
  <si>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</si>
  <si>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</si>
  <si>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</si>
  <si>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</si>
  <si>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</si>
  <si>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</si>
  <si>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</si>
  <si>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</si>
  <si>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</si>
  <si>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</si>
  <si>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</si>
  <si>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</si>
  <si>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</si>
  <si>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</si>
  <si>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</si>
  <si>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</si>
  <si>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</si>
  <si>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</si>
  <si>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</si>
  <si>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</si>
  <si>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</si>
  <si>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</si>
  <si>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</si>
  <si>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</si>
  <si>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</si>
  <si>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</si>
  <si>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</si>
  <si>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</si>
  <si>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</si>
  <si>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</si>
  <si>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</si>
  <si>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</si>
  <si>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</si>
  <si>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</si>
  <si>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</si>
  <si>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</si>
  <si>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</si>
  <si>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</si>
  <si>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</si>
  <si>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</si>
  <si>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</si>
  <si>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</si>
  <si>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</si>
  <si>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</si>
  <si>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</si>
  <si>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</si>
  <si>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</si>
  <si>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</si>
  <si>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</si>
  <si>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</si>
  <si>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</si>
  <si>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</si>
  <si>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</si>
  <si>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</si>
  <si>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</si>
  <si>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</si>
  <si>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</si>
  <si>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</si>
  <si>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</si>
  <si>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</si>
  <si>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</si>
  <si>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</si>
  <si>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</si>
  <si>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</si>
  <si>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</si>
  <si>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</si>
  <si>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</si>
  <si>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</si>
  <si>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</si>
  <si>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</si>
  <si>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</si>
  <si>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</si>
  <si>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</si>
  <si>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</si>
  <si>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</si>
  <si>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</si>
  <si>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</si>
  <si>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</si>
  <si>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</si>
  <si>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</si>
  <si>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</si>
  <si>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</si>
  <si>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</si>
  <si>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</si>
  <si>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</si>
  <si>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</si>
  <si>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</si>
  <si>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</si>
  <si>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</si>
  <si>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</si>
  <si>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</si>
  <si>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</si>
  <si>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</si>
  <si>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</si>
  <si>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</si>
  <si>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</si>
  <si>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</si>
  <si>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</si>
  <si>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</si>
  <si>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</si>
  <si>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</si>
  <si>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</si>
  <si>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</si>
  <si>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</si>
  <si>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</si>
  <si>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</si>
  <si>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</si>
  <si>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</si>
  <si>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</si>
  <si>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</si>
  <si>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</si>
  <si>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</si>
  <si>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</si>
  <si>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</si>
  <si>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</si>
  <si>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</si>
  <si>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</si>
  <si>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</si>
  <si>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</si>
  <si>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</si>
  <si>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</si>
  <si>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</si>
  <si>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</si>
  <si>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</si>
  <si>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</si>
  <si>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</si>
  <si>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</si>
  <si>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</si>
  <si>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</si>
  <si>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</si>
  <si>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</si>
  <si>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</si>
  <si>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</si>
  <si>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</si>
  <si>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</si>
  <si>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</si>
  <si>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</si>
  <si>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</si>
  <si>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</si>
  <si>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</si>
  <si>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</si>
  <si>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</si>
  <si>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</si>
  <si>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</si>
  <si>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</si>
  <si>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</si>
  <si>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</si>
  <si>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</si>
  <si>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</si>
  <si>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</si>
  <si>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</si>
  <si>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</si>
  <si>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</si>
  <si>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</si>
  <si>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</si>
  <si>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</si>
  <si>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</si>
  <si>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</si>
  <si>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</si>
  <si>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</si>
  <si>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</si>
  <si>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</si>
  <si>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</si>
  <si>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</si>
  <si>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</si>
  <si>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</si>
  <si>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</si>
  <si>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</si>
  <si>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</si>
  <si>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</si>
  <si>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</si>
  <si>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</si>
  <si>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</si>
  <si>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</si>
  <si>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</si>
  <si>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</si>
  <si>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</si>
  <si>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</si>
  <si>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</si>
  <si>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</si>
  <si>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</si>
  <si>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</si>
  <si>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</si>
  <si>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</si>
  <si>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</si>
  <si>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</si>
  <si>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</si>
  <si>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</si>
  <si>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</si>
  <si>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</si>
  <si>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</si>
  <si>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</si>
  <si>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</si>
  <si>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</si>
  <si>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</si>
  <si>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</si>
  <si>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</si>
  <si>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</si>
  <si>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</si>
  <si>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</si>
  <si>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</si>
  <si>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</si>
  <si>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</si>
  <si>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</si>
  <si>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</si>
  <si>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</si>
  <si>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</si>
  <si>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</si>
  <si>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</si>
  <si>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</si>
  <si>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</si>
  <si>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</si>
  <si>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</si>
  <si>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</si>
  <si>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</si>
  <si>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</si>
  <si>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</si>
  <si>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</si>
  <si>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</si>
  <si>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</si>
  <si>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</si>
  <si>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</si>
  <si>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</si>
  <si>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</si>
  <si>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</si>
  <si>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</si>
  <si>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</si>
  <si>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</si>
  <si>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</si>
  <si>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</si>
  <si>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</si>
  <si>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</si>
  <si>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</si>
  <si>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</si>
  <si>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</si>
  <si>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</si>
  <si>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</si>
  <si>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</si>
  <si>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</si>
  <si>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</si>
  <si>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</si>
  <si>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</si>
  <si>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</si>
  <si>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</si>
  <si>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</si>
  <si>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</si>
  <si>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</si>
  <si>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</si>
  <si>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</si>
  <si>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</si>
  <si>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</si>
  <si>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</si>
  <si>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</si>
  <si>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</si>
  <si>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</si>
  <si>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</si>
  <si>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</si>
  <si>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</si>
  <si>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</si>
  <si>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</si>
  <si>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</si>
  <si>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</si>
  <si>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</si>
  <si>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</si>
  <si>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</si>
  <si>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</si>
  <si>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</si>
  <si>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</si>
  <si>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</si>
  <si>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</si>
  <si>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</si>
  <si>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</si>
  <si>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</si>
  <si>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</si>
  <si>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</si>
  <si>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</si>
  <si>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</si>
  <si>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</si>
  <si>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</si>
  <si>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</si>
  <si>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</si>
  <si>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</si>
  <si>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</si>
  <si>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</si>
  <si>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</si>
  <si>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</si>
  <si>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</si>
  <si>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</si>
  <si>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</si>
  <si>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</si>
  <si>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</si>
  <si>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</si>
  <si>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</si>
  <si>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</si>
  <si>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</si>
  <si>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</si>
  <si>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</si>
  <si>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</si>
  <si>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</si>
  <si>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</si>
  <si>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</si>
  <si>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</si>
  <si>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</si>
  <si>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</si>
  <si>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</si>
  <si>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</si>
  <si>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</si>
  <si>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</si>
  <si>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</si>
  <si>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</si>
  <si>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</si>
  <si>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</si>
  <si>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</si>
  <si>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</si>
  <si>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</si>
  <si>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</si>
  <si>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</si>
  <si>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</si>
  <si>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</si>
  <si>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</si>
  <si>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</si>
  <si>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</si>
  <si>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</si>
  <si>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</si>
  <si>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</si>
  <si>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</si>
  <si>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</si>
  <si>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</si>
  <si>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</si>
  <si>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</si>
  <si>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</si>
  <si>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</si>
  <si>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</si>
  <si>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</si>
  <si>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</si>
  <si>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</si>
  <si>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</si>
  <si>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</si>
  <si>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</si>
  <si>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</si>
  <si>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</si>
  <si>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</si>
  <si>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</si>
  <si>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</si>
  <si>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</si>
  <si>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</si>
  <si>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</si>
  <si>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</si>
  <si>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</si>
  <si>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</si>
  <si>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</si>
  <si>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</si>
  <si>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</si>
  <si>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</si>
  <si>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</si>
  <si>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</si>
  <si>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</si>
  <si>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</si>
  <si>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</si>
  <si>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</si>
  <si>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</si>
  <si>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</si>
  <si>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</si>
  <si>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</si>
  <si>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</si>
  <si>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</si>
  <si>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</si>
  <si>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</si>
  <si>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</si>
  <si>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</si>
  <si>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</si>
  <si>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</si>
  <si>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</si>
  <si>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</si>
  <si>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</si>
  <si>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</si>
  <si>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</si>
  <si>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</si>
  <si>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</si>
  <si>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</si>
  <si>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</si>
  <si>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</si>
  <si>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</si>
  <si>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</si>
  <si>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</si>
  <si>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</si>
  <si>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</si>
  <si>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</si>
  <si>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</si>
  <si>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</si>
  <si>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</si>
  <si>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</si>
  <si>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</si>
  <si>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</si>
  <si>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</si>
  <si>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</si>
  <si>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</si>
  <si>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</si>
  <si>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</si>
  <si>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</si>
  <si>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</si>
  <si>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</si>
  <si>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</si>
  <si>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</si>
  <si>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</si>
  <si>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</si>
  <si>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</si>
  <si>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</si>
  <si>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</si>
  <si>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</si>
  <si>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</si>
  <si>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</si>
  <si>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</si>
  <si>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</si>
  <si>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</si>
  <si>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</si>
  <si>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</si>
  <si>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</si>
  <si>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</si>
  <si>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</si>
  <si>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</si>
  <si>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</si>
  <si>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</si>
  <si>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</si>
  <si>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</si>
  <si>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</si>
  <si>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</si>
  <si>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</si>
  <si>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</si>
  <si>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</si>
  <si>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</si>
  <si>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</si>
  <si>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</si>
  <si>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</si>
  <si>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</si>
  <si>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</si>
  <si>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</si>
  <si>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</si>
  <si>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</si>
  <si>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</si>
  <si>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</si>
  <si>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</si>
  <si>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</si>
  <si>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</si>
  <si>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</si>
  <si>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</si>
  <si>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</si>
  <si>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</si>
  <si>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</si>
  <si>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</si>
  <si>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</si>
  <si>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</si>
  <si>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</si>
  <si>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</si>
  <si>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</si>
  <si>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</si>
  <si>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</si>
  <si>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</si>
  <si>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</si>
  <si>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</si>
  <si>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</si>
  <si>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</si>
  <si>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</si>
  <si>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</si>
  <si>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</si>
  <si>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</si>
  <si>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</si>
  <si>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</si>
  <si>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</si>
  <si>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</si>
  <si>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</si>
  <si>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</si>
  <si>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</si>
  <si>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</si>
  <si>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</si>
  <si>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</si>
  <si>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</si>
  <si>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</si>
  <si>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</si>
  <si>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</si>
  <si>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</si>
  <si>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</si>
  <si>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</si>
  <si>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</si>
  <si>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</si>
  <si>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</si>
  <si>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</si>
  <si>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</si>
  <si>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</si>
  <si>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</si>
  <si>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</si>
  <si>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</si>
  <si>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</si>
  <si>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</si>
  <si>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</si>
  <si>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</si>
  <si>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</si>
  <si>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</si>
  <si>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</si>
  <si>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</si>
  <si>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</si>
  <si>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</si>
  <si>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</si>
  <si>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</si>
  <si>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</si>
  <si>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</si>
  <si>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</si>
  <si>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</si>
  <si>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</si>
  <si>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</si>
  <si>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</si>
  <si>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</si>
  <si>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</si>
  <si>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</si>
  <si>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</si>
  <si>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</si>
  <si>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</si>
  <si>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</si>
  <si>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</si>
  <si>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</si>
  <si>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</si>
  <si>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</si>
  <si>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</si>
  <si>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</si>
  <si>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</si>
  <si>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</si>
  <si>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</si>
  <si>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</si>
  <si>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</si>
  <si>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</si>
  <si>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</si>
  <si>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</si>
  <si>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</si>
  <si>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</si>
  <si>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</si>
  <si>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</si>
  <si>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</si>
  <si>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</si>
  <si>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</si>
  <si>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</si>
  <si>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</si>
  <si>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</si>
  <si>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</si>
  <si>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</si>
  <si>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</si>
  <si>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</si>
  <si>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</si>
  <si>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</si>
  <si>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</si>
  <si>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</si>
  <si>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</si>
  <si>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</si>
  <si>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</si>
  <si>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</si>
  <si>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</si>
  <si>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</si>
  <si>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</si>
  <si>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</si>
  <si>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</si>
  <si>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</si>
  <si>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</si>
  <si>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</si>
  <si>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</si>
  <si>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</si>
  <si>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</si>
  <si>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</si>
  <si>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</si>
  <si>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</si>
  <si>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</si>
  <si>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</si>
  <si>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</si>
  <si>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</si>
  <si>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</si>
  <si>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</si>
  <si>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</si>
  <si>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</si>
  <si>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</si>
  <si>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</si>
  <si>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</si>
  <si>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</si>
  <si>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</si>
  <si>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</si>
  <si>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</si>
  <si>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</si>
  <si>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</si>
  <si>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</si>
  <si>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</si>
  <si>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</si>
  <si>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</si>
  <si>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</si>
  <si>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</si>
  <si>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</si>
  <si>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</si>
  <si>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</si>
  <si>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</si>
  <si>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</si>
  <si>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</si>
  <si>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</si>
  <si>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</si>
  <si>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</si>
  <si>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</si>
  <si>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</si>
  <si>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</si>
  <si>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</si>
  <si>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</si>
  <si>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</si>
  <si>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</si>
  <si>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</si>
  <si>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</si>
  <si>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</si>
  <si>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</si>
  <si>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</si>
  <si>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</si>
  <si>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</si>
  <si>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</si>
  <si>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</si>
  <si>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</si>
  <si>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</si>
  <si>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</si>
  <si>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</si>
  <si>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</si>
  <si>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</si>
  <si>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</si>
  <si>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</si>
  <si>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</si>
  <si>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</si>
  <si>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</si>
  <si>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</si>
  <si>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</si>
  <si>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</si>
  <si>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</si>
  <si>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</si>
  <si>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</si>
  <si>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</si>
  <si>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</si>
  <si>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</si>
  <si>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</si>
  <si>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</si>
  <si>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</si>
  <si>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</si>
  <si>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</si>
  <si>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</si>
  <si>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</si>
  <si>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</si>
  <si>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</si>
  <si>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</si>
  <si>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</si>
  <si>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</si>
  <si>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</si>
  <si>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</si>
  <si>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</si>
  <si>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</si>
  <si>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</si>
  <si>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</si>
  <si>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</si>
  <si>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</si>
  <si>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</si>
  <si>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</si>
  <si>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</si>
  <si>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</si>
  <si>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</si>
  <si>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</si>
  <si>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</si>
  <si>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</si>
  <si>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</si>
  <si>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</si>
  <si>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</si>
  <si>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</si>
  <si>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</si>
  <si>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</si>
  <si>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</si>
  <si>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</si>
  <si>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</si>
  <si>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</si>
  <si>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</si>
  <si>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</si>
  <si>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</si>
  <si>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</si>
  <si>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</si>
  <si>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</si>
  <si>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</si>
  <si>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</si>
  <si>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</si>
  <si>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</si>
  <si>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</si>
  <si>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</si>
  <si>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</si>
  <si>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</si>
  <si>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</si>
  <si>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</si>
  <si>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</si>
  <si>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</si>
  <si>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</si>
  <si>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</si>
  <si>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</si>
  <si>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</si>
  <si>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</si>
  <si>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</si>
  <si>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</si>
  <si>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</si>
  <si>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</si>
  <si>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</si>
  <si>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</si>
  <si>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</si>
  <si>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</si>
  <si>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</si>
  <si>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</si>
  <si>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</si>
  <si>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</si>
  <si>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</si>
  <si>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</si>
  <si>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</si>
  <si>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</si>
  <si>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</si>
  <si>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</si>
  <si>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</si>
  <si>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</si>
  <si>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</si>
  <si>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</si>
  <si>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</si>
  <si>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</si>
  <si>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</si>
  <si>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</si>
  <si>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</si>
  <si>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</si>
  <si>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</si>
  <si>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</si>
  <si>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</si>
  <si>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</si>
  <si>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</si>
  <si>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</si>
  <si>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</si>
  <si>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</si>
  <si>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</si>
  <si>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</si>
  <si>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</si>
  <si>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</si>
  <si>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</si>
  <si>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</si>
  <si>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</si>
  <si>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</si>
  <si>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</si>
  <si>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</si>
  <si>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</si>
  <si>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</si>
  <si>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</si>
  <si>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</si>
  <si>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</si>
  <si>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</si>
  <si>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</si>
  <si>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</si>
  <si>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</si>
  <si>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</si>
  <si>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</si>
  <si>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</si>
  <si>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</si>
  <si>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</si>
  <si>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</si>
  <si>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</si>
  <si>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</si>
  <si>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</si>
  <si>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</si>
  <si>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</si>
  <si>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</si>
  <si>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</si>
  <si>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</si>
  <si>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</si>
  <si>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</si>
  <si>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</si>
  <si>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</si>
  <si>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</si>
  <si>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</si>
  <si>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</si>
  <si>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</si>
  <si>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</si>
  <si>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</si>
  <si>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</si>
  <si>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</si>
  <si>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</si>
  <si>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</si>
  <si>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</si>
  <si>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</si>
  <si>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</si>
  <si>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</si>
  <si>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</si>
  <si>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</si>
  <si>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</si>
  <si>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</si>
  <si>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</si>
  <si>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</si>
  <si>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</si>
  <si>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</si>
  <si>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</si>
  <si>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</si>
  <si>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</si>
  <si>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</si>
  <si>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</si>
  <si>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</si>
  <si>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</si>
  <si>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</si>
  <si>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</si>
  <si>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</si>
  <si>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</si>
  <si>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</si>
  <si>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</si>
  <si>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</si>
  <si>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</si>
  <si>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</si>
  <si>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</si>
  <si>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</si>
  <si>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</si>
  <si>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</si>
  <si>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</si>
  <si>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</si>
  <si>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</si>
  <si>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</si>
  <si>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</si>
  <si>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</si>
  <si>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</si>
  <si>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</si>
  <si>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</si>
  <si>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</si>
  <si>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</si>
  <si>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</si>
  <si>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</si>
  <si>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</si>
  <si>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</si>
  <si>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</si>
  <si>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</si>
  <si>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</si>
  <si>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</si>
  <si>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</si>
  <si>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</si>
  <si>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</si>
  <si>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</si>
  <si>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</si>
  <si>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</si>
  <si>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</si>
  <si>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</si>
  <si>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</si>
  <si>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</si>
  <si>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</si>
  <si>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</si>
  <si>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</si>
  <si>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</si>
  <si>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</si>
  <si>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</si>
  <si>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</si>
  <si>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</si>
  <si>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</si>
  <si>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</si>
  <si>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</si>
  <si>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</si>
  <si>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</si>
  <si>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</si>
  <si>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</si>
  <si>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</si>
  <si>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</si>
  <si>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</si>
  <si>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</si>
  <si>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</si>
  <si>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</si>
  <si>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</si>
  <si>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</si>
  <si>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</si>
  <si>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</si>
  <si>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</si>
  <si>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</si>
  <si>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</si>
  <si>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</si>
  <si>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</si>
  <si>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</si>
  <si>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</si>
  <si>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</si>
  <si>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</si>
  <si>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</si>
  <si>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</si>
  <si>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</si>
  <si>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</si>
  <si>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</si>
  <si>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</si>
  <si>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</si>
  <si>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</si>
  <si>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</si>
  <si>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</si>
  <si>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</si>
  <si>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</si>
  <si>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</si>
  <si>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</si>
  <si>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</si>
  <si>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</si>
  <si>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</si>
  <si>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</si>
  <si>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</si>
  <si>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</si>
  <si>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</si>
  <si>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</si>
  <si>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</si>
  <si>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</si>
  <si>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</si>
  <si>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</si>
  <si>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</si>
  <si>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</si>
  <si>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</si>
  <si>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</si>
  <si>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</si>
  <si>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</si>
  <si>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</si>
  <si>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</si>
  <si>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</si>
  <si>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</si>
  <si>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</si>
  <si>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</si>
  <si>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</si>
  <si>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</si>
  <si>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</si>
  <si>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</si>
  <si>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</si>
  <si>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</si>
  <si>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</si>
  <si>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</si>
  <si>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</si>
  <si>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</si>
  <si>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</si>
  <si>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</si>
  <si>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</si>
  <si>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</si>
  <si>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</si>
  <si>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</si>
  <si>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</si>
  <si>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</si>
  <si>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</si>
  <si>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</si>
  <si>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</si>
  <si>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</si>
  <si>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</si>
  <si>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</si>
  <si>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</si>
  <si>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</si>
  <si>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</si>
  <si>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</si>
  <si>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</si>
  <si>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</si>
  <si>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</si>
  <si>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</si>
  <si>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</si>
  <si>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</si>
  <si>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</si>
  <si>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</si>
  <si>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</si>
  <si>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</si>
  <si>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</si>
  <si>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</si>
  <si>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</si>
  <si>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</si>
  <si>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</si>
  <si>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</si>
  <si>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</si>
  <si>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</si>
  <si>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</si>
  <si>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</si>
  <si>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</si>
  <si>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</si>
  <si>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</si>
  <si>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</si>
  <si>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</si>
  <si>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</si>
  <si>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</si>
  <si>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</si>
  <si>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</si>
  <si>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</si>
  <si>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</si>
  <si>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</si>
  <si>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</si>
  <si>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</si>
  <si>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</si>
  <si>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</si>
  <si>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</si>
  <si>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</si>
  <si>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</si>
  <si>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</si>
  <si>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</si>
  <si>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</si>
  <si>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</si>
  <si>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</si>
  <si>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</si>
  <si>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</si>
  <si>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</si>
  <si>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</si>
  <si>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</si>
  <si>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</si>
  <si>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</si>
  <si>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</si>
  <si>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</si>
  <si>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</si>
  <si>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</si>
  <si>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</si>
  <si>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</si>
  <si>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</si>
  <si>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</si>
  <si>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</si>
  <si>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</si>
  <si>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</si>
  <si>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</si>
  <si>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</si>
  <si>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</si>
  <si>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</si>
  <si>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</si>
  <si>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</si>
  <si>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</si>
  <si>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</si>
  <si>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</si>
  <si>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</si>
  <si>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</si>
  <si>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</si>
  <si>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</si>
  <si>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</si>
  <si>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</si>
  <si>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</si>
  <si>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</si>
  <si>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</si>
  <si>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</si>
  <si>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</si>
  <si>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</si>
  <si>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</si>
  <si>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</si>
  <si>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</si>
  <si>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</si>
  <si>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</si>
  <si>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</si>
  <si>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</si>
  <si>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</si>
  <si>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</si>
  <si>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</si>
  <si>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</si>
  <si>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</si>
  <si>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</si>
  <si>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</si>
  <si>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</si>
  <si>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</si>
  <si>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</si>
  <si>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</si>
  <si>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</si>
  <si>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</si>
  <si>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</si>
  <si>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</si>
  <si>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</si>
  <si>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</si>
  <si>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</si>
  <si>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</si>
  <si>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</si>
  <si>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</si>
  <si>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</si>
  <si>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</si>
  <si>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</si>
  <si>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</si>
  <si>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</si>
  <si>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</si>
  <si>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</si>
  <si>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</si>
  <si>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</si>
  <si>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</si>
  <si>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</si>
  <si>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</si>
  <si>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</si>
  <si>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</si>
  <si>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</si>
  <si>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</si>
  <si>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</si>
  <si>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</si>
  <si>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</si>
  <si>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</si>
  <si>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</si>
  <si>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</si>
  <si>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</si>
  <si>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</si>
  <si>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</si>
  <si>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</si>
  <si>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</si>
  <si>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</si>
  <si>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</si>
  <si>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</si>
  <si>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</si>
  <si>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</si>
  <si>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</si>
  <si>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</si>
  <si>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</si>
  <si>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</si>
  <si>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</si>
  <si>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</si>
  <si>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</si>
  <si>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</si>
  <si>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</si>
  <si>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</si>
  <si>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</si>
  <si>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</si>
  <si>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</si>
  <si>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</si>
  <si>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</si>
  <si>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</si>
  <si>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</si>
  <si>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</si>
  <si>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</si>
  <si>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</si>
  <si>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</si>
  <si>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</si>
  <si>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</si>
  <si>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</si>
  <si>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</si>
  <si>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</si>
  <si>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</si>
  <si>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</si>
  <si>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</si>
  <si>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</si>
  <si>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</si>
  <si>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</si>
  <si>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</si>
  <si>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</si>
  <si>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</si>
  <si>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</si>
  <si>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</si>
  <si>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</si>
  <si>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</si>
  <si>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</si>
  <si>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</si>
  <si>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</si>
  <si>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</si>
  <si>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</si>
  <si>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</si>
  <si>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</si>
  <si>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</si>
  <si>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</si>
  <si>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</si>
  <si>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</si>
  <si>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</si>
  <si>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</si>
  <si>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</si>
  <si>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</si>
  <si>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</si>
  <si>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</si>
  <si>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</si>
  <si>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</si>
  <si>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</si>
  <si>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</si>
  <si>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</si>
  <si>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</si>
  <si>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</si>
  <si>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</si>
  <si>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</si>
  <si>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</si>
  <si>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</si>
  <si>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</si>
  <si>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</si>
  <si>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</si>
  <si>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</si>
  <si>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</si>
  <si>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</si>
  <si>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</si>
  <si>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</si>
  <si>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</si>
  <si>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</si>
  <si>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</si>
  <si>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</si>
  <si>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</si>
  <si>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</si>
  <si>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</si>
  <si>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</si>
  <si>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</si>
  <si>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</si>
  <si>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</si>
  <si>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</si>
  <si>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</si>
  <si>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</si>
  <si>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</si>
  <si>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</si>
  <si>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</si>
  <si>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</si>
  <si>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</si>
  <si>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</si>
  <si>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</si>
  <si>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</si>
  <si>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</si>
  <si>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</si>
  <si>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</si>
  <si>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</si>
  <si>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</si>
  <si>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</si>
  <si>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</si>
  <si>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</si>
  <si>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</si>
  <si>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</si>
  <si>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</si>
  <si>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</si>
  <si>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</si>
  <si>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</si>
  <si>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</si>
  <si>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</si>
  <si>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</si>
  <si>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</si>
  <si>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</si>
  <si>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</si>
  <si>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</si>
  <si>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</si>
  <si>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</si>
  <si>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</si>
  <si>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</si>
  <si>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</si>
  <si>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</si>
  <si>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</si>
  <si>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</si>
  <si>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</si>
  <si>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</si>
  <si>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</si>
  <si>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</si>
  <si>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</si>
  <si>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</si>
  <si>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</si>
  <si>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</si>
  <si>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</si>
  <si>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</si>
  <si>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</si>
  <si>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</si>
  <si>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</si>
  <si>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</si>
  <si>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</si>
  <si>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</si>
  <si>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</si>
  <si>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</si>
  <si>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</si>
  <si>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</si>
  <si>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</si>
  <si>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</si>
  <si>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</si>
  <si>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</si>
  <si>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</si>
  <si>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</si>
  <si>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</si>
  <si>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</si>
  <si>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</si>
  <si>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</si>
  <si>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</si>
  <si>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</si>
  <si>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</si>
  <si>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</si>
  <si>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</si>
  <si>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</si>
  <si>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</si>
  <si>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</si>
  <si>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</si>
  <si>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</si>
  <si>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</si>
  <si>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</si>
  <si>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</si>
  <si>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</si>
  <si>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</si>
  <si>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</si>
  <si>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</si>
  <si>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</si>
  <si>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</si>
  <si>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</si>
  <si>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</si>
  <si>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</si>
  <si>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</si>
  <si>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</si>
  <si>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</si>
  <si>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</si>
  <si>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</si>
  <si>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</si>
  <si>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</si>
  <si>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</si>
  <si>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</si>
  <si>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</si>
  <si>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</si>
  <si>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</si>
  <si>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</si>
  <si>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</si>
  <si>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</si>
  <si>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</si>
  <si>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</si>
  <si>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</si>
  <si>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</si>
  <si>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</si>
  <si>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</si>
  <si>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2026-10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</si>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</sst>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9C78E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2500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0.434952637766083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28.9754288363468</v>
      </c>
      <c r="P3" s="22" t="n">
        <f aca="false">IF(Calc!$A$2="","",Calc!L$2)</f>
        <v>18.5892943092879</v>
      </c>
      <c r="Q3" s="18" t="n">
        <f aca="false">IF(Calc!$A$2="","",Calc!N$2)</f>
        <v>0.5444132124707</v>
      </c>
      <c r="R3" s="18" t="n">
        <f aca="false">IF(Calc!$A$2="","",Calc!O$2)</f>
        <v>0.56815315231111</v>
      </c>
      <c r="S3" s="19" t="n">
        <f aca="false">IF(Calc!$A$2="","",Calc!Q$2)</f>
        <v>0.008800040072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526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19.3738489871087</v>
      </c>
      <c r="P4" s="22" t="n">
        <f aca="false">IF(Calc!$A$3="","",Calc!L$3)</f>
        <v>5.59494186947486</v>
      </c>
      <c r="Q4" s="18" t="str">
        <f aca="false">IF(Calc!$A$3="","",Calc!N$3)</f>
        <v>N/M</v>
      </c>
      <c r="R4" s="18" t="n">
        <f aca="false">IF(Calc!$A$3="","",Calc!O$3)</f>
        <v>0.119273219338645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5.53704071873325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580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140.776699029126</v>
      </c>
      <c r="P6" s="22" t="n">
        <f aca="false">IF(Calc!$A$5="","",Calc!L$5)</f>
        <v>69.3613627066855</v>
      </c>
      <c r="Q6" s="18" t="n">
        <f aca="false">IF(Calc!$A$5="","",Calc!N$5)</f>
        <v>2.2865005256323</v>
      </c>
      <c r="R6" s="18" t="n">
        <f aca="false">IF(Calc!$A$5="","",Calc!O$5)</f>
        <v>1.02569126518234</v>
      </c>
      <c r="S6" s="19" t="n">
        <f aca="false">IF(Calc!$A$5="","",Calc!Q$5)</f>
        <v>0.0045182009137931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537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18.7303801883502</v>
      </c>
      <c r="P7" s="22" t="n">
        <f aca="false">IF(Calc!$A$6="","",Calc!L$6)</f>
        <v>15.3759090887108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0.0521415270018622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2540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0.270704744622308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46.5798642948836</v>
      </c>
      <c r="P8" s="22" t="n">
        <f aca="false">IF(Calc!$A$7="","",Calc!L$7)</f>
        <v>23.7051533946196</v>
      </c>
      <c r="Q8" s="18" t="n">
        <f aca="false">IF(Calc!$A$7="","",Calc!N$7)</f>
        <v>0.810583266598903</v>
      </c>
      <c r="R8" s="18" t="n">
        <f aca="false">IF(Calc!$A$7="","",Calc!O$7)</f>
        <v>0.320111712992881</v>
      </c>
      <c r="S8" s="19" t="n">
        <f aca="false">IF(Calc!$A$7="","",Calc!Q$7)</f>
        <v>0.00413601672834646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583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17.4247169849946</v>
      </c>
      <c r="Q9" s="18" t="str">
        <f aca="false">IF(Calc!$A$8="","",Calc!N$8)</f>
        <v>N/M</v>
      </c>
      <c r="R9" s="18" t="n">
        <f aca="false">IF(Calc!$A$8="","",Calc!O$8)</f>
        <v>1.37908058003001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373.5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13.9835267690004</v>
      </c>
      <c r="P10" s="22" t="n">
        <f aca="false">IF(Calc!$A$9="","",Calc!L$9)</f>
        <v>10.1695641243245</v>
      </c>
      <c r="Q10" s="18" t="n">
        <f aca="false">IF(Calc!$A$9="","",Calc!N$9)</f>
        <v>0.223138493242941</v>
      </c>
      <c r="R10" s="18" t="n">
        <f aca="false">IF(Calc!$A$9="","",Calc!O$9)</f>
        <v>1.14328651914906</v>
      </c>
      <c r="S10" s="19" t="n">
        <f aca="false">IF(Calc!$A$9="","",Calc!Q$9)</f>
        <v>0.0267737617135208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12145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66.9551794475991</v>
      </c>
      <c r="P11" s="22" t="n">
        <f aca="false">IF(Calc!$A$10="","",Calc!L$10)</f>
        <v>26.2941704435103</v>
      </c>
      <c r="Q11" s="18" t="n">
        <f aca="false">IF(Calc!$A$10="","",Calc!N$10)</f>
        <v>0.397296413535253</v>
      </c>
      <c r="R11" s="18" t="n">
        <f aca="false">IF(Calc!$A$10="","",Calc!O$10)</f>
        <v>0.636584044778951</v>
      </c>
      <c r="S11" s="19" t="n">
        <f aca="false">IF(Calc!$A$10="","",Calc!Q$10)</f>
        <v>0.00265129682997118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2925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260.92774308653</v>
      </c>
      <c r="P12" s="22" t="n">
        <f aca="false">IF(Calc!$A$11="","",Calc!L$11)</f>
        <v>84.7452393595302</v>
      </c>
      <c r="Q12" s="18" t="n">
        <f aca="false">IF(Calc!$A$11="","",Calc!N$11)</f>
        <v>0.46320156073134</v>
      </c>
      <c r="R12" s="18" t="n">
        <f aca="false">IF(Calc!$A$11="","",Calc!O$11)</f>
        <v>0.854859611805482</v>
      </c>
      <c r="S12" s="19" t="n">
        <f aca="false">IF(Calc!$A$11="","",Calc!Q$11)</f>
        <v>0.000170947743589744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713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73.9626556016598</v>
      </c>
      <c r="P13" s="22" t="str">
        <f aca="false">IF(Calc!$A$12="","",Calc!L$12)</f>
        <v>N/M</v>
      </c>
      <c r="Q13" s="18" t="n">
        <f aca="false">IF(Calc!$A$12="","",Calc!N$12)</f>
        <v>0.277491846265856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1050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0.130990279405076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177.966101694915</v>
      </c>
      <c r="P14" s="22" t="n">
        <f aca="false">IF(Calc!$A$13="","",Calc!L$13)</f>
        <v>44.8775628550081</v>
      </c>
      <c r="Q14" s="18" t="n">
        <f aca="false">IF(Calc!$A$13="","",Calc!N$13)</f>
        <v>0.459144953200101</v>
      </c>
      <c r="R14" s="18" t="n">
        <f aca="false">IF(Calc!$A$13="","",Calc!O$13)</f>
        <v>0.302831887045318</v>
      </c>
      <c r="S14" s="19" t="n">
        <f aca="false">IF(Calc!$A$13="","",Calc!Q$13)</f>
        <v>0.000952544695238095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1625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14.3506432233511</v>
      </c>
      <c r="Q15" s="18" t="str">
        <f aca="false">IF(Calc!$A$14="","",Calc!N$14)</f>
        <v>N/M</v>
      </c>
      <c r="R15" s="18" t="n">
        <f aca="false">IF(Calc!$A$14="","",Calc!O$14)</f>
        <v>0.130884451578173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161.5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24.1766467065868</v>
      </c>
      <c r="P16" s="22" t="n">
        <f aca="false">IF(Calc!$A$15="","",Calc!L$15)</f>
        <v>22.5811891865802</v>
      </c>
      <c r="Q16" s="18" t="n">
        <f aca="false">IF(Calc!$A$15="","",Calc!N$15)</f>
        <v>0.218347493048092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4950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0.258027072450423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81.5620365793376</v>
      </c>
      <c r="P17" s="22" t="n">
        <f aca="false">IF(Calc!$A$16="","",Calc!L$16)</f>
        <v>38.8138371910693</v>
      </c>
      <c r="Q17" s="18" t="str">
        <f aca="false">IF(Calc!$A$16="","",Calc!N$16)</f>
        <v>N/M</v>
      </c>
      <c r="R17" s="18" t="n">
        <f aca="false">IF(Calc!$A$16="","",Calc!O$16)</f>
        <v>0.336584352002209</v>
      </c>
      <c r="S17" s="19" t="n">
        <f aca="false">IF(Calc!$A$16="","",Calc!Q$16)</f>
        <v>0.0109091348424242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92.9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34.4074074074074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89.2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15.0675675675676</v>
      </c>
      <c r="P19" s="22" t="n">
        <f aca="false">IF(Calc!$A$18="","",Calc!L$18)</f>
        <v>13.0557534768342</v>
      </c>
      <c r="Q19" s="18" t="n">
        <f aca="false">IF(Calc!$A$18="","",Calc!N$18)</f>
        <v>0.611717486717487</v>
      </c>
      <c r="R19" s="18" t="n">
        <f aca="false">IF(Calc!$A$18="","",Calc!O$18)</f>
        <v>0.470037407865215</v>
      </c>
      <c r="S19" s="19" t="n">
        <f aca="false">IF(Calc!$A$18="","",Calc!Q$18)</f>
        <v>0.0449488434977579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2095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7.21658519001133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591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0.0745459222777666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69.4477085781434</v>
      </c>
      <c r="P21" s="22" t="n">
        <f aca="false">IF(Calc!$A$20="","",Calc!L$20)</f>
        <v>62.0738474908169</v>
      </c>
      <c r="Q21" s="18" t="str">
        <f aca="false">IF(Calc!$A$20="","",Calc!N$20)</f>
        <v>N/M</v>
      </c>
      <c r="R21" s="18" t="n">
        <f aca="false">IF(Calc!$A$20="","",Calc!O$20)</f>
        <v>1.98255892480807</v>
      </c>
      <c r="S21" s="19" t="n">
        <f aca="false">IF(Calc!$A$20="","",Calc!Q$20)</f>
        <v>0.00338409475465313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585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95.1219512195122</v>
      </c>
      <c r="P22" s="22" t="n">
        <f aca="false">IF(Calc!$A$21="","",Calc!L$21)</f>
        <v>46.9198061900524</v>
      </c>
      <c r="Q22" s="18" t="n">
        <f aca="false">IF(Calc!$A$21="","",Calc!N$21)</f>
        <v>2.12772785622593</v>
      </c>
      <c r="R22" s="18" t="n">
        <f aca="false">IF(Calc!$A$21="","",Calc!O$21)</f>
        <v>0.514447133152058</v>
      </c>
      <c r="S22" s="19" t="n">
        <f aca="false">IF(Calc!$A$21="","",Calc!Q$21)</f>
        <v>0.002640398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671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69.560650850706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179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19.757174392936</v>
      </c>
      <c r="P24" s="22" t="n">
        <f aca="false">IF(Calc!$A$23="","",Calc!L$23)</f>
        <v>4.01054392161739</v>
      </c>
      <c r="Q24" s="18" t="str">
        <f aca="false">IF(Calc!$A$23="","",Calc!N$23)</f>
        <v>N/M</v>
      </c>
      <c r="R24" s="18" t="n">
        <f aca="false">IF(Calc!$A$23="","",Calc!O$23)</f>
        <v>0.0402509926409629</v>
      </c>
      <c r="S24" s="19" t="n">
        <f aca="false">IF(Calc!$A$23="","",Calc!Q$23)</f>
        <v>0.00279329608938548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543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110.365853658537</v>
      </c>
      <c r="P26" s="22" t="n">
        <f aca="false">IF(Calc!$A$25="","",Calc!L$25)</f>
        <v>45.3634085213033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0.00184162062615101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44.4621363115055</v>
      </c>
      <c r="Q27" s="18" t="str">
        <f aca="false">IF(Calc!$A$26="","",Calc!N$26)</f>
        <v>N/M</v>
      </c>
      <c r="R27" s="18" t="n">
        <f aca="false">IF(Calc!$A$26="","",Calc!O$26)</f>
        <v>0.239591133695403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7900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202.512176365035</v>
      </c>
      <c r="P28" s="22" t="n">
        <f aca="false">IF(Calc!$A$27="","",Calc!L$27)</f>
        <v>76.9317377593985</v>
      </c>
      <c r="Q28" s="18" t="n">
        <f aca="false">IF(Calc!$A$27="","",Calc!N$27)</f>
        <v>4.57471115197204</v>
      </c>
      <c r="R28" s="18" t="n">
        <f aca="false">IF(Calc!$A$27="","",Calc!O$27)</f>
        <v>0.608302941475986</v>
      </c>
      <c r="S28" s="19" t="n">
        <f aca="false">IF(Calc!$A$27="","",Calc!Q$27)</f>
        <v>0.00253164556962025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3">
    <cfRule type="cellIs" priority="8" operator="lessThan" aboveAverage="0" equalAverage="0" bottom="0" percent="0" rank="0" text="" dxfId="63">
      <formula>1.5</formula>
    </cfRule>
  </conditionalFormatting>
  <conditionalFormatting sqref="R3:R33">
    <cfRule type="cellIs" priority="9" operator="lessThan" aboveAverage="0" equalAverage="0" bottom="0" percent="0" rank="0" text="" dxfId="63">
      <formula>1.5</formula>
    </cfRule>
  </conditionalFormatting>
  <conditionalFormatting sqref="L3:L33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3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2500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46297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28.9754288363468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18.5892943092879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0.5444132124707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0.56815315231111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134.48600890411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0.008800040072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0.434952637766083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0.327188087114735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2500</v>
      </c>
      <c r="L12" s="55" t="n">
        <f aca="false">IF(Stock_Card!$B$2="","",IFERROR(INDEX(Calc!$Q$2:$Q$100,MATCH(Stock_Card!$B$2,Calc!$A$2:$A$100,0)),""))</f>
        <v>0.008800040072</v>
      </c>
      <c r="M12" s="58" t="n">
        <f aca="false">IF(Stock_Card!$B$2="","",IFERROR(INDEX(Calc!$J$2:$J$100,MATCH(Stock_Card!$B$2,Calc!$A$2:$A$100,0)),""))</f>
        <v>28.9754288363468</v>
      </c>
      <c r="N12" s="57" t="n">
        <f aca="false">IF(Stock_Card!$B$2="","",IFERROR(INDEX(Calc!$N$2:$N$100,MATCH(Stock_Card!$B$2,Calc!$A$2:$A$100,0)),""))</f>
        <v>0.5444132124707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134.48600890411</v>
      </c>
      <c r="H13" s="55" t="n">
        <f aca="false">IF(Stock_Card!$B$2="","",IFERROR(INDEX(Calc!$M$2:$M$100,MATCH(Stock_Card!$B$2,Calc!$A$2:$A$100,0)),""))</f>
        <v>0.327188087114735</v>
      </c>
      <c r="I13" s="55" t="n">
        <f aca="false">IF(Stock_Card!$B$2="","",IFERROR(INDEX(Calc!$AI$2:$AI$100,MATCH(Stock_Card!$B$2,Calc!$A$2:$A$100,0)),""))</f>
        <v>0.434952637766083</v>
      </c>
      <c r="J13" s="59"/>
      <c r="K13" s="59"/>
      <c r="L13" s="59"/>
      <c r="M13" s="58" t="n">
        <f aca="false">IF(Stock_Card!$B$2="","",IFERROR(INDEX(Calc!$L$2:$L$100,MATCH(Stock_Card!$B$2,Calc!$A$2:$A$100,0)),""))</f>
        <v>18.5892943092879</v>
      </c>
      <c r="N13" s="57" t="n">
        <f aca="false">IF(Stock_Card!$B$2="","",IFERROR(INDEX(Calc!$O$2:$O$100,MATCH(Stock_Card!$B$2,Calc!$A$2:$A$100,0)),""))</f>
        <v>0.56815315231111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{695E4F78-BDFD-416C-A985-846939EBCA31}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5E4F78-BDFD-416C-A985-846939EBCA3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-46297</v>
      </c>
      <c r="I4" s="67" t="n">
        <f aca="false">IF($A4="","",IFERROR(INDEX(Raw_Price!$E$2:$E$100,MATCH($A4,Raw_Price!$A$2:$A$100,0)),""))</f>
        <v>46297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-46297</v>
      </c>
      <c r="I5" s="67" t="n">
        <f aca="false">IF($A5="","",IFERROR(INDEX(Raw_Price!$E$2:$E$100,MATCH($A5,Raw_Price!$A$2:$A$100,0)),""))</f>
        <v>46297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-46297</v>
      </c>
      <c r="I6" s="67" t="n">
        <f aca="false">IF($A6="","",IFERROR(INDEX(Raw_Price!$E$2:$E$100,MATCH($A6,Raw_Price!$A$2:$A$100,0)),""))</f>
        <v>46297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-46297</v>
      </c>
      <c r="I7" s="67" t="n">
        <f aca="false">IF($A7="","",IFERROR(INDEX(Raw_Price!$E$2:$E$100,MATCH($A7,Raw_Price!$A$2:$A$100,0)),""))</f>
        <v>46297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-46297</v>
      </c>
      <c r="I8" s="67" t="n">
        <f aca="false">IF($A8="","",IFERROR(INDEX(Raw_Price!$E$2:$E$100,MATCH($A8,Raw_Price!$A$2:$A$100,0)),""))</f>
        <v>46297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-46297</v>
      </c>
      <c r="I9" s="67" t="n">
        <f aca="false">IF($A9="","",IFERROR(INDEX(Raw_Price!$E$2:$E$100,MATCH($A9,Raw_Price!$A$2:$A$100,0)),""))</f>
        <v>46297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-46297</v>
      </c>
      <c r="I10" s="67" t="n">
        <f aca="false">IF($A10="","",IFERROR(INDEX(Raw_Price!$E$2:$E$100,MATCH($A10,Raw_Price!$A$2:$A$100,0)),""))</f>
        <v>46297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-46297</v>
      </c>
      <c r="I11" s="67" t="n">
        <f aca="false">IF($A11="","",IFERROR(INDEX(Raw_Price!$E$2:$E$100,MATCH($A11,Raw_Price!$A$2:$A$100,0)),""))</f>
        <v>46297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-46297</v>
      </c>
      <c r="I12" s="67" t="n">
        <f aca="false">IF($A12="","",IFERROR(INDEX(Raw_Price!$E$2:$E$100,MATCH($A12,Raw_Price!$A$2:$A$100,0)),""))</f>
        <v>46297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-46297</v>
      </c>
      <c r="I13" s="67" t="n">
        <f aca="false">IF($A13="","",IFERROR(INDEX(Raw_Price!$E$2:$E$100,MATCH($A13,Raw_Price!$A$2:$A$100,0)),""))</f>
        <v>46297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-46297</v>
      </c>
      <c r="I14" s="67" t="n">
        <f aca="false">IF($A14="","",IFERROR(INDEX(Raw_Price!$E$2:$E$100,MATCH($A14,Raw_Price!$A$2:$A$100,0)),""))</f>
        <v>46297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-46297</v>
      </c>
      <c r="I15" s="67" t="n">
        <f aca="false">IF($A15="","",IFERROR(INDEX(Raw_Price!$E$2:$E$100,MATCH($A15,Raw_Price!$A$2:$A$100,0)),""))</f>
        <v>46297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-46297</v>
      </c>
      <c r="I16" s="67" t="n">
        <f aca="false">IF($A16="","",IFERROR(INDEX(Raw_Price!$E$2:$E$100,MATCH($A16,Raw_Price!$A$2:$A$100,0)),""))</f>
        <v>46297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-46297</v>
      </c>
      <c r="I17" s="67" t="n">
        <f aca="false">IF($A17="","",IFERROR(INDEX(Raw_Price!$E$2:$E$100,MATCH($A17,Raw_Price!$A$2:$A$100,0)),""))</f>
        <v>46297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-46297</v>
      </c>
      <c r="I18" s="67" t="n">
        <f aca="false">IF($A18="","",IFERROR(INDEX(Raw_Price!$E$2:$E$100,MATCH($A18,Raw_Price!$A$2:$A$100,0)),""))</f>
        <v>46297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-46297</v>
      </c>
      <c r="I19" s="67" t="n">
        <f aca="false">IF($A19="","",IFERROR(INDEX(Raw_Price!$E$2:$E$100,MATCH($A19,Raw_Price!$A$2:$A$100,0)),""))</f>
        <v>46297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-46297</v>
      </c>
      <c r="I20" s="67" t="n">
        <f aca="false">IF($A20="","",IFERROR(INDEX(Raw_Price!$E$2:$E$100,MATCH($A20,Raw_Price!$A$2:$A$100,0)),""))</f>
        <v>46297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-46297</v>
      </c>
      <c r="I21" s="67" t="n">
        <f aca="false">IF($A21="","",IFERROR(INDEX(Raw_Price!$E$2:$E$100,MATCH($A21,Raw_Price!$A$2:$A$100,0)),""))</f>
        <v>46297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-46297</v>
      </c>
      <c r="I22" s="67" t="n">
        <f aca="false">IF($A22="","",IFERROR(INDEX(Raw_Price!$E$2:$E$100,MATCH($A22,Raw_Price!$A$2:$A$100,0)),""))</f>
        <v>46297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-46297</v>
      </c>
      <c r="I23" s="67" t="n">
        <f aca="false">IF($A23="","",IFERROR(INDEX(Raw_Price!$E$2:$E$100,MATCH($A23,Raw_Price!$A$2:$A$100,0)),""))</f>
        <v>46297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-46297</v>
      </c>
      <c r="I24" s="67" t="n">
        <f aca="false">IF($A24="","",IFERROR(INDEX(Raw_Price!$E$2:$E$100,MATCH($A24,Raw_Price!$A$2:$A$100,0)),""))</f>
        <v>46297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-46297</v>
      </c>
      <c r="I25" s="67" t="n">
        <f aca="false">IF($A25="","",IFERROR(INDEX(Raw_Price!$E$2:$E$100,MATCH($A25,Raw_Price!$A$2:$A$100,0)),""))</f>
        <v>46297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-46297</v>
      </c>
      <c r="I27" s="67" t="n">
        <f aca="false">IF($A27="","",IFERROR(INDEX(Raw_Price!$E$2:$E$100,MATCH($A27,Raw_Price!$A$2:$A$100,0)),""))</f>
        <v>46297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-46297</v>
      </c>
      <c r="I28" s="67" t="n">
        <f aca="false">IF($A28="","",IFERROR(INDEX(Raw_Price!$E$2:$E$100,MATCH($A28,Raw_Price!$A$2:$A$100,0)),""))</f>
        <v>46297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-46297</v>
      </c>
      <c r="I29" s="67" t="n">
        <f aca="false">IF($A29="","",IFERROR(INDEX(Raw_Price!$E$2:$E$100,MATCH($A29,Raw_Price!$A$2:$A$100,0)),""))</f>
        <v>46297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1451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1079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1080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1081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1082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1083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1084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1085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1086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1087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1088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1089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1090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1091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1092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1093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1094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1095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1096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1097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1098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1099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1100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1101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1102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1103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1105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1107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1109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1111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1113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1115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1117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1119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1121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1123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46297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7.20673</v>
      </c>
      <c r="D3" s="81" t="n">
        <v>46387</v>
      </c>
      <c r="E3" s="80" t="n">
        <v>13</v>
      </c>
      <c r="F3" s="81" t="n">
        <v>46297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46297</v>
      </c>
    </row>
    <row r="5" customFormat="false" ht="15" hidden="false" customHeight="false" outlineLevel="0" collapsed="false">
      <c r="A5" s="79" t="s">
        <v>79</v>
      </c>
      <c r="B5" s="83" t="n">
        <v>107.8899</v>
      </c>
      <c r="C5" s="83" t="n">
        <v>143.19019</v>
      </c>
      <c r="D5" s="81" t="n">
        <v>46387</v>
      </c>
      <c r="E5" s="80" t="n">
        <v>23</v>
      </c>
      <c r="F5" s="81" t="n">
        <v>46297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46297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37.48218</v>
      </c>
      <c r="D7" s="81" t="n">
        <v>46387</v>
      </c>
      <c r="E7" s="80" t="n">
        <v>8</v>
      </c>
      <c r="F7" s="81" t="n">
        <v>46297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46297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68.24171</v>
      </c>
      <c r="C10" s="83" t="n">
        <v>146.93588</v>
      </c>
      <c r="D10" s="81" t="n">
        <v>46387</v>
      </c>
      <c r="E10" s="80" t="n">
        <v>15</v>
      </c>
      <c r="F10" s="81" t="n">
        <v>46297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46297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46297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46297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46297</v>
      </c>
    </row>
    <row r="15" customFormat="false" ht="15" hidden="false" customHeight="false" outlineLevel="0" collapsed="false">
      <c r="A15" s="79" t="s">
        <v>230</v>
      </c>
      <c r="B15" s="83" t="n">
        <v>7.70365</v>
      </c>
      <c r="C15" s="83" t="n">
        <v>10.11566</v>
      </c>
      <c r="D15" s="81" t="n">
        <v>46387</v>
      </c>
      <c r="E15" s="80" t="n">
        <v>9</v>
      </c>
      <c r="F15" s="81" t="n">
        <v>46297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46297</v>
      </c>
    </row>
    <row r="17" customFormat="false" ht="15" hidden="false" customHeight="false" outlineLevel="0" collapsed="false">
      <c r="A17" s="79" t="s">
        <v>216</v>
      </c>
      <c r="B17" s="83" t="n">
        <v>11.05445</v>
      </c>
      <c r="C17" s="83" t="n">
        <v>27.43637</v>
      </c>
      <c r="D17" s="81" t="n">
        <v>46387</v>
      </c>
      <c r="E17" s="80" t="n">
        <v>9</v>
      </c>
      <c r="F17" s="81" t="n">
        <v>46297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46297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46297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46297</v>
      </c>
    </row>
    <row r="22" customFormat="false" ht="15" hidden="false" customHeight="false" outlineLevel="0" collapsed="false">
      <c r="A22" s="79" t="s">
        <v>197</v>
      </c>
      <c r="B22" s="83" t="n">
        <v>68.77689</v>
      </c>
      <c r="C22" s="83" t="n">
        <v>119.70807</v>
      </c>
      <c r="D22" s="81" t="n">
        <v>46387</v>
      </c>
      <c r="E22" s="80" t="n">
        <v>9</v>
      </c>
      <c r="F22" s="81" t="n">
        <v>46297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46297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46297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46297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46297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46297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46297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46297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12145</v>
      </c>
      <c r="C2" s="81" t="n">
        <v>46297</v>
      </c>
      <c r="D2" s="81"/>
      <c r="E2" s="81" t="n">
        <v>46297</v>
      </c>
    </row>
    <row r="3" customFormat="false" ht="15" hidden="false" customHeight="false" outlineLevel="0" collapsed="false">
      <c r="A3" s="79" t="s">
        <v>220</v>
      </c>
      <c r="B3" s="83" t="n">
        <v>161.5</v>
      </c>
      <c r="C3" s="81" t="n">
        <v>46297</v>
      </c>
      <c r="D3" s="81"/>
      <c r="E3" s="81" t="n">
        <v>46297</v>
      </c>
    </row>
    <row r="4" customFormat="false" ht="15" hidden="false" customHeight="false" outlineLevel="0" collapsed="false">
      <c r="A4" s="79" t="s">
        <v>345</v>
      </c>
      <c r="B4" s="83" t="n">
        <v>626</v>
      </c>
      <c r="C4" s="81" t="n">
        <v>46297</v>
      </c>
      <c r="D4" s="81"/>
      <c r="E4" s="81" t="n">
        <v>46297</v>
      </c>
    </row>
    <row r="5" customFormat="false" ht="15" hidden="false" customHeight="false" outlineLevel="0" collapsed="false">
      <c r="A5" s="79" t="s">
        <v>79</v>
      </c>
      <c r="B5" s="83" t="n">
        <v>2500</v>
      </c>
      <c r="C5" s="81" t="n">
        <v>46297</v>
      </c>
      <c r="D5" s="81"/>
      <c r="E5" s="81" t="n">
        <v>46297</v>
      </c>
    </row>
    <row r="6" customFormat="false" ht="15" hidden="false" customHeight="false" outlineLevel="0" collapsed="false">
      <c r="A6" s="79" t="s">
        <v>236</v>
      </c>
      <c r="B6" s="83" t="n">
        <v>179</v>
      </c>
      <c r="C6" s="81" t="n">
        <v>46297</v>
      </c>
      <c r="D6" s="81"/>
      <c r="E6" s="81" t="n">
        <v>46297</v>
      </c>
    </row>
    <row r="7" customFormat="false" ht="15" hidden="false" customHeight="false" outlineLevel="0" collapsed="false">
      <c r="A7" s="79" t="s">
        <v>205</v>
      </c>
      <c r="B7" s="83" t="n">
        <v>373.5</v>
      </c>
      <c r="C7" s="81" t="n">
        <v>46297</v>
      </c>
      <c r="D7" s="81"/>
      <c r="E7" s="81" t="n">
        <v>46297</v>
      </c>
    </row>
    <row r="8" customFormat="false" ht="15" hidden="false" customHeight="false" outlineLevel="0" collapsed="false">
      <c r="A8" s="79" t="s">
        <v>182</v>
      </c>
      <c r="B8" s="83" t="n">
        <v>526</v>
      </c>
      <c r="C8" s="81" t="n">
        <v>46297</v>
      </c>
      <c r="D8" s="81"/>
      <c r="E8" s="81" t="n">
        <v>46297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4950</v>
      </c>
      <c r="C10" s="81" t="n">
        <v>46297</v>
      </c>
      <c r="D10" s="81"/>
      <c r="E10" s="81" t="n">
        <v>46297</v>
      </c>
    </row>
    <row r="11" customFormat="false" ht="15" hidden="false" customHeight="false" outlineLevel="0" collapsed="false">
      <c r="A11" s="79" t="s">
        <v>190</v>
      </c>
      <c r="B11" s="83" t="n">
        <v>580</v>
      </c>
      <c r="C11" s="81" t="n">
        <v>46297</v>
      </c>
      <c r="D11" s="81"/>
      <c r="E11" s="81" t="n">
        <v>46297</v>
      </c>
    </row>
    <row r="12" customFormat="false" ht="15" hidden="false" customHeight="false" outlineLevel="0" collapsed="false">
      <c r="A12" s="79" t="s">
        <v>224</v>
      </c>
      <c r="B12" s="83" t="n">
        <v>92.9</v>
      </c>
      <c r="C12" s="81" t="n">
        <v>46297</v>
      </c>
      <c r="D12" s="81"/>
      <c r="E12" s="81" t="n">
        <v>46297</v>
      </c>
    </row>
    <row r="13" customFormat="false" ht="15" hidden="false" customHeight="false" outlineLevel="0" collapsed="false">
      <c r="A13" s="79" t="s">
        <v>195</v>
      </c>
      <c r="B13" s="83" t="n">
        <v>537</v>
      </c>
      <c r="C13" s="81" t="n">
        <v>46297</v>
      </c>
      <c r="D13" s="81"/>
      <c r="E13" s="81" t="n">
        <v>46297</v>
      </c>
    </row>
    <row r="14" customFormat="false" ht="15" hidden="false" customHeight="false" outlineLevel="0" collapsed="false">
      <c r="A14" s="79" t="s">
        <v>210</v>
      </c>
      <c r="B14" s="83" t="n">
        <v>2925</v>
      </c>
      <c r="C14" s="81" t="n">
        <v>46297</v>
      </c>
      <c r="D14" s="81"/>
      <c r="E14" s="81" t="n">
        <v>46297</v>
      </c>
    </row>
    <row r="15" customFormat="false" ht="15" hidden="false" customHeight="false" outlineLevel="0" collapsed="false">
      <c r="A15" s="79" t="s">
        <v>230</v>
      </c>
      <c r="B15" s="83" t="n">
        <v>591</v>
      </c>
      <c r="C15" s="81" t="n">
        <v>46297</v>
      </c>
      <c r="D15" s="81"/>
      <c r="E15" s="81" t="n">
        <v>46297</v>
      </c>
    </row>
    <row r="16" customFormat="false" ht="15" hidden="false" customHeight="false" outlineLevel="0" collapsed="false">
      <c r="A16" s="79" t="s">
        <v>212</v>
      </c>
      <c r="B16" s="83" t="n">
        <v>713</v>
      </c>
      <c r="C16" s="81" t="n">
        <v>46297</v>
      </c>
      <c r="D16" s="81"/>
      <c r="E16" s="81" t="n">
        <v>46297</v>
      </c>
    </row>
    <row r="17" customFormat="false" ht="15" hidden="false" customHeight="false" outlineLevel="0" collapsed="false">
      <c r="A17" s="79" t="s">
        <v>216</v>
      </c>
      <c r="B17" s="83" t="n">
        <v>1050</v>
      </c>
      <c r="C17" s="81" t="n">
        <v>46297</v>
      </c>
      <c r="D17" s="81"/>
      <c r="E17" s="81" t="n">
        <v>46297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671</v>
      </c>
      <c r="C19" s="81" t="n">
        <v>46297</v>
      </c>
      <c r="D19" s="81"/>
      <c r="E19" s="81" t="n">
        <v>46297</v>
      </c>
    </row>
    <row r="20" customFormat="false" ht="15" hidden="false" customHeight="false" outlineLevel="0" collapsed="false">
      <c r="A20" s="79" t="s">
        <v>245</v>
      </c>
      <c r="B20" s="83" t="n">
        <v>7900</v>
      </c>
      <c r="C20" s="81" t="n">
        <v>46297</v>
      </c>
      <c r="D20" s="81"/>
      <c r="E20" s="81" t="n">
        <v>46297</v>
      </c>
    </row>
    <row r="21" customFormat="false" ht="15" hidden="false" customHeight="false" outlineLevel="0" collapsed="false">
      <c r="A21" s="79" t="s">
        <v>241</v>
      </c>
      <c r="B21" s="83" t="n">
        <v>543</v>
      </c>
      <c r="C21" s="81" t="n">
        <v>46297</v>
      </c>
      <c r="D21" s="81"/>
      <c r="E21" s="81" t="n">
        <v>46297</v>
      </c>
    </row>
    <row r="22" customFormat="false" ht="15" hidden="false" customHeight="false" outlineLevel="0" collapsed="false">
      <c r="A22" s="79" t="s">
        <v>197</v>
      </c>
      <c r="B22" s="83" t="n">
        <v>2540</v>
      </c>
      <c r="C22" s="81" t="n">
        <v>46297</v>
      </c>
      <c r="D22" s="81"/>
      <c r="E22" s="81" t="n">
        <v>46297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89.2</v>
      </c>
      <c r="C24" s="81" t="n">
        <v>46297</v>
      </c>
      <c r="D24" s="81"/>
      <c r="E24" s="81" t="n">
        <v>46297</v>
      </c>
    </row>
    <row r="25" customFormat="false" ht="15" hidden="false" customHeight="false" outlineLevel="0" collapsed="false">
      <c r="A25" s="79" t="s">
        <v>232</v>
      </c>
      <c r="B25" s="83" t="n">
        <v>585</v>
      </c>
      <c r="C25" s="81" t="n">
        <v>46297</v>
      </c>
      <c r="D25" s="81"/>
      <c r="E25" s="81" t="n">
        <v>46297</v>
      </c>
    </row>
    <row r="26" customFormat="false" ht="15" hidden="false" customHeight="false" outlineLevel="0" collapsed="false">
      <c r="A26" s="79" t="s">
        <v>186</v>
      </c>
      <c r="B26" s="83" t="n">
        <v>1295</v>
      </c>
      <c r="C26" s="81" t="n">
        <v>46297</v>
      </c>
      <c r="D26" s="81"/>
      <c r="E26" s="81" t="n">
        <v>46297</v>
      </c>
    </row>
    <row r="27" customFormat="false" ht="15" hidden="false" customHeight="false" outlineLevel="0" collapsed="false">
      <c r="A27" s="79" t="s">
        <v>201</v>
      </c>
      <c r="B27" s="83" t="n">
        <v>583</v>
      </c>
      <c r="C27" s="81" t="n">
        <v>46297</v>
      </c>
      <c r="D27" s="81"/>
      <c r="E27" s="81" t="n">
        <v>46297</v>
      </c>
    </row>
    <row r="28" customFormat="false" ht="15" hidden="false" customHeight="false" outlineLevel="0" collapsed="false">
      <c r="A28" s="79" t="s">
        <v>218</v>
      </c>
      <c r="B28" s="83" t="n">
        <v>1625</v>
      </c>
      <c r="C28" s="81" t="n">
        <v>46297</v>
      </c>
      <c r="D28" s="81"/>
      <c r="E28" s="81" t="n">
        <v>46297</v>
      </c>
    </row>
    <row r="29" customFormat="false" ht="15" hidden="false" customHeight="false" outlineLevel="0" collapsed="false">
      <c r="A29" s="79" t="s">
        <v>243</v>
      </c>
      <c r="B29" s="83" t="n">
        <v>547</v>
      </c>
      <c r="C29" s="81" t="n">
        <v>46297</v>
      </c>
      <c r="D29" s="81"/>
      <c r="E29" s="81" t="n">
        <v>46297</v>
      </c>
    </row>
    <row r="30" customFormat="false" ht="15" hidden="false" customHeight="false" outlineLevel="0" collapsed="false">
      <c r="A30" s="79" t="s">
        <v>228</v>
      </c>
      <c r="B30" s="83" t="n">
        <v>2095</v>
      </c>
      <c r="C30" s="81" t="n">
        <v>46297</v>
      </c>
      <c r="D30" s="81"/>
      <c r="E30" s="81" t="n">
        <v>46297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2500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134.48600890411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28.9754288363468</v>
      </c>
      <c r="K2" s="52" t="n">
        <f aca="false">IF($A2="","",IFERROR(IF(G2&lt;=0,"N/M",D2/G2),"N/M"))</f>
        <v>25.76483691322</v>
      </c>
      <c r="L2" s="52" t="n">
        <f aca="false">IF($A2="","",IFERROR(IF(H2&lt;=0,"N/M",D2/H2),"N/M"))</f>
        <v>18.5892943092879</v>
      </c>
      <c r="M2" s="49" t="n">
        <f aca="false">IF($A2="","",IFERROR(INDEX(Raw_Est!$C$2:$C$100,MATCH($A2,Raw_Est!$A$2:$A$100,0))/INDEX(Raw_Est!$B$2:$B$100,MATCH($A2,Raw_Est!$A$2:$A$100,0))-1,""))</f>
        <v>0.327188087114735</v>
      </c>
      <c r="N2" s="51" t="n">
        <f aca="false">IF($A2="","",IFERROR(IF(OR(NOT(ISNUMBER(J2)),I2&lt;Config!$B$6),"N/M",J2/(I2*100)),"N/M"))</f>
        <v>0.5444132124707</v>
      </c>
      <c r="O2" s="51" t="n">
        <f aca="false">IF($A2="","",IFERROR(IF(OR(NOT(ISNUMBER(L2)),M2&lt;Config!$B$6),"N/M",L2/(M2*100)),"N/M"))</f>
        <v>0.56815315231111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0.008800040072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0.434952637766083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46297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94.0134879452055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19.3738489871087</v>
      </c>
      <c r="K3" s="52" t="n">
        <f aca="false">IF($A3="","",IFERROR(IF(G3&lt;=0,"N/M",D3/G3),"N/M"))</f>
        <v>11.0741854631315</v>
      </c>
      <c r="L3" s="52" t="n">
        <f aca="false">IF($A3="","",IFERROR(IF(H3&lt;=0,"N/M",D3/H3),"N/M"))</f>
        <v>5.59494186947486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0.119273219338645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46297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233.879443150685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5.53704071873325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46297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580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8.36200410958904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140.776699029126</v>
      </c>
      <c r="K5" s="52" t="n">
        <f aca="false">IF($A5="","",IFERROR(IF(G5&lt;=0,"N/M",D5/G5),"N/M"))</f>
        <v>123.554360723347</v>
      </c>
      <c r="L5" s="52" t="n">
        <f aca="false">IF($A5="","",IFERROR(IF(H5&lt;=0,"N/M",D5/H5),"N/M"))</f>
        <v>69.3613627066855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2.2865005256323</v>
      </c>
      <c r="O5" s="51" t="n">
        <f aca="false">IF($A5="","",IFERROR(IF(OR(NOT(ISNUMBER(L5)),M5&lt;Config!$B$6),"N/M",L5/(M5*100)),"N/M"))</f>
        <v>1.02569126518234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0.0045182009137931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46297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34.9247642465753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18.7303801883502</v>
      </c>
      <c r="K6" s="52" t="n">
        <f aca="false">IF($A6="","",IFERROR(IF(G6&lt;=0,"N/M",D6/G6),"N/M"))</f>
        <v>16.6600843304306</v>
      </c>
      <c r="L6" s="52" t="n">
        <f aca="false">IF($A6="","",IFERROR(IF(H6&lt;=0,"N/M",D6/H6),"N/M"))</f>
        <v>15.3759090887108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0.0521415270018622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46297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2540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107.149696849315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46.5798642948836</v>
      </c>
      <c r="K7" s="52" t="n">
        <f aca="false">IF($A7="","",IFERROR(IF(G7&lt;=0,"N/M",D7/G7),"N/M"))</f>
        <v>42.5006797598879</v>
      </c>
      <c r="L7" s="52" t="n">
        <f aca="false">IF($A7="","",IFERROR(IF(H7&lt;=0,"N/M",D7/H7),"N/M"))</f>
        <v>23.7051533946196</v>
      </c>
      <c r="M7" s="49" t="n">
        <f aca="false">IF($A7="","",IFERROR(INDEX(Raw_Est!$C$2:$C$100,MATCH($A7,Raw_Est!$A$2:$A$100,0))/INDEX(Raw_Est!$B$2:$B$100,MATCH($A7,Raw_Est!$A$2:$A$100,0))-1,""))</f>
        <v>0.740527523125864</v>
      </c>
      <c r="N7" s="51" t="n">
        <f aca="false">IF($A7="","",IFERROR(IF(OR(NOT(ISNUMBER(J7)),I7&lt;Config!$B$6),"N/M",J7/(I7*100)),"N/M"))</f>
        <v>0.810583266598903</v>
      </c>
      <c r="O7" s="51" t="n">
        <f aca="false">IF($A7="","",IFERROR(IF(OR(NOT(ISNUMBER(L7)),M7&lt;Config!$B$6),"N/M",L7/(M7*100)),"N/M"))</f>
        <v>0.320111712992881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0.00413601672834646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0.270704744622308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46297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583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33.4582191780822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17.4247169849946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1.37908058003001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46297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373.5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36.7272378082192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13.9835267690004</v>
      </c>
      <c r="K9" s="52" t="n">
        <f aca="false">IF($A9="","",IFERROR(IF(G9&lt;=0,"N/M",D9/G9),"N/M"))</f>
        <v>12.2996733918054</v>
      </c>
      <c r="L9" s="52" t="n">
        <f aca="false">IF($A9="","",IFERROR(IF(H9&lt;=0,"N/M",D9/H9),"N/M"))</f>
        <v>10.1695641243245</v>
      </c>
      <c r="M9" s="49" t="n">
        <f aca="false">IF($A9="","",IFERROR(INDEX(Raw_Est!$C$2:$C$100,MATCH($A9,Raw_Est!$A$2:$A$100,0))/INDEX(Raw_Est!$B$2:$B$100,MATCH($A9,Raw_Est!$A$2:$A$100,0))-1,""))</f>
        <v>0.0889502670939706</v>
      </c>
      <c r="N9" s="51" t="n">
        <f aca="false">IF($A9="","",IFERROR(IF(OR(NOT(ISNUMBER(J9)),I9&lt;Config!$B$6),"N/M",J9/(I9*100)),"N/M"))</f>
        <v>0.223138493242941</v>
      </c>
      <c r="O9" s="51" t="n">
        <f aca="false">IF($A9="","",IFERROR(IF(OR(NOT(ISNUMBER(L9)),M9&lt;Config!$B$6),"N/M",L9/(M9*100)),"N/M"))</f>
        <v>1.14328651914906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0.0267737617135208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46297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12145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461.889452876712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66.9551794475991</v>
      </c>
      <c r="K10" s="52" t="n">
        <f aca="false">IF($A10="","",IFERROR(IF(G10&lt;=0,"N/M",D10/G10),"N/M"))</f>
        <v>45.6166082765317</v>
      </c>
      <c r="L10" s="52" t="n">
        <f aca="false">IF($A10="","",IFERROR(IF(H10&lt;=0,"N/M",D10/H10),"N/M"))</f>
        <v>26.2941704435103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0.397296413535253</v>
      </c>
      <c r="O10" s="51" t="n">
        <f aca="false">IF($A10="","",IFERROR(IF(OR(NOT(ISNUMBER(L10)),M10&lt;Config!$B$6),"N/M",L10/(M10*100)),"N/M"))</f>
        <v>0.636584044778951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0.00265129682997118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46297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2925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34.5152131506849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260.92774308653</v>
      </c>
      <c r="K11" s="52" t="n">
        <f aca="false">IF($A11="","",IFERROR(IF(G11&lt;=0,"N/M",D11/G11),"N/M"))</f>
        <v>183.731155778894</v>
      </c>
      <c r="L11" s="52" t="n">
        <f aca="false">IF($A11="","",IFERROR(IF(H11&lt;=0,"N/M",D11/H11),"N/M"))</f>
        <v>84.7452393595302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0.46320156073134</v>
      </c>
      <c r="O11" s="51" t="n">
        <f aca="false">IF($A11="","",IFERROR(IF(OR(NOT(ISNUMBER(L11)),M11&lt;Config!$B$6),"N/M",L11/(M11*100)),"N/M"))</f>
        <v>0.854859611805482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0.000170947743589744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46297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713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73.9626556016598</v>
      </c>
      <c r="K12" s="52" t="n">
        <f aca="false">IF($A12="","",IFERROR(IF(G12&lt;=0,"N/M",D12/G12),"N/M"))</f>
        <v>103.935860058309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0.277491846265856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46297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1050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23.3969924657534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177.966101694915</v>
      </c>
      <c r="K13" s="52" t="n">
        <f aca="false">IF($A13="","",IFERROR(IF(G13&lt;=0,"N/M",D13/G13),"N/M"))</f>
        <v>125.986141524432</v>
      </c>
      <c r="L13" s="52" t="n">
        <f aca="false">IF($A13="","",IFERROR(IF(H13&lt;=0,"N/M",D13/H13),"N/M"))</f>
        <v>44.8775628550081</v>
      </c>
      <c r="M13" s="49" t="n">
        <f aca="false">IF($A13="","",IFERROR(INDEX(Raw_Est!$C$2:$C$100,MATCH($A13,Raw_Est!$A$2:$A$100,0))/INDEX(Raw_Est!$B$2:$B$100,MATCH($A13,Raw_Est!$A$2:$A$100,0))-1,""))</f>
        <v>1.48192990153287</v>
      </c>
      <c r="N13" s="51" t="n">
        <f aca="false">IF($A13="","",IFERROR(IF(OR(NOT(ISNUMBER(J13)),I13&lt;Config!$B$6),"N/M",J13/(I13*100)),"N/M"))</f>
        <v>0.459144953200101</v>
      </c>
      <c r="O13" s="51" t="n">
        <f aca="false">IF($A13="","",IFERROR(IF(OR(NOT(ISNUMBER(L13)),M13&lt;Config!$B$6),"N/M",L13/(M13*100)),"N/M"))</f>
        <v>0.302831887045318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0.000952544695238095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0.130990279405076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46297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1625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113.235342465753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14.3506432233511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0.130884451578173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46297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7.15197054794521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24.1766467065868</v>
      </c>
      <c r="K15" s="52" t="n">
        <f aca="false">IF($A15="","",IFERROR(IF(G15&lt;=0,"N/M",D15/G15),"N/M"))</f>
        <v>23.4350059494442</v>
      </c>
      <c r="L15" s="52" t="n">
        <f aca="false">IF($A15="","",IFERROR(IF(H15&lt;=0,"N/M",D15/H15),"N/M"))</f>
        <v>22.5811891865802</v>
      </c>
      <c r="M15" s="49" t="n">
        <f aca="false">IF($A15="","",IFERROR(INDEX(Raw_Est!$C$2:$C$100,MATCH($A15,Raw_Est!$A$2:$A$100,0))/INDEX(Raw_Est!$B$2:$B$100,MATCH($A15,Raw_Est!$A$2:$A$100,0))-1,""))</f>
        <v>0.0317954371371507</v>
      </c>
      <c r="N15" s="51" t="n">
        <f aca="false">IF($A15="","",IFERROR(IF(OR(NOT(ISNUMBER(J15)),I15&lt;Config!$B$6),"N/M",J15/(I15*100)),"N/M"))</f>
        <v>0.218347493048092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46297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4950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127.531838082192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81.5620365793376</v>
      </c>
      <c r="K16" s="52" t="n">
        <f aca="false">IF($A16="","",IFERROR(IF(G16&lt;=0,"N/M",D16/G16),"N/M"))</f>
        <v>82.1108765560011</v>
      </c>
      <c r="L16" s="52" t="n">
        <f aca="false">IF($A16="","",IFERROR(IF(H16&lt;=0,"N/M",D16/H16),"N/M"))</f>
        <v>38.8138371910693</v>
      </c>
      <c r="M16" s="49" t="n">
        <f aca="false">IF($A16="","",IFERROR(INDEX(Raw_Est!$C$2:$C$100,MATCH($A16,Raw_Est!$A$2:$A$100,0))/INDEX(Raw_Est!$B$2:$B$100,MATCH($A16,Raw_Est!$A$2:$A$100,0))-1,""))</f>
        <v>1.15316820167607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0.336584352002209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0.0109091348424242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0.258027072450423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46297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92.9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34.4074074074074</v>
      </c>
      <c r="K17" s="52" t="n">
        <f aca="false">IF($A17="","",IFERROR(IF(G17&lt;=0,"N/M",D17/G17),"N/M"))</f>
        <v>29.6805111821086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46297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89.2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6.83223684931507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15.0675675675676</v>
      </c>
      <c r="K18" s="52" t="n">
        <f aca="false">IF($A18="","",IFERROR(IF(G18&lt;=0,"N/M",D18/G18),"N/M"))</f>
        <v>15.6475580512124</v>
      </c>
      <c r="L18" s="52" t="n">
        <f aca="false">IF($A18="","",IFERROR(IF(H18&lt;=0,"N/M",D18/H18),"N/M"))</f>
        <v>13.0557534768342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0.611717486717487</v>
      </c>
      <c r="O18" s="51" t="n">
        <f aca="false">IF($A18="","",IFERROR(IF(OR(NOT(ISNUMBER(L18)),M18&lt;Config!$B$6),"N/M",L18/(M18*100)),"N/M"))</f>
        <v>0.470037407865215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0.0449488434977579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46297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2095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290.303508493151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7.21658519001133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46297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591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9.52091780821918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69.4477085781434</v>
      </c>
      <c r="K20" s="52" t="n">
        <f aca="false">IF($A20="","",IFERROR(IF(G20&lt;=0,"N/M",D20/G20),"N/M"))</f>
        <v>72.8933093562448</v>
      </c>
      <c r="L20" s="52" t="n">
        <f aca="false">IF($A20="","",IFERROR(IF(H20&lt;=0,"N/M",D20/H20),"N/M"))</f>
        <v>62.0738474908169</v>
      </c>
      <c r="M20" s="49" t="n">
        <f aca="false">IF($A20="","",IFERROR(INDEX(Raw_Est!$C$2:$C$100,MATCH($A20,Raw_Est!$A$2:$A$100,0))/INDEX(Raw_Est!$B$2:$B$100,MATCH($A20,Raw_Est!$A$2:$A$100,0))-1,""))</f>
        <v>0.313099634588799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1.98255892480807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0.00338409475465313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0.0745459222777666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46297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585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12.4680821917808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95.1219512195122</v>
      </c>
      <c r="K21" s="52" t="n">
        <f aca="false">IF($A21="","",IFERROR(IF(G21&lt;=0,"N/M",D21/G21),"N/M"))</f>
        <v>86.1561119293078</v>
      </c>
      <c r="L21" s="52" t="n">
        <f aca="false">IF($A21="","",IFERROR(IF(H21&lt;=0,"N/M",D21/H21),"N/M"))</f>
        <v>46.9198061900524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2.12772785622593</v>
      </c>
      <c r="O21" s="51" t="n">
        <f aca="false">IF($A21="","",IFERROR(IF(OR(NOT(ISNUMBER(L21)),M21&lt;Config!$B$6),"N/M",L21/(M21*100)),"N/M"))</f>
        <v>0.514447133152058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0.002640398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46297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671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9.64625821917808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69.560650850706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46297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179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44.63235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19.757174392936</v>
      </c>
      <c r="K23" s="52" t="n">
        <f aca="false">IF($A23="","",IFERROR(IF(G23&lt;=0,"N/M",D23/G23),"N/M"))</f>
        <v>10.8425510160197</v>
      </c>
      <c r="L23" s="52" t="n">
        <f aca="false">IF($A23="","",IFERROR(IF(H23&lt;=0,"N/M",D23/H23),"N/M"))</f>
        <v>4.01054392161739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0.0402509926409629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0.00279329608938548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46297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543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110.365853658537</v>
      </c>
      <c r="K25" s="52" t="n">
        <f aca="false">IF($A25="","",IFERROR(IF(G25&lt;=0,"N/M",D25/G25),"N/M"))</f>
        <v>125.986078886311</v>
      </c>
      <c r="L25" s="52" t="n">
        <f aca="false">IF($A25="","",IFERROR(IF(H25&lt;=0,"N/M",D25/H25),"N/M"))</f>
        <v>45.3634085213033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0.00184162062615101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46297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12.302602739726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44.4621363115055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0.239591133695403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46297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7900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102.688438219178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202.512176365035</v>
      </c>
      <c r="K27" s="52" t="n">
        <f aca="false">IF($A27="","",IFERROR(IF(G27&lt;=0,"N/M",D27/G27),"N/M"))</f>
        <v>175.984919651746</v>
      </c>
      <c r="L27" s="52" t="n">
        <f aca="false">IF($A27="","",IFERROR(IF(H27&lt;=0,"N/M",D27/H27),"N/M"))</f>
        <v>76.9317377593985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4.57471115197204</v>
      </c>
      <c r="O27" s="51" t="n">
        <f aca="false">IF($A27="","",IFERROR(IF(OR(NOT(ISNUMBER(L27)),M27&lt;Config!$B$6),"N/M",L27/(M27*100)),"N/M"))</f>
        <v>0.608302941475986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0.00253164556962025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46297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2026-10-02T13:02:02Z</dcterms:created>
  <dc:creator>openpyxl</dc:creator>
  <dc:description/>
  <dc:language>en-US</dc:language>
  <cp:lastModifiedBy/>
  <dcterms:modified xsi:type="dcterms:W3CDTF">2026-10-02T13:02:03Z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