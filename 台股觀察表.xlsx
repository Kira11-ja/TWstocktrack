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<sst xmlns="http://schemas.openxmlformats.org/spreadsheetml/2006/main" count="8221" uniqueCount="1534">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</sst>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0.444947607890085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27.6425591098748</v>
      </c>
      <c r="P3" s="22" t="n">
        <f aca="false">IF(Calc!$A$2="","",Calc!L$2)</f>
        <v>16.805886668509</v>
      </c>
      <c r="Q3" s="18" t="n">
        <f aca="false">IF(Calc!$A$2="","",Calc!N$2)</f>
        <v>0.519370204697048</v>
      </c>
      <c r="R3" s="18" t="n">
        <f aca="false">IF(Calc!$A$2="","",Calc!O$2)</f>
        <v>0.481671871978674</v>
      </c>
      <c r="S3" s="19" t="n">
        <f aca="false">IF(Calc!$A$2="","",Calc!Q$2)</f>
        <v>0.0092243606624738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414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0.810551818481909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15.2486187845304</v>
      </c>
      <c r="P4" s="22" t="n">
        <f aca="false">IF(Calc!$A$3="","",Calc!L$3)</f>
        <v>3.73164657567429</v>
      </c>
      <c r="Q4" s="18" t="str">
        <f aca="false">IF(Calc!$A$3="","",Calc!N$3)</f>
        <v>N/M</v>
      </c>
      <c r="R4" s="18" t="n">
        <f aca="false">IF(Calc!$A$3="","",Calc!O$3)</f>
        <v>0.0658755176132268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1065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4.47954483291541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467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113.349514563107</v>
      </c>
      <c r="P6" s="22" t="n">
        <f aca="false">IF(Calc!$A$5="","",Calc!L$5)</f>
        <v>53.2912168427445</v>
      </c>
      <c r="Q6" s="18" t="n">
        <f aca="false">IF(Calc!$A$5="","",Calc!N$5)</f>
        <v>1.84102714736256</v>
      </c>
      <c r="R6" s="18" t="n">
        <f aca="false">IF(Calc!$A$5="","",Calc!O$5)</f>
        <v>0.782803017608585</v>
      </c>
      <c r="S6" s="19" t="n">
        <f aca="false">IF(Calc!$A$5="","",Calc!Q$5)</f>
        <v>0.00561147008565311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583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20.3348447854901</v>
      </c>
      <c r="P7" s="22" t="n">
        <f aca="false">IF(Calc!$A$6="","",Calc!L$6)</f>
        <v>16.5886836257492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0.0480274442538593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1875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34.384742343664</v>
      </c>
      <c r="P8" s="22" t="n">
        <f aca="false">IF(Calc!$A$7="","",Calc!L$7)</f>
        <v>15.8820489055728</v>
      </c>
      <c r="Q8" s="18" t="n">
        <f aca="false">IF(Calc!$A$7="","",Calc!N$7)</f>
        <v>0.598363631839741</v>
      </c>
      <c r="R8" s="18" t="n">
        <f aca="false">IF(Calc!$A$7="","",Calc!O$7)</f>
        <v>0.19247100049261</v>
      </c>
      <c r="S8" s="19" t="n">
        <f aca="false">IF(Calc!$A$7="","",Calc!Q$7)</f>
        <v>0.00560292399466667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550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16.4766496532435</v>
      </c>
      <c r="Q9" s="18" t="str">
        <f aca="false">IF(Calc!$A$8="","",Calc!N$8)</f>
        <v>N/M</v>
      </c>
      <c r="R9" s="18" t="n">
        <f aca="false">IF(Calc!$A$8="","",Calc!O$8)</f>
        <v>1.48101044371045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349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0.338527322333926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13.0662673156121</v>
      </c>
      <c r="P10" s="22" t="n">
        <f aca="false">IF(Calc!$A$9="","",Calc!L$9)</f>
        <v>9.5164493693136</v>
      </c>
      <c r="Q10" s="18" t="n">
        <f aca="false">IF(Calc!$A$9="","",Calc!N$9)</f>
        <v>0.2085015639673</v>
      </c>
      <c r="R10" s="18" t="n">
        <f aca="false">IF(Calc!$A$9="","",Calc!O$9)</f>
        <v>0.857183710799855</v>
      </c>
      <c r="S10" s="19" t="n">
        <f aca="false">IF(Calc!$A$9="","",Calc!Q$9)</f>
        <v>0.0286532951289398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9755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53.7791498980098</v>
      </c>
      <c r="P11" s="22" t="n">
        <f aca="false">IF(Calc!$A$10="","",Calc!L$10)</f>
        <v>20.7482194118269</v>
      </c>
      <c r="Q11" s="18" t="n">
        <f aca="false">IF(Calc!$A$10="","",Calc!N$10)</f>
        <v>0.319112928286241</v>
      </c>
      <c r="R11" s="18" t="n">
        <f aca="false">IF(Calc!$A$10="","",Calc!O$10)</f>
        <v>0.498771650574711</v>
      </c>
      <c r="S11" s="19" t="n">
        <f aca="false">IF(Calc!$A$10="","",Calc!Q$10)</f>
        <v>0.00330087134802665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2375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211.864406779661</v>
      </c>
      <c r="P12" s="22" t="n">
        <f aca="false">IF(Calc!$A$11="","",Calc!L$11)</f>
        <v>66.3099843905207</v>
      </c>
      <c r="Q12" s="18" t="n">
        <f aca="false">IF(Calc!$A$11="","",Calc!N$11)</f>
        <v>0.376103831363054</v>
      </c>
      <c r="R12" s="18" t="n">
        <f aca="false">IF(Calc!$A$11="","",Calc!O$11)</f>
        <v>0.657324597540266</v>
      </c>
      <c r="S12" s="19" t="n">
        <f aca="false">IF(Calc!$A$11="","",Calc!Q$11)</f>
        <v>0.000210535642105263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552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57.2614107883818</v>
      </c>
      <c r="P13" s="22" t="str">
        <f aca="false">IF(Calc!$A$12="","",Calc!L$12)</f>
        <v>N/M</v>
      </c>
      <c r="Q13" s="18" t="n">
        <f aca="false">IF(Calc!$A$12="","",Calc!N$12)</f>
        <v>0.21483239710905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986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0.145125372919156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167.118644067797</v>
      </c>
      <c r="P14" s="22" t="n">
        <f aca="false">IF(Calc!$A$13="","",Calc!L$13)</f>
        <v>35.4040513951216</v>
      </c>
      <c r="Q14" s="18" t="n">
        <f aca="false">IF(Calc!$A$13="","",Calc!N$13)</f>
        <v>0.431158975100286</v>
      </c>
      <c r="R14" s="18" t="n">
        <f aca="false">IF(Calc!$A$13="","",Calc!O$13)</f>
        <v>0.227654379340931</v>
      </c>
      <c r="S14" s="19" t="n">
        <f aca="false">IF(Calc!$A$13="","",Calc!Q$13)</f>
        <v>0.00101437315415822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1410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11.9790068864451</v>
      </c>
      <c r="Q15" s="18" t="str">
        <f aca="false">IF(Calc!$A$14="","",Calc!N$14)</f>
        <v>N/M</v>
      </c>
      <c r="R15" s="18" t="n">
        <f aca="false">IF(Calc!$A$14="","",Calc!O$14)</f>
        <v>0.109254039862989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125.5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0.202489003331745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18.7874251497006</v>
      </c>
      <c r="P16" s="22" t="n">
        <f aca="false">IF(Calc!$A$15="","",Calc!L$15)</f>
        <v>17.1165076311469</v>
      </c>
      <c r="Q16" s="18" t="n">
        <f aca="false">IF(Calc!$A$15="","",Calc!N$15)</f>
        <v>0.169675606052852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4010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0.261792381079974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66.073488218817</v>
      </c>
      <c r="P17" s="22" t="n">
        <f aca="false">IF(Calc!$A$16="","",Calc!L$16)</f>
        <v>29.9662895263477</v>
      </c>
      <c r="Q17" s="18" t="str">
        <f aca="false">IF(Calc!$A$16="","",Calc!N$16)</f>
        <v>N/M</v>
      </c>
      <c r="R17" s="18" t="n">
        <f aca="false">IF(Calc!$A$16="","",Calc!O$16)</f>
        <v>0.263183272518006</v>
      </c>
      <c r="S17" s="19" t="n">
        <f aca="false">IF(Calc!$A$16="","",Calc!Q$16)</f>
        <v>0.0134663883965087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96.2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35.6296296296296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103.5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17.4831081081081</v>
      </c>
      <c r="P19" s="22" t="n">
        <f aca="false">IF(Calc!$A$18="","",Calc!L$18)</f>
        <v>14.4938524024339</v>
      </c>
      <c r="Q19" s="18" t="n">
        <f aca="false">IF(Calc!$A$18="","",Calc!N$18)</f>
        <v>0.709784303534303</v>
      </c>
      <c r="R19" s="18" t="n">
        <f aca="false">IF(Calc!$A$18="","",Calc!O$18)</f>
        <v>0.508804688917207</v>
      </c>
      <c r="S19" s="19" t="n">
        <f aca="false">IF(Calc!$A$18="","",Calc!Q$18)</f>
        <v>0.0387385201932367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1880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6.16014108688014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486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57.1092831962397</v>
      </c>
      <c r="P21" s="22" t="n">
        <f aca="false">IF(Calc!$A$20="","",Calc!L$20)</f>
        <v>49.6538600556437</v>
      </c>
      <c r="Q21" s="18" t="str">
        <f aca="false">IF(Calc!$A$20="","",Calc!N$20)</f>
        <v>N/M</v>
      </c>
      <c r="R21" s="18" t="n">
        <f aca="false">IF(Calc!$A$20="","",Calc!O$20)</f>
        <v>1.59359220023165</v>
      </c>
      <c r="S21" s="19" t="n">
        <f aca="false">IF(Calc!$A$20="","",Calc!Q$20)</f>
        <v>0.00411522633744856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450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73.1707317073171</v>
      </c>
      <c r="P22" s="22" t="n">
        <f aca="false">IF(Calc!$A$21="","",Calc!L$21)</f>
        <v>34.8532978540554</v>
      </c>
      <c r="Q22" s="18" t="n">
        <f aca="false">IF(Calc!$A$21="","",Calc!N$21)</f>
        <v>1.63671373555841</v>
      </c>
      <c r="R22" s="18" t="n">
        <f aca="false">IF(Calc!$A$21="","",Calc!O$21)</f>
        <v>0.382145209408708</v>
      </c>
      <c r="S22" s="19" t="n">
        <f aca="false">IF(Calc!$A$21="","",Calc!Q$21)</f>
        <v>0.0034325174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506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56.8918370662514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154.5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17.0529801324503</v>
      </c>
      <c r="P24" s="22" t="n">
        <f aca="false">IF(Calc!$A$23="","",Calc!L$23)</f>
        <v>3.24289910518579</v>
      </c>
      <c r="Q24" s="18" t="str">
        <f aca="false">IF(Calc!$A$23="","",Calc!N$23)</f>
        <v>N/M</v>
      </c>
      <c r="R24" s="18" t="n">
        <f aca="false">IF(Calc!$A$23="","",Calc!O$23)</f>
        <v>0.0303822586087709</v>
      </c>
      <c r="S24" s="19" t="n">
        <f aca="false">IF(Calc!$A$23="","",Calc!Q$23)</f>
        <v>0.00323624595469256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424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86.1788617886179</v>
      </c>
      <c r="P26" s="22" t="n">
        <f aca="false">IF(Calc!$A$25="","",Calc!L$25)</f>
        <v>35.421888053467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0.00235849056603774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454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34.1306980614439</v>
      </c>
      <c r="Q27" s="18" t="str">
        <f aca="false">IF(Calc!$A$26="","",Calc!N$26)</f>
        <v>N/M</v>
      </c>
      <c r="R27" s="18" t="n">
        <f aca="false">IF(Calc!$A$26="","",Calc!O$26)</f>
        <v>0.135399661413772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7585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0.536692293539164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194.437323763138</v>
      </c>
      <c r="P28" s="22" t="n">
        <f aca="false">IF(Calc!$A$27="","",Calc!L$27)</f>
        <v>68.1850172635861</v>
      </c>
      <c r="Q28" s="18" t="n">
        <f aca="false">IF(Calc!$A$27="","",Calc!N$27)</f>
        <v>4.39230178325417</v>
      </c>
      <c r="R28" s="18" t="n">
        <f aca="false">IF(Calc!$A$27="","",Calc!O$27)</f>
        <v>0.525528723177329</v>
      </c>
      <c r="S28" s="19" t="n">
        <f aca="false">IF(Calc!$A$27="","",Calc!Q$27)</f>
        <v>0.002636783124588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2385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46321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27.6425591098748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16.805886668509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0.519370204697048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0.481671871978674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141.914559287671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0.0092243606624738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0.444947607890085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0.348907371308015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2385</v>
      </c>
      <c r="L12" s="55" t="n">
        <f aca="false">IF(Stock_Card!$B$2="","",IFERROR(INDEX(Calc!$Q$2:$Q$100,MATCH(Stock_Card!$B$2,Calc!$A$2:$A$100,0)),""))</f>
        <v>0.0092243606624738</v>
      </c>
      <c r="M12" s="58" t="n">
        <f aca="false">IF(Stock_Card!$B$2="","",IFERROR(INDEX(Calc!$J$2:$J$100,MATCH(Stock_Card!$B$2,Calc!$A$2:$A$100,0)),""))</f>
        <v>27.6425591098748</v>
      </c>
      <c r="N12" s="57" t="n">
        <f aca="false">IF(Stock_Card!$B$2="","",IFERROR(INDEX(Calc!$N$2:$N$100,MATCH(Stock_Card!$B$2,Calc!$A$2:$A$100,0)),""))</f>
        <v>0.519370204697048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141.914559287671</v>
      </c>
      <c r="H13" s="55" t="n">
        <f aca="false">IF(Stock_Card!$B$2="","",IFERROR(INDEX(Calc!$M$2:$M$100,MATCH(Stock_Card!$B$2,Calc!$A$2:$A$100,0)),""))</f>
        <v>0.348907371308015</v>
      </c>
      <c r="I13" s="55" t="n">
        <f aca="false">IF(Stock_Card!$B$2="","",IFERROR(INDEX(Calc!$AI$2:$AI$100,MATCH(Stock_Card!$B$2,Calc!$A$2:$A$100,0)),""))</f>
        <v>0.444947607890085</v>
      </c>
      <c r="J13" s="59"/>
      <c r="K13" s="59"/>
      <c r="L13" s="59"/>
      <c r="M13" s="58" t="n">
        <f aca="false">IF(Stock_Card!$B$2="","",IFERROR(INDEX(Calc!$L$2:$L$100,MATCH(Stock_Card!$B$2,Calc!$A$2:$A$100,0)),""))</f>
        <v>16.805886668509</v>
      </c>
      <c r="N13" s="57" t="n">
        <f aca="false">IF(Stock_Card!$B$2="","",IFERROR(INDEX(Calc!$O$2:$O$100,MATCH(Stock_Card!$B$2,Calc!$A$2:$A$100,0)),""))</f>
        <v>0.481671871978674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{6427D278-CA36-4752-AF90-F0BB60212D1E}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27D278-CA36-4752-AF90-F0BB60212D1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-46321</v>
      </c>
      <c r="I4" s="67" t="n">
        <f aca="false">IF($A4="","",IFERROR(INDEX(Raw_Price!$E$2:$E$100,MATCH($A4,Raw_Price!$A$2:$A$100,0)),""))</f>
        <v>46321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-46321</v>
      </c>
      <c r="I5" s="67" t="n">
        <f aca="false">IF($A5="","",IFERROR(INDEX(Raw_Price!$E$2:$E$100,MATCH($A5,Raw_Price!$A$2:$A$100,0)),""))</f>
        <v>46321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-46321</v>
      </c>
      <c r="I6" s="67" t="n">
        <f aca="false">IF($A6="","",IFERROR(INDEX(Raw_Price!$E$2:$E$100,MATCH($A6,Raw_Price!$A$2:$A$100,0)),""))</f>
        <v>46321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-46321</v>
      </c>
      <c r="I7" s="67" t="n">
        <f aca="false">IF($A7="","",IFERROR(INDEX(Raw_Price!$E$2:$E$100,MATCH($A7,Raw_Price!$A$2:$A$100,0)),""))</f>
        <v>46321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-46321</v>
      </c>
      <c r="I8" s="67" t="n">
        <f aca="false">IF($A8="","",IFERROR(INDEX(Raw_Price!$E$2:$E$100,MATCH($A8,Raw_Price!$A$2:$A$100,0)),""))</f>
        <v>46321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-46321</v>
      </c>
      <c r="I9" s="67" t="n">
        <f aca="false">IF($A9="","",IFERROR(INDEX(Raw_Price!$E$2:$E$100,MATCH($A9,Raw_Price!$A$2:$A$100,0)),""))</f>
        <v>46321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-46321</v>
      </c>
      <c r="I10" s="67" t="n">
        <f aca="false">IF($A10="","",IFERROR(INDEX(Raw_Price!$E$2:$E$100,MATCH($A10,Raw_Price!$A$2:$A$100,0)),""))</f>
        <v>46321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-46321</v>
      </c>
      <c r="I11" s="67" t="n">
        <f aca="false">IF($A11="","",IFERROR(INDEX(Raw_Price!$E$2:$E$100,MATCH($A11,Raw_Price!$A$2:$A$100,0)),""))</f>
        <v>46321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-46321</v>
      </c>
      <c r="I12" s="67" t="n">
        <f aca="false">IF($A12="","",IFERROR(INDEX(Raw_Price!$E$2:$E$100,MATCH($A12,Raw_Price!$A$2:$A$100,0)),""))</f>
        <v>46321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-46321</v>
      </c>
      <c r="I13" s="67" t="n">
        <f aca="false">IF($A13="","",IFERROR(INDEX(Raw_Price!$E$2:$E$100,MATCH($A13,Raw_Price!$A$2:$A$100,0)),""))</f>
        <v>46321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-46321</v>
      </c>
      <c r="I14" s="67" t="n">
        <f aca="false">IF($A14="","",IFERROR(INDEX(Raw_Price!$E$2:$E$100,MATCH($A14,Raw_Price!$A$2:$A$100,0)),""))</f>
        <v>46321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-46321</v>
      </c>
      <c r="I15" s="67" t="n">
        <f aca="false">IF($A15="","",IFERROR(INDEX(Raw_Price!$E$2:$E$100,MATCH($A15,Raw_Price!$A$2:$A$100,0)),""))</f>
        <v>46321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-46321</v>
      </c>
      <c r="I16" s="67" t="n">
        <f aca="false">IF($A16="","",IFERROR(INDEX(Raw_Price!$E$2:$E$100,MATCH($A16,Raw_Price!$A$2:$A$100,0)),""))</f>
        <v>46321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-46321</v>
      </c>
      <c r="I17" s="67" t="n">
        <f aca="false">IF($A17="","",IFERROR(INDEX(Raw_Price!$E$2:$E$100,MATCH($A17,Raw_Price!$A$2:$A$100,0)),""))</f>
        <v>46321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-46321</v>
      </c>
      <c r="I18" s="67" t="n">
        <f aca="false">IF($A18="","",IFERROR(INDEX(Raw_Price!$E$2:$E$100,MATCH($A18,Raw_Price!$A$2:$A$100,0)),""))</f>
        <v>46321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-46321</v>
      </c>
      <c r="I19" s="67" t="n">
        <f aca="false">IF($A19="","",IFERROR(INDEX(Raw_Price!$E$2:$E$100,MATCH($A19,Raw_Price!$A$2:$A$100,0)),""))</f>
        <v>46321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-46321</v>
      </c>
      <c r="I20" s="67" t="n">
        <f aca="false">IF($A20="","",IFERROR(INDEX(Raw_Price!$E$2:$E$100,MATCH($A20,Raw_Price!$A$2:$A$100,0)),""))</f>
        <v>46321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-46321</v>
      </c>
      <c r="I21" s="67" t="n">
        <f aca="false">IF($A21="","",IFERROR(INDEX(Raw_Price!$E$2:$E$100,MATCH($A21,Raw_Price!$A$2:$A$100,0)),""))</f>
        <v>46321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-46321</v>
      </c>
      <c r="I22" s="67" t="n">
        <f aca="false">IF($A22="","",IFERROR(INDEX(Raw_Price!$E$2:$E$100,MATCH($A22,Raw_Price!$A$2:$A$100,0)),""))</f>
        <v>46321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-46321</v>
      </c>
      <c r="I23" s="67" t="n">
        <f aca="false">IF($A23="","",IFERROR(INDEX(Raw_Price!$E$2:$E$100,MATCH($A23,Raw_Price!$A$2:$A$100,0)),""))</f>
        <v>46321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-46321</v>
      </c>
      <c r="I24" s="67" t="n">
        <f aca="false">IF($A24="","",IFERROR(INDEX(Raw_Price!$E$2:$E$100,MATCH($A24,Raw_Price!$A$2:$A$100,0)),""))</f>
        <v>46321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-46321</v>
      </c>
      <c r="I25" s="67" t="n">
        <f aca="false">IF($A25="","",IFERROR(INDEX(Raw_Price!$E$2:$E$100,MATCH($A25,Raw_Price!$A$2:$A$100,0)),""))</f>
        <v>46321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-46321</v>
      </c>
      <c r="I27" s="67" t="n">
        <f aca="false">IF($A27="","",IFERROR(INDEX(Raw_Price!$E$2:$E$100,MATCH($A27,Raw_Price!$A$2:$A$100,0)),""))</f>
        <v>46321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-46321</v>
      </c>
      <c r="I28" s="67" t="n">
        <f aca="false">IF($A28="","",IFERROR(INDEX(Raw_Price!$E$2:$E$100,MATCH($A28,Raw_Price!$A$2:$A$100,0)),""))</f>
        <v>46321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-46321</v>
      </c>
      <c r="I29" s="67" t="n">
        <f aca="false">IF($A29="","",IFERROR(INDEX(Raw_Price!$E$2:$E$100,MATCH($A29,Raw_Price!$A$2:$A$100,0)),""))</f>
        <v>46321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46321</v>
      </c>
    </row>
    <row r="3" customFormat="false" ht="15" hidden="false" customHeight="false" outlineLevel="0" collapsed="false">
      <c r="A3" s="79" t="s">
        <v>220</v>
      </c>
      <c r="B3" s="83" t="n">
        <v>7.1471</v>
      </c>
      <c r="C3" s="83" t="n">
        <v>7.37294</v>
      </c>
      <c r="D3" s="81" t="n">
        <v>46387</v>
      </c>
      <c r="E3" s="80" t="n">
        <v>14</v>
      </c>
      <c r="F3" s="81" t="n">
        <v>46321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46321</v>
      </c>
    </row>
    <row r="5" customFormat="false" ht="15" hidden="false" customHeight="false" outlineLevel="0" collapsed="false">
      <c r="A5" s="79" t="s">
        <v>79</v>
      </c>
      <c r="B5" s="83" t="n">
        <v>110.36915</v>
      </c>
      <c r="C5" s="83" t="n">
        <v>148.87776</v>
      </c>
      <c r="D5" s="81" t="n">
        <v>46387</v>
      </c>
      <c r="E5" s="80" t="n">
        <v>21</v>
      </c>
      <c r="F5" s="81" t="n">
        <v>46321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46321</v>
      </c>
    </row>
    <row r="7" customFormat="false" ht="15" hidden="false" customHeight="false" outlineLevel="0" collapsed="false">
      <c r="A7" s="79" t="s">
        <v>205</v>
      </c>
      <c r="B7" s="83" t="n">
        <v>33.61612</v>
      </c>
      <c r="C7" s="83" t="n">
        <v>37.34818</v>
      </c>
      <c r="D7" s="81" t="n">
        <v>46387</v>
      </c>
      <c r="E7" s="80" t="n">
        <v>6</v>
      </c>
      <c r="F7" s="81" t="n">
        <v>46321</v>
      </c>
    </row>
    <row r="8" customFormat="false" ht="15" hidden="false" customHeight="false" outlineLevel="0" collapsed="false">
      <c r="A8" s="79" t="s">
        <v>182</v>
      </c>
      <c r="B8" s="83" t="n">
        <v>75.77869</v>
      </c>
      <c r="C8" s="83" t="n">
        <v>118.705</v>
      </c>
      <c r="D8" s="81" t="n">
        <v>46387</v>
      </c>
      <c r="E8" s="80" t="n">
        <v>5</v>
      </c>
      <c r="F8" s="81" t="n">
        <v>46321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69.23754</v>
      </c>
      <c r="C10" s="83" t="n">
        <v>148.07204</v>
      </c>
      <c r="D10" s="81" t="n">
        <v>46387</v>
      </c>
      <c r="E10" s="80" t="n">
        <v>15</v>
      </c>
      <c r="F10" s="81" t="n">
        <v>46321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46321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46321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46321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46321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46321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46321</v>
      </c>
    </row>
    <row r="17" customFormat="false" ht="15" hidden="false" customHeight="false" outlineLevel="0" collapsed="false">
      <c r="A17" s="79" t="s">
        <v>216</v>
      </c>
      <c r="B17" s="83" t="n">
        <v>12.24733</v>
      </c>
      <c r="C17" s="83" t="n">
        <v>31.29397</v>
      </c>
      <c r="D17" s="81" t="n">
        <v>46387</v>
      </c>
      <c r="E17" s="80" t="n">
        <v>9</v>
      </c>
      <c r="F17" s="81" t="n">
        <v>46321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46321</v>
      </c>
    </row>
    <row r="20" customFormat="false" ht="15" hidden="false" customHeight="false" outlineLevel="0" collapsed="false">
      <c r="A20" s="79" t="s">
        <v>245</v>
      </c>
      <c r="B20" s="83" t="n">
        <v>53.92617</v>
      </c>
      <c r="C20" s="83" t="n">
        <v>123.89298</v>
      </c>
      <c r="D20" s="81" t="n">
        <v>46387</v>
      </c>
      <c r="E20" s="80" t="n">
        <v>17</v>
      </c>
      <c r="F20" s="81" t="n">
        <v>46321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46321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46321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46321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46321</v>
      </c>
    </row>
    <row r="26" customFormat="false" ht="15" hidden="false" customHeight="false" outlineLevel="0" collapsed="false">
      <c r="A26" s="79" t="s">
        <v>186</v>
      </c>
      <c r="B26" s="83" t="n">
        <v>343.635</v>
      </c>
      <c r="C26" s="83" t="n">
        <v>214.37418</v>
      </c>
      <c r="D26" s="81" t="n">
        <v>46387</v>
      </c>
      <c r="E26" s="80" t="n">
        <v>2</v>
      </c>
      <c r="F26" s="81" t="n">
        <v>46321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46321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46321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46321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46321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9755</v>
      </c>
      <c r="C2" s="81" t="n">
        <v>46321</v>
      </c>
      <c r="D2" s="81"/>
      <c r="E2" s="81" t="n">
        <v>46321</v>
      </c>
    </row>
    <row r="3" customFormat="false" ht="15" hidden="false" customHeight="false" outlineLevel="0" collapsed="false">
      <c r="A3" s="79" t="s">
        <v>220</v>
      </c>
      <c r="B3" s="83" t="n">
        <v>125.5</v>
      </c>
      <c r="C3" s="81" t="n">
        <v>46321</v>
      </c>
      <c r="D3" s="81"/>
      <c r="E3" s="81" t="n">
        <v>46321</v>
      </c>
    </row>
    <row r="4" customFormat="false" ht="15" hidden="false" customHeight="false" outlineLevel="0" collapsed="false">
      <c r="A4" s="79" t="s">
        <v>345</v>
      </c>
      <c r="B4" s="83" t="n">
        <v>507</v>
      </c>
      <c r="C4" s="81" t="n">
        <v>46321</v>
      </c>
      <c r="D4" s="81"/>
      <c r="E4" s="81" t="n">
        <v>46321</v>
      </c>
    </row>
    <row r="5" customFormat="false" ht="15" hidden="false" customHeight="false" outlineLevel="0" collapsed="false">
      <c r="A5" s="79" t="s">
        <v>79</v>
      </c>
      <c r="B5" s="83" t="n">
        <v>2385</v>
      </c>
      <c r="C5" s="81" t="n">
        <v>46321</v>
      </c>
      <c r="D5" s="81"/>
      <c r="E5" s="81" t="n">
        <v>46321</v>
      </c>
    </row>
    <row r="6" customFormat="false" ht="15" hidden="false" customHeight="false" outlineLevel="0" collapsed="false">
      <c r="A6" s="79" t="s">
        <v>236</v>
      </c>
      <c r="B6" s="83" t="n">
        <v>154.5</v>
      </c>
      <c r="C6" s="81" t="n">
        <v>46321</v>
      </c>
      <c r="D6" s="81"/>
      <c r="E6" s="81" t="n">
        <v>46321</v>
      </c>
    </row>
    <row r="7" customFormat="false" ht="15" hidden="false" customHeight="false" outlineLevel="0" collapsed="false">
      <c r="A7" s="79" t="s">
        <v>205</v>
      </c>
      <c r="B7" s="83" t="n">
        <v>349</v>
      </c>
      <c r="C7" s="81" t="n">
        <v>46321</v>
      </c>
      <c r="D7" s="81"/>
      <c r="E7" s="81" t="n">
        <v>46321</v>
      </c>
    </row>
    <row r="8" customFormat="false" ht="15" hidden="false" customHeight="false" outlineLevel="0" collapsed="false">
      <c r="A8" s="79" t="s">
        <v>182</v>
      </c>
      <c r="B8" s="83" t="n">
        <v>414</v>
      </c>
      <c r="C8" s="81" t="n">
        <v>46321</v>
      </c>
      <c r="D8" s="81"/>
      <c r="E8" s="81" t="n">
        <v>46321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4010</v>
      </c>
      <c r="C10" s="81" t="n">
        <v>46321</v>
      </c>
      <c r="D10" s="81"/>
      <c r="E10" s="81" t="n">
        <v>46321</v>
      </c>
    </row>
    <row r="11" customFormat="false" ht="15" hidden="false" customHeight="false" outlineLevel="0" collapsed="false">
      <c r="A11" s="79" t="s">
        <v>190</v>
      </c>
      <c r="B11" s="83" t="n">
        <v>467</v>
      </c>
      <c r="C11" s="81" t="n">
        <v>46321</v>
      </c>
      <c r="D11" s="81"/>
      <c r="E11" s="81" t="n">
        <v>46321</v>
      </c>
    </row>
    <row r="12" customFormat="false" ht="15" hidden="false" customHeight="false" outlineLevel="0" collapsed="false">
      <c r="A12" s="79" t="s">
        <v>224</v>
      </c>
      <c r="B12" s="83" t="n">
        <v>96.2</v>
      </c>
      <c r="C12" s="81" t="n">
        <v>46321</v>
      </c>
      <c r="D12" s="81"/>
      <c r="E12" s="81" t="n">
        <v>46321</v>
      </c>
    </row>
    <row r="13" customFormat="false" ht="15" hidden="false" customHeight="false" outlineLevel="0" collapsed="false">
      <c r="A13" s="79" t="s">
        <v>195</v>
      </c>
      <c r="B13" s="83" t="n">
        <v>583</v>
      </c>
      <c r="C13" s="81" t="n">
        <v>46321</v>
      </c>
      <c r="D13" s="81"/>
      <c r="E13" s="81" t="n">
        <v>46321</v>
      </c>
    </row>
    <row r="14" customFormat="false" ht="15" hidden="false" customHeight="false" outlineLevel="0" collapsed="false">
      <c r="A14" s="79" t="s">
        <v>210</v>
      </c>
      <c r="B14" s="83" t="n">
        <v>2375</v>
      </c>
      <c r="C14" s="81" t="n">
        <v>46321</v>
      </c>
      <c r="D14" s="81"/>
      <c r="E14" s="81" t="n">
        <v>46321</v>
      </c>
    </row>
    <row r="15" customFormat="false" ht="15" hidden="false" customHeight="false" outlineLevel="0" collapsed="false">
      <c r="A15" s="79" t="s">
        <v>230</v>
      </c>
      <c r="B15" s="83" t="n">
        <v>486</v>
      </c>
      <c r="C15" s="81" t="n">
        <v>46321</v>
      </c>
      <c r="D15" s="81"/>
      <c r="E15" s="81" t="n">
        <v>46321</v>
      </c>
    </row>
    <row r="16" customFormat="false" ht="15" hidden="false" customHeight="false" outlineLevel="0" collapsed="false">
      <c r="A16" s="79" t="s">
        <v>212</v>
      </c>
      <c r="B16" s="83" t="n">
        <v>552</v>
      </c>
      <c r="C16" s="81" t="n">
        <v>46321</v>
      </c>
      <c r="D16" s="81"/>
      <c r="E16" s="81" t="n">
        <v>46321</v>
      </c>
    </row>
    <row r="17" customFormat="false" ht="15" hidden="false" customHeight="false" outlineLevel="0" collapsed="false">
      <c r="A17" s="79" t="s">
        <v>216</v>
      </c>
      <c r="B17" s="83" t="n">
        <v>986</v>
      </c>
      <c r="C17" s="81" t="n">
        <v>46321</v>
      </c>
      <c r="D17" s="81"/>
      <c r="E17" s="81" t="n">
        <v>46321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506</v>
      </c>
      <c r="C19" s="81" t="n">
        <v>46321</v>
      </c>
      <c r="D19" s="81"/>
      <c r="E19" s="81" t="n">
        <v>46321</v>
      </c>
    </row>
    <row r="20" customFormat="false" ht="15" hidden="false" customHeight="false" outlineLevel="0" collapsed="false">
      <c r="A20" s="79" t="s">
        <v>245</v>
      </c>
      <c r="B20" s="83" t="n">
        <v>7585</v>
      </c>
      <c r="C20" s="81" t="n">
        <v>46321</v>
      </c>
      <c r="D20" s="81"/>
      <c r="E20" s="81" t="n">
        <v>46321</v>
      </c>
    </row>
    <row r="21" customFormat="false" ht="15" hidden="false" customHeight="false" outlineLevel="0" collapsed="false">
      <c r="A21" s="79" t="s">
        <v>241</v>
      </c>
      <c r="B21" s="83" t="n">
        <v>424</v>
      </c>
      <c r="C21" s="81" t="n">
        <v>46321</v>
      </c>
      <c r="D21" s="81"/>
      <c r="E21" s="81" t="n">
        <v>46321</v>
      </c>
    </row>
    <row r="22" customFormat="false" ht="15" hidden="false" customHeight="false" outlineLevel="0" collapsed="false">
      <c r="A22" s="79" t="s">
        <v>197</v>
      </c>
      <c r="B22" s="83" t="n">
        <v>1875</v>
      </c>
      <c r="C22" s="81" t="n">
        <v>46321</v>
      </c>
      <c r="D22" s="81"/>
      <c r="E22" s="81" t="n">
        <v>46321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103.5</v>
      </c>
      <c r="C24" s="81" t="n">
        <v>46321</v>
      </c>
      <c r="D24" s="81"/>
      <c r="E24" s="81" t="n">
        <v>46321</v>
      </c>
    </row>
    <row r="25" customFormat="false" ht="15" hidden="false" customHeight="false" outlineLevel="0" collapsed="false">
      <c r="A25" s="79" t="s">
        <v>232</v>
      </c>
      <c r="B25" s="83" t="n">
        <v>450</v>
      </c>
      <c r="C25" s="81" t="n">
        <v>46321</v>
      </c>
      <c r="D25" s="81"/>
      <c r="E25" s="81" t="n">
        <v>46321</v>
      </c>
    </row>
    <row r="26" customFormat="false" ht="15" hidden="false" customHeight="false" outlineLevel="0" collapsed="false">
      <c r="A26" s="79" t="s">
        <v>186</v>
      </c>
      <c r="B26" s="83" t="n">
        <v>1065</v>
      </c>
      <c r="C26" s="81" t="n">
        <v>46321</v>
      </c>
      <c r="D26" s="81"/>
      <c r="E26" s="81" t="n">
        <v>46321</v>
      </c>
    </row>
    <row r="27" customFormat="false" ht="15" hidden="false" customHeight="false" outlineLevel="0" collapsed="false">
      <c r="A27" s="79" t="s">
        <v>201</v>
      </c>
      <c r="B27" s="83" t="n">
        <v>550</v>
      </c>
      <c r="C27" s="81" t="n">
        <v>46321</v>
      </c>
      <c r="D27" s="81"/>
      <c r="E27" s="81" t="n">
        <v>46321</v>
      </c>
    </row>
    <row r="28" customFormat="false" ht="15" hidden="false" customHeight="false" outlineLevel="0" collapsed="false">
      <c r="A28" s="79" t="s">
        <v>218</v>
      </c>
      <c r="B28" s="83" t="n">
        <v>1410</v>
      </c>
      <c r="C28" s="81" t="n">
        <v>46321</v>
      </c>
      <c r="D28" s="81"/>
      <c r="E28" s="81" t="n">
        <v>46321</v>
      </c>
    </row>
    <row r="29" customFormat="false" ht="15" hidden="false" customHeight="false" outlineLevel="0" collapsed="false">
      <c r="A29" s="79" t="s">
        <v>243</v>
      </c>
      <c r="B29" s="83" t="n">
        <v>454</v>
      </c>
      <c r="C29" s="81" t="n">
        <v>46321</v>
      </c>
      <c r="D29" s="81"/>
      <c r="E29" s="81" t="n">
        <v>46321</v>
      </c>
    </row>
    <row r="30" customFormat="false" ht="15" hidden="false" customHeight="false" outlineLevel="0" collapsed="false">
      <c r="A30" s="79" t="s">
        <v>228</v>
      </c>
      <c r="B30" s="83" t="n">
        <v>1880</v>
      </c>
      <c r="C30" s="81" t="n">
        <v>46321</v>
      </c>
      <c r="D30" s="81"/>
      <c r="E30" s="81" t="n">
        <v>46321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141.914559287671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27.6425591098748</v>
      </c>
      <c r="K2" s="52" t="n">
        <f aca="false">IF($A2="","",IFERROR(IF(G2&lt;=0,"N/M",D2/G2),"N/M"))</f>
        <v>24.5796544152119</v>
      </c>
      <c r="L2" s="52" t="n">
        <f aca="false">IF($A2="","",IFERROR(IF(H2&lt;=0,"N/M",D2/H2),"N/M"))</f>
        <v>16.805886668509</v>
      </c>
      <c r="M2" s="49" t="n">
        <f aca="false">IF($A2="","",IFERROR(INDEX(Raw_Est!$C$2:$C$100,MATCH($A2,Raw_Est!$A$2:$A$100,0))/INDEX(Raw_Est!$B$2:$B$100,MATCH($A2,Raw_Est!$A$2:$A$100,0))-1,""))</f>
        <v>0.348907371308015</v>
      </c>
      <c r="N2" s="51" t="n">
        <f aca="false">IF($A2="","",IFERROR(IF(OR(NOT(ISNUMBER(J2)),I2&lt;Config!$B$6),"N/M",J2/(I2*100)),"N/M"))</f>
        <v>0.519370204697048</v>
      </c>
      <c r="O2" s="51" t="n">
        <f aca="false">IF($A2="","",IFERROR(IF(OR(NOT(ISNUMBER(L2)),M2&lt;Config!$B$6),"N/M",L2/(M2*100)),"N/M"))</f>
        <v>0.481671871978674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0.0092243606624738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0.444947607890085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46321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414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110.94298230137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15.2486187845304</v>
      </c>
      <c r="K3" s="52" t="n">
        <f aca="false">IF($A3="","",IFERROR(IF(G3&lt;=0,"N/M",D3/G3),"N/M"))</f>
        <v>8.71618399569665</v>
      </c>
      <c r="L3" s="52" t="n">
        <f aca="false">IF($A3="","",IFERROR(IF(H3&lt;=0,"N/M",D3/H3),"N/M"))</f>
        <v>3.73164657567429</v>
      </c>
      <c r="M3" s="49" t="n">
        <f aca="false">IF($A3="","",IFERROR(INDEX(Raw_Est!$C$2:$C$100,MATCH($A3,Raw_Est!$A$2:$A$100,0))/INDEX(Raw_Est!$B$2:$B$100,MATCH($A3,Raw_Est!$A$2:$A$100,0))-1,""))</f>
        <v>0.566469412442997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0.0658755176132268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0.810551818481909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5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46321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1065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237.747369369863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4.47954483291541</v>
      </c>
      <c r="M4" s="49" t="n">
        <f aca="false">IF($A4="","",IFERROR(INDEX(Raw_Est!$C$2:$C$100,MATCH($A4,Raw_Est!$A$2:$A$100,0))/INDEX(Raw_Est!$B$2:$B$100,MATCH($A4,Raw_Est!$A$2:$A$100,0))-1,""))</f>
        <v>-0.376157318084596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46321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467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8.7631701369863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113.349514563107</v>
      </c>
      <c r="K5" s="52" t="n">
        <f aca="false">IF($A5="","",IFERROR(IF(G5&lt;=0,"N/M",D5/G5),"N/M"))</f>
        <v>99.482562858281</v>
      </c>
      <c r="L5" s="52" t="n">
        <f aca="false">IF($A5="","",IFERROR(IF(H5&lt;=0,"N/M",D5/H5),"N/M"))</f>
        <v>53.2912168427445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1.84102714736256</v>
      </c>
      <c r="O5" s="51" t="n">
        <f aca="false">IF($A5="","",IFERROR(IF(OR(NOT(ISNUMBER(L5)),M5&lt;Config!$B$6),"N/M",L5/(M5*100)),"N/M"))</f>
        <v>0.782803017608585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0.00561147008565311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46321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583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35.1444402191781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20.3348447854901</v>
      </c>
      <c r="K6" s="52" t="n">
        <f aca="false">IF($A6="","",IFERROR(IF(G6&lt;=0,"N/M",D6/G6),"N/M"))</f>
        <v>18.0872051483073</v>
      </c>
      <c r="L6" s="52" t="n">
        <f aca="false">IF($A6="","",IFERROR(IF(H6&lt;=0,"N/M",D6/H6),"N/M"))</f>
        <v>16.5886836257492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0.0480274442538593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46321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1875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118.057815534247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34.384742343664</v>
      </c>
      <c r="K7" s="52" t="n">
        <f aca="false">IF($A7="","",IFERROR(IF(G7&lt;=0,"N/M",D7/G7),"N/M"))</f>
        <v>31.3735332873188</v>
      </c>
      <c r="L7" s="52" t="n">
        <f aca="false">IF($A7="","",IFERROR(IF(H7&lt;=0,"N/M",D7/H7),"N/M"))</f>
        <v>15.8820489055728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0.598363631839741</v>
      </c>
      <c r="O7" s="51" t="n">
        <f aca="false">IF($A7="","",IFERROR(IF(OR(NOT(ISNUMBER(L7)),M7&lt;Config!$B$6),"N/M",L7/(M7*100)),"N/M"))</f>
        <v>0.19247100049261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0.00560292399466667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46321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550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33.3805726027397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16.4766496532435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1.48101044371045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46321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36.6733417534247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13.0662673156121</v>
      </c>
      <c r="K9" s="52" t="n">
        <f aca="false">IF($A9="","",IFERROR(IF(G9&lt;=0,"N/M",D9/G9),"N/M"))</f>
        <v>11.4928675066669</v>
      </c>
      <c r="L9" s="52" t="n">
        <f aca="false">IF($A9="","",IFERROR(IF(H9&lt;=0,"N/M",D9/H9),"N/M"))</f>
        <v>9.5164493693136</v>
      </c>
      <c r="M9" s="49" t="n">
        <f aca="false">IF($A9="","",IFERROR(INDEX(Raw_Est!$C$2:$C$100,MATCH($A9,Raw_Est!$A$2:$A$100,0))/INDEX(Raw_Est!$B$2:$B$100,MATCH($A9,Raw_Est!$A$2:$A$100,0))-1,""))</f>
        <v>0.111019951142487</v>
      </c>
      <c r="N9" s="51" t="n">
        <f aca="false">IF($A9="","",IFERROR(IF(OR(NOT(ISNUMBER(J9)),I9&lt;Config!$B$6),"N/M",J9/(I9*100)),"N/M"))</f>
        <v>0.2085015639673</v>
      </c>
      <c r="O9" s="51" t="n">
        <f aca="false">IF($A9="","",IFERROR(IF(OR(NOT(ISNUMBER(L9)),M9&lt;Config!$B$6),"N/M",L9/(M9*100)),"N/M"))</f>
        <v>0.857183710799855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0.0286532951289398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0.338527322333926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6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46321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9755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470.160827123288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53.7791498980098</v>
      </c>
      <c r="K10" s="52" t="n">
        <f aca="false">IF($A10="","",IFERROR(IF(G10&lt;=0,"N/M",D10/G10),"N/M"))</f>
        <v>36.639770583579</v>
      </c>
      <c r="L10" s="52" t="n">
        <f aca="false">IF($A10="","",IFERROR(IF(H10&lt;=0,"N/M",D10/H10),"N/M"))</f>
        <v>20.7482194118269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0.319112928286241</v>
      </c>
      <c r="O10" s="51" t="n">
        <f aca="false">IF($A10="","",IFERROR(IF(OR(NOT(ISNUMBER(L10)),M10&lt;Config!$B$6),"N/M",L10/(M10*100)),"N/M"))</f>
        <v>0.498771650574711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0.00330087134802665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46321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2375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35.8166273424658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211.864406779661</v>
      </c>
      <c r="K11" s="52" t="n">
        <f aca="false">IF($A11="","",IFERROR(IF(G11&lt;=0,"N/M",D11/G11),"N/M"))</f>
        <v>149.183417085427</v>
      </c>
      <c r="L11" s="52" t="n">
        <f aca="false">IF($A11="","",IFERROR(IF(H11&lt;=0,"N/M",D11/H11),"N/M"))</f>
        <v>66.3099843905207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0.376103831363054</v>
      </c>
      <c r="O11" s="51" t="n">
        <f aca="false">IF($A11="","",IFERROR(IF(OR(NOT(ISNUMBER(L11)),M11&lt;Config!$B$6),"N/M",L11/(M11*100)),"N/M"))</f>
        <v>0.657324597540266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0.000210535642105263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46321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552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57.2614107883818</v>
      </c>
      <c r="K12" s="52" t="n">
        <f aca="false">IF($A12="","",IFERROR(IF(G12&lt;=0,"N/M",D12/G12),"N/M"))</f>
        <v>80.466472303207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0.21483239710905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46321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986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27.8499200273973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167.118644067797</v>
      </c>
      <c r="K13" s="52" t="n">
        <f aca="false">IF($A13="","",IFERROR(IF(G13&lt;=0,"N/M",D13/G13),"N/M"))</f>
        <v>118.306986231515</v>
      </c>
      <c r="L13" s="52" t="n">
        <f aca="false">IF($A13="","",IFERROR(IF(H13&lt;=0,"N/M",D13/H13),"N/M"))</f>
        <v>35.4040513951216</v>
      </c>
      <c r="M13" s="49" t="n">
        <f aca="false">IF($A13="","",IFERROR(INDEX(Raw_Est!$C$2:$C$100,MATCH($A13,Raw_Est!$A$2:$A$100,0))/INDEX(Raw_Est!$B$2:$B$100,MATCH($A13,Raw_Est!$A$2:$A$100,0))-1,""))</f>
        <v>1.55516671797037</v>
      </c>
      <c r="N13" s="51" t="n">
        <f aca="false">IF($A13="","",IFERROR(IF(OR(NOT(ISNUMBER(J13)),I13&lt;Config!$B$6),"N/M",J13/(I13*100)),"N/M"))</f>
        <v>0.431158975100286</v>
      </c>
      <c r="O13" s="51" t="n">
        <f aca="false">IF($A13="","",IFERROR(IF(OR(NOT(ISNUMBER(L13)),M13&lt;Config!$B$6),"N/M",L13/(M13*100)),"N/M"))</f>
        <v>0.227654379340931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0.00101437315415822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0.145125372919156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46321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1410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117.705917808219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11.9790068864451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0.109254039862989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46321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125.5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7.33210317808219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18.7874251497006</v>
      </c>
      <c r="K15" s="52" t="n">
        <f aca="false">IF($A15="","",IFERROR(IF(G15&lt;=0,"N/M",D15/G15),"N/M"))</f>
        <v>18.2111036944598</v>
      </c>
      <c r="L15" s="52" t="n">
        <f aca="false">IF($A15="","",IFERROR(IF(H15&lt;=0,"N/M",D15/H15),"N/M"))</f>
        <v>17.1165076311469</v>
      </c>
      <c r="M15" s="49" t="n">
        <f aca="false">IF($A15="","",IFERROR(INDEX(Raw_Est!$C$2:$C$100,MATCH($A15,Raw_Est!$A$2:$A$100,0))/INDEX(Raw_Est!$B$2:$B$100,MATCH($A15,Raw_Est!$A$2:$A$100,0))-1,""))</f>
        <v>0.0315988302948049</v>
      </c>
      <c r="N15" s="51" t="n">
        <f aca="false">IF($A15="","",IFERROR(IF(OR(NOT(ISNUMBER(J15)),I15&lt;Config!$B$6),"N/M",J15/(I15*100)),"N/M"))</f>
        <v>0.169675606052852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0.202489003331745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14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46321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4010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133.817034520548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66.073488218817</v>
      </c>
      <c r="K16" s="52" t="n">
        <f aca="false">IF($A16="","",IFERROR(IF(G16&lt;=0,"N/M",D16/G16),"N/M"))</f>
        <v>66.5181040382959</v>
      </c>
      <c r="L16" s="52" t="n">
        <f aca="false">IF($A16="","",IFERROR(IF(H16&lt;=0,"N/M",D16/H16),"N/M"))</f>
        <v>29.9662895263477</v>
      </c>
      <c r="M16" s="49" t="n">
        <f aca="false">IF($A16="","",IFERROR(INDEX(Raw_Est!$C$2:$C$100,MATCH($A16,Raw_Est!$A$2:$A$100,0))/INDEX(Raw_Est!$B$2:$B$100,MATCH($A16,Raw_Est!$A$2:$A$100,0))-1,""))</f>
        <v>1.13860919957584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0.263183272518006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0.0134663883965087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0.261792381079974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46321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35.6296296296296</v>
      </c>
      <c r="K17" s="52" t="n">
        <f aca="false">IF($A17="","",IFERROR(IF(G17&lt;=0,"N/M",D17/G17),"N/M"))</f>
        <v>30.7348242811502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46321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103.5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7.14095860273973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17.4831081081081</v>
      </c>
      <c r="K18" s="52" t="n">
        <f aca="false">IF($A18="","",IFERROR(IF(G18&lt;=0,"N/M",D18/G18),"N/M"))</f>
        <v>18.1560791289292</v>
      </c>
      <c r="L18" s="52" t="n">
        <f aca="false">IF($A18="","",IFERROR(IF(H18&lt;=0,"N/M",D18/H18),"N/M"))</f>
        <v>14.4938524024339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0.709784303534303</v>
      </c>
      <c r="O18" s="51" t="n">
        <f aca="false">IF($A18="","",IFERROR(IF(OR(NOT(ISNUMBER(L18)),M18&lt;Config!$B$6),"N/M",L18/(M18*100)),"N/M"))</f>
        <v>0.508804688917207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0.0387385201932367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46321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1880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305.187815260274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6.16014108688014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46321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486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9.78775868493151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57.1092831962397</v>
      </c>
      <c r="K20" s="52" t="n">
        <f aca="false">IF($A20="","",IFERROR(IF(G20&lt;=0,"N/M",D20/G20),"N/M"))</f>
        <v>59.9427213995515</v>
      </c>
      <c r="L20" s="52" t="n">
        <f aca="false">IF($A20="","",IFERROR(IF(H20&lt;=0,"N/M",D20/H20),"N/M"))</f>
        <v>49.6538600556437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1.59359220023165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0.00411522633744856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46321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450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12.9112602739726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73.1707317073171</v>
      </c>
      <c r="K21" s="52" t="n">
        <f aca="false">IF($A21="","",IFERROR(IF(G21&lt;=0,"N/M",D21/G21),"N/M"))</f>
        <v>66.2739322533137</v>
      </c>
      <c r="L21" s="52" t="n">
        <f aca="false">IF($A21="","",IFERROR(IF(H21&lt;=0,"N/M",D21/H21),"N/M"))</f>
        <v>34.8532978540554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1.63671373555841</v>
      </c>
      <c r="O21" s="51" t="n">
        <f aca="false">IF($A21="","",IFERROR(IF(OR(NOT(ISNUMBER(L21)),M21&lt;Config!$B$6),"N/M",L21/(M21*100)),"N/M"))</f>
        <v>0.382145209408708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0.0034325174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46321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506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8.89407032876712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56.8918370662514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46321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154.5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47.6425553150685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17.0529801324503</v>
      </c>
      <c r="K23" s="52" t="n">
        <f aca="false">IF($A23="","",IFERROR(IF(G23&lt;=0,"N/M",D23/G23),"N/M"))</f>
        <v>9.35851470377121</v>
      </c>
      <c r="L23" s="52" t="n">
        <f aca="false">IF($A23="","",IFERROR(IF(H23&lt;=0,"N/M",D23/H23),"N/M"))</f>
        <v>3.24289910518579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0.0303822586087709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0.00323624595469256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46321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424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86.1788617886179</v>
      </c>
      <c r="K25" s="52" t="n">
        <f aca="false">IF($A25="","",IFERROR(IF(G25&lt;=0,"N/M",D25/G25),"N/M"))</f>
        <v>98.3758700696056</v>
      </c>
      <c r="L25" s="52" t="n">
        <f aca="false">IF($A25="","",IFERROR(IF(H25&lt;=0,"N/M",D25/H25),"N/M"))</f>
        <v>35.421888053467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0.00235849056603774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46321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454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13.3018082191781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34.1306980614439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0.135399661413772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46321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7585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111.241447232877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194.437323763138</v>
      </c>
      <c r="K27" s="52" t="n">
        <f aca="false">IF($A27="","",IFERROR(IF(G27&lt;=0,"N/M",D27/G27),"N/M"))</f>
        <v>168.967799437784</v>
      </c>
      <c r="L27" s="52" t="n">
        <f aca="false">IF($A27="","",IFERROR(IF(H27&lt;=0,"N/M",D27/H27),"N/M"))</f>
        <v>68.1850172635861</v>
      </c>
      <c r="M27" s="49" t="n">
        <f aca="false">IF($A27="","",IFERROR(INDEX(Raw_Est!$C$2:$C$100,MATCH($A27,Raw_Est!$A$2:$A$100,0))/INDEX(Raw_Est!$B$2:$B$100,MATCH($A27,Raw_Est!$A$2:$A$100,0))-1,""))</f>
        <v>1.29745557676356</v>
      </c>
      <c r="N27" s="51" t="n">
        <f aca="false">IF($A27="","",IFERROR(IF(OR(NOT(ISNUMBER(J27)),I27&lt;Config!$B$6),"N/M",J27/(I27*100)),"N/M"))</f>
        <v>4.39230178325417</v>
      </c>
      <c r="O27" s="51" t="n">
        <f aca="false">IF($A27="","",IFERROR(IF(OR(NOT(ISNUMBER(L27)),M27&lt;Config!$B$6),"N/M",L27/(M27*100)),"N/M"))</f>
        <v>0.525528723177329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0.002636783124588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0.536692293539164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46321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2026-10-26T13:28:31Z</dcterms:created>
  <dc:creator>openpyxl</dc:creator>
  <dc:description/>
  <dc:language>en-US</dc:language>
  <cp:lastModifiedBy/>
  <dcterms:modified xsi:type="dcterms:W3CDTF">2026-10-26T13:28:31Z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