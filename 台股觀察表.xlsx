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<sst xmlns="http://schemas.openxmlformats.org/spreadsheetml/2006/main" count="8221" uniqueCount="1533">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</sst>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BC88F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2475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0.434791782947913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28.6856745479833</v>
      </c>
      <c r="P3" s="22" t="n">
        <f aca="false">IF(Calc!$A$2="","",Calc!L$2)</f>
        <v>18.5212179659382</v>
      </c>
      <c r="Q3" s="18" t="n">
        <f aca="false">IF(Calc!$A$2="","",Calc!N$2)</f>
        <v>0.538969080345993</v>
      </c>
      <c r="R3" s="18" t="n">
        <f aca="false">IF(Calc!$A$2="","",Calc!O$2)</f>
        <v>0.568905244979764</v>
      </c>
      <c r="S3" s="19" t="n">
        <f aca="false">IF(Calc!$A$2="","",Calc!Q$2)</f>
        <v>0.00888892936565657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503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18.5267034990792</v>
      </c>
      <c r="P4" s="22" t="n">
        <f aca="false">IF(Calc!$A$3="","",Calc!L$3)</f>
        <v>5.38609744552376</v>
      </c>
      <c r="Q4" s="18" t="str">
        <f aca="false">IF(Calc!$A$3="","",Calc!N$3)</f>
        <v>N/M</v>
      </c>
      <c r="R4" s="18" t="n">
        <f aca="false">IF(Calc!$A$3="","",Calc!O$3)</f>
        <v>0.114821064630573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1305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5.50825641084816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554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134.466019417476</v>
      </c>
      <c r="P6" s="22" t="n">
        <f aca="false">IF(Calc!$A$5="","",Calc!L$5)</f>
        <v>66.8262044117126</v>
      </c>
      <c r="Q6" s="18" t="n">
        <f aca="false">IF(Calc!$A$5="","",Calc!N$5)</f>
        <v>2.18400222620741</v>
      </c>
      <c r="R6" s="18" t="n">
        <f aca="false">IF(Calc!$A$5="","",Calc!O$5)</f>
        <v>0.988202242222907</v>
      </c>
      <c r="S6" s="19" t="n">
        <f aca="false">IF(Calc!$A$5="","",Calc!Q$5)</f>
        <v>0.00473024644404332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543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18.9396581792815</v>
      </c>
      <c r="P7" s="22" t="n">
        <f aca="false">IF(Calc!$A$6="","",Calc!L$6)</f>
        <v>15.5615472600802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0.0515653775322284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2340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0.268322450893555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42.9121584448927</v>
      </c>
      <c r="P8" s="22" t="n">
        <f aca="false">IF(Calc!$A$7="","",Calc!L$7)</f>
        <v>22.6533674571679</v>
      </c>
      <c r="Q8" s="18" t="n">
        <f aca="false">IF(Calc!$A$7="","",Calc!N$7)</f>
        <v>0.746757812535997</v>
      </c>
      <c r="R8" s="18" t="n">
        <f aca="false">IF(Calc!$A$7="","",Calc!O$7)</f>
        <v>0.322827898759896</v>
      </c>
      <c r="S8" s="19" t="n">
        <f aca="false">IF(Calc!$A$7="","",Calc!Q$7)</f>
        <v>0.00448952243162393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542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16.2352290436865</v>
      </c>
      <c r="Q9" s="18" t="str">
        <f aca="false">IF(Calc!$A$8="","",Calc!N$8)</f>
        <v>N/M</v>
      </c>
      <c r="R9" s="18" t="n">
        <f aca="false">IF(Calc!$A$8="","",Calc!O$8)</f>
        <v>1.28493846446793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361.5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13.5342568326469</v>
      </c>
      <c r="P10" s="22" t="n">
        <f aca="false">IF(Calc!$A$9="","",Calc!L$9)</f>
        <v>9.94466914890111</v>
      </c>
      <c r="Q10" s="18" t="n">
        <f aca="false">IF(Calc!$A$9="","",Calc!N$9)</f>
        <v>0.2159693850263</v>
      </c>
      <c r="R10" s="18" t="n">
        <f aca="false">IF(Calc!$A$9="","",Calc!O$9)</f>
        <v>0.99082391736901</v>
      </c>
      <c r="S10" s="19" t="n">
        <f aca="false">IF(Calc!$A$9="","",Calc!Q$9)</f>
        <v>0.0276625172890733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12350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68.0853409780032</v>
      </c>
      <c r="P11" s="22" t="n">
        <f aca="false">IF(Calc!$A$10="","",Calc!L$10)</f>
        <v>26.9005169032654</v>
      </c>
      <c r="Q11" s="18" t="n">
        <f aca="false">IF(Calc!$A$10="","",Calc!N$10)</f>
        <v>0.404002528378787</v>
      </c>
      <c r="R11" s="18" t="n">
        <f aca="false">IF(Calc!$A$10="","",Calc!O$10)</f>
        <v>0.651263742802418</v>
      </c>
      <c r="S11" s="19" t="n">
        <f aca="false">IF(Calc!$A$10="","",Calc!Q$10)</f>
        <v>0.00260728744939271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2700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240.85637823372</v>
      </c>
      <c r="P12" s="22" t="n">
        <f aca="false">IF(Calc!$A$11="","",Calc!L$11)</f>
        <v>79.0870993536023</v>
      </c>
      <c r="Q12" s="18" t="n">
        <f aca="false">IF(Calc!$A$11="","",Calc!N$11)</f>
        <v>0.427570671444314</v>
      </c>
      <c r="R12" s="18" t="n">
        <f aca="false">IF(Calc!$A$11="","",Calc!O$11)</f>
        <v>0.797783657975344</v>
      </c>
      <c r="S12" s="19" t="n">
        <f aca="false">IF(Calc!$A$11="","",Calc!Q$11)</f>
        <v>0.000185193388888889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67.7385892116183</v>
      </c>
      <c r="P13" s="22" t="str">
        <f aca="false">IF(Calc!$A$12="","",Calc!L$12)</f>
        <v>N/M</v>
      </c>
      <c r="Q13" s="18" t="n">
        <f aca="false">IF(Calc!$A$12="","",Calc!N$12)</f>
        <v>0.254140498754003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962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163.050847457627</v>
      </c>
      <c r="P14" s="22" t="n">
        <f aca="false">IF(Calc!$A$13="","",Calc!L$13)</f>
        <v>43.3294692408907</v>
      </c>
      <c r="Q14" s="18" t="n">
        <f aca="false">IF(Calc!$A$13="","",Calc!N$13)</f>
        <v>0.420664233312855</v>
      </c>
      <c r="R14" s="18" t="n">
        <f aca="false">IF(Calc!$A$13="","",Calc!O$13)</f>
        <v>0.281248981922259</v>
      </c>
      <c r="S14" s="19" t="n">
        <f aca="false">IF(Calc!$A$13="","",Calc!Q$13)</f>
        <v>0.00103967976091476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1530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13.6690835900748</v>
      </c>
      <c r="Q15" s="18" t="str">
        <f aca="false">IF(Calc!$A$14="","",Calc!N$14)</f>
        <v>N/M</v>
      </c>
      <c r="R15" s="18" t="n">
        <f aca="false">IF(Calc!$A$14="","",Calc!O$14)</f>
        <v>0.124668314961103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154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23.0538922155689</v>
      </c>
      <c r="P16" s="22" t="n">
        <f aca="false">IF(Calc!$A$15="","",Calc!L$15)</f>
        <v>21.5464200293466</v>
      </c>
      <c r="Q16" s="18" t="n">
        <f aca="false">IF(Calc!$A$15="","",Calc!N$15)</f>
        <v>0.20820751659075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5285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0.257207562099892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87.0818915801615</v>
      </c>
      <c r="P17" s="22" t="n">
        <f aca="false">IF(Calc!$A$16="","",Calc!L$16)</f>
        <v>42.2264659944286</v>
      </c>
      <c r="Q17" s="18" t="str">
        <f aca="false">IF(Calc!$A$16="","",Calc!N$16)</f>
        <v>N/M</v>
      </c>
      <c r="R17" s="18" t="n">
        <f aca="false">IF(Calc!$A$16="","",Calc!O$16)</f>
        <v>0.369151104987742</v>
      </c>
      <c r="S17" s="19" t="n">
        <f aca="false">IF(Calc!$A$16="","",Calc!Q$16)</f>
        <v>0.0102176381210974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88.9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32.9259259259259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91.3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15.4222972972973</v>
      </c>
      <c r="P19" s="22" t="n">
        <f aca="false">IF(Calc!$A$18="","",Calc!L$18)</f>
        <v>13.4191242394705</v>
      </c>
      <c r="Q19" s="18" t="n">
        <f aca="false">IF(Calc!$A$18="","",Calc!N$18)</f>
        <v>0.626118907368907</v>
      </c>
      <c r="R19" s="18" t="n">
        <f aca="false">IF(Calc!$A$18="","",Calc!O$18)</f>
        <v>0.483718668091135</v>
      </c>
      <c r="S19" s="19" t="n">
        <f aca="false">IF(Calc!$A$18="","",Calc!Q$18)</f>
        <v>0.0439149708652793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2125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7.27136857527422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58.9894242068155</v>
      </c>
      <c r="P21" s="22" t="n">
        <f aca="false">IF(Calc!$A$20="","",Calc!L$20)</f>
        <v>53.7712056358868</v>
      </c>
      <c r="Q21" s="18" t="str">
        <f aca="false">IF(Calc!$A$20="","",Calc!N$20)</f>
        <v>N/M</v>
      </c>
      <c r="R21" s="18" t="n">
        <f aca="false">IF(Calc!$A$20="","",Calc!O$20)</f>
        <v>1.83751821640318</v>
      </c>
      <c r="S21" s="19" t="n">
        <f aca="false">IF(Calc!$A$20="","",Calc!Q$20)</f>
        <v>0.00398406374501992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563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91.5447154471545</v>
      </c>
      <c r="P22" s="22" t="n">
        <f aca="false">IF(Calc!$A$21="","",Calc!L$21)</f>
        <v>45.628343106844</v>
      </c>
      <c r="Q22" s="18" t="n">
        <f aca="false">IF(Calc!$A$21="","",Calc!N$21)</f>
        <v>2.0477107402653</v>
      </c>
      <c r="R22" s="18" t="n">
        <f aca="false">IF(Calc!$A$21="","",Calc!O$21)</f>
        <v>0.500287026052785</v>
      </c>
      <c r="S22" s="19" t="n">
        <f aca="false">IF(Calc!$A$21="","",Calc!Q$21)</f>
        <v>0.00274357518650089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652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52.2368812400058</v>
      </c>
      <c r="Q23" s="18" t="str">
        <f aca="false">IF(Calc!$A$22="","",Calc!N$22)</f>
        <v>N/M</v>
      </c>
      <c r="R23" s="18" t="n">
        <f aca="false">IF(Calc!$A$22="","",Calc!O$22)</f>
        <v>0.00640464153959402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18.9293598233996</v>
      </c>
      <c r="P24" s="22" t="n">
        <f aca="false">IF(Calc!$A$23="","",Calc!L$23)</f>
        <v>3.88490778338896</v>
      </c>
      <c r="Q24" s="18" t="str">
        <f aca="false">IF(Calc!$A$23="","",Calc!N$23)</f>
        <v>N/M</v>
      </c>
      <c r="R24" s="18" t="n">
        <f aca="false">IF(Calc!$A$23="","",Calc!O$23)</f>
        <v>0.0389900715853391</v>
      </c>
      <c r="S24" s="19" t="n">
        <f aca="false">IF(Calc!$A$23="","",Calc!Q$23)</f>
        <v>0.00291545189504373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513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104.268292682927</v>
      </c>
      <c r="P26" s="22" t="n">
        <f aca="false">IF(Calc!$A$25="","",Calc!L$25)</f>
        <v>42.8571428571429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0.00194931773879142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44.5543547304247</v>
      </c>
      <c r="Q27" s="18" t="str">
        <f aca="false">IF(Calc!$A$26="","",Calc!N$26)</f>
        <v>N/M</v>
      </c>
      <c r="R27" s="18" t="n">
        <f aca="false">IF(Calc!$A$26="","",Calc!O$26)</f>
        <v>0.240088066982225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8525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218.533709305306</v>
      </c>
      <c r="P28" s="22" t="n">
        <f aca="false">IF(Calc!$A$27="","",Calc!L$27)</f>
        <v>84.0621611518716</v>
      </c>
      <c r="Q28" s="18" t="n">
        <f aca="false">IF(Calc!$A$27="","",Calc!N$27)</f>
        <v>4.93663450260274</v>
      </c>
      <c r="R28" s="18" t="n">
        <f aca="false">IF(Calc!$A$27="","",Calc!O$27)</f>
        <v>0.66468354134201</v>
      </c>
      <c r="S28" s="19" t="n">
        <f aca="false">IF(Calc!$A$27="","",Calc!Q$27)</f>
        <v>0.00234604105571848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4">
      <formula>"N/M"</formula>
    </cfRule>
  </conditionalFormatting>
  <conditionalFormatting sqref="Q3:Q33">
    <cfRule type="cellIs" priority="8" operator="lessThan" aboveAverage="0" equalAverage="0" bottom="0" percent="0" rank="0" text="" dxfId="65">
      <formula>1.5</formula>
    </cfRule>
  </conditionalFormatting>
  <conditionalFormatting sqref="R3:R33">
    <cfRule type="cellIs" priority="9" operator="lessThan" aboveAverage="0" equalAverage="0" bottom="0" percent="0" rank="0" text="" dxfId="65">
      <formula>1.5</formula>
    </cfRule>
  </conditionalFormatting>
  <conditionalFormatting sqref="L3:L33">
    <cfRule type="cellIs" priority="10" operator="equal" aboveAverage="0" equalAverage="0" bottom="0" percent="0" rank="0" text="" dxfId="65">
      <formula>"成長且加速"</formula>
    </cfRule>
    <cfRule type="cellIs" priority="11" operator="equal" aboveAverage="0" equalAverage="0" bottom="0" percent="0" rank="0" text="" dxfId="66">
      <formula>"成長但減速"</formula>
    </cfRule>
    <cfRule type="cellIs" priority="12" operator="equal" aboveAverage="0" equalAverage="0" bottom="0" percent="0" rank="0" text="" dxfId="66">
      <formula>"衰退但收斂"</formula>
    </cfRule>
    <cfRule type="cellIs" priority="13" operator="equal" aboveAverage="0" equalAverage="0" bottom="0" percent="0" rank="0" text="" dxfId="67">
      <formula>"衰退且惡化"</formula>
    </cfRule>
  </conditionalFormatting>
  <conditionalFormatting sqref="A3:W33">
    <cfRule type="expression" priority="14" aboveAverage="0" equalAverage="0" bottom="0" percent="0" rank="0" text="" dxfId="6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2475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46290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28.6856745479833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18.5212179659382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0.538969080345993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0.568905244979764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133.630520657534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0.00888892936565657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0.434791782947913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0.325558924432082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2475</v>
      </c>
      <c r="L12" s="55" t="n">
        <f aca="false">IF(Stock_Card!$B$2="","",IFERROR(INDEX(Calc!$Q$2:$Q$100,MATCH(Stock_Card!$B$2,Calc!$A$2:$A$100,0)),""))</f>
        <v>0.00888892936565657</v>
      </c>
      <c r="M12" s="58" t="n">
        <f aca="false">IF(Stock_Card!$B$2="","",IFERROR(INDEX(Calc!$J$2:$J$100,MATCH(Stock_Card!$B$2,Calc!$A$2:$A$100,0)),""))</f>
        <v>28.6856745479833</v>
      </c>
      <c r="N12" s="57" t="n">
        <f aca="false">IF(Stock_Card!$B$2="","",IFERROR(INDEX(Calc!$N$2:$N$100,MATCH(Stock_Card!$B$2,Calc!$A$2:$A$100,0)),""))</f>
        <v>0.538969080345993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133.630520657534</v>
      </c>
      <c r="H13" s="55" t="n">
        <f aca="false">IF(Stock_Card!$B$2="","",IFERROR(INDEX(Calc!$M$2:$M$100,MATCH(Stock_Card!$B$2,Calc!$A$2:$A$100,0)),""))</f>
        <v>0.325558924432082</v>
      </c>
      <c r="I13" s="55" t="n">
        <f aca="false">IF(Stock_Card!$B$2="","",IFERROR(INDEX(Calc!$AI$2:$AI$100,MATCH(Stock_Card!$B$2,Calc!$A$2:$A$100,0)),""))</f>
        <v>0.434791782947913</v>
      </c>
      <c r="J13" s="59"/>
      <c r="K13" s="59"/>
      <c r="L13" s="59"/>
      <c r="M13" s="58" t="n">
        <f aca="false">IF(Stock_Card!$B$2="","",IFERROR(INDEX(Calc!$L$2:$L$100,MATCH(Stock_Card!$B$2,Calc!$A$2:$A$100,0)),""))</f>
        <v>18.5212179659382</v>
      </c>
      <c r="N13" s="57" t="n">
        <f aca="false">IF(Stock_Card!$B$2="","",IFERROR(INDEX(Calc!$O$2:$O$100,MATCH(Stock_Card!$B$2,Calc!$A$2:$A$100,0)),""))</f>
        <v>0.568905244979764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{D8AD93C6-CC13-43C5-A9C5-CA5AEC42D74D}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5">
      <formula>"成長且加速"</formula>
    </cfRule>
    <cfRule type="cellIs" priority="5" operator="equal" aboveAverage="0" equalAverage="0" bottom="0" percent="0" rank="0" text="" dxfId="66">
      <formula>"成長但減速"</formula>
    </cfRule>
    <cfRule type="cellIs" priority="6" operator="equal" aboveAverage="0" equalAverage="0" bottom="0" percent="0" rank="0" text="" dxfId="66">
      <formula>"衰退但收斂"</formula>
    </cfRule>
    <cfRule type="cellIs" priority="7" operator="equal" aboveAverage="0" equalAverage="0" bottom="0" percent="0" rank="0" text="" dxfId="6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9">
      <formula>$O5="預估"</formula>
    </cfRule>
  </conditionalFormatting>
  <conditionalFormatting sqref="B24:B28">
    <cfRule type="expression" priority="12" aboveAverage="0" equalAverage="0" bottom="0" percent="0" rank="0" text="" dxfId="6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AD93C6-CC13-43C5-A9C5-CA5AEC42D74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-46290</v>
      </c>
      <c r="I4" s="67" t="n">
        <f aca="false">IF($A4="","",IFERROR(INDEX(Raw_Price!$E$2:$E$100,MATCH($A4,Raw_Price!$A$2:$A$100,0)),""))</f>
        <v>46290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-46290</v>
      </c>
      <c r="I5" s="67" t="n">
        <f aca="false">IF($A5="","",IFERROR(INDEX(Raw_Price!$E$2:$E$100,MATCH($A5,Raw_Price!$A$2:$A$100,0)),""))</f>
        <v>46290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-46290</v>
      </c>
      <c r="I6" s="67" t="n">
        <f aca="false">IF($A6="","",IFERROR(INDEX(Raw_Price!$E$2:$E$100,MATCH($A6,Raw_Price!$A$2:$A$100,0)),""))</f>
        <v>46290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-46290</v>
      </c>
      <c r="I7" s="67" t="n">
        <f aca="false">IF($A7="","",IFERROR(INDEX(Raw_Price!$E$2:$E$100,MATCH($A7,Raw_Price!$A$2:$A$100,0)),""))</f>
        <v>46290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-46290</v>
      </c>
      <c r="I8" s="67" t="n">
        <f aca="false">IF($A8="","",IFERROR(INDEX(Raw_Price!$E$2:$E$100,MATCH($A8,Raw_Price!$A$2:$A$100,0)),""))</f>
        <v>46290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-46290</v>
      </c>
      <c r="I9" s="67" t="n">
        <f aca="false">IF($A9="","",IFERROR(INDEX(Raw_Price!$E$2:$E$100,MATCH($A9,Raw_Price!$A$2:$A$100,0)),""))</f>
        <v>46290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-46290</v>
      </c>
      <c r="I10" s="67" t="n">
        <f aca="false">IF($A10="","",IFERROR(INDEX(Raw_Price!$E$2:$E$100,MATCH($A10,Raw_Price!$A$2:$A$100,0)),""))</f>
        <v>46290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-46290</v>
      </c>
      <c r="I11" s="67" t="n">
        <f aca="false">IF($A11="","",IFERROR(INDEX(Raw_Price!$E$2:$E$100,MATCH($A11,Raw_Price!$A$2:$A$100,0)),""))</f>
        <v>46290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-46290</v>
      </c>
      <c r="I12" s="67" t="n">
        <f aca="false">IF($A12="","",IFERROR(INDEX(Raw_Price!$E$2:$E$100,MATCH($A12,Raw_Price!$A$2:$A$100,0)),""))</f>
        <v>46290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-46290</v>
      </c>
      <c r="I13" s="67" t="n">
        <f aca="false">IF($A13="","",IFERROR(INDEX(Raw_Price!$E$2:$E$100,MATCH($A13,Raw_Price!$A$2:$A$100,0)),""))</f>
        <v>46290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-46290</v>
      </c>
      <c r="I14" s="67" t="n">
        <f aca="false">IF($A14="","",IFERROR(INDEX(Raw_Price!$E$2:$E$100,MATCH($A14,Raw_Price!$A$2:$A$100,0)),""))</f>
        <v>46290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-46290</v>
      </c>
      <c r="I15" s="67" t="n">
        <f aca="false">IF($A15="","",IFERROR(INDEX(Raw_Price!$E$2:$E$100,MATCH($A15,Raw_Price!$A$2:$A$100,0)),""))</f>
        <v>46290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-46290</v>
      </c>
      <c r="I16" s="67" t="n">
        <f aca="false">IF($A16="","",IFERROR(INDEX(Raw_Price!$E$2:$E$100,MATCH($A16,Raw_Price!$A$2:$A$100,0)),""))</f>
        <v>46290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-46290</v>
      </c>
      <c r="I17" s="67" t="n">
        <f aca="false">IF($A17="","",IFERROR(INDEX(Raw_Price!$E$2:$E$100,MATCH($A17,Raw_Price!$A$2:$A$100,0)),""))</f>
        <v>46290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-46290</v>
      </c>
      <c r="I18" s="67" t="n">
        <f aca="false">IF($A18="","",IFERROR(INDEX(Raw_Price!$E$2:$E$100,MATCH($A18,Raw_Price!$A$2:$A$100,0)),""))</f>
        <v>46290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-46290</v>
      </c>
      <c r="I19" s="67" t="n">
        <f aca="false">IF($A19="","",IFERROR(INDEX(Raw_Price!$E$2:$E$100,MATCH($A19,Raw_Price!$A$2:$A$100,0)),""))</f>
        <v>46290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-46290</v>
      </c>
      <c r="I20" s="67" t="n">
        <f aca="false">IF($A20="","",IFERROR(INDEX(Raw_Price!$E$2:$E$100,MATCH($A20,Raw_Price!$A$2:$A$100,0)),""))</f>
        <v>46290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-46290</v>
      </c>
      <c r="I21" s="67" t="n">
        <f aca="false">IF($A21="","",IFERROR(INDEX(Raw_Price!$E$2:$E$100,MATCH($A21,Raw_Price!$A$2:$A$100,0)),""))</f>
        <v>46290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-46290</v>
      </c>
      <c r="I22" s="67" t="n">
        <f aca="false">IF($A22="","",IFERROR(INDEX(Raw_Price!$E$2:$E$100,MATCH($A22,Raw_Price!$A$2:$A$100,0)),""))</f>
        <v>46290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-46290</v>
      </c>
      <c r="I23" s="67" t="n">
        <f aca="false">IF($A23="","",IFERROR(INDEX(Raw_Price!$E$2:$E$100,MATCH($A23,Raw_Price!$A$2:$A$100,0)),""))</f>
        <v>46290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-46290</v>
      </c>
      <c r="I24" s="67" t="n">
        <f aca="false">IF($A24="","",IFERROR(INDEX(Raw_Price!$E$2:$E$100,MATCH($A24,Raw_Price!$A$2:$A$100,0)),""))</f>
        <v>46290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-46290</v>
      </c>
      <c r="I25" s="67" t="n">
        <f aca="false">IF($A25="","",IFERROR(INDEX(Raw_Price!$E$2:$E$100,MATCH($A25,Raw_Price!$A$2:$A$100,0)),""))</f>
        <v>46290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-46290</v>
      </c>
      <c r="I27" s="67" t="n">
        <f aca="false">IF($A27="","",IFERROR(INDEX(Raw_Price!$E$2:$E$100,MATCH($A27,Raw_Price!$A$2:$A$100,0)),""))</f>
        <v>46290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-46290</v>
      </c>
      <c r="I28" s="67" t="n">
        <f aca="false">IF($A28="","",IFERROR(INDEX(Raw_Price!$E$2:$E$100,MATCH($A28,Raw_Price!$A$2:$A$100,0)),""))</f>
        <v>46290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-46290</v>
      </c>
      <c r="I29" s="67" t="n">
        <f aca="false">IF($A29="","",IFERROR(INDEX(Raw_Price!$E$2:$E$100,MATCH($A29,Raw_Price!$A$2:$A$100,0)),""))</f>
        <v>46290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0">
      <formula>"OK"</formula>
    </cfRule>
    <cfRule type="cellIs" priority="3" operator="equal" aboveAverage="0" equalAverage="0" bottom="0" percent="0" rank="0" text="" dxfId="71">
      <formula>"待更新財報"</formula>
    </cfRule>
    <cfRule type="expression" priority="4" aboveAverage="0" equalAverage="0" bottom="0" percent="0" rank="0" text="" dxfId="72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46290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46290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46290</v>
      </c>
    </row>
    <row r="5" customFormat="false" ht="15" hidden="false" customHeight="false" outlineLevel="0" collapsed="false">
      <c r="A5" s="79" t="s">
        <v>79</v>
      </c>
      <c r="B5" s="83" t="n">
        <v>107.85</v>
      </c>
      <c r="C5" s="83" t="n">
        <v>142.96153</v>
      </c>
      <c r="D5" s="81" t="n">
        <v>46387</v>
      </c>
      <c r="E5" s="80" t="n">
        <v>23</v>
      </c>
      <c r="F5" s="81" t="n">
        <v>46290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46290</v>
      </c>
    </row>
    <row r="7" customFormat="false" ht="15" hidden="false" customHeight="false" outlineLevel="0" collapsed="false">
      <c r="A7" s="79" t="s">
        <v>205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46290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46290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68.02497</v>
      </c>
      <c r="C10" s="83" t="n">
        <v>145.83739</v>
      </c>
      <c r="D10" s="81" t="n">
        <v>46387</v>
      </c>
      <c r="E10" s="80" t="n">
        <v>16</v>
      </c>
      <c r="F10" s="81" t="n">
        <v>46290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46290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46290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46290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46290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46290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46290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46290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46290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46290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46290</v>
      </c>
    </row>
    <row r="22" customFormat="false" ht="15" hidden="false" customHeight="false" outlineLevel="0" collapsed="false">
      <c r="A22" s="79" t="s">
        <v>197</v>
      </c>
      <c r="B22" s="83" t="n">
        <v>68.17163</v>
      </c>
      <c r="C22" s="83" t="n">
        <v>116.00879</v>
      </c>
      <c r="D22" s="81" t="n">
        <v>46387</v>
      </c>
      <c r="E22" s="80" t="n">
        <v>2</v>
      </c>
      <c r="F22" s="81" t="n">
        <v>46290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5.65238</v>
      </c>
      <c r="C24" s="83" t="n">
        <v>7.22044</v>
      </c>
      <c r="D24" s="81" t="n">
        <v>46387</v>
      </c>
      <c r="E24" s="80" t="n">
        <v>6</v>
      </c>
      <c r="F24" s="81" t="n">
        <v>46290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46290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46290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46290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46290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46290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46290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208</v>
      </c>
      <c r="B2" s="83" t="n">
        <v>12350</v>
      </c>
      <c r="C2" s="81" t="n">
        <v>46290</v>
      </c>
      <c r="D2" s="81"/>
      <c r="E2" s="81" t="n">
        <v>46290</v>
      </c>
    </row>
    <row r="3" customFormat="false" ht="15" hidden="false" customHeight="false" outlineLevel="0" collapsed="false">
      <c r="A3" s="79" t="s">
        <v>220</v>
      </c>
      <c r="B3" s="83" t="n">
        <v>154</v>
      </c>
      <c r="C3" s="81" t="n">
        <v>46290</v>
      </c>
      <c r="D3" s="81"/>
      <c r="E3" s="81" t="n">
        <v>46290</v>
      </c>
    </row>
    <row r="4" customFormat="false" ht="15" hidden="false" customHeight="false" outlineLevel="0" collapsed="false">
      <c r="A4" s="79" t="s">
        <v>345</v>
      </c>
      <c r="B4" s="83" t="n">
        <v>580</v>
      </c>
      <c r="C4" s="81" t="n">
        <v>46290</v>
      </c>
      <c r="D4" s="81"/>
      <c r="E4" s="81" t="n">
        <v>46290</v>
      </c>
    </row>
    <row r="5" customFormat="false" ht="15" hidden="false" customHeight="false" outlineLevel="0" collapsed="false">
      <c r="A5" s="79" t="s">
        <v>79</v>
      </c>
      <c r="B5" s="83" t="n">
        <v>2475</v>
      </c>
      <c r="C5" s="81" t="n">
        <v>46290</v>
      </c>
      <c r="D5" s="81"/>
      <c r="E5" s="81" t="n">
        <v>46290</v>
      </c>
    </row>
    <row r="6" customFormat="false" ht="15" hidden="false" customHeight="false" outlineLevel="0" collapsed="false">
      <c r="A6" s="79" t="s">
        <v>236</v>
      </c>
      <c r="B6" s="83" t="n">
        <v>171.5</v>
      </c>
      <c r="C6" s="81" t="n">
        <v>46290</v>
      </c>
      <c r="D6" s="81"/>
      <c r="E6" s="81" t="n">
        <v>46290</v>
      </c>
    </row>
    <row r="7" customFormat="false" ht="15" hidden="false" customHeight="false" outlineLevel="0" collapsed="false">
      <c r="A7" s="79" t="s">
        <v>205</v>
      </c>
      <c r="B7" s="83" t="n">
        <v>361.5</v>
      </c>
      <c r="C7" s="81" t="n">
        <v>46290</v>
      </c>
      <c r="D7" s="81"/>
      <c r="E7" s="81" t="n">
        <v>46290</v>
      </c>
    </row>
    <row r="8" customFormat="false" ht="15" hidden="false" customHeight="false" outlineLevel="0" collapsed="false">
      <c r="A8" s="79" t="s">
        <v>182</v>
      </c>
      <c r="B8" s="83" t="n">
        <v>503</v>
      </c>
      <c r="C8" s="81" t="n">
        <v>46290</v>
      </c>
      <c r="D8" s="81"/>
      <c r="E8" s="81" t="n">
        <v>46290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5285</v>
      </c>
      <c r="C10" s="81" t="n">
        <v>46290</v>
      </c>
      <c r="D10" s="81"/>
      <c r="E10" s="81" t="n">
        <v>46290</v>
      </c>
    </row>
    <row r="11" customFormat="false" ht="15" hidden="false" customHeight="false" outlineLevel="0" collapsed="false">
      <c r="A11" s="79" t="s">
        <v>190</v>
      </c>
      <c r="B11" s="83" t="n">
        <v>554</v>
      </c>
      <c r="C11" s="81" t="n">
        <v>46290</v>
      </c>
      <c r="D11" s="81"/>
      <c r="E11" s="81" t="n">
        <v>46290</v>
      </c>
    </row>
    <row r="12" customFormat="false" ht="15" hidden="false" customHeight="false" outlineLevel="0" collapsed="false">
      <c r="A12" s="79" t="s">
        <v>224</v>
      </c>
      <c r="B12" s="83" t="n">
        <v>88.9</v>
      </c>
      <c r="C12" s="81" t="n">
        <v>46290</v>
      </c>
      <c r="D12" s="81"/>
      <c r="E12" s="81" t="n">
        <v>46290</v>
      </c>
    </row>
    <row r="13" customFormat="false" ht="15" hidden="false" customHeight="false" outlineLevel="0" collapsed="false">
      <c r="A13" s="79" t="s">
        <v>195</v>
      </c>
      <c r="B13" s="83" t="n">
        <v>543</v>
      </c>
      <c r="C13" s="81" t="n">
        <v>46290</v>
      </c>
      <c r="D13" s="81"/>
      <c r="E13" s="81" t="n">
        <v>46290</v>
      </c>
    </row>
    <row r="14" customFormat="false" ht="15" hidden="false" customHeight="false" outlineLevel="0" collapsed="false">
      <c r="A14" s="79" t="s">
        <v>210</v>
      </c>
      <c r="B14" s="83" t="n">
        <v>2700</v>
      </c>
      <c r="C14" s="81" t="n">
        <v>46290</v>
      </c>
      <c r="D14" s="81"/>
      <c r="E14" s="81" t="n">
        <v>46290</v>
      </c>
    </row>
    <row r="15" customFormat="false" ht="15" hidden="false" customHeight="false" outlineLevel="0" collapsed="false">
      <c r="A15" s="79" t="s">
        <v>230</v>
      </c>
      <c r="B15" s="83" t="n">
        <v>502</v>
      </c>
      <c r="C15" s="81" t="n">
        <v>46290</v>
      </c>
      <c r="D15" s="81"/>
      <c r="E15" s="81" t="n">
        <v>46290</v>
      </c>
    </row>
    <row r="16" customFormat="false" ht="15" hidden="false" customHeight="false" outlineLevel="0" collapsed="false">
      <c r="A16" s="79" t="s">
        <v>212</v>
      </c>
      <c r="B16" s="83" t="n">
        <v>653</v>
      </c>
      <c r="C16" s="81" t="n">
        <v>46290</v>
      </c>
      <c r="D16" s="81"/>
      <c r="E16" s="81" t="n">
        <v>46290</v>
      </c>
    </row>
    <row r="17" customFormat="false" ht="15" hidden="false" customHeight="false" outlineLevel="0" collapsed="false">
      <c r="A17" s="79" t="s">
        <v>216</v>
      </c>
      <c r="B17" s="83" t="n">
        <v>962</v>
      </c>
      <c r="C17" s="81" t="n">
        <v>46290</v>
      </c>
      <c r="D17" s="81"/>
      <c r="E17" s="81" t="n">
        <v>46290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652</v>
      </c>
      <c r="C19" s="81" t="n">
        <v>46290</v>
      </c>
      <c r="D19" s="81"/>
      <c r="E19" s="81" t="n">
        <v>46290</v>
      </c>
    </row>
    <row r="20" customFormat="false" ht="15" hidden="false" customHeight="false" outlineLevel="0" collapsed="false">
      <c r="A20" s="79" t="s">
        <v>245</v>
      </c>
      <c r="B20" s="83" t="n">
        <v>8525</v>
      </c>
      <c r="C20" s="81" t="n">
        <v>46290</v>
      </c>
      <c r="D20" s="81"/>
      <c r="E20" s="81" t="n">
        <v>46290</v>
      </c>
    </row>
    <row r="21" customFormat="false" ht="15" hidden="false" customHeight="false" outlineLevel="0" collapsed="false">
      <c r="A21" s="79" t="s">
        <v>241</v>
      </c>
      <c r="B21" s="83" t="n">
        <v>513</v>
      </c>
      <c r="C21" s="81" t="n">
        <v>46290</v>
      </c>
      <c r="D21" s="81"/>
      <c r="E21" s="81" t="n">
        <v>46290</v>
      </c>
    </row>
    <row r="22" customFormat="false" ht="15" hidden="false" customHeight="false" outlineLevel="0" collapsed="false">
      <c r="A22" s="79" t="s">
        <v>197</v>
      </c>
      <c r="B22" s="83" t="n">
        <v>2340</v>
      </c>
      <c r="C22" s="81" t="n">
        <v>46290</v>
      </c>
      <c r="D22" s="81"/>
      <c r="E22" s="81" t="n">
        <v>46290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91.3</v>
      </c>
      <c r="C24" s="81" t="n">
        <v>46290</v>
      </c>
      <c r="D24" s="81"/>
      <c r="E24" s="81" t="n">
        <v>46290</v>
      </c>
    </row>
    <row r="25" customFormat="false" ht="15" hidden="false" customHeight="false" outlineLevel="0" collapsed="false">
      <c r="A25" s="79" t="s">
        <v>232</v>
      </c>
      <c r="B25" s="83" t="n">
        <v>563</v>
      </c>
      <c r="C25" s="81" t="n">
        <v>46290</v>
      </c>
      <c r="D25" s="81"/>
      <c r="E25" s="81" t="n">
        <v>46290</v>
      </c>
    </row>
    <row r="26" customFormat="false" ht="15" hidden="false" customHeight="false" outlineLevel="0" collapsed="false">
      <c r="A26" s="79" t="s">
        <v>186</v>
      </c>
      <c r="B26" s="83" t="n">
        <v>1305</v>
      </c>
      <c r="C26" s="81" t="n">
        <v>46290</v>
      </c>
      <c r="D26" s="81"/>
      <c r="E26" s="81" t="n">
        <v>46290</v>
      </c>
    </row>
    <row r="27" customFormat="false" ht="15" hidden="false" customHeight="false" outlineLevel="0" collapsed="false">
      <c r="A27" s="79" t="s">
        <v>201</v>
      </c>
      <c r="B27" s="83" t="n">
        <v>542</v>
      </c>
      <c r="C27" s="81" t="n">
        <v>46290</v>
      </c>
      <c r="D27" s="81"/>
      <c r="E27" s="81" t="n">
        <v>46290</v>
      </c>
    </row>
    <row r="28" customFormat="false" ht="15" hidden="false" customHeight="false" outlineLevel="0" collapsed="false">
      <c r="A28" s="79" t="s">
        <v>218</v>
      </c>
      <c r="B28" s="83" t="n">
        <v>1530</v>
      </c>
      <c r="C28" s="81" t="n">
        <v>46290</v>
      </c>
      <c r="D28" s="81"/>
      <c r="E28" s="81" t="n">
        <v>46290</v>
      </c>
    </row>
    <row r="29" customFormat="false" ht="15" hidden="false" customHeight="false" outlineLevel="0" collapsed="false">
      <c r="A29" s="79" t="s">
        <v>243</v>
      </c>
      <c r="B29" s="83" t="n">
        <v>540</v>
      </c>
      <c r="C29" s="81" t="n">
        <v>46290</v>
      </c>
      <c r="D29" s="81"/>
      <c r="E29" s="81" t="n">
        <v>46290</v>
      </c>
    </row>
    <row r="30" customFormat="false" ht="15" hidden="false" customHeight="false" outlineLevel="0" collapsed="false">
      <c r="A30" s="79" t="s">
        <v>228</v>
      </c>
      <c r="B30" s="83" t="n">
        <v>2125</v>
      </c>
      <c r="C30" s="81" t="n">
        <v>46290</v>
      </c>
      <c r="D30" s="81"/>
      <c r="E30" s="81" t="n">
        <v>46290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133.630520657534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28.6856745479833</v>
      </c>
      <c r="K2" s="52" t="n">
        <f aca="false">IF($A2="","",IFERROR(IF(G2&lt;=0,"N/M",D2/G2),"N/M"))</f>
        <v>25.5071885440878</v>
      </c>
      <c r="L2" s="52" t="n">
        <f aca="false">IF($A2="","",IFERROR(IF(H2&lt;=0,"N/M",D2/H2),"N/M"))</f>
        <v>18.5212179659382</v>
      </c>
      <c r="M2" s="49" t="n">
        <f aca="false">IF($A2="","",IFERROR(INDEX(Raw_Est!$C$2:$C$100,MATCH($A2,Raw_Est!$A$2:$A$100,0))/INDEX(Raw_Est!$B$2:$B$100,MATCH($A2,Raw_Est!$A$2:$A$100,0))-1,""))</f>
        <v>0.325558924432082</v>
      </c>
      <c r="N2" s="51" t="n">
        <f aca="false">IF($A2="","",IFERROR(IF(OR(NOT(ISNUMBER(J2)),I2&lt;Config!$B$6),"N/M",J2/(I2*100)),"N/M"))</f>
        <v>0.538969080345993</v>
      </c>
      <c r="O2" s="51" t="n">
        <f aca="false">IF($A2="","",IFERROR(IF(OR(NOT(ISNUMBER(L2)),M2&lt;Config!$B$6),"N/M",L2/(M2*100)),"N/M"))</f>
        <v>0.568905244979764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0.00888892936565657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0.434791782947913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46290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503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93.3885814520548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18.5267034990792</v>
      </c>
      <c r="K3" s="52" t="n">
        <f aca="false">IF($A3="","",IFERROR(IF(G3&lt;=0,"N/M",D3/G3),"N/M"))</f>
        <v>10.5899530189261</v>
      </c>
      <c r="L3" s="52" t="n">
        <f aca="false">IF($A3="","",IFERROR(IF(H3&lt;=0,"N/M",D3/H3),"N/M"))</f>
        <v>5.38609744552376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0.114821064630573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46290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1305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236.917075506849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5.50825641084816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46290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554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8.29016109589041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134.466019417476</v>
      </c>
      <c r="K5" s="52" t="n">
        <f aca="false">IF($A5="","",IFERROR(IF(G5&lt;=0,"N/M",D5/G5),"N/M"))</f>
        <v>118.015716966783</v>
      </c>
      <c r="L5" s="52" t="n">
        <f aca="false">IF($A5="","",IFERROR(IF(H5&lt;=0,"N/M",D5/H5),"N/M"))</f>
        <v>66.8262044117126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2.18400222620741</v>
      </c>
      <c r="O5" s="51" t="n">
        <f aca="false">IF($A5="","",IFERROR(IF(OR(NOT(ISNUMBER(L5)),M5&lt;Config!$B$6),"N/M",L5/(M5*100)),"N/M"))</f>
        <v>0.988202242222907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0.00473024644404332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46290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34.8937024657534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15.5615472600802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46290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2340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103.29590090411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42.9121584448927</v>
      </c>
      <c r="K7" s="52" t="n">
        <f aca="false">IF($A7="","",IFERROR(IF(G7&lt;=0,"N/M",D7/G7),"N/M"))</f>
        <v>39.1541695425739</v>
      </c>
      <c r="L7" s="52" t="n">
        <f aca="false">IF($A7="","",IFERROR(IF(H7&lt;=0,"N/M",D7/H7),"N/M"))</f>
        <v>22.6533674571679</v>
      </c>
      <c r="M7" s="49" t="n">
        <f aca="false">IF($A7="","",IFERROR(INDEX(Raw_Est!$C$2:$C$100,MATCH($A7,Raw_Est!$A$2:$A$100,0))/INDEX(Raw_Est!$B$2:$B$100,MATCH($A7,Raw_Est!$A$2:$A$100,0))-1,""))</f>
        <v>0.701716535162795</v>
      </c>
      <c r="N7" s="51" t="n">
        <f aca="false">IF($A7="","",IFERROR(IF(OR(NOT(ISNUMBER(J7)),I7&lt;Config!$B$6),"N/M",J7/(I7*100)),"N/M"))</f>
        <v>0.746757812535997</v>
      </c>
      <c r="O7" s="51" t="n">
        <f aca="false">IF($A7="","",IFERROR(IF(OR(NOT(ISNUMBER(L7)),M7&lt;Config!$B$6),"N/M",L7/(M7*100)),"N/M"))</f>
        <v>0.322827898759896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0.00448952243162393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0.268322450893555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46290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542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33.3841917808219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16.2352290436865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1.28493846446793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46290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361.5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36.3511339178082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13.5342568326469</v>
      </c>
      <c r="K9" s="52" t="n">
        <f aca="false">IF($A9="","",IFERROR(IF(G9&lt;=0,"N/M",D9/G9),"N/M"))</f>
        <v>11.9045031623498</v>
      </c>
      <c r="L9" s="52" t="n">
        <f aca="false">IF($A9="","",IFERROR(IF(H9&lt;=0,"N/M",D9/H9),"N/M"))</f>
        <v>9.94466914890111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0.2159693850263</v>
      </c>
      <c r="O9" s="51" t="n">
        <f aca="false">IF($A9="","",IFERROR(IF(OR(NOT(ISNUMBER(L9)),M9&lt;Config!$B$6),"N/M",L9/(M9*100)),"N/M"))</f>
        <v>0.99082391736901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0.0276625172890733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46290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12350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459.098984767123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68.0853409780032</v>
      </c>
      <c r="K10" s="52" t="n">
        <f aca="false">IF($A10="","",IFERROR(IF(G10&lt;=0,"N/M",D10/G10),"N/M"))</f>
        <v>46.3865880786469</v>
      </c>
      <c r="L10" s="52" t="n">
        <f aca="false">IF($A10="","",IFERROR(IF(H10&lt;=0,"N/M",D10/H10),"N/M"))</f>
        <v>26.9005169032654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0.404002528378787</v>
      </c>
      <c r="O10" s="51" t="n">
        <f aca="false">IF($A10="","",IFERROR(IF(OR(NOT(ISNUMBER(L10)),M10&lt;Config!$B$6),"N/M",L10/(M10*100)),"N/M"))</f>
        <v>0.651263742802418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0.00260728744939271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46290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2700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34.1395755068493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240.85637823372</v>
      </c>
      <c r="K11" s="52" t="n">
        <f aca="false">IF($A11="","",IFERROR(IF(G11&lt;=0,"N/M",D11/G11),"N/M"))</f>
        <v>169.597989949749</v>
      </c>
      <c r="L11" s="52" t="n">
        <f aca="false">IF($A11="","",IFERROR(IF(H11&lt;=0,"N/M",D11/H11),"N/M"))</f>
        <v>79.0870993536023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0.427570671444314</v>
      </c>
      <c r="O11" s="51" t="n">
        <f aca="false">IF($A11="","",IFERROR(IF(OR(NOT(ISNUMBER(L11)),M11&lt;Config!$B$6),"N/M",L11/(M11*100)),"N/M"))</f>
        <v>0.797783657975344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0.000185193388888889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46290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67.7385892116183</v>
      </c>
      <c r="K12" s="52" t="n">
        <f aca="false">IF($A12="","",IFERROR(IF(G12&lt;=0,"N/M",D12/G12),"N/M"))</f>
        <v>95.1895043731779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0.254140498754003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46290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962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22.2019797808219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163.050847457627</v>
      </c>
      <c r="K13" s="52" t="n">
        <f aca="false">IF($A13="","",IFERROR(IF(G13&lt;=0,"N/M",D13/G13),"N/M"))</f>
        <v>115.42730299667</v>
      </c>
      <c r="L13" s="52" t="n">
        <f aca="false">IF($A13="","",IFERROR(IF(H13&lt;=0,"N/M",D13/H13),"N/M"))</f>
        <v>43.3294692408907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0.420664233312855</v>
      </c>
      <c r="O13" s="51" t="n">
        <f aca="false">IF($A13="","",IFERROR(IF(OR(NOT(ISNUMBER(L13)),M13&lt;Config!$B$6),"N/M",L13/(M13*100)),"N/M"))</f>
        <v>0.281248981922259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0.00103967976091476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46290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1530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111.931424657534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13.6690835900748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0.124668314961103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46290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154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7.14735904109589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23.0538922155689</v>
      </c>
      <c r="K15" s="52" t="n">
        <f aca="false">IF($A15="","",IFERROR(IF(G15&lt;=0,"N/M",D15/G15),"N/M"))</f>
        <v>22.3466929796558</v>
      </c>
      <c r="L15" s="52" t="n">
        <f aca="false">IF($A15="","",IFERROR(IF(H15&lt;=0,"N/M",D15/H15),"N/M"))</f>
        <v>21.5464200293466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0.20820751659075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46290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5285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125.15847290411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87.0818915801615</v>
      </c>
      <c r="K16" s="52" t="n">
        <f aca="false">IF($A16="","",IFERROR(IF(G16&lt;=0,"N/M",D16/G16),"N/M"))</f>
        <v>87.6678752724174</v>
      </c>
      <c r="L16" s="52" t="n">
        <f aca="false">IF($A16="","",IFERROR(IF(H16&lt;=0,"N/M",D16/H16),"N/M"))</f>
        <v>42.2264659944286</v>
      </c>
      <c r="M16" s="49" t="n">
        <f aca="false">IF($A16="","",IFERROR(INDEX(Raw_Est!$C$2:$C$100,MATCH($A16,Raw_Est!$A$2:$A$100,0))/INDEX(Raw_Est!$B$2:$B$100,MATCH($A16,Raw_Est!$A$2:$A$100,0))-1,""))</f>
        <v>1.14388025455947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0.369151104987742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0.0102176381210974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0.257207562099892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46290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32.9259259259259</v>
      </c>
      <c r="K17" s="52" t="n">
        <f aca="false">IF($A17="","",IFERROR(IF(G17&lt;=0,"N/M",D17/G17),"N/M"))</f>
        <v>28.4025559105431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46290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91.3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6.80372268493151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15.4222972972973</v>
      </c>
      <c r="K18" s="52" t="n">
        <f aca="false">IF($A18="","",IFERROR(IF(G18&lt;=0,"N/M",D18/G18),"N/M"))</f>
        <v>16.0159422654226</v>
      </c>
      <c r="L18" s="52" t="n">
        <f aca="false">IF($A18="","",IFERROR(IF(H18&lt;=0,"N/M",D18/H18),"N/M"))</f>
        <v>13.4191242394705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0.626118907368907</v>
      </c>
      <c r="O18" s="51" t="n">
        <f aca="false">IF($A18="","",IFERROR(IF(OR(NOT(ISNUMBER(L18)),M18&lt;Config!$B$6),"N/M",L18/(M18*100)),"N/M"))</f>
        <v>0.483718668091135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0.0439149708652793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46290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2125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292.242096931507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7.27136857527422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46290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9.33585167123288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58.9894242068155</v>
      </c>
      <c r="K20" s="52" t="n">
        <f aca="false">IF($A20="","",IFERROR(IF(G20&lt;=0,"N/M",D20/G20),"N/M"))</f>
        <v>61.9161443262857</v>
      </c>
      <c r="L20" s="52" t="n">
        <f aca="false">IF($A20="","",IFERROR(IF(H20&lt;=0,"N/M",D20/H20),"N/M"))</f>
        <v>53.7712056358868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1.83751821640318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0.00398406374501992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46290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563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12.3388219178082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91.5447154471545</v>
      </c>
      <c r="K21" s="52" t="n">
        <f aca="false">IF($A21="","",IFERROR(IF(G21&lt;=0,"N/M",D21/G21),"N/M"))</f>
        <v>82.9160530191458</v>
      </c>
      <c r="L21" s="52" t="n">
        <f aca="false">IF($A21="","",IFERROR(IF(H21&lt;=0,"N/M",D21/H21),"N/M"))</f>
        <v>45.628343106844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2.0477107402653</v>
      </c>
      <c r="O21" s="51" t="n">
        <f aca="false">IF($A21="","",IFERROR(IF(OR(NOT(ISNUMBER(L21)),M21&lt;Config!$B$6),"N/M",L21/(M21*100)),"N/M"))</f>
        <v>0.500287026052785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0.00274357518650089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46290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652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12.481602739726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52.2368812400058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0.00640464153959402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46290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44.145192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18.9293598233996</v>
      </c>
      <c r="K23" s="52" t="n">
        <f aca="false">IF($A23="","",IFERROR(IF(G23&lt;=0,"N/M",D23/G23),"N/M"))</f>
        <v>10.3882541857396</v>
      </c>
      <c r="L23" s="52" t="n">
        <f aca="false">IF($A23="","",IFERROR(IF(H23&lt;=0,"N/M",D23/H23),"N/M"))</f>
        <v>3.88490778338896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0.0389900715853391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0.00291545189504373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46290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513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104.268292682927</v>
      </c>
      <c r="K25" s="52" t="n">
        <f aca="false">IF($A25="","",IFERROR(IF(G25&lt;=0,"N/M",D25/G25),"N/M"))</f>
        <v>119.025522041763</v>
      </c>
      <c r="L25" s="52" t="n">
        <f aca="false">IF($A25="","",IFERROR(IF(H25&lt;=0,"N/M",D25/H25),"N/M"))</f>
        <v>42.8571428571429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0.00194931773879142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46290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12.1200273972603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44.5543547304247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0.240088066982225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46290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8525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101.413048191781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218.533709305306</v>
      </c>
      <c r="K27" s="52" t="n">
        <f aca="false">IF($A27="","",IFERROR(IF(G27&lt;=0,"N/M",D27/G27),"N/M"))</f>
        <v>189.907777219131</v>
      </c>
      <c r="L27" s="52" t="n">
        <f aca="false">IF($A27="","",IFERROR(IF(H27&lt;=0,"N/M",D27/H27),"N/M"))</f>
        <v>84.0621611518716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4.93663450260274</v>
      </c>
      <c r="O27" s="51" t="n">
        <f aca="false">IF($A27="","",IFERROR(IF(OR(NOT(ISNUMBER(L27)),M27&lt;Config!$B$6),"N/M",L27/(M27*100)),"N/M"))</f>
        <v>0.66468354134201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0.00234604105571848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46290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2026-09-25T12:06:30Z</dcterms:created>
  <dc:creator>openpyxl</dc:creator>
  <dc:description/>
  <dc:language>en-US</dc:language>
  <cp:lastModifiedBy/>
  <dcterms:modified xsi:type="dcterms:W3CDTF">2026-09-25T12:06:31Z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