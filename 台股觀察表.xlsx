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<sst xmlns="http://schemas.openxmlformats.org/spreadsheetml/2006/main" count="8221" uniqueCount="1534">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</sst>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2CB96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2370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0.44567097079796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27.4687065368567</v>
      </c>
      <c r="P3" s="22" t="n">
        <f aca="false">IF(Calc!$A$2="","",Calc!L$2)</f>
        <v>16.6183105399717</v>
      </c>
      <c r="Q3" s="18" t="n">
        <f aca="false">IF(Calc!$A$2="","",Calc!N$2)</f>
        <v>0.516103725422223</v>
      </c>
      <c r="R3" s="18" t="n">
        <f aca="false">IF(Calc!$A$2="","",Calc!O$2)</f>
        <v>0.475615410136153</v>
      </c>
      <c r="S3" s="19" t="n">
        <f aca="false">IF(Calc!$A$2="","",Calc!Q$2)</f>
        <v>0.00928274269198312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454.5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0.810681564635586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16.7403314917127</v>
      </c>
      <c r="P4" s="22" t="n">
        <f aca="false">IF(Calc!$A$3="","",Calc!L$3)</f>
        <v>3.87673765398763</v>
      </c>
      <c r="Q4" s="18" t="str">
        <f aca="false">IF(Calc!$A$3="","",Calc!N$3)</f>
        <v>N/M</v>
      </c>
      <c r="R4" s="18" t="n">
        <f aca="false">IF(Calc!$A$3="","",Calc!O$3)</f>
        <v>0.058849179820108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1120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4.21022946577495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108.495145631068</v>
      </c>
      <c r="P6" s="22" t="n">
        <f aca="false">IF(Calc!$A$5="","",Calc!L$5)</f>
        <v>50.7657932241147</v>
      </c>
      <c r="Q6" s="18" t="n">
        <f aca="false">IF(Calc!$A$5="","",Calc!N$5)</f>
        <v>1.7621823016511</v>
      </c>
      <c r="R6" s="18" t="n">
        <f aca="false">IF(Calc!$A$5="","",Calc!O$5)</f>
        <v>0.745706675161817</v>
      </c>
      <c r="S6" s="19" t="n">
        <f aca="false">IF(Calc!$A$5="","",Calc!Q$5)</f>
        <v>0.00586254257270694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575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20.0558074642483</v>
      </c>
      <c r="P7" s="22" t="n">
        <f aca="false">IF(Calc!$A$6="","",Calc!L$6)</f>
        <v>16.3535122508584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0.048695652173913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1625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29.8001100311755</v>
      </c>
      <c r="P8" s="22" t="n">
        <f aca="false">IF(Calc!$A$7="","",Calc!L$7)</f>
        <v>13.6905725888967</v>
      </c>
      <c r="Q8" s="18" t="n">
        <f aca="false">IF(Calc!$A$7="","",Calc!N$7)</f>
        <v>0.518581814261109</v>
      </c>
      <c r="R8" s="18" t="n">
        <f aca="false">IF(Calc!$A$7="","",Calc!O$7)</f>
        <v>0.165912988882501</v>
      </c>
      <c r="S8" s="19" t="n">
        <f aca="false">IF(Calc!$A$7="","",Calc!Q$7)</f>
        <v>0.00646491230153846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559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16.7275765743586</v>
      </c>
      <c r="Q9" s="18" t="str">
        <f aca="false">IF(Calc!$A$8="","",Calc!N$8)</f>
        <v>N/M</v>
      </c>
      <c r="R9" s="18" t="n">
        <f aca="false">IF(Calc!$A$8="","",Calc!O$8)</f>
        <v>1.50356511341579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336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12.5795582178959</v>
      </c>
      <c r="P10" s="22" t="n">
        <f aca="false">IF(Calc!$A$9="","",Calc!L$9)</f>
        <v>9.15176210843907</v>
      </c>
      <c r="Q10" s="18" t="n">
        <f aca="false">IF(Calc!$A$9="","",Calc!N$9)</f>
        <v>0.200735030065939</v>
      </c>
      <c r="R10" s="18" t="n">
        <f aca="false">IF(Calc!$A$9="","",Calc!O$9)</f>
        <v>0.824334906857718</v>
      </c>
      <c r="S10" s="19" t="n">
        <f aca="false">IF(Calc!$A$9="","",Calc!Q$9)</f>
        <v>0.0297619047619048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9650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53.2002866751199</v>
      </c>
      <c r="P11" s="22" t="n">
        <f aca="false">IF(Calc!$A$10="","",Calc!L$10)</f>
        <v>20.4553411735073</v>
      </c>
      <c r="Q11" s="18" t="n">
        <f aca="false">IF(Calc!$A$10="","",Calc!N$10)</f>
        <v>0.315678088976138</v>
      </c>
      <c r="R11" s="18" t="n">
        <f aca="false">IF(Calc!$A$10="","",Calc!O$10)</f>
        <v>0.491731077143104</v>
      </c>
      <c r="S11" s="19" t="n">
        <f aca="false">IF(Calc!$A$10="","",Calc!Q$10)</f>
        <v>0.00333678756476684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2370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0.412918875425787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211.418376449599</v>
      </c>
      <c r="P12" s="22" t="n">
        <f aca="false">IF(Calc!$A$11="","",Calc!L$11)</f>
        <v>63.9337982957154</v>
      </c>
      <c r="Q12" s="18" t="n">
        <f aca="false">IF(Calc!$A$11="","",Calc!N$11)</f>
        <v>0.375312033823342</v>
      </c>
      <c r="R12" s="18" t="n">
        <f aca="false">IF(Calc!$A$11="","",Calc!O$11)</f>
        <v>0.698257477512866</v>
      </c>
      <c r="S12" s="19" t="n">
        <f aca="false">IF(Calc!$A$11="","",Calc!Q$11)</f>
        <v>0.000210979810126582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509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52.8008298755187</v>
      </c>
      <c r="P13" s="22" t="str">
        <f aca="false">IF(Calc!$A$12="","",Calc!L$12)</f>
        <v>N/M</v>
      </c>
      <c r="Q13" s="18" t="n">
        <f aca="false">IF(Calc!$A$12="","",Calc!N$12)</f>
        <v>0.198097264725555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932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157.966101694915</v>
      </c>
      <c r="P14" s="22" t="n">
        <f aca="false">IF(Calc!$A$13="","",Calc!L$13)</f>
        <v>33.2161379496029</v>
      </c>
      <c r="Q14" s="18" t="n">
        <f aca="false">IF(Calc!$A$13="","",Calc!N$13)</f>
        <v>0.407545806078566</v>
      </c>
      <c r="R14" s="18" t="n">
        <f aca="false">IF(Calc!$A$13="","",Calc!O$13)</f>
        <v>0.213585704772238</v>
      </c>
      <c r="S14" s="19" t="n">
        <f aca="false">IF(Calc!$A$13="","",Calc!Q$13)</f>
        <v>0.00107314584763949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1230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10.3840394572683</v>
      </c>
      <c r="Q15" s="18" t="str">
        <f aca="false">IF(Calc!$A$14="","",Calc!N$14)</f>
        <v>N/M</v>
      </c>
      <c r="R15" s="18" t="n">
        <f aca="false">IF(Calc!$A$14="","",Calc!O$14)</f>
        <v>0.0947072049926762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111.5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0.209543012936975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16.6916167664671</v>
      </c>
      <c r="P16" s="22" t="n">
        <f aca="false">IF(Calc!$A$15="","",Calc!L$15)</f>
        <v>15.4633402834109</v>
      </c>
      <c r="Q16" s="18" t="n">
        <f aca="false">IF(Calc!$A$15="","",Calc!N$15)</f>
        <v>0.150747649999147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3915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0.263382928390365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64.5081562036579</v>
      </c>
      <c r="P17" s="22" t="n">
        <f aca="false">IF(Calc!$A$16="","",Calc!L$16)</f>
        <v>29.0041340559074</v>
      </c>
      <c r="Q17" s="18" t="str">
        <f aca="false">IF(Calc!$A$16="","",Calc!N$16)</f>
        <v>N/M</v>
      </c>
      <c r="R17" s="18" t="n">
        <f aca="false">IF(Calc!$A$16="","",Calc!O$16)</f>
        <v>0.256754895245467</v>
      </c>
      <c r="S17" s="19" t="n">
        <f aca="false">IF(Calc!$A$16="","",Calc!Q$16)</f>
        <v>0.0137931589961686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102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37.7777777777778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102.5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0.0752771579530487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17.3141891891892</v>
      </c>
      <c r="P19" s="22" t="n">
        <f aca="false">IF(Calc!$A$18="","",Calc!L$18)</f>
        <v>14.2143224154749</v>
      </c>
      <c r="Q19" s="18" t="n">
        <f aca="false">IF(Calc!$A$18="","",Calc!N$18)</f>
        <v>0.702926484176484</v>
      </c>
      <c r="R19" s="18" t="n">
        <f aca="false">IF(Calc!$A$18="","",Calc!O$18)</f>
        <v>0.494194137539603</v>
      </c>
      <c r="S19" s="19" t="n">
        <f aca="false">IF(Calc!$A$18="","",Calc!Q$18)</f>
        <v>0.0391164569756098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1930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6.35381924343788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578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0.101251199517266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67.9200940070505</v>
      </c>
      <c r="P21" s="22" t="n">
        <f aca="false">IF(Calc!$A$20="","",Calc!L$20)</f>
        <v>46.2992818541808</v>
      </c>
      <c r="Q21" s="18" t="str">
        <f aca="false">IF(Calc!$A$20="","",Calc!N$20)</f>
        <v>N/M</v>
      </c>
      <c r="R21" s="18" t="n">
        <f aca="false">IF(Calc!$A$20="","",Calc!O$20)</f>
        <v>1.99029562150751</v>
      </c>
      <c r="S21" s="19" t="n">
        <f aca="false">IF(Calc!$A$20="","",Calc!Q$20)</f>
        <v>0.00346020761245675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72.6829268292683</v>
      </c>
      <c r="P22" s="22" t="n">
        <f aca="false">IF(Calc!$A$21="","",Calc!L$21)</f>
        <v>34.4240089290801</v>
      </c>
      <c r="Q22" s="18" t="n">
        <f aca="false">IF(Calc!$A$21="","",Calc!N$21)</f>
        <v>1.62580231065468</v>
      </c>
      <c r="R22" s="18" t="n">
        <f aca="false">IF(Calc!$A$21="","",Calc!O$21)</f>
        <v>0.377438317486501</v>
      </c>
      <c r="S22" s="19" t="n">
        <f aca="false">IF(Calc!$A$21="","",Calc!Q$21)</f>
        <v>0.0034555544295302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474.5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52.6118895643562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164.5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18.1567328918322</v>
      </c>
      <c r="P24" s="22" t="n">
        <f aca="false">IF(Calc!$A$23="","",Calc!L$23)</f>
        <v>3.4313815833576</v>
      </c>
      <c r="Q24" s="18" t="str">
        <f aca="false">IF(Calc!$A$23="","",Calc!N$23)</f>
        <v>N/M</v>
      </c>
      <c r="R24" s="18" t="n">
        <f aca="false">IF(Calc!$A$23="","",Calc!O$23)</f>
        <v>0.0321481240302021</v>
      </c>
      <c r="S24" s="19" t="n">
        <f aca="false">IF(Calc!$A$23="","",Calc!Q$23)</f>
        <v>0.00303951367781155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409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83.130081300813</v>
      </c>
      <c r="P26" s="22" t="n">
        <f aca="false">IF(Calc!$A$25="","",Calc!L$25)</f>
        <v>34.1687552213868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0.00244498777506112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448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33.3787855282389</v>
      </c>
      <c r="Q27" s="18" t="str">
        <f aca="false">IF(Calc!$A$26="","",Calc!N$26)</f>
        <v>N/M</v>
      </c>
      <c r="R27" s="18" t="n">
        <f aca="false">IF(Calc!$A$26="","",Calc!O$26)</f>
        <v>0.132416754289357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7635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0.599617440324528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195.719046398359</v>
      </c>
      <c r="P28" s="22" t="n">
        <f aca="false">IF(Calc!$A$27="","",Calc!L$27)</f>
        <v>66.5064491061051</v>
      </c>
      <c r="Q28" s="18" t="n">
        <f aca="false">IF(Calc!$A$27="","",Calc!N$27)</f>
        <v>4.42125565130463</v>
      </c>
      <c r="R28" s="18" t="n">
        <f aca="false">IF(Calc!$A$27="","",Calc!O$27)</f>
        <v>0.609748344349927</v>
      </c>
      <c r="S28" s="19" t="n">
        <f aca="false">IF(Calc!$A$27="","",Calc!Q$27)</f>
        <v>0.00261951538965291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3">
    <cfRule type="cellIs" priority="8" operator="lessThan" aboveAverage="0" equalAverage="0" bottom="0" percent="0" rank="0" text="" dxfId="63">
      <formula>1.5</formula>
    </cfRule>
  </conditionalFormatting>
  <conditionalFormatting sqref="R3:R33">
    <cfRule type="cellIs" priority="9" operator="lessThan" aboveAverage="0" equalAverage="0" bottom="0" percent="0" rank="0" text="" dxfId="63">
      <formula>1.5</formula>
    </cfRule>
  </conditionalFormatting>
  <conditionalFormatting sqref="L3:L33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3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2370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46325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27.4687065368567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16.6183105399717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0.516103725422223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0.475615410136153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142.613774986301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0.00928274269198312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0.44567097079796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0.349406478129344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2370</v>
      </c>
      <c r="L12" s="55" t="n">
        <f aca="false">IF(Stock_Card!$B$2="","",IFERROR(INDEX(Calc!$Q$2:$Q$100,MATCH(Stock_Card!$B$2,Calc!$A$2:$A$100,0)),""))</f>
        <v>0.00928274269198312</v>
      </c>
      <c r="M12" s="58" t="n">
        <f aca="false">IF(Stock_Card!$B$2="","",IFERROR(INDEX(Calc!$J$2:$J$100,MATCH(Stock_Card!$B$2,Calc!$A$2:$A$100,0)),""))</f>
        <v>27.4687065368567</v>
      </c>
      <c r="N12" s="57" t="n">
        <f aca="false">IF(Stock_Card!$B$2="","",IFERROR(INDEX(Calc!$N$2:$N$100,MATCH(Stock_Card!$B$2,Calc!$A$2:$A$100,0)),""))</f>
        <v>0.516103725422223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142.613774986301</v>
      </c>
      <c r="H13" s="55" t="n">
        <f aca="false">IF(Stock_Card!$B$2="","",IFERROR(INDEX(Calc!$M$2:$M$100,MATCH(Stock_Card!$B$2,Calc!$A$2:$A$100,0)),""))</f>
        <v>0.349406478129344</v>
      </c>
      <c r="I13" s="55" t="n">
        <f aca="false">IF(Stock_Card!$B$2="","",IFERROR(INDEX(Calc!$AI$2:$AI$100,MATCH(Stock_Card!$B$2,Calc!$A$2:$A$100,0)),""))</f>
        <v>0.44567097079796</v>
      </c>
      <c r="J13" s="59"/>
      <c r="K13" s="59"/>
      <c r="L13" s="59"/>
      <c r="M13" s="58" t="n">
        <f aca="false">IF(Stock_Card!$B$2="","",IFERROR(INDEX(Calc!$L$2:$L$100,MATCH(Stock_Card!$B$2,Calc!$A$2:$A$100,0)),""))</f>
        <v>16.6183105399717</v>
      </c>
      <c r="N13" s="57" t="n">
        <f aca="false">IF(Stock_Card!$B$2="","",IFERROR(INDEX(Calc!$O$2:$O$100,MATCH(Stock_Card!$B$2,Calc!$A$2:$A$100,0)),""))</f>
        <v>0.475615410136153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{00EB682A-758B-452C-8C4A-37366624D450}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EB682A-758B-452C-8C4A-37366624D45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-46325</v>
      </c>
      <c r="I4" s="67" t="n">
        <f aca="false">IF($A4="","",IFERROR(INDEX(Raw_Price!$E$2:$E$100,MATCH($A4,Raw_Price!$A$2:$A$100,0)),""))</f>
        <v>46325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-46325</v>
      </c>
      <c r="I5" s="67" t="n">
        <f aca="false">IF($A5="","",IFERROR(INDEX(Raw_Price!$E$2:$E$100,MATCH($A5,Raw_Price!$A$2:$A$100,0)),""))</f>
        <v>46325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-46325</v>
      </c>
      <c r="I6" s="67" t="n">
        <f aca="false">IF($A6="","",IFERROR(INDEX(Raw_Price!$E$2:$E$100,MATCH($A6,Raw_Price!$A$2:$A$100,0)),""))</f>
        <v>46325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-46325</v>
      </c>
      <c r="I7" s="67" t="n">
        <f aca="false">IF($A7="","",IFERROR(INDEX(Raw_Price!$E$2:$E$100,MATCH($A7,Raw_Price!$A$2:$A$100,0)),""))</f>
        <v>46325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-46325</v>
      </c>
      <c r="I8" s="67" t="n">
        <f aca="false">IF($A8="","",IFERROR(INDEX(Raw_Price!$E$2:$E$100,MATCH($A8,Raw_Price!$A$2:$A$100,0)),""))</f>
        <v>46325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-46325</v>
      </c>
      <c r="I9" s="67" t="n">
        <f aca="false">IF($A9="","",IFERROR(INDEX(Raw_Price!$E$2:$E$100,MATCH($A9,Raw_Price!$A$2:$A$100,0)),""))</f>
        <v>46325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-46325</v>
      </c>
      <c r="I10" s="67" t="n">
        <f aca="false">IF($A10="","",IFERROR(INDEX(Raw_Price!$E$2:$E$100,MATCH($A10,Raw_Price!$A$2:$A$100,0)),""))</f>
        <v>46325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-46325</v>
      </c>
      <c r="I11" s="67" t="n">
        <f aca="false">IF($A11="","",IFERROR(INDEX(Raw_Price!$E$2:$E$100,MATCH($A11,Raw_Price!$A$2:$A$100,0)),""))</f>
        <v>46325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-46325</v>
      </c>
      <c r="I12" s="67" t="n">
        <f aca="false">IF($A12="","",IFERROR(INDEX(Raw_Price!$E$2:$E$100,MATCH($A12,Raw_Price!$A$2:$A$100,0)),""))</f>
        <v>46325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-46325</v>
      </c>
      <c r="I13" s="67" t="n">
        <f aca="false">IF($A13="","",IFERROR(INDEX(Raw_Price!$E$2:$E$100,MATCH($A13,Raw_Price!$A$2:$A$100,0)),""))</f>
        <v>46325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-46325</v>
      </c>
      <c r="I14" s="67" t="n">
        <f aca="false">IF($A14="","",IFERROR(INDEX(Raw_Price!$E$2:$E$100,MATCH($A14,Raw_Price!$A$2:$A$100,0)),""))</f>
        <v>46325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-46325</v>
      </c>
      <c r="I15" s="67" t="n">
        <f aca="false">IF($A15="","",IFERROR(INDEX(Raw_Price!$E$2:$E$100,MATCH($A15,Raw_Price!$A$2:$A$100,0)),""))</f>
        <v>46325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-46325</v>
      </c>
      <c r="I16" s="67" t="n">
        <f aca="false">IF($A16="","",IFERROR(INDEX(Raw_Price!$E$2:$E$100,MATCH($A16,Raw_Price!$A$2:$A$100,0)),""))</f>
        <v>46325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-46325</v>
      </c>
      <c r="I17" s="67" t="n">
        <f aca="false">IF($A17="","",IFERROR(INDEX(Raw_Price!$E$2:$E$100,MATCH($A17,Raw_Price!$A$2:$A$100,0)),""))</f>
        <v>46325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-46325</v>
      </c>
      <c r="I18" s="67" t="n">
        <f aca="false">IF($A18="","",IFERROR(INDEX(Raw_Price!$E$2:$E$100,MATCH($A18,Raw_Price!$A$2:$A$100,0)),""))</f>
        <v>46325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-46325</v>
      </c>
      <c r="I19" s="67" t="n">
        <f aca="false">IF($A19="","",IFERROR(INDEX(Raw_Price!$E$2:$E$100,MATCH($A19,Raw_Price!$A$2:$A$100,0)),""))</f>
        <v>46325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-46325</v>
      </c>
      <c r="I20" s="67" t="n">
        <f aca="false">IF($A20="","",IFERROR(INDEX(Raw_Price!$E$2:$E$100,MATCH($A20,Raw_Price!$A$2:$A$100,0)),""))</f>
        <v>46325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-46325</v>
      </c>
      <c r="I21" s="67" t="n">
        <f aca="false">IF($A21="","",IFERROR(INDEX(Raw_Price!$E$2:$E$100,MATCH($A21,Raw_Price!$A$2:$A$100,0)),""))</f>
        <v>46325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-46325</v>
      </c>
      <c r="I22" s="67" t="n">
        <f aca="false">IF($A22="","",IFERROR(INDEX(Raw_Price!$E$2:$E$100,MATCH($A22,Raw_Price!$A$2:$A$100,0)),""))</f>
        <v>46325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-46325</v>
      </c>
      <c r="I23" s="67" t="n">
        <f aca="false">IF($A23="","",IFERROR(INDEX(Raw_Price!$E$2:$E$100,MATCH($A23,Raw_Price!$A$2:$A$100,0)),""))</f>
        <v>46325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-46325</v>
      </c>
      <c r="I24" s="67" t="n">
        <f aca="false">IF($A24="","",IFERROR(INDEX(Raw_Price!$E$2:$E$100,MATCH($A24,Raw_Price!$A$2:$A$100,0)),""))</f>
        <v>46325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-46325</v>
      </c>
      <c r="I25" s="67" t="n">
        <f aca="false">IF($A25="","",IFERROR(INDEX(Raw_Price!$E$2:$E$100,MATCH($A25,Raw_Price!$A$2:$A$100,0)),""))</f>
        <v>46325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-46325</v>
      </c>
      <c r="I27" s="67" t="n">
        <f aca="false">IF($A27="","",IFERROR(INDEX(Raw_Price!$E$2:$E$100,MATCH($A27,Raw_Price!$A$2:$A$100,0)),""))</f>
        <v>46325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-46325</v>
      </c>
      <c r="I28" s="67" t="n">
        <f aca="false">IF($A28="","",IFERROR(INDEX(Raw_Price!$E$2:$E$100,MATCH($A28,Raw_Price!$A$2:$A$100,0)),""))</f>
        <v>46325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-46325</v>
      </c>
      <c r="I29" s="67" t="n">
        <f aca="false">IF($A29="","",IFERROR(INDEX(Raw_Price!$E$2:$E$100,MATCH($A29,Raw_Price!$A$2:$A$100,0)),""))</f>
        <v>46325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46325</v>
      </c>
    </row>
    <row r="3" customFormat="false" ht="15" hidden="false" customHeight="false" outlineLevel="0" collapsed="false">
      <c r="A3" s="79" t="s">
        <v>220</v>
      </c>
      <c r="B3" s="83" t="n">
        <v>7.39608</v>
      </c>
      <c r="C3" s="83" t="n">
        <v>7.17265</v>
      </c>
      <c r="D3" s="81" t="n">
        <v>46387</v>
      </c>
      <c r="E3" s="80" t="n">
        <v>14</v>
      </c>
      <c r="F3" s="81" t="n">
        <v>46325</v>
      </c>
    </row>
    <row r="4" customFormat="false" ht="15" hidden="false" customHeight="false" outlineLevel="0" collapsed="false">
      <c r="A4" s="79" t="s">
        <v>345</v>
      </c>
      <c r="B4" s="83" t="n">
        <v>20.39815</v>
      </c>
      <c r="C4" s="83" t="n">
        <v>31.98733</v>
      </c>
      <c r="D4" s="81" t="n">
        <v>46387</v>
      </c>
      <c r="E4" s="80" t="n">
        <v>8</v>
      </c>
      <c r="F4" s="81" t="n">
        <v>46325</v>
      </c>
    </row>
    <row r="5" customFormat="false" ht="15" hidden="false" customHeight="false" outlineLevel="0" collapsed="false">
      <c r="A5" s="79" t="s">
        <v>79</v>
      </c>
      <c r="B5" s="83" t="n">
        <v>110.54858</v>
      </c>
      <c r="C5" s="83" t="n">
        <v>149.17497</v>
      </c>
      <c r="D5" s="81" t="n">
        <v>46387</v>
      </c>
      <c r="E5" s="80" t="n">
        <v>21</v>
      </c>
      <c r="F5" s="81" t="n">
        <v>46325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46325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46325</v>
      </c>
    </row>
    <row r="8" customFormat="false" ht="15" hidden="false" customHeight="false" outlineLevel="0" collapsed="false">
      <c r="A8" s="79" t="s">
        <v>182</v>
      </c>
      <c r="B8" s="83" t="n">
        <v>75.79082</v>
      </c>
      <c r="C8" s="83" t="n">
        <v>125.71864</v>
      </c>
      <c r="D8" s="81" t="n">
        <v>46387</v>
      </c>
      <c r="E8" s="80" t="n">
        <v>6</v>
      </c>
      <c r="F8" s="81" t="n">
        <v>46325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69.6582</v>
      </c>
      <c r="C10" s="83" t="n">
        <v>148.34709</v>
      </c>
      <c r="D10" s="81" t="n">
        <v>46387</v>
      </c>
      <c r="E10" s="80" t="n">
        <v>15</v>
      </c>
      <c r="F10" s="81" t="n">
        <v>46325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46325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46325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46325</v>
      </c>
    </row>
    <row r="14" customFormat="false" ht="15" hidden="false" customHeight="false" outlineLevel="0" collapsed="false">
      <c r="A14" s="79" t="s">
        <v>210</v>
      </c>
      <c r="B14" s="83" t="n">
        <v>21.0612</v>
      </c>
      <c r="C14" s="83" t="n">
        <v>40.34524</v>
      </c>
      <c r="D14" s="81" t="n">
        <v>46387</v>
      </c>
      <c r="E14" s="80" t="n">
        <v>4</v>
      </c>
      <c r="F14" s="81" t="n">
        <v>46325</v>
      </c>
    </row>
    <row r="15" customFormat="false" ht="15" hidden="false" customHeight="false" outlineLevel="0" collapsed="false">
      <c r="A15" s="79" t="s">
        <v>230</v>
      </c>
      <c r="B15" s="83" t="n">
        <v>10.4634</v>
      </c>
      <c r="C15" s="83" t="n">
        <v>12.89745</v>
      </c>
      <c r="D15" s="81" t="n">
        <v>46387</v>
      </c>
      <c r="E15" s="80" t="n">
        <v>2</v>
      </c>
      <c r="F15" s="81" t="n">
        <v>46325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46325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46325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46325</v>
      </c>
    </row>
    <row r="20" customFormat="false" ht="15" hidden="false" customHeight="false" outlineLevel="0" collapsed="false">
      <c r="A20" s="79" t="s">
        <v>245</v>
      </c>
      <c r="B20" s="83" t="n">
        <v>60.24881</v>
      </c>
      <c r="C20" s="83" t="n">
        <v>125.96337</v>
      </c>
      <c r="D20" s="81" t="n">
        <v>46387</v>
      </c>
      <c r="E20" s="80" t="n">
        <v>3</v>
      </c>
      <c r="F20" s="81" t="n">
        <v>46325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46325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46325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5.82113</v>
      </c>
      <c r="C24" s="83" t="n">
        <v>7.49544</v>
      </c>
      <c r="D24" s="81" t="n">
        <v>46387</v>
      </c>
      <c r="E24" s="80" t="n">
        <v>6</v>
      </c>
      <c r="F24" s="81" t="n">
        <v>46325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46325</v>
      </c>
    </row>
    <row r="26" customFormat="false" ht="15" hidden="false" customHeight="false" outlineLevel="0" collapsed="false">
      <c r="A26" s="79" t="s">
        <v>186</v>
      </c>
      <c r="B26" s="83" t="n">
        <v>361.35333</v>
      </c>
      <c r="C26" s="83" t="n">
        <v>246.51135</v>
      </c>
      <c r="D26" s="81" t="n">
        <v>46387</v>
      </c>
      <c r="E26" s="80" t="n">
        <v>3</v>
      </c>
      <c r="F26" s="81" t="n">
        <v>46325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46325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46325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46325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46325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9650</v>
      </c>
      <c r="C2" s="81" t="n">
        <v>46325</v>
      </c>
      <c r="D2" s="81"/>
      <c r="E2" s="81" t="n">
        <v>46325</v>
      </c>
    </row>
    <row r="3" customFormat="false" ht="15" hidden="false" customHeight="false" outlineLevel="0" collapsed="false">
      <c r="A3" s="79" t="s">
        <v>220</v>
      </c>
      <c r="B3" s="83" t="n">
        <v>111.5</v>
      </c>
      <c r="C3" s="81" t="n">
        <v>46325</v>
      </c>
      <c r="D3" s="81"/>
      <c r="E3" s="81" t="n">
        <v>46325</v>
      </c>
    </row>
    <row r="4" customFormat="false" ht="15" hidden="false" customHeight="false" outlineLevel="0" collapsed="false">
      <c r="A4" s="79" t="s">
        <v>345</v>
      </c>
      <c r="B4" s="83" t="n">
        <v>502</v>
      </c>
      <c r="C4" s="81" t="n">
        <v>46325</v>
      </c>
      <c r="D4" s="81"/>
      <c r="E4" s="81" t="n">
        <v>46325</v>
      </c>
    </row>
    <row r="5" customFormat="false" ht="15" hidden="false" customHeight="false" outlineLevel="0" collapsed="false">
      <c r="A5" s="79" t="s">
        <v>79</v>
      </c>
      <c r="B5" s="83" t="n">
        <v>2370</v>
      </c>
      <c r="C5" s="81" t="n">
        <v>46325</v>
      </c>
      <c r="D5" s="81"/>
      <c r="E5" s="81" t="n">
        <v>46325</v>
      </c>
    </row>
    <row r="6" customFormat="false" ht="15" hidden="false" customHeight="false" outlineLevel="0" collapsed="false">
      <c r="A6" s="79" t="s">
        <v>236</v>
      </c>
      <c r="B6" s="83" t="n">
        <v>164.5</v>
      </c>
      <c r="C6" s="81" t="n">
        <v>46325</v>
      </c>
      <c r="D6" s="81"/>
      <c r="E6" s="81" t="n">
        <v>46325</v>
      </c>
    </row>
    <row r="7" customFormat="false" ht="15" hidden="false" customHeight="false" outlineLevel="0" collapsed="false">
      <c r="A7" s="79" t="s">
        <v>205</v>
      </c>
      <c r="B7" s="83" t="n">
        <v>336</v>
      </c>
      <c r="C7" s="81" t="n">
        <v>46325</v>
      </c>
      <c r="D7" s="81"/>
      <c r="E7" s="81" t="n">
        <v>46325</v>
      </c>
    </row>
    <row r="8" customFormat="false" ht="15" hidden="false" customHeight="false" outlineLevel="0" collapsed="false">
      <c r="A8" s="79" t="s">
        <v>182</v>
      </c>
      <c r="B8" s="83" t="n">
        <v>454.5</v>
      </c>
      <c r="C8" s="81" t="n">
        <v>46325</v>
      </c>
      <c r="D8" s="81"/>
      <c r="E8" s="81" t="n">
        <v>46325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3915</v>
      </c>
      <c r="C10" s="81" t="n">
        <v>46325</v>
      </c>
      <c r="D10" s="81"/>
      <c r="E10" s="81" t="n">
        <v>46325</v>
      </c>
    </row>
    <row r="11" customFormat="false" ht="15" hidden="false" customHeight="false" outlineLevel="0" collapsed="false">
      <c r="A11" s="79" t="s">
        <v>190</v>
      </c>
      <c r="B11" s="83" t="n">
        <v>447</v>
      </c>
      <c r="C11" s="81" t="n">
        <v>46325</v>
      </c>
      <c r="D11" s="81"/>
      <c r="E11" s="81" t="n">
        <v>46325</v>
      </c>
    </row>
    <row r="12" customFormat="false" ht="15" hidden="false" customHeight="false" outlineLevel="0" collapsed="false">
      <c r="A12" s="79" t="s">
        <v>224</v>
      </c>
      <c r="B12" s="83" t="n">
        <v>102</v>
      </c>
      <c r="C12" s="81" t="n">
        <v>46325</v>
      </c>
      <c r="D12" s="81"/>
      <c r="E12" s="81" t="n">
        <v>46325</v>
      </c>
    </row>
    <row r="13" customFormat="false" ht="15" hidden="false" customHeight="false" outlineLevel="0" collapsed="false">
      <c r="A13" s="79" t="s">
        <v>195</v>
      </c>
      <c r="B13" s="83" t="n">
        <v>575</v>
      </c>
      <c r="C13" s="81" t="n">
        <v>46325</v>
      </c>
      <c r="D13" s="81"/>
      <c r="E13" s="81" t="n">
        <v>46325</v>
      </c>
    </row>
    <row r="14" customFormat="false" ht="15" hidden="false" customHeight="false" outlineLevel="0" collapsed="false">
      <c r="A14" s="79" t="s">
        <v>210</v>
      </c>
      <c r="B14" s="83" t="n">
        <v>2370</v>
      </c>
      <c r="C14" s="81" t="n">
        <v>46325</v>
      </c>
      <c r="D14" s="81"/>
      <c r="E14" s="81" t="n">
        <v>46325</v>
      </c>
    </row>
    <row r="15" customFormat="false" ht="15" hidden="false" customHeight="false" outlineLevel="0" collapsed="false">
      <c r="A15" s="79" t="s">
        <v>230</v>
      </c>
      <c r="B15" s="83" t="n">
        <v>578</v>
      </c>
      <c r="C15" s="81" t="n">
        <v>46325</v>
      </c>
      <c r="D15" s="81"/>
      <c r="E15" s="81" t="n">
        <v>46325</v>
      </c>
    </row>
    <row r="16" customFormat="false" ht="15" hidden="false" customHeight="false" outlineLevel="0" collapsed="false">
      <c r="A16" s="79" t="s">
        <v>212</v>
      </c>
      <c r="B16" s="83" t="n">
        <v>509</v>
      </c>
      <c r="C16" s="81" t="n">
        <v>46325</v>
      </c>
      <c r="D16" s="81"/>
      <c r="E16" s="81" t="n">
        <v>46325</v>
      </c>
    </row>
    <row r="17" customFormat="false" ht="15" hidden="false" customHeight="false" outlineLevel="0" collapsed="false">
      <c r="A17" s="79" t="s">
        <v>216</v>
      </c>
      <c r="B17" s="83" t="n">
        <v>932</v>
      </c>
      <c r="C17" s="81" t="n">
        <v>46325</v>
      </c>
      <c r="D17" s="81"/>
      <c r="E17" s="81" t="n">
        <v>46325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474.5</v>
      </c>
      <c r="C19" s="81" t="n">
        <v>46325</v>
      </c>
      <c r="D19" s="81"/>
      <c r="E19" s="81" t="n">
        <v>46325</v>
      </c>
    </row>
    <row r="20" customFormat="false" ht="15" hidden="false" customHeight="false" outlineLevel="0" collapsed="false">
      <c r="A20" s="79" t="s">
        <v>245</v>
      </c>
      <c r="B20" s="83" t="n">
        <v>7635</v>
      </c>
      <c r="C20" s="81" t="n">
        <v>46325</v>
      </c>
      <c r="D20" s="81"/>
      <c r="E20" s="81" t="n">
        <v>46325</v>
      </c>
    </row>
    <row r="21" customFormat="false" ht="15" hidden="false" customHeight="false" outlineLevel="0" collapsed="false">
      <c r="A21" s="79" t="s">
        <v>241</v>
      </c>
      <c r="B21" s="83" t="n">
        <v>409</v>
      </c>
      <c r="C21" s="81" t="n">
        <v>46325</v>
      </c>
      <c r="D21" s="81"/>
      <c r="E21" s="81" t="n">
        <v>46325</v>
      </c>
    </row>
    <row r="22" customFormat="false" ht="15" hidden="false" customHeight="false" outlineLevel="0" collapsed="false">
      <c r="A22" s="79" t="s">
        <v>197</v>
      </c>
      <c r="B22" s="83" t="n">
        <v>1625</v>
      </c>
      <c r="C22" s="81" t="n">
        <v>46325</v>
      </c>
      <c r="D22" s="81"/>
      <c r="E22" s="81" t="n">
        <v>46325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102.5</v>
      </c>
      <c r="C24" s="81" t="n">
        <v>46325</v>
      </c>
      <c r="D24" s="81"/>
      <c r="E24" s="81" t="n">
        <v>46325</v>
      </c>
    </row>
    <row r="25" customFormat="false" ht="15" hidden="false" customHeight="false" outlineLevel="0" collapsed="false">
      <c r="A25" s="79" t="s">
        <v>232</v>
      </c>
      <c r="B25" s="83" t="n">
        <v>447</v>
      </c>
      <c r="C25" s="81" t="n">
        <v>46325</v>
      </c>
      <c r="D25" s="81"/>
      <c r="E25" s="81" t="n">
        <v>46325</v>
      </c>
    </row>
    <row r="26" customFormat="false" ht="15" hidden="false" customHeight="false" outlineLevel="0" collapsed="false">
      <c r="A26" s="79" t="s">
        <v>186</v>
      </c>
      <c r="B26" s="83" t="n">
        <v>1120</v>
      </c>
      <c r="C26" s="81" t="n">
        <v>46325</v>
      </c>
      <c r="D26" s="81"/>
      <c r="E26" s="81" t="n">
        <v>46325</v>
      </c>
    </row>
    <row r="27" customFormat="false" ht="15" hidden="false" customHeight="false" outlineLevel="0" collapsed="false">
      <c r="A27" s="79" t="s">
        <v>201</v>
      </c>
      <c r="B27" s="83" t="n">
        <v>559</v>
      </c>
      <c r="C27" s="81" t="n">
        <v>46325</v>
      </c>
      <c r="D27" s="81"/>
      <c r="E27" s="81" t="n">
        <v>46325</v>
      </c>
    </row>
    <row r="28" customFormat="false" ht="15" hidden="false" customHeight="false" outlineLevel="0" collapsed="false">
      <c r="A28" s="79" t="s">
        <v>218</v>
      </c>
      <c r="B28" s="83" t="n">
        <v>1230</v>
      </c>
      <c r="C28" s="81" t="n">
        <v>46325</v>
      </c>
      <c r="D28" s="81"/>
      <c r="E28" s="81" t="n">
        <v>46325</v>
      </c>
    </row>
    <row r="29" customFormat="false" ht="15" hidden="false" customHeight="false" outlineLevel="0" collapsed="false">
      <c r="A29" s="79" t="s">
        <v>243</v>
      </c>
      <c r="B29" s="83" t="n">
        <v>448</v>
      </c>
      <c r="C29" s="81" t="n">
        <v>46325</v>
      </c>
      <c r="D29" s="81"/>
      <c r="E29" s="81" t="n">
        <v>46325</v>
      </c>
    </row>
    <row r="30" customFormat="false" ht="15" hidden="false" customHeight="false" outlineLevel="0" collapsed="false">
      <c r="A30" s="79" t="s">
        <v>228</v>
      </c>
      <c r="B30" s="83" t="n">
        <v>1930</v>
      </c>
      <c r="C30" s="81" t="n">
        <v>46325</v>
      </c>
      <c r="D30" s="81"/>
      <c r="E30" s="81" t="n">
        <v>46325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142.613774986301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27.4687065368567</v>
      </c>
      <c r="K2" s="52" t="n">
        <f aca="false">IF($A2="","",IFERROR(IF(G2&lt;=0,"N/M",D2/G2),"N/M"))</f>
        <v>24.4250653937326</v>
      </c>
      <c r="L2" s="52" t="n">
        <f aca="false">IF($A2="","",IFERROR(IF(H2&lt;=0,"N/M",D2/H2),"N/M"))</f>
        <v>16.6183105399717</v>
      </c>
      <c r="M2" s="49" t="n">
        <f aca="false">IF($A2="","",IFERROR(INDEX(Raw_Est!$C$2:$C$100,MATCH($A2,Raw_Est!$A$2:$A$100,0))/INDEX(Raw_Est!$B$2:$B$100,MATCH($A2,Raw_Est!$A$2:$A$100,0))-1,""))</f>
        <v>0.349406478129344</v>
      </c>
      <c r="N2" s="51" t="n">
        <f aca="false">IF($A2="","",IFERROR(IF(OR(NOT(ISNUMBER(J2)),I2&lt;Config!$B$6),"N/M",J2/(I2*100)),"N/M"))</f>
        <v>0.516103725422223</v>
      </c>
      <c r="O2" s="51" t="n">
        <f aca="false">IF($A2="","",IFERROR(IF(OR(NOT(ISNUMBER(L2)),M2&lt;Config!$B$6),"N/M",L2/(M2*100)),"N/M"))</f>
        <v>0.475615410136153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0.00928274269198312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0.44567097079796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46325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454.5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117.237750027397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16.7403314917127</v>
      </c>
      <c r="K3" s="52" t="n">
        <f aca="false">IF($A3="","",IFERROR(IF(G3&lt;=0,"N/M",D3/G3),"N/M"))</f>
        <v>9.56885416918871</v>
      </c>
      <c r="L3" s="52" t="n">
        <f aca="false">IF($A3="","",IFERROR(IF(H3&lt;=0,"N/M",D3/H3),"N/M"))</f>
        <v>3.87673765398763</v>
      </c>
      <c r="M3" s="49" t="n">
        <f aca="false">IF($A3="","",IFERROR(INDEX(Raw_Est!$C$2:$C$100,MATCH($A3,Raw_Est!$A$2:$A$100,0))/INDEX(Raw_Est!$B$2:$B$100,MATCH($A3,Raw_Est!$A$2:$A$100,0))-1,""))</f>
        <v>0.658758145115728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0.058849179820108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0.810681564635586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46325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1120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266.018754821918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4.21022946577495</v>
      </c>
      <c r="M4" s="49" t="n">
        <f aca="false">IF($A4="","",IFERROR(INDEX(Raw_Est!$C$2:$C$100,MATCH($A4,Raw_Est!$A$2:$A$100,0))/INDEX(Raw_Est!$B$2:$B$100,MATCH($A4,Raw_Est!$A$2:$A$100,0))-1,""))</f>
        <v>-0.317810769863391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3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46325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8.80514164383562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108.495145631068</v>
      </c>
      <c r="K5" s="52" t="n">
        <f aca="false">IF($A5="","",IFERROR(IF(G5&lt;=0,"N/M",D5/G5),"N/M"))</f>
        <v>95.2220676609242</v>
      </c>
      <c r="L5" s="52" t="n">
        <f aca="false">IF($A5="","",IFERROR(IF(H5&lt;=0,"N/M",D5/H5),"N/M"))</f>
        <v>50.7657932241147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1.7621823016511</v>
      </c>
      <c r="O5" s="51" t="n">
        <f aca="false">IF($A5="","",IFERROR(IF(OR(NOT(ISNUMBER(L5)),M5&lt;Config!$B$6),"N/M",L5/(M5*100)),"N/M"))</f>
        <v>0.745706675161817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0.00586254257270694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46325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575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35.160642630137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20.0558074642483</v>
      </c>
      <c r="K6" s="52" t="n">
        <f aca="false">IF($A6="","",IFERROR(IF(G6&lt;=0,"N/M",D6/G6),"N/M"))</f>
        <v>17.8390102234592</v>
      </c>
      <c r="L6" s="52" t="n">
        <f aca="false">IF($A6="","",IFERROR(IF(H6&lt;=0,"N/M",D6/H6),"N/M"))</f>
        <v>16.3535122508584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0.048695652173913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46325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1625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118.694816410959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29.8001100311755</v>
      </c>
      <c r="K7" s="52" t="n">
        <f aca="false">IF($A7="","",IFERROR(IF(G7&lt;=0,"N/M",D7/G7),"N/M"))</f>
        <v>27.1903955156763</v>
      </c>
      <c r="L7" s="52" t="n">
        <f aca="false">IF($A7="","",IFERROR(IF(H7&lt;=0,"N/M",D7/H7),"N/M"))</f>
        <v>13.6905725888967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0.518581814261109</v>
      </c>
      <c r="O7" s="51" t="n">
        <f aca="false">IF($A7="","",IFERROR(IF(OR(NOT(ISNUMBER(L7)),M7&lt;Config!$B$6),"N/M",L7/(M7*100)),"N/M"))</f>
        <v>0.165912988882501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0.00646491230153846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46325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559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33.4178712328767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16.7275765743586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1.50356511341579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46325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336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36.7142410410959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12.5795582178959</v>
      </c>
      <c r="K9" s="52" t="n">
        <f aca="false">IF($A9="","",IFERROR(IF(G9&lt;=0,"N/M",D9/G9),"N/M"))</f>
        <v>11.0647664247566</v>
      </c>
      <c r="L9" s="52" t="n">
        <f aca="false">IF($A9="","",IFERROR(IF(H9&lt;=0,"N/M",D9/H9),"N/M"))</f>
        <v>9.15176210843907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0.200735030065939</v>
      </c>
      <c r="O9" s="51" t="n">
        <f aca="false">IF($A9="","",IFERROR(IF(OR(NOT(ISNUMBER(L9)),M9&lt;Config!$B$6),"N/M",L9/(M9*100)),"N/M"))</f>
        <v>0.824334906857718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0.0297619047619048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46325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9650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471.759425479452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53.2002866751199</v>
      </c>
      <c r="K10" s="52" t="n">
        <f aca="false">IF($A10="","",IFERROR(IF(G10&lt;=0,"N/M",D10/G10),"N/M"))</f>
        <v>36.2453906849346</v>
      </c>
      <c r="L10" s="52" t="n">
        <f aca="false">IF($A10="","",IFERROR(IF(H10&lt;=0,"N/M",D10/H10),"N/M"))</f>
        <v>20.4553411735073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0.315678088976138</v>
      </c>
      <c r="O10" s="51" t="n">
        <f aca="false">IF($A10="","",IFERROR(IF(OR(NOT(ISNUMBER(L10)),M10&lt;Config!$B$6),"N/M",L10/(M10*100)),"N/M"))</f>
        <v>0.491731077143104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0.00333678756476684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46325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2370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37.0695948493151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211.418376449599</v>
      </c>
      <c r="K11" s="52" t="n">
        <f aca="false">IF($A11="","",IFERROR(IF(G11&lt;=0,"N/M",D11/G11),"N/M"))</f>
        <v>148.869346733668</v>
      </c>
      <c r="L11" s="52" t="n">
        <f aca="false">IF($A11="","",IFERROR(IF(H11&lt;=0,"N/M",D11/H11),"N/M"))</f>
        <v>63.9337982957154</v>
      </c>
      <c r="M11" s="49" t="n">
        <f aca="false">IF($A11="","",IFERROR(INDEX(Raw_Est!$C$2:$C$100,MATCH($A11,Raw_Est!$A$2:$A$100,0))/INDEX(Raw_Est!$B$2:$B$100,MATCH($A11,Raw_Est!$A$2:$A$100,0))-1,""))</f>
        <v>0.915619242968112</v>
      </c>
      <c r="N11" s="51" t="n">
        <f aca="false">IF($A11="","",IFERROR(IF(OR(NOT(ISNUMBER(J11)),I11&lt;Config!$B$6),"N/M",J11/(I11*100)),"N/M"))</f>
        <v>0.375312033823342</v>
      </c>
      <c r="O11" s="51" t="n">
        <f aca="false">IF($A11="","",IFERROR(IF(OR(NOT(ISNUMBER(L11)),M11&lt;Config!$B$6),"N/M",L11/(M11*100)),"N/M"))</f>
        <v>0.698257477512866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0.000210979810126582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0.412918875425787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4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46325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509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52.8008298755187</v>
      </c>
      <c r="K12" s="52" t="n">
        <f aca="false">IF($A12="","",IFERROR(IF(G12&lt;=0,"N/M",D12/G12),"N/M"))</f>
        <v>74.198250728863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0.198097264725555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46325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932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28.0586503287671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157.966101694915</v>
      </c>
      <c r="K13" s="52" t="n">
        <f aca="false">IF($A13="","",IFERROR(IF(G13&lt;=0,"N/M",D13/G13),"N/M"))</f>
        <v>111.827698953115</v>
      </c>
      <c r="L13" s="52" t="n">
        <f aca="false">IF($A13="","",IFERROR(IF(H13&lt;=0,"N/M",D13/H13),"N/M"))</f>
        <v>33.2161379496029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0.407545806078566</v>
      </c>
      <c r="O13" s="51" t="n">
        <f aca="false">IF($A13="","",IFERROR(IF(OR(NOT(ISNUMBER(L13)),M13&lt;Config!$B$6),"N/M",L13/(M13*100)),"N/M"))</f>
        <v>0.213585704772238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0.00107314584763949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46325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1230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118.45101369863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10.3840394572683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0.0947072049926762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46325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111.5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7.21060249315069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16.6916167664671</v>
      </c>
      <c r="K15" s="52" t="n">
        <f aca="false">IF($A15="","",IFERROR(IF(G15&lt;=0,"N/M",D15/G15),"N/M"))</f>
        <v>16.1795861508547</v>
      </c>
      <c r="L15" s="52" t="n">
        <f aca="false">IF($A15="","",IFERROR(IF(H15&lt;=0,"N/M",D15/H15),"N/M"))</f>
        <v>15.4633402834109</v>
      </c>
      <c r="M15" s="49" t="n">
        <f aca="false">IF($A15="","",IFERROR(INDEX(Raw_Est!$C$2:$C$100,MATCH($A15,Raw_Est!$A$2:$A$100,0))/INDEX(Raw_Est!$B$2:$B$100,MATCH($A15,Raw_Est!$A$2:$A$100,0))-1,""))</f>
        <v>-0.030209245978951</v>
      </c>
      <c r="N15" s="51" t="n">
        <f aca="false">IF($A15="","",IFERROR(IF(OR(NOT(ISNUMBER(J15)),I15&lt;Config!$B$6),"N/M",J15/(I15*100)),"N/M"))</f>
        <v>0.150747649999147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0.209543012936975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46325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3915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134.980758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64.5081562036579</v>
      </c>
      <c r="K16" s="52" t="n">
        <f aca="false">IF($A16="","",IFERROR(IF(G16&lt;=0,"N/M",D16/G16),"N/M"))</f>
        <v>64.9422387306554</v>
      </c>
      <c r="L16" s="52" t="n">
        <f aca="false">IF($A16="","",IFERROR(IF(H16&lt;=0,"N/M",D16/H16),"N/M"))</f>
        <v>29.0041340559074</v>
      </c>
      <c r="M16" s="49" t="n">
        <f aca="false">IF($A16="","",IFERROR(INDEX(Raw_Est!$C$2:$C$100,MATCH($A16,Raw_Est!$A$2:$A$100,0))/INDEX(Raw_Est!$B$2:$B$100,MATCH($A16,Raw_Est!$A$2:$A$100,0))-1,""))</f>
        <v>1.12964288482907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0.256754895245467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0.0137931589961686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0.263382928390365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46325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102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37.7777777777778</v>
      </c>
      <c r="K17" s="52" t="n">
        <f aca="false">IF($A17="","",IFERROR(IF(G17&lt;=0,"N/M",D17/G17),"N/M"))</f>
        <v>32.5878594249201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46325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102.5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7.21103665753425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17.3141891891892</v>
      </c>
      <c r="K18" s="52" t="n">
        <f aca="false">IF($A18="","",IFERROR(IF(G18&lt;=0,"N/M",D18/G18),"N/M"))</f>
        <v>17.9806580745434</v>
      </c>
      <c r="L18" s="52" t="n">
        <f aca="false">IF($A18="","",IFERROR(IF(H18&lt;=0,"N/M",D18/H18),"N/M"))</f>
        <v>14.2143224154749</v>
      </c>
      <c r="M18" s="49" t="n">
        <f aca="false">IF($A18="","",IFERROR(INDEX(Raw_Est!$C$2:$C$100,MATCH($A18,Raw_Est!$A$2:$A$100,0))/INDEX(Raw_Est!$B$2:$B$100,MATCH($A18,Raw_Est!$A$2:$A$100,0))-1,""))</f>
        <v>0.287626285618084</v>
      </c>
      <c r="N18" s="51" t="n">
        <f aca="false">IF($A18="","",IFERROR(IF(OR(NOT(ISNUMBER(J18)),I18&lt;Config!$B$6),"N/M",J18/(I18*100)),"N/M"))</f>
        <v>0.702926484176484</v>
      </c>
      <c r="O18" s="51" t="n">
        <f aca="false">IF($A18="","",IFERROR(IF(OR(NOT(ISNUMBER(L18)),M18&lt;Config!$B$6),"N/M",L18/(M18*100)),"N/M"))</f>
        <v>0.494194137539603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0.0391164569756098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0.0752771579530487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46325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303.754313123288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6.35381924343788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46325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578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12.4839949315069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67.9200940070505</v>
      </c>
      <c r="K20" s="52" t="n">
        <f aca="false">IF($A20="","",IFERROR(IF(G20&lt;=0,"N/M",D20/G20),"N/M"))</f>
        <v>71.2899032282732</v>
      </c>
      <c r="L20" s="52" t="n">
        <f aca="false">IF($A20="","",IFERROR(IF(H20&lt;=0,"N/M",D20/H20),"N/M"))</f>
        <v>46.2992818541808</v>
      </c>
      <c r="M20" s="49" t="n">
        <f aca="false">IF($A20="","",IFERROR(INDEX(Raw_Est!$C$2:$C$100,MATCH($A20,Raw_Est!$A$2:$A$100,0))/INDEX(Raw_Est!$B$2:$B$100,MATCH($A20,Raw_Est!$A$2:$A$100,0))-1,""))</f>
        <v>0.232625150524686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1.99029562150751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0.00346020761245675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0.101251199517266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2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46325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12.9851232876712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72.6829268292683</v>
      </c>
      <c r="K21" s="52" t="n">
        <f aca="false">IF($A21="","",IFERROR(IF(G21&lt;=0,"N/M",D21/G21),"N/M"))</f>
        <v>65.8321060382916</v>
      </c>
      <c r="L21" s="52" t="n">
        <f aca="false">IF($A21="","",IFERROR(IF(H21&lt;=0,"N/M",D21/H21),"N/M"))</f>
        <v>34.4240089290801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1.62580231065468</v>
      </c>
      <c r="O21" s="51" t="n">
        <f aca="false">IF($A21="","",IFERROR(IF(OR(NOT(ISNUMBER(L21)),M21&lt;Config!$B$6),"N/M",L21/(M21*100)),"N/M"))</f>
        <v>0.377438317486501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0.0034555544295302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46325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474.5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9.01887394520548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52.6118895643562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46325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164.5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47.9398737808219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18.1567328918322</v>
      </c>
      <c r="K23" s="52" t="n">
        <f aca="false">IF($A23="","",IFERROR(IF(G23&lt;=0,"N/M",D23/G23),"N/M"))</f>
        <v>9.96424381081141</v>
      </c>
      <c r="L23" s="52" t="n">
        <f aca="false">IF($A23="","",IFERROR(IF(H23&lt;=0,"N/M",D23/H23),"N/M"))</f>
        <v>3.4313815833576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0.0321481240302021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0.00303951367781155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46325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409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83.130081300813</v>
      </c>
      <c r="K25" s="52" t="n">
        <f aca="false">IF($A25="","",IFERROR(IF(G25&lt;=0,"N/M",D25/G25),"N/M"))</f>
        <v>94.8955916473318</v>
      </c>
      <c r="L25" s="52" t="n">
        <f aca="false">IF($A25="","",IFERROR(IF(H25&lt;=0,"N/M",D25/H25),"N/M"))</f>
        <v>34.1687552213868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0.00244498777506112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46325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448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13.421698630137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33.3787855282389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0.132416754289357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46325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7635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114.800896794521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195.719046398359</v>
      </c>
      <c r="K27" s="52" t="n">
        <f aca="false">IF($A27="","",IFERROR(IF(G27&lt;=0,"N/M",D27/G27),"N/M"))</f>
        <v>170.081628043175</v>
      </c>
      <c r="L27" s="52" t="n">
        <f aca="false">IF($A27="","",IFERROR(IF(H27&lt;=0,"N/M",D27/H27),"N/M"))</f>
        <v>66.5064491061051</v>
      </c>
      <c r="M27" s="49" t="n">
        <f aca="false">IF($A27="","",IFERROR(INDEX(Raw_Est!$C$2:$C$100,MATCH($A27,Raw_Est!$A$2:$A$100,0))/INDEX(Raw_Est!$B$2:$B$100,MATCH($A27,Raw_Est!$A$2:$A$100,0))-1,""))</f>
        <v>1.09071963413053</v>
      </c>
      <c r="N27" s="51" t="n">
        <f aca="false">IF($A27="","",IFERROR(IF(OR(NOT(ISNUMBER(J27)),I27&lt;Config!$B$6),"N/M",J27/(I27*100)),"N/M"))</f>
        <v>4.42125565130463</v>
      </c>
      <c r="O27" s="51" t="n">
        <f aca="false">IF($A27="","",IFERROR(IF(OR(NOT(ISNUMBER(L27)),M27&lt;Config!$B$6),"N/M",L27/(M27*100)),"N/M"))</f>
        <v>0.609748344349927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0.00261951538965291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0.599617440324528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3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46325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2026-10-30T13:23:56Z</dcterms:created>
  <dc:creator>openpyxl</dc:creator>
  <dc:description/>
  <dc:language>en-US</dc:language>
  <cp:lastModifiedBy/>
  <dcterms:modified xsi:type="dcterms:W3CDTF">2026-10-30T13:23:57Z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