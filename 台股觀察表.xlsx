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<sst xmlns="http://schemas.openxmlformats.org/spreadsheetml/2006/main" count="8221" uniqueCount="1534">
  <si>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</si>
  <si>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</si>
  <si>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</si>
  <si>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</si>
  <si>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</si>
  <si>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</si>
  <si>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</si>
  <si>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</si>
  <si>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</si>
  <si>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</si>
  <si>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</si>
  <si>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</si>
  <si>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</si>
  <si>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</si>
  <si>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</si>
  <si>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</si>
  <si>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</si>
  <si>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</si>
  <si>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</si>
  <si>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</si>
  <si>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</si>
  <si>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</si>
  <si>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</si>
  <si>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</si>
  <si>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</si>
  <si>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</si>
  <si>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</si>
  <si>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</si>
  <si>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</si>
  <si>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</si>
  <si>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</si>
  <si>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</si>
  <si>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</si>
  <si>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</si>
  <si>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</si>
  <si>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</si>
  <si>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</si>
  <si>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</si>
  <si>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</si>
  <si>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</si>
  <si>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</si>
  <si>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</si>
  <si>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</si>
  <si>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</si>
  <si>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</si>
  <si>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</si>
  <si>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</si>
  <si>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</si>
  <si>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</si>
  <si>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</si>
  <si>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</si>
  <si>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</si>
  <si>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</si>
  <si>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</si>
  <si>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</si>
  <si>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</si>
  <si>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</si>
  <si>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</si>
  <si>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</si>
  <si>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</si>
  <si>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</si>
  <si>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</si>
  <si>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</si>
  <si>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</si>
  <si>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</si>
  <si>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</si>
  <si>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</si>
  <si>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</si>
  <si>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</si>
  <si>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</si>
  <si>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</si>
  <si>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</si>
  <si>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</si>
  <si>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</si>
  <si>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</si>
  <si>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</si>
  <si>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</si>
  <si>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</si>
  <si>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</si>
  <si>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</si>
  <si>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</si>
  <si>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</si>
  <si>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</si>
  <si>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</si>
  <si>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</si>
  <si>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</si>
  <si>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</si>
  <si>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</si>
  <si>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</si>
  <si>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</si>
  <si>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</si>
  <si>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</si>
  <si>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</si>
  <si>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</si>
  <si>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</si>
  <si>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</si>
  <si>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</si>
  <si>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</si>
  <si>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</si>
  <si>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</si>
  <si>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</si>
  <si>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</si>
  <si>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</si>
  <si>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</si>
  <si>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</si>
  <si>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</si>
  <si>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</si>
  <si>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</si>
  <si>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</si>
  <si>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</si>
  <si>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</si>
  <si>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</si>
  <si>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</si>
  <si>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</si>
  <si>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</si>
  <si>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</si>
  <si>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</si>
  <si>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</si>
  <si>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</si>
  <si>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</si>
  <si>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</si>
  <si>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</si>
  <si>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</si>
  <si>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</si>
  <si>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</si>
  <si>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</si>
  <si>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</si>
  <si>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</si>
  <si>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</si>
  <si>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</si>
  <si>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</si>
  <si>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</si>
  <si>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</si>
  <si>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</si>
  <si>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</si>
  <si>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</si>
  <si>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</si>
  <si>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</si>
  <si>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</si>
  <si>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</si>
  <si>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</si>
  <si>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</si>
  <si>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</si>
  <si>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</si>
  <si>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</si>
  <si>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</si>
  <si>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</si>
  <si>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</si>
  <si>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</si>
  <si>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</si>
  <si>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</si>
  <si>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</si>
  <si>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</si>
  <si>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</si>
  <si>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</si>
  <si>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</si>
  <si>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</si>
  <si>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</si>
  <si>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</si>
  <si>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</si>
  <si>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</si>
  <si>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</si>
  <si>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</si>
  <si>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</si>
  <si>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</si>
  <si>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</si>
  <si>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</si>
  <si>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</si>
  <si>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</si>
  <si>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</si>
  <si>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</si>
  <si>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</si>
  <si>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</si>
  <si>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</si>
  <si>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</si>
  <si>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</si>
  <si>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</si>
  <si>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</si>
  <si>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</si>
  <si>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</si>
  <si>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</si>
  <si>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</si>
  <si>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</si>
  <si>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</si>
  <si>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</si>
  <si>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</si>
  <si>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</si>
  <si>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</si>
  <si>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</si>
  <si>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</si>
  <si>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</si>
  <si>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</si>
  <si>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</si>
  <si>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</si>
  <si>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</si>
  <si>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</si>
  <si>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</si>
  <si>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</si>
  <si>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</si>
  <si>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</si>
  <si>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</si>
  <si>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</si>
  <si>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</si>
  <si>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</si>
  <si>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</si>
  <si>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</si>
  <si>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</si>
  <si>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</si>
  <si>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</si>
  <si>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</si>
  <si>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</si>
  <si>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</si>
  <si>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</si>
  <si>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</si>
  <si>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</si>
  <si>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</si>
  <si>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</si>
  <si>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</si>
  <si>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</si>
  <si>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</si>
  <si>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</si>
  <si>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</si>
  <si>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</si>
  <si>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</si>
  <si>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</si>
  <si>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</si>
  <si>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</si>
  <si>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</si>
  <si>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</si>
  <si>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</si>
  <si>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</si>
  <si>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</si>
  <si>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</si>
  <si>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</si>
  <si>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</si>
  <si>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</si>
  <si>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</si>
  <si>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</si>
  <si>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</si>
  <si>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</si>
  <si>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</si>
  <si>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</si>
  <si>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</si>
  <si>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</si>
  <si>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</si>
  <si>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</si>
  <si>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</si>
  <si>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</si>
  <si>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</si>
  <si>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</si>
  <si>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</si>
  <si>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</si>
  <si>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</si>
  <si>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</si>
  <si>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</si>
  <si>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</si>
  <si>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</si>
  <si>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</si>
  <si>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</si>
  <si>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</si>
  <si>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</si>
  <si>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</si>
  <si>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</si>
  <si>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</si>
  <si>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</si>
  <si>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</si>
  <si>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</si>
  <si>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</si>
  <si>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</si>
  <si>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</si>
  <si>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</si>
  <si>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</si>
  <si>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</si>
  <si>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</si>
  <si>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</si>
  <si>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</si>
  <si>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</si>
  <si>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</si>
  <si>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</si>
  <si>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</si>
  <si>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</si>
  <si>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</si>
  <si>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</si>
  <si>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</si>
  <si>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</si>
  <si>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</si>
  <si>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</si>
  <si>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</si>
  <si>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</si>
  <si>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</si>
  <si>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</si>
  <si>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</si>
  <si>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</si>
  <si>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</si>
  <si>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</si>
  <si>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</si>
  <si>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</si>
  <si>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</si>
  <si>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</si>
  <si>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</si>
  <si>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</si>
  <si>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</si>
  <si>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</si>
  <si>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</si>
  <si>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</si>
  <si>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</si>
  <si>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</si>
  <si>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</si>
  <si>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</si>
  <si>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</si>
  <si>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</si>
  <si>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</si>
  <si>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</si>
  <si>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</si>
  <si>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</si>
  <si>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</si>
  <si>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</si>
  <si>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</si>
  <si>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</si>
  <si>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</si>
  <si>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</si>
  <si>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</si>
  <si>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</si>
  <si>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</si>
  <si>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</si>
  <si>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</si>
  <si>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</si>
  <si>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</si>
  <si>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</si>
  <si>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</si>
  <si>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</si>
  <si>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</si>
  <si>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</si>
  <si>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</si>
  <si>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</si>
  <si>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</si>
  <si>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</si>
  <si>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</si>
  <si>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</si>
  <si>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</si>
  <si>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</si>
  <si>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</si>
  <si>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</si>
  <si>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</si>
  <si>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</si>
  <si>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</si>
  <si>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</si>
  <si>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</si>
  <si>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</si>
  <si>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</si>
  <si>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</si>
  <si>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</si>
  <si>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</si>
  <si>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</si>
  <si>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</si>
  <si>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</si>
  <si>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</si>
  <si>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</si>
  <si>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</si>
  <si>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</si>
  <si>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</si>
  <si>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</si>
  <si>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</si>
  <si>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</si>
  <si>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</si>
  <si>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</si>
  <si>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</si>
  <si>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</si>
  <si>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</si>
  <si>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</si>
  <si>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</si>
  <si>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</si>
  <si>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</si>
  <si>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</si>
  <si>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</si>
  <si>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</si>
  <si>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</si>
  <si>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</si>
  <si>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</si>
  <si>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</si>
  <si>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</si>
  <si>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</si>
  <si>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</si>
  <si>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</si>
  <si>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</si>
  <si>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</si>
  <si>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</si>
  <si>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</si>
  <si>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</si>
  <si>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</si>
  <si>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</si>
  <si>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</si>
  <si>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</si>
  <si>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</si>
  <si>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</si>
  <si>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</si>
  <si>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</si>
  <si>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</si>
  <si>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</si>
  <si>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</si>
  <si>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</si>
  <si>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</si>
  <si>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</si>
  <si>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</si>
  <si>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</si>
  <si>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</si>
  <si>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</si>
  <si>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</si>
  <si>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</si>
  <si>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</si>
  <si>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</si>
  <si>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</si>
  <si>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</si>
  <si>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</si>
  <si>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</si>
  <si>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</si>
  <si>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</si>
  <si>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</si>
  <si>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</si>
  <si>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</si>
  <si>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</si>
  <si>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</si>
  <si>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</si>
  <si>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</si>
  <si>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</si>
  <si>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</si>
  <si>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</si>
  <si>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</si>
  <si>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</si>
  <si>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</si>
  <si>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</si>
  <si>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</si>
  <si>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</si>
  <si>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</si>
  <si>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</si>
  <si>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</si>
  <si>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</si>
  <si>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</si>
  <si>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</si>
  <si>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</si>
  <si>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</si>
  <si>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</si>
  <si>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</si>
  <si>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</si>
  <si>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</si>
  <si>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</si>
  <si>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</si>
  <si>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</si>
  <si>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</si>
  <si>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</si>
  <si>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</si>
  <si>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</si>
  <si>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</si>
  <si>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</si>
  <si>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</si>
  <si>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</si>
  <si>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</si>
  <si>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</si>
  <si>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</si>
  <si>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</si>
  <si>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</si>
  <si>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</si>
  <si>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</si>
  <si>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</si>
  <si>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</si>
  <si>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</si>
  <si>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</si>
  <si>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</si>
  <si>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</si>
  <si>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</si>
  <si>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</si>
  <si>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</si>
  <si>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</si>
  <si>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</si>
  <si>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</si>
  <si>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</si>
  <si>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</si>
  <si>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</si>
  <si>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</si>
  <si>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</si>
  <si>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</si>
  <si>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</si>
  <si>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</si>
  <si>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</si>
  <si>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</si>
  <si>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</si>
  <si>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</si>
  <si>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</si>
  <si>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</si>
  <si>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</si>
  <si>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</si>
  <si>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</si>
  <si>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</si>
  <si>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</si>
  <si>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</si>
  <si>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</si>
  <si>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</si>
  <si>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</si>
  <si>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</si>
  <si>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</si>
  <si>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</si>
  <si>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</si>
  <si>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</si>
  <si>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</si>
  <si>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</si>
  <si>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</si>
  <si>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</si>
  <si>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</si>
  <si>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</si>
  <si>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</si>
  <si>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</si>
  <si>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</si>
  <si>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</si>
  <si>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</si>
  <si>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</si>
  <si>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</si>
  <si>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</si>
  <si>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</si>
  <si>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</si>
  <si>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</si>
  <si>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</si>
  <si>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</si>
  <si>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</si>
  <si>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</si>
  <si>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</si>
  <si>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</si>
  <si>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</si>
  <si>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</si>
  <si>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</si>
  <si>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</si>
  <si>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</si>
  <si>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</si>
  <si>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</si>
  <si>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</si>
  <si>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</si>
  <si>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</si>
  <si>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</si>
  <si>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</si>
  <si>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</si>
  <si>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</si>
  <si>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</si>
  <si>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</si>
  <si>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</si>
  <si>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</si>
  <si>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</si>
  <si>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</si>
  <si>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</si>
  <si>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</si>
  <si>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</si>
  <si>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</si>
  <si>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</si>
  <si>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</si>
  <si>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</si>
  <si>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</si>
  <si>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</si>
  <si>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</si>
  <si>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</si>
  <si>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</si>
  <si>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</si>
  <si>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</si>
  <si>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</si>
  <si>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</si>
  <si>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</si>
  <si>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</si>
  <si>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</si>
  <si>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</si>
  <si>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</si>
  <si>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</si>
  <si>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</si>
  <si>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</si>
  <si>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</si>
  <si>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</si>
  <si>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</si>
  <si>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</si>
  <si>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</si>
  <si>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</si>
  <si>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</si>
  <si>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</si>
  <si>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</si>
  <si>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</si>
  <si>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</si>
  <si>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</si>
  <si>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</si>
  <si>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</si>
  <si>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</si>
  <si>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</si>
  <si>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</si>
  <si>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</si>
  <si>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</si>
  <si>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</si>
  <si>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</si>
  <si>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</si>
  <si>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</si>
  <si>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</si>
  <si>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</si>
  <si>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</si>
  <si>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</si>
  <si>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</si>
  <si>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</si>
  <si>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</si>
  <si>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</si>
  <si>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</si>
  <si>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</si>
  <si>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</si>
  <si>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</si>
  <si>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</si>
  <si>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</si>
  <si>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</si>
  <si>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</si>
  <si>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</si>
  <si>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</si>
  <si>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</si>
  <si>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</si>
  <si>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</si>
  <si>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</si>
  <si>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</si>
  <si>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</si>
  <si>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</si>
  <si>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</si>
  <si>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</si>
  <si>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</si>
  <si>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</si>
  <si>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</si>
  <si>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</si>
  <si>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</si>
  <si>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</si>
  <si>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</si>
  <si>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</si>
  <si>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</si>
  <si>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</si>
  <si>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</si>
  <si>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</si>
  <si>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</si>
  <si>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</si>
  <si>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</si>
  <si>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</si>
  <si>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</si>
  <si>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</si>
  <si>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</si>
  <si>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</si>
  <si>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</si>
  <si>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</si>
  <si>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</si>
  <si>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</si>
  <si>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</si>
  <si>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</si>
  <si>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</si>
  <si>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</si>
  <si>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</si>
  <si>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</si>
  <si>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</si>
  <si>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</si>
  <si>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</si>
  <si>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</si>
  <si>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</si>
  <si>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</si>
  <si>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</si>
  <si>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</si>
  <si>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</si>
  <si>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</si>
  <si>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</si>
  <si>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</si>
  <si>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</si>
  <si>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</si>
  <si>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</si>
  <si>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</si>
  <si>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</si>
  <si>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</si>
  <si>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</si>
  <si>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</si>
  <si>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</si>
  <si>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</si>
  <si>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</si>
  <si>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</si>
  <si>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</si>
  <si>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</si>
  <si>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</si>
  <si>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</si>
  <si>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</si>
  <si>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</si>
  <si>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</si>
  <si>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</si>
  <si>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</si>
  <si>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</si>
  <si>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</si>
  <si>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</si>
  <si>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</si>
  <si>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</si>
  <si>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</si>
  <si>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</si>
  <si>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</si>
  <si>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</si>
  <si>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</si>
  <si>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</si>
  <si>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</si>
  <si>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</si>
  <si>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</si>
  <si>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</si>
  <si>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</si>
  <si>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</si>
  <si>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</si>
  <si>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</si>
  <si>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</si>
  <si>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</si>
  <si>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</si>
  <si>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</si>
  <si>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</si>
  <si>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</si>
  <si>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</si>
  <si>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</si>
  <si>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</si>
  <si>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</si>
  <si>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</si>
  <si>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</si>
  <si>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</si>
  <si>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</si>
  <si>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</si>
  <si>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</si>
  <si>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</si>
  <si>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</si>
  <si>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</si>
  <si>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</si>
  <si>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</si>
  <si>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</si>
  <si>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</si>
  <si>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</si>
  <si>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</si>
  <si>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</si>
  <si>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</si>
  <si>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</si>
  <si>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</si>
  <si>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</si>
  <si>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</si>
  <si>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</si>
  <si>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</si>
  <si>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</si>
  <si>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</si>
  <si>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</si>
  <si>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</si>
  <si>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</si>
  <si>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</si>
  <si>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</si>
  <si>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</si>
  <si>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</si>
  <si>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</si>
  <si>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</si>
  <si>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</si>
  <si>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</si>
  <si>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</si>
  <si>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</si>
  <si>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</si>
  <si>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</si>
  <si>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</si>
  <si>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</si>
  <si>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</si>
  <si>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</si>
  <si>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</si>
  <si>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</si>
  <si>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</si>
  <si>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</si>
  <si>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</si>
  <si>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</si>
  <si>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</si>
  <si>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</si>
  <si>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</si>
  <si>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</si>
  <si>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</si>
  <si>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</si>
  <si>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</si>
  <si>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</si>
  <si>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</si>
  <si>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</si>
  <si>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</si>
  <si>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</si>
  <si>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</si>
  <si>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</si>
  <si>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</si>
  <si>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</si>
  <si>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</si>
  <si>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</si>
  <si>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</si>
  <si>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</si>
  <si>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</si>
  <si>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</si>
  <si>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</si>
  <si>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</si>
  <si>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</si>
  <si>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</si>
  <si>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</si>
  <si>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</si>
  <si>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</si>
  <si>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</si>
  <si>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</si>
  <si>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</si>
  <si>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</si>
  <si>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</si>
  <si>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</si>
  <si>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</si>
  <si>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</si>
  <si>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</si>
  <si>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</si>
  <si>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</si>
  <si>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</si>
  <si>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</si>
  <si>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</si>
  <si>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</si>
  <si>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</si>
  <si>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</si>
  <si>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</si>
  <si>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</si>
  <si>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</si>
  <si>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</si>
  <si>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</si>
  <si>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</si>
  <si>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</si>
  <si>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</si>
  <si>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</si>
  <si>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</si>
  <si>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</si>
  <si>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</si>
  <si>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</si>
  <si>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</si>
  <si>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</si>
  <si>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</si>
  <si>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</si>
  <si>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</si>
  <si>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</si>
  <si>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</si>
  <si>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</si>
  <si>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</si>
  <si>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</si>
  <si>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</si>
  <si>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</si>
  <si>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</si>
  <si>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</si>
  <si>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</si>
  <si>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</si>
  <si>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</si>
  <si>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</si>
  <si>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</si>
  <si>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</si>
  <si>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</si>
  <si>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</si>
  <si>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</si>
  <si>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</si>
  <si>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</si>
  <si>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</si>
  <si>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</si>
  <si>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</si>
  <si>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</si>
  <si>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</si>
  <si>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</si>
  <si>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</si>
  <si>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</si>
  <si>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</si>
  <si>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</si>
  <si>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</si>
  <si>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</si>
  <si>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</si>
  <si>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</si>
  <si>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</si>
  <si>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</si>
  <si>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</si>
  <si>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</si>
  <si>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</si>
  <si>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</si>
  <si>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</si>
  <si>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</si>
  <si>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</si>
  <si>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</si>
  <si>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</si>
  <si>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</si>
  <si>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</si>
  <si>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</si>
  <si>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</si>
  <si>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</si>
  <si>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</si>
  <si>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</si>
  <si>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</si>
  <si>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</si>
  <si>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</si>
  <si>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</si>
  <si>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</si>
  <si>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</si>
  <si>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</si>
  <si>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</si>
  <si>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</si>
  <si>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</si>
  <si>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</si>
  <si>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</si>
  <si>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</si>
  <si>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</si>
  <si>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</si>
  <si>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</si>
  <si>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</si>
  <si>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</si>
  <si>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</si>
  <si>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</si>
  <si>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</si>
  <si>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</si>
  <si>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</si>
  <si>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</si>
  <si>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</si>
  <si>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</si>
  <si>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</si>
  <si>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</si>
  <si>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</si>
  <si>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</si>
  <si>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</si>
  <si>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</si>
  <si>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</si>
  <si>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</si>
  <si>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</si>
  <si>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</si>
  <si>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</si>
  <si>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</si>
  <si>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</si>
  <si>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</si>
  <si>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</si>
  <si>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</si>
  <si>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</si>
  <si>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</si>
  <si>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</si>
  <si>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</si>
  <si>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</si>
  <si>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</si>
  <si>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</si>
  <si>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</si>
  <si>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</si>
  <si>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</si>
  <si>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</si>
  <si>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</si>
  <si>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</si>
  <si>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</si>
  <si>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</si>
  <si>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</si>
  <si>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</si>
  <si>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</si>
  <si>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</si>
  <si>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</si>
  <si>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</si>
  <si>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</si>
  <si>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</si>
  <si>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</si>
  <si>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</si>
  <si>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</si>
  <si>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</si>
  <si>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</si>
  <si>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</si>
  <si>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</si>
  <si>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</si>
  <si>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</si>
  <si>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</si>
  <si>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</si>
  <si>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</si>
  <si>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</si>
  <si>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</si>
  <si>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</si>
  <si>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</si>
  <si>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</si>
  <si>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</si>
  <si>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</si>
  <si>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</si>
  <si>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</si>
  <si>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</si>
  <si>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</si>
  <si>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</si>
  <si>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</si>
  <si>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</si>
  <si>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</si>
  <si>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</si>
  <si>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</si>
  <si>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</si>
  <si>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</si>
  <si>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</si>
  <si>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</si>
  <si>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</si>
  <si>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</si>
  <si>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</si>
  <si>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</si>
  <si>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</si>
  <si>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</si>
  <si>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</si>
  <si>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</si>
  <si>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</si>
  <si>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</si>
  <si>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</si>
  <si>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</si>
  <si>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</si>
  <si>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</si>
  <si>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</si>
  <si>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</si>
  <si>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</si>
  <si>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</si>
  <si>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</si>
  <si>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</si>
  <si>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</si>
  <si>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</si>
  <si>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</si>
  <si>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</si>
  <si>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</si>
  <si>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</si>
  <si>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</si>
  <si>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</si>
  <si>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</si>
  <si>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</si>
  <si>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</si>
  <si>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</si>
  <si>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</si>
  <si>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</si>
  <si>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</si>
  <si>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</si>
  <si>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</si>
  <si>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</si>
  <si>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</si>
  <si>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</si>
  <si>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</si>
  <si>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</si>
  <si>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</si>
  <si>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</si>
  <si>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</si>
  <si>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</si>
  <si>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</si>
  <si>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</si>
  <si>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</si>
  <si>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</si>
  <si>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</si>
  <si>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</si>
  <si>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</si>
  <si>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</si>
  <si>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</si>
  <si>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</si>
  <si>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</si>
  <si>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</si>
  <si>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</si>
  <si>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</si>
  <si>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</si>
  <si>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</si>
  <si>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</si>
  <si>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</si>
  <si>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</si>
  <si>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</si>
  <si>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</si>
  <si>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</si>
  <si>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</si>
  <si>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</si>
  <si>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</si>
  <si>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</si>
  <si>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</si>
  <si>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</si>
  <si>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</si>
  <si>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</si>
  <si>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</si>
  <si>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</si>
  <si>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</si>
  <si>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</si>
  <si>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</si>
  <si>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</si>
  <si>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</si>
  <si>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</si>
  <si>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</si>
  <si>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</si>
  <si>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</si>
  <si>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</si>
  <si>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</si>
  <si>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</si>
  <si>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</si>
  <si>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</si>
  <si>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</si>
  <si>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</si>
  <si>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</si>
  <si>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</si>
  <si>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</si>
  <si>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</si>
  <si>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</si>
  <si>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</si>
  <si>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</si>
  <si>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</si>
  <si>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</si>
  <si>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</si>
  <si>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</si>
  <si>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</si>
  <si>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</si>
  <si>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</si>
  <si>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</si>
  <si>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</si>
  <si>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</si>
  <si>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</si>
  <si>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</si>
  <si>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</si>
  <si>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</si>
  <si>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</si>
  <si>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</si>
  <si>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</si>
  <si>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</si>
  <si>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</si>
  <si>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</si>
  <si>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</si>
  <si>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</si>
  <si>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</si>
  <si>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</si>
  <si>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</si>
  <si>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</si>
  <si>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</si>
  <si>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</si>
  <si>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</si>
  <si>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</si>
  <si>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</si>
  <si>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</si>
  <si>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</si>
  <si>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</si>
  <si>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</si>
  <si>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</si>
  <si>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</si>
  <si>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</si>
  <si>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</si>
  <si>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</si>
  <si>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</si>
  <si>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</si>
  <si>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</si>
  <si>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</si>
  <si>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</si>
  <si>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</si>
  <si>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</si>
  <si>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</si>
  <si>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</si>
  <si>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</si>
  <si>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</si>
  <si>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</si>
  <si>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</si>
  <si>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</si>
  <si>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</si>
  <si>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</si>
  <si>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</si>
  <si>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</si>
  <si>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</si>
  <si>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</si>
  <si>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</si>
  <si>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</si>
  <si>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</si>
  <si>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</si>
  <si>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</si>
  <si>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</si>
  <si>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</si>
  <si>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</si>
  <si>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</si>
  <si>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</si>
  <si>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</si>
  <si>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</si>
  <si>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</si>
  <si>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2023-10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</si>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</sst>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AFDEBB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2585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0.436104624339819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29.9605934167826</v>
      </c>
      <c r="P3" s="22" t="n">
        <f aca="false">IF(Calc!$A$2="","",Calc!L$2)</f>
        <v>19.0437977021184</v>
      </c>
      <c r="Q3" s="18" t="n">
        <f aca="false">IF(Calc!$A$2="","",Calc!N$2)</f>
        <v>0.562923261694704</v>
      </c>
      <c r="R3" s="18" t="n">
        <f aca="false">IF(Calc!$A$2="","",Calc!O$2)</f>
        <v>0.573330047908928</v>
      </c>
      <c r="S3" s="19" t="n">
        <f aca="false">IF(Calc!$A$2="","",Calc!Q$2)</f>
        <v>0.00851067705222437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514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18.9318600368324</v>
      </c>
      <c r="P4" s="22" t="n">
        <f aca="false">IF(Calc!$A$3="","",Calc!L$3)</f>
        <v>5.4414653579358</v>
      </c>
      <c r="Q4" s="18" t="str">
        <f aca="false">IF(Calc!$A$3="","",Calc!N$3)</f>
        <v>N/M</v>
      </c>
      <c r="R4" s="18" t="n">
        <f aca="false">IF(Calc!$A$3="","",Calc!O$3)</f>
        <v>0.116001400247191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1260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5.4378386779397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559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0.27902443098403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135.679611650485</v>
      </c>
      <c r="P6" s="22" t="n">
        <f aca="false">IF(Calc!$A$5="","",Calc!L$5)</f>
        <v>65.3687000849215</v>
      </c>
      <c r="Q6" s="18" t="n">
        <f aca="false">IF(Calc!$A$5="","",Calc!N$5)</f>
        <v>2.20371343763527</v>
      </c>
      <c r="R6" s="18" t="n">
        <f aca="false">IF(Calc!$A$5="","",Calc!O$5)</f>
        <v>0.938235305630418</v>
      </c>
      <c r="S6" s="19" t="n">
        <f aca="false">IF(Calc!$A$5="","",Calc!Q$5)</f>
        <v>0.00468793654740608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529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18.4513428671085</v>
      </c>
      <c r="P7" s="22" t="n">
        <f aca="false">IF(Calc!$A$6="","",Calc!L$6)</f>
        <v>15.1372288951586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0.052930056710775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2315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0.272094579963417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42.4536952136439</v>
      </c>
      <c r="P8" s="22" t="n">
        <f aca="false">IF(Calc!$A$7="","",Calc!L$7)</f>
        <v>20.1793168520737</v>
      </c>
      <c r="Q8" s="18" t="n">
        <f aca="false">IF(Calc!$A$7="","",Calc!N$7)</f>
        <v>0.738779630778134</v>
      </c>
      <c r="R8" s="18" t="n">
        <f aca="false">IF(Calc!$A$7="","",Calc!O$7)</f>
        <v>0.234722655321851</v>
      </c>
      <c r="S8" s="19" t="n">
        <f aca="false">IF(Calc!$A$7="","",Calc!Q$7)</f>
        <v>0.00453800539524838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605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18.0537217278268</v>
      </c>
      <c r="Q9" s="18" t="str">
        <f aca="false">IF(Calc!$A$8="","",Calc!N$8)</f>
        <v>N/M</v>
      </c>
      <c r="R9" s="18" t="n">
        <f aca="false">IF(Calc!$A$8="","",Calc!O$8)</f>
        <v>1.42886320928785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365.5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0.346627437746392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13.6840134780981</v>
      </c>
      <c r="P10" s="22" t="n">
        <f aca="false">IF(Calc!$A$9="","",Calc!L$9)</f>
        <v>10.1104947116995</v>
      </c>
      <c r="Q10" s="18" t="n">
        <f aca="false">IF(Calc!$A$9="","",Calc!N$9)</f>
        <v>0.21835908776518</v>
      </c>
      <c r="R10" s="18" t="n">
        <f aca="false">IF(Calc!$A$9="","",Calc!O$9)</f>
        <v>1.54307419404694</v>
      </c>
      <c r="S10" s="19" t="n">
        <f aca="false">IF(Calc!$A$9="","",Calc!Q$9)</f>
        <v>0.027359781121751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11790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64.9980704559237</v>
      </c>
      <c r="P11" s="22" t="n">
        <f aca="false">IF(Calc!$A$10="","",Calc!L$10)</f>
        <v>25.4159109911675</v>
      </c>
      <c r="Q11" s="18" t="n">
        <f aca="false">IF(Calc!$A$10="","",Calc!N$10)</f>
        <v>0.385683385391571</v>
      </c>
      <c r="R11" s="18" t="n">
        <f aca="false">IF(Calc!$A$10="","",Calc!O$10)</f>
        <v>0.615321310678292</v>
      </c>
      <c r="S11" s="19" t="n">
        <f aca="false">IF(Calc!$A$10="","",Calc!Q$10)</f>
        <v>0.00273112807463953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3140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280.107047279215</v>
      </c>
      <c r="P12" s="22" t="n">
        <f aca="false">IF(Calc!$A$11="","",Calc!L$11)</f>
        <v>90.2640616804474</v>
      </c>
      <c r="Q12" s="18" t="n">
        <f aca="false">IF(Calc!$A$11="","",Calc!N$11)</f>
        <v>0.497248854938943</v>
      </c>
      <c r="R12" s="18" t="n">
        <f aca="false">IF(Calc!$A$11="","",Calc!O$11)</f>
        <v>0.89477909792619</v>
      </c>
      <c r="S12" s="19" t="n">
        <f aca="false">IF(Calc!$A$11="","",Calc!Q$11)</f>
        <v>0.000159242722929936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702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72.8215767634855</v>
      </c>
      <c r="P13" s="22" t="str">
        <f aca="false">IF(Calc!$A$12="","",Calc!L$12)</f>
        <v>N/M</v>
      </c>
      <c r="Q13" s="18" t="n">
        <f aca="false">IF(Calc!$A$12="","",Calc!N$12)</f>
        <v>0.273210765888683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1100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0.133110401237564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186.440677966102</v>
      </c>
      <c r="P14" s="22" t="n">
        <f aca="false">IF(Calc!$A$13="","",Calc!L$13)</f>
        <v>45.6517288278439</v>
      </c>
      <c r="Q14" s="18" t="n">
        <f aca="false">IF(Calc!$A$13="","",Calc!N$13)</f>
        <v>0.481008998590582</v>
      </c>
      <c r="R14" s="18" t="n">
        <f aca="false">IF(Calc!$A$13="","",Calc!O$13)</f>
        <v>0.30585844479723</v>
      </c>
      <c r="S14" s="19" t="n">
        <f aca="false">IF(Calc!$A$13="","",Calc!Q$13)</f>
        <v>0.000909247209090909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1815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15.8978038604924</v>
      </c>
      <c r="Q15" s="18" t="str">
        <f aca="false">IF(Calc!$A$14="","",Calc!N$14)</f>
        <v>N/M</v>
      </c>
      <c r="R15" s="18" t="n">
        <f aca="false">IF(Calc!$A$14="","",Calc!O$14)</f>
        <v>0.144995266567015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148.5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0.197864714442012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22.2305389221557</v>
      </c>
      <c r="P16" s="22" t="n">
        <f aca="false">IF(Calc!$A$15="","",Calc!L$15)</f>
        <v>20.8191744510272</v>
      </c>
      <c r="Q16" s="18" t="n">
        <f aca="false">IF(Calc!$A$15="","",Calc!N$15)</f>
        <v>0.200771533855366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4835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0.258028698312981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79.6671609820399</v>
      </c>
      <c r="P17" s="22" t="n">
        <f aca="false">IF(Calc!$A$16="","",Calc!L$16)</f>
        <v>37.5465474587179</v>
      </c>
      <c r="Q17" s="18" t="str">
        <f aca="false">IF(Calc!$A$16="","",Calc!N$16)</f>
        <v>N/M</v>
      </c>
      <c r="R17" s="18" t="n">
        <f aca="false">IF(Calc!$A$16="","",Calc!O$16)</f>
        <v>0.324718807774636</v>
      </c>
      <c r="S17" s="19" t="n">
        <f aca="false">IF(Calc!$A$16="","",Calc!Q$16)</f>
        <v>0.0111686075429162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32.962962962963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13.1315275384322</v>
      </c>
      <c r="Q19" s="18" t="n">
        <f aca="false">IF(Calc!$A$18="","",Calc!N$18)</f>
        <v>0.617203742203742</v>
      </c>
      <c r="R19" s="18" t="n">
        <f aca="false">IF(Calc!$A$18="","",Calc!O$18)</f>
        <v>0.472765449839976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2060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7.13003093747829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588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0.0744417042015389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69.0951821386604</v>
      </c>
      <c r="P21" s="22" t="n">
        <f aca="false">IF(Calc!$A$20="","",Calc!L$20)</f>
        <v>61.6639438605847</v>
      </c>
      <c r="Q21" s="18" t="str">
        <f aca="false">IF(Calc!$A$20="","",Calc!N$20)</f>
        <v>N/M</v>
      </c>
      <c r="R21" s="18" t="n">
        <f aca="false">IF(Calc!$A$20="","",Calc!O$20)</f>
        <v>1.97486041333778</v>
      </c>
      <c r="S21" s="19" t="n">
        <f aca="false">IF(Calc!$A$20="","",Calc!Q$20)</f>
        <v>0.00340136054421769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579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94.1463414634146</v>
      </c>
      <c r="P22" s="22" t="n">
        <f aca="false">IF(Calc!$A$21="","",Calc!L$21)</f>
        <v>46.0972178294489</v>
      </c>
      <c r="Q22" s="18" t="n">
        <f aca="false">IF(Calc!$A$21="","",Calc!N$21)</f>
        <v>2.10590500641848</v>
      </c>
      <c r="R22" s="18" t="n">
        <f aca="false">IF(Calc!$A$21="","",Calc!O$21)</f>
        <v>0.505427952165619</v>
      </c>
      <c r="S22" s="19" t="n">
        <f aca="false">IF(Calc!$A$21="","",Calc!Q$21)</f>
        <v>0.0026677596373057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679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-0.0105348813535131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69.0652615236309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179.5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19.8123620309051</v>
      </c>
      <c r="P24" s="22" t="n">
        <f aca="false">IF(Calc!$A$23="","",Calc!L$23)</f>
        <v>3.88273553755016</v>
      </c>
      <c r="Q24" s="18" t="str">
        <f aca="false">IF(Calc!$A$23="","",Calc!N$23)</f>
        <v>N/M</v>
      </c>
      <c r="R24" s="18" t="n">
        <f aca="false">IF(Calc!$A$23="","",Calc!O$23)</f>
        <v>0.0363767947706643</v>
      </c>
      <c r="S24" s="19" t="n">
        <f aca="false">IF(Calc!$A$23="","",Calc!Q$23)</f>
        <v>0.00278551532033426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535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108.739837398374</v>
      </c>
      <c r="P26" s="22" t="n">
        <f aca="false">IF(Calc!$A$25="","",Calc!L$25)</f>
        <v>44.6950710108605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0.00186915887850467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530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41.556572361496</v>
      </c>
      <c r="Q27" s="18" t="str">
        <f aca="false">IF(Calc!$A$26="","",Calc!N$26)</f>
        <v>N/M</v>
      </c>
      <c r="R27" s="18" t="n">
        <f aca="false">IF(Calc!$A$26="","",Calc!O$26)</f>
        <v>0.162153594514004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8460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0.531975972855065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216.867469879518</v>
      </c>
      <c r="P28" s="22" t="n">
        <f aca="false">IF(Calc!$A$27="","",Calc!L$27)</f>
        <v>80.2868742918153</v>
      </c>
      <c r="Q28" s="18" t="n">
        <f aca="false">IF(Calc!$A$27="","",Calc!N$27)</f>
        <v>4.89899447413715</v>
      </c>
      <c r="R28" s="18" t="n">
        <f aca="false">IF(Calc!$A$27="","",Calc!O$27)</f>
        <v>0.634077604206617</v>
      </c>
      <c r="S28" s="19" t="n">
        <f aca="false">IF(Calc!$A$27="","",Calc!Q$27)</f>
        <v>0.00236406619385343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2585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46302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29.9605934167826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19.0437977021184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0.562923261694704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0.573330047908928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135.739732191781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0.00851067705222437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0.436104624339819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0.33216116565974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2585</v>
      </c>
      <c r="L12" s="55" t="n">
        <f aca="false">IF(Stock_Card!$B$2="","",IFERROR(INDEX(Calc!$Q$2:$Q$100,MATCH(Stock_Card!$B$2,Calc!$A$2:$A$100,0)),""))</f>
        <v>0.00851067705222437</v>
      </c>
      <c r="M12" s="58" t="n">
        <f aca="false">IF(Stock_Card!$B$2="","",IFERROR(INDEX(Calc!$J$2:$J$100,MATCH(Stock_Card!$B$2,Calc!$A$2:$A$100,0)),""))</f>
        <v>29.9605934167826</v>
      </c>
      <c r="N12" s="57" t="n">
        <f aca="false">IF(Stock_Card!$B$2="","",IFERROR(INDEX(Calc!$N$2:$N$100,MATCH(Stock_Card!$B$2,Calc!$A$2:$A$100,0)),""))</f>
        <v>0.562923261694704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135.739732191781</v>
      </c>
      <c r="H13" s="55" t="n">
        <f aca="false">IF(Stock_Card!$B$2="","",IFERROR(INDEX(Calc!$M$2:$M$100,MATCH(Stock_Card!$B$2,Calc!$A$2:$A$100,0)),""))</f>
        <v>0.33216116565974</v>
      </c>
      <c r="I13" s="55" t="n">
        <f aca="false">IF(Stock_Card!$B$2="","",IFERROR(INDEX(Calc!$AI$2:$AI$100,MATCH(Stock_Card!$B$2,Calc!$A$2:$A$100,0)),""))</f>
        <v>0.436104624339819</v>
      </c>
      <c r="J13" s="59"/>
      <c r="K13" s="59"/>
      <c r="L13" s="59"/>
      <c r="M13" s="58" t="n">
        <f aca="false">IF(Stock_Card!$B$2="","",IFERROR(INDEX(Calc!$L$2:$L$100,MATCH(Stock_Card!$B$2,Calc!$A$2:$A$100,0)),""))</f>
        <v>19.0437977021184</v>
      </c>
      <c r="N13" s="57" t="n">
        <f aca="false">IF(Stock_Card!$B$2="","",IFERROR(INDEX(Calc!$O$2:$O$100,MATCH(Stock_Card!$B$2,Calc!$A$2:$A$100,0)),""))</f>
        <v>0.573330047908928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{50AE48A9-00C8-4EAC-8ACE-F5FF7331FE32}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AE48A9-00C8-4EAC-8ACE-F5FF7331FE3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-46302</v>
      </c>
      <c r="I4" s="67" t="n">
        <f aca="false">IF($A4="","",IFERROR(INDEX(Raw_Price!$E$2:$E$100,MATCH($A4,Raw_Price!$A$2:$A$100,0)),""))</f>
        <v>46302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-46302</v>
      </c>
      <c r="I5" s="67" t="n">
        <f aca="false">IF($A5="","",IFERROR(INDEX(Raw_Price!$E$2:$E$100,MATCH($A5,Raw_Price!$A$2:$A$100,0)),""))</f>
        <v>46302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-46302</v>
      </c>
      <c r="I6" s="67" t="n">
        <f aca="false">IF($A6="","",IFERROR(INDEX(Raw_Price!$E$2:$E$100,MATCH($A6,Raw_Price!$A$2:$A$100,0)),""))</f>
        <v>46302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-46302</v>
      </c>
      <c r="I7" s="67" t="n">
        <f aca="false">IF($A7="","",IFERROR(INDEX(Raw_Price!$E$2:$E$100,MATCH($A7,Raw_Price!$A$2:$A$100,0)),""))</f>
        <v>46302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-46302</v>
      </c>
      <c r="I8" s="67" t="n">
        <f aca="false">IF($A8="","",IFERROR(INDEX(Raw_Price!$E$2:$E$100,MATCH($A8,Raw_Price!$A$2:$A$100,0)),""))</f>
        <v>46302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-46302</v>
      </c>
      <c r="I9" s="67" t="n">
        <f aca="false">IF($A9="","",IFERROR(INDEX(Raw_Price!$E$2:$E$100,MATCH($A9,Raw_Price!$A$2:$A$100,0)),""))</f>
        <v>46302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-46302</v>
      </c>
      <c r="I10" s="67" t="n">
        <f aca="false">IF($A10="","",IFERROR(INDEX(Raw_Price!$E$2:$E$100,MATCH($A10,Raw_Price!$A$2:$A$100,0)),""))</f>
        <v>46302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-46302</v>
      </c>
      <c r="I11" s="67" t="n">
        <f aca="false">IF($A11="","",IFERROR(INDEX(Raw_Price!$E$2:$E$100,MATCH($A11,Raw_Price!$A$2:$A$100,0)),""))</f>
        <v>46302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-46302</v>
      </c>
      <c r="I12" s="67" t="n">
        <f aca="false">IF($A12="","",IFERROR(INDEX(Raw_Price!$E$2:$E$100,MATCH($A12,Raw_Price!$A$2:$A$100,0)),""))</f>
        <v>46302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-46302</v>
      </c>
      <c r="I13" s="67" t="n">
        <f aca="false">IF($A13="","",IFERROR(INDEX(Raw_Price!$E$2:$E$100,MATCH($A13,Raw_Price!$A$2:$A$100,0)),""))</f>
        <v>46302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-46302</v>
      </c>
      <c r="I14" s="67" t="n">
        <f aca="false">IF($A14="","",IFERROR(INDEX(Raw_Price!$E$2:$E$100,MATCH($A14,Raw_Price!$A$2:$A$100,0)),""))</f>
        <v>46302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-46302</v>
      </c>
      <c r="I15" s="67" t="n">
        <f aca="false">IF($A15="","",IFERROR(INDEX(Raw_Price!$E$2:$E$100,MATCH($A15,Raw_Price!$A$2:$A$100,0)),""))</f>
        <v>46302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-46302</v>
      </c>
      <c r="I16" s="67" t="n">
        <f aca="false">IF($A16="","",IFERROR(INDEX(Raw_Price!$E$2:$E$100,MATCH($A16,Raw_Price!$A$2:$A$100,0)),""))</f>
        <v>46302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-46302</v>
      </c>
      <c r="I17" s="67" t="n">
        <f aca="false">IF($A17="","",IFERROR(INDEX(Raw_Price!$E$2:$E$100,MATCH($A17,Raw_Price!$A$2:$A$100,0)),""))</f>
        <v>46302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-46302</v>
      </c>
      <c r="I18" s="67" t="n">
        <f aca="false">IF($A18="","",IFERROR(INDEX(Raw_Price!$E$2:$E$100,MATCH($A18,Raw_Price!$A$2:$A$100,0)),""))</f>
        <v>46302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-46302</v>
      </c>
      <c r="I19" s="67" t="n">
        <f aca="false">IF($A19="","",IFERROR(INDEX(Raw_Price!$E$2:$E$100,MATCH($A19,Raw_Price!$A$2:$A$100,0)),""))</f>
        <v>46302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-46302</v>
      </c>
      <c r="I20" s="67" t="n">
        <f aca="false">IF($A20="","",IFERROR(INDEX(Raw_Price!$E$2:$E$100,MATCH($A20,Raw_Price!$A$2:$A$100,0)),""))</f>
        <v>46302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-46302</v>
      </c>
      <c r="I21" s="67" t="n">
        <f aca="false">IF($A21="","",IFERROR(INDEX(Raw_Price!$E$2:$E$100,MATCH($A21,Raw_Price!$A$2:$A$100,0)),""))</f>
        <v>46302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-46302</v>
      </c>
      <c r="I22" s="67" t="n">
        <f aca="false">IF($A22="","",IFERROR(INDEX(Raw_Price!$E$2:$E$100,MATCH($A22,Raw_Price!$A$2:$A$100,0)),""))</f>
        <v>46302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-46302</v>
      </c>
      <c r="I23" s="67" t="n">
        <f aca="false">IF($A23="","",IFERROR(INDEX(Raw_Price!$E$2:$E$100,MATCH($A23,Raw_Price!$A$2:$A$100,0)),""))</f>
        <v>46302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-46302</v>
      </c>
      <c r="I24" s="67" t="n">
        <f aca="false">IF($A24="","",IFERROR(INDEX(Raw_Price!$E$2:$E$100,MATCH($A24,Raw_Price!$A$2:$A$100,0)),""))</f>
        <v>46302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-46302</v>
      </c>
      <c r="I25" s="67" t="n">
        <f aca="false">IF($A25="","",IFERROR(INDEX(Raw_Price!$E$2:$E$100,MATCH($A25,Raw_Price!$A$2:$A$100,0)),""))</f>
        <v>46302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-46302</v>
      </c>
      <c r="I27" s="67" t="n">
        <f aca="false">IF($A27="","",IFERROR(INDEX(Raw_Price!$E$2:$E$100,MATCH($A27,Raw_Price!$A$2:$A$100,0)),""))</f>
        <v>46302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-46302</v>
      </c>
      <c r="I28" s="67" t="n">
        <f aca="false">IF($A28="","",IFERROR(INDEX(Raw_Price!$E$2:$E$100,MATCH($A28,Raw_Price!$A$2:$A$100,0)),""))</f>
        <v>46302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-46302</v>
      </c>
      <c r="I29" s="67" t="n">
        <f aca="false">IF($A29="","",IFERROR(INDEX(Raw_Price!$E$2:$E$100,MATCH($A29,Raw_Price!$A$2:$A$100,0)),""))</f>
        <v>46302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1080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1081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1082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1083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1084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1085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1086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1087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1088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1089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1090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1091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1092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1093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1094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1095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1096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1097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1098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1099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1100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1101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1102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1103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1105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1107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1109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1111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1113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1115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1117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1119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1121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1123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1125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1150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1151</v>
      </c>
    </row>
    <row r="110" customFormat="false" ht="15" hidden="false" customHeight="false" outlineLevel="0" collapsed="false">
      <c r="A110" s="79" t="s">
        <v>79</v>
      </c>
      <c r="B110" s="79" t="s">
        <v>1080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1081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1082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1083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1084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1085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1086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1087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1088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1089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1090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1091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1092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1093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1094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1095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1096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1097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1098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1099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1100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1101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1102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1103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1105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1152</v>
      </c>
    </row>
    <row r="135" customFormat="false" ht="15" hidden="false" customHeight="false" outlineLevel="0" collapsed="false">
      <c r="A135" s="79" t="s">
        <v>79</v>
      </c>
      <c r="B135" s="79" t="s">
        <v>1107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1153</v>
      </c>
    </row>
    <row r="136" customFormat="false" ht="15" hidden="false" customHeight="false" outlineLevel="0" collapsed="false">
      <c r="A136" s="79" t="s">
        <v>79</v>
      </c>
      <c r="B136" s="79" t="s">
        <v>1109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1154</v>
      </c>
    </row>
    <row r="137" customFormat="false" ht="15" hidden="false" customHeight="false" outlineLevel="0" collapsed="false">
      <c r="A137" s="79" t="s">
        <v>79</v>
      </c>
      <c r="B137" s="79" t="s">
        <v>1111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1155</v>
      </c>
    </row>
    <row r="138" customFormat="false" ht="15" hidden="false" customHeight="false" outlineLevel="0" collapsed="false">
      <c r="A138" s="79" t="s">
        <v>79</v>
      </c>
      <c r="B138" s="79" t="s">
        <v>1113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1156</v>
      </c>
    </row>
    <row r="139" customFormat="false" ht="15" hidden="false" customHeight="false" outlineLevel="0" collapsed="false">
      <c r="A139" s="79" t="s">
        <v>79</v>
      </c>
      <c r="B139" s="79" t="s">
        <v>1115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1157</v>
      </c>
    </row>
    <row r="140" customFormat="false" ht="15" hidden="false" customHeight="false" outlineLevel="0" collapsed="false">
      <c r="A140" s="79" t="s">
        <v>79</v>
      </c>
      <c r="B140" s="79" t="s">
        <v>1117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1158</v>
      </c>
    </row>
    <row r="141" customFormat="false" ht="15" hidden="false" customHeight="false" outlineLevel="0" collapsed="false">
      <c r="A141" s="79" t="s">
        <v>79</v>
      </c>
      <c r="B141" s="79" t="s">
        <v>1119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1159</v>
      </c>
    </row>
    <row r="142" customFormat="false" ht="15" hidden="false" customHeight="false" outlineLevel="0" collapsed="false">
      <c r="A142" s="79" t="s">
        <v>79</v>
      </c>
      <c r="B142" s="79" t="s">
        <v>1121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1160</v>
      </c>
    </row>
    <row r="143" customFormat="false" ht="15" hidden="false" customHeight="false" outlineLevel="0" collapsed="false">
      <c r="A143" s="79" t="s">
        <v>79</v>
      </c>
      <c r="B143" s="79" t="s">
        <v>1123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1161</v>
      </c>
    </row>
    <row r="144" customFormat="false" ht="15" hidden="false" customHeight="false" outlineLevel="0" collapsed="false">
      <c r="A144" s="79" t="s">
        <v>79</v>
      </c>
      <c r="B144" s="79" t="s">
        <v>1125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1162</v>
      </c>
    </row>
    <row r="145" customFormat="false" ht="15" hidden="false" customHeight="false" outlineLevel="0" collapsed="false">
      <c r="A145" s="79" t="s">
        <v>79</v>
      </c>
      <c r="B145" s="79" t="s">
        <v>1150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1163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1164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1165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1166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1167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1168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1169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1170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1171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1172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1173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1174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1175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1176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1177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1178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1179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1180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1181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1182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1183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1184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1185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1186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1187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1188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1189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1190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1191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1192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1193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1194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1195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1196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1197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1198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1199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1200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1201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1202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1203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1204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1205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1206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1207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1208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1209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1210</v>
      </c>
    </row>
    <row r="289" customFormat="false" ht="15" hidden="false" customHeight="false" outlineLevel="0" collapsed="false">
      <c r="A289" s="79" t="s">
        <v>471</v>
      </c>
      <c r="B289" s="79" t="s">
        <v>1150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1080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1081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1082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1083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1084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1085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1086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1087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1088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1089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1090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1091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1092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1093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1094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1095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1096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1097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1098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1099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1100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1101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1102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1103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1105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1107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1109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1111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1113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1115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1117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1119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1121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1123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1125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1150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1080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1081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1082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1083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1084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1085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1086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1087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1088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1089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1090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1091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1092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1093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1094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1095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1096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1097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1098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1099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1100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1101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1102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1103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1105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1107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1109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1111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1113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1115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1117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1119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1121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1123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1125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1150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1080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1081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1082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1083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1084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1085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1086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1087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1088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1089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1090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1091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1092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1093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1094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1095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1096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1097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1098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1099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1100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1101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1102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1103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1105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1107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1109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1111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1113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1115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1117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1119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1121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1123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1125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1150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1150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1080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1081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1082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1083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1084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1085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1086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1087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1088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1089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1090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1091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1092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1093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1094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1095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1096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1097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1098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1099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1100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1101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1102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1103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1105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1107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1109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1111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1113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1115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1117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1119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1121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1123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1125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1150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1150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1080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1081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1082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1083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1084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1085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1086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1087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1088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1089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1090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1091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1092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1093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1094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1095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1096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1097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1098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1099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1100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1101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1102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1103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1105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1107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1109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1111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1113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1115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1117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1119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1121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1123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1125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1150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1080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1081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1082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1083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1084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1085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1086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1087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1088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1089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1090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1091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1092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1093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1094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1095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1096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1097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1098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1099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1100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1101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1102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1103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1105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1107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1109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1111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1113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1115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1117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1119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1121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1123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1125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1150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1150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1080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1081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1082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1083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1084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1085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1086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1087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1088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1089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1090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1091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1092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1093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1094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1095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1096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1097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1098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1099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1100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1101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1102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1103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1105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1107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1109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1111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1113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1115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1117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1119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1121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1123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1125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1150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1080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1081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1082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1083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1084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1085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1086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1087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1088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1089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1090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1091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1092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1093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1094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1095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1096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1097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1098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1099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1100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1101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1102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1103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1105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1107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1109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1111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1113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1115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1117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1119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1121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1123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1125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1150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1080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1081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1082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1083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1084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1085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1086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1087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1088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1089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1090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1091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1092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1093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1094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1095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1096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1097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1098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1099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1100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1101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1102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1103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1105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1107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1109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1111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1113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1115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1117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1119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1121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1123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1125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1150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46302</v>
      </c>
    </row>
    <row r="3" customFormat="false" ht="15" hidden="false" customHeight="false" outlineLevel="0" collapsed="false">
      <c r="A3" s="79" t="s">
        <v>220</v>
      </c>
      <c r="B3" s="83" t="n">
        <v>6.98388</v>
      </c>
      <c r="C3" s="83" t="n">
        <v>7.17807</v>
      </c>
      <c r="D3" s="81" t="n">
        <v>46387</v>
      </c>
      <c r="E3" s="80" t="n">
        <v>13</v>
      </c>
      <c r="F3" s="81" t="n">
        <v>46302</v>
      </c>
    </row>
    <row r="4" customFormat="false" ht="15" hidden="false" customHeight="false" outlineLevel="0" collapsed="false">
      <c r="A4" s="79" t="s">
        <v>345</v>
      </c>
      <c r="B4" s="83" t="n">
        <v>20.09058</v>
      </c>
      <c r="C4" s="83" t="n">
        <v>31.30648</v>
      </c>
      <c r="D4" s="81" t="n">
        <v>46387</v>
      </c>
      <c r="E4" s="80" t="n">
        <v>3</v>
      </c>
      <c r="F4" s="81" t="n">
        <v>46302</v>
      </c>
    </row>
    <row r="5" customFormat="false" ht="15" hidden="false" customHeight="false" outlineLevel="0" collapsed="false">
      <c r="A5" s="79" t="s">
        <v>79</v>
      </c>
      <c r="B5" s="83" t="n">
        <v>108.17565</v>
      </c>
      <c r="C5" s="83" t="n">
        <v>144.1074</v>
      </c>
      <c r="D5" s="81" t="n">
        <v>46387</v>
      </c>
      <c r="E5" s="80" t="n">
        <v>23</v>
      </c>
      <c r="F5" s="81" t="n">
        <v>46302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46302</v>
      </c>
    </row>
    <row r="7" customFormat="false" ht="15" hidden="false" customHeight="false" outlineLevel="0" collapsed="false">
      <c r="A7" s="79" t="s">
        <v>205</v>
      </c>
      <c r="B7" s="83" t="n">
        <v>34.42047</v>
      </c>
      <c r="C7" s="83" t="n">
        <v>36.67576</v>
      </c>
      <c r="D7" s="81" t="n">
        <v>46387</v>
      </c>
      <c r="E7" s="80" t="n">
        <v>8</v>
      </c>
      <c r="F7" s="81" t="n">
        <v>46302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46302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68.24214</v>
      </c>
      <c r="C10" s="83" t="n">
        <v>147.14908</v>
      </c>
      <c r="D10" s="81" t="n">
        <v>46387</v>
      </c>
      <c r="E10" s="80" t="n">
        <v>15</v>
      </c>
      <c r="F10" s="81" t="n">
        <v>46302</v>
      </c>
    </row>
    <row r="11" customFormat="false" ht="15" hidden="false" customHeight="false" outlineLevel="0" collapsed="false">
      <c r="A11" s="79" t="s">
        <v>190</v>
      </c>
      <c r="B11" s="83" t="n">
        <v>5.57293</v>
      </c>
      <c r="C11" s="83" t="n">
        <v>9.4557</v>
      </c>
      <c r="D11" s="81" t="n">
        <v>46387</v>
      </c>
      <c r="E11" s="80" t="n">
        <v>9</v>
      </c>
      <c r="F11" s="81" t="n">
        <v>46302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46302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46302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46302</v>
      </c>
    </row>
    <row r="15" customFormat="false" ht="15" hidden="false" customHeight="false" outlineLevel="0" collapsed="false">
      <c r="A15" s="79" t="s">
        <v>230</v>
      </c>
      <c r="B15" s="83" t="n">
        <v>7.69288</v>
      </c>
      <c r="C15" s="83" t="n">
        <v>10.09494</v>
      </c>
      <c r="D15" s="81" t="n">
        <v>46387</v>
      </c>
      <c r="E15" s="80" t="n">
        <v>9</v>
      </c>
      <c r="F15" s="81" t="n">
        <v>46302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46302</v>
      </c>
    </row>
    <row r="17" customFormat="false" ht="15" hidden="false" customHeight="false" outlineLevel="0" collapsed="false">
      <c r="A17" s="79" t="s">
        <v>216</v>
      </c>
      <c r="B17" s="83" t="n">
        <v>11.23337</v>
      </c>
      <c r="C17" s="83" t="n">
        <v>28.00004</v>
      </c>
      <c r="D17" s="81" t="n">
        <v>46387</v>
      </c>
      <c r="E17" s="80" t="n">
        <v>9</v>
      </c>
      <c r="F17" s="81" t="n">
        <v>46302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-0.53</v>
      </c>
      <c r="C19" s="83" t="n">
        <v>12.97667</v>
      </c>
      <c r="D19" s="81" t="n">
        <v>46387</v>
      </c>
      <c r="E19" s="80" t="n">
        <v>1</v>
      </c>
      <c r="F19" s="81" t="n">
        <v>46302</v>
      </c>
    </row>
    <row r="20" customFormat="false" ht="15" hidden="false" customHeight="false" outlineLevel="0" collapsed="false">
      <c r="A20" s="79" t="s">
        <v>245</v>
      </c>
      <c r="B20" s="83" t="n">
        <v>53.45228</v>
      </c>
      <c r="C20" s="83" t="n">
        <v>121.13353</v>
      </c>
      <c r="D20" s="81" t="n">
        <v>46387</v>
      </c>
      <c r="E20" s="80" t="n">
        <v>17</v>
      </c>
      <c r="F20" s="81" t="n">
        <v>46302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46302</v>
      </c>
    </row>
    <row r="22" customFormat="false" ht="15" hidden="false" customHeight="false" outlineLevel="0" collapsed="false">
      <c r="A22" s="79" t="s">
        <v>197</v>
      </c>
      <c r="B22" s="83" t="n">
        <v>69.13</v>
      </c>
      <c r="C22" s="83" t="n">
        <v>128.56168</v>
      </c>
      <c r="D22" s="81" t="n">
        <v>46387</v>
      </c>
      <c r="E22" s="80" t="n">
        <v>11</v>
      </c>
      <c r="F22" s="81" t="n">
        <v>46302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46302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46302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46302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46302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46302</v>
      </c>
    </row>
    <row r="29" customFormat="false" ht="15" hidden="false" customHeight="false" outlineLevel="0" collapsed="false">
      <c r="A29" s="79" t="s">
        <v>243</v>
      </c>
      <c r="B29" s="83" t="n">
        <v>4.3</v>
      </c>
      <c r="C29" s="83" t="n">
        <v>15.32</v>
      </c>
      <c r="D29" s="81" t="n">
        <v>46387</v>
      </c>
      <c r="E29" s="80"/>
      <c r="F29" s="81" t="n">
        <v>46302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46302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11790</v>
      </c>
      <c r="C2" s="81" t="n">
        <v>46302</v>
      </c>
      <c r="D2" s="81"/>
      <c r="E2" s="81" t="n">
        <v>46302</v>
      </c>
    </row>
    <row r="3" customFormat="false" ht="15" hidden="false" customHeight="false" outlineLevel="0" collapsed="false">
      <c r="A3" s="79" t="s">
        <v>220</v>
      </c>
      <c r="B3" s="83" t="n">
        <v>148.5</v>
      </c>
      <c r="C3" s="81" t="n">
        <v>46302</v>
      </c>
      <c r="D3" s="81"/>
      <c r="E3" s="81" t="n">
        <v>46302</v>
      </c>
    </row>
    <row r="4" customFormat="false" ht="15" hidden="false" customHeight="false" outlineLevel="0" collapsed="false">
      <c r="A4" s="79" t="s">
        <v>345</v>
      </c>
      <c r="B4" s="83" t="n">
        <v>647</v>
      </c>
      <c r="C4" s="81" t="n">
        <v>46302</v>
      </c>
      <c r="D4" s="81"/>
      <c r="E4" s="81" t="n">
        <v>46302</v>
      </c>
    </row>
    <row r="5" customFormat="false" ht="15" hidden="false" customHeight="false" outlineLevel="0" collapsed="false">
      <c r="A5" s="79" t="s">
        <v>79</v>
      </c>
      <c r="B5" s="83" t="n">
        <v>2585</v>
      </c>
      <c r="C5" s="81" t="n">
        <v>46302</v>
      </c>
      <c r="D5" s="81"/>
      <c r="E5" s="81" t="n">
        <v>46302</v>
      </c>
    </row>
    <row r="6" customFormat="false" ht="15" hidden="false" customHeight="false" outlineLevel="0" collapsed="false">
      <c r="A6" s="79" t="s">
        <v>236</v>
      </c>
      <c r="B6" s="83" t="n">
        <v>179.5</v>
      </c>
      <c r="C6" s="81" t="n">
        <v>46302</v>
      </c>
      <c r="D6" s="81"/>
      <c r="E6" s="81" t="n">
        <v>46302</v>
      </c>
    </row>
    <row r="7" customFormat="false" ht="15" hidden="false" customHeight="false" outlineLevel="0" collapsed="false">
      <c r="A7" s="79" t="s">
        <v>205</v>
      </c>
      <c r="B7" s="83" t="n">
        <v>365.5</v>
      </c>
      <c r="C7" s="81" t="n">
        <v>46302</v>
      </c>
      <c r="D7" s="81"/>
      <c r="E7" s="81" t="n">
        <v>46302</v>
      </c>
    </row>
    <row r="8" customFormat="false" ht="15" hidden="false" customHeight="false" outlineLevel="0" collapsed="false">
      <c r="A8" s="79" t="s">
        <v>182</v>
      </c>
      <c r="B8" s="83" t="n">
        <v>514</v>
      </c>
      <c r="C8" s="81" t="n">
        <v>46302</v>
      </c>
      <c r="D8" s="81"/>
      <c r="E8" s="81" t="n">
        <v>46302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4835</v>
      </c>
      <c r="C10" s="81" t="n">
        <v>46302</v>
      </c>
      <c r="D10" s="81"/>
      <c r="E10" s="81" t="n">
        <v>46302</v>
      </c>
    </row>
    <row r="11" customFormat="false" ht="15" hidden="false" customHeight="false" outlineLevel="0" collapsed="false">
      <c r="A11" s="79" t="s">
        <v>190</v>
      </c>
      <c r="B11" s="83" t="n">
        <v>559</v>
      </c>
      <c r="C11" s="81" t="n">
        <v>46302</v>
      </c>
      <c r="D11" s="81"/>
      <c r="E11" s="81" t="n">
        <v>46302</v>
      </c>
    </row>
    <row r="12" customFormat="false" ht="15" hidden="false" customHeight="false" outlineLevel="0" collapsed="false">
      <c r="A12" s="79" t="s">
        <v>224</v>
      </c>
      <c r="B12" s="83" t="n">
        <v>89</v>
      </c>
      <c r="C12" s="81" t="n">
        <v>46302</v>
      </c>
      <c r="D12" s="81"/>
      <c r="E12" s="81" t="n">
        <v>46302</v>
      </c>
    </row>
    <row r="13" customFormat="false" ht="15" hidden="false" customHeight="false" outlineLevel="0" collapsed="false">
      <c r="A13" s="79" t="s">
        <v>195</v>
      </c>
      <c r="B13" s="83" t="n">
        <v>529</v>
      </c>
      <c r="C13" s="81" t="n">
        <v>46302</v>
      </c>
      <c r="D13" s="81"/>
      <c r="E13" s="81" t="n">
        <v>46302</v>
      </c>
    </row>
    <row r="14" customFormat="false" ht="15" hidden="false" customHeight="false" outlineLevel="0" collapsed="false">
      <c r="A14" s="79" t="s">
        <v>210</v>
      </c>
      <c r="B14" s="83" t="n">
        <v>3140</v>
      </c>
      <c r="C14" s="81" t="n">
        <v>46302</v>
      </c>
      <c r="D14" s="81"/>
      <c r="E14" s="81" t="n">
        <v>46302</v>
      </c>
    </row>
    <row r="15" customFormat="false" ht="15" hidden="false" customHeight="false" outlineLevel="0" collapsed="false">
      <c r="A15" s="79" t="s">
        <v>230</v>
      </c>
      <c r="B15" s="83" t="n">
        <v>588</v>
      </c>
      <c r="C15" s="81" t="n">
        <v>46302</v>
      </c>
      <c r="D15" s="81"/>
      <c r="E15" s="81" t="n">
        <v>46302</v>
      </c>
    </row>
    <row r="16" customFormat="false" ht="15" hidden="false" customHeight="false" outlineLevel="0" collapsed="false">
      <c r="A16" s="79" t="s">
        <v>212</v>
      </c>
      <c r="B16" s="83" t="n">
        <v>702</v>
      </c>
      <c r="C16" s="81" t="n">
        <v>46302</v>
      </c>
      <c r="D16" s="81"/>
      <c r="E16" s="81" t="n">
        <v>46302</v>
      </c>
    </row>
    <row r="17" customFormat="false" ht="15" hidden="false" customHeight="false" outlineLevel="0" collapsed="false">
      <c r="A17" s="79" t="s">
        <v>216</v>
      </c>
      <c r="B17" s="83" t="n">
        <v>1100</v>
      </c>
      <c r="C17" s="81" t="n">
        <v>46302</v>
      </c>
      <c r="D17" s="81"/>
      <c r="E17" s="81" t="n">
        <v>46302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679</v>
      </c>
      <c r="C19" s="81" t="n">
        <v>46302</v>
      </c>
      <c r="D19" s="81"/>
      <c r="E19" s="81" t="n">
        <v>46302</v>
      </c>
    </row>
    <row r="20" customFormat="false" ht="15" hidden="false" customHeight="false" outlineLevel="0" collapsed="false">
      <c r="A20" s="79" t="s">
        <v>245</v>
      </c>
      <c r="B20" s="83" t="n">
        <v>8460</v>
      </c>
      <c r="C20" s="81" t="n">
        <v>46302</v>
      </c>
      <c r="D20" s="81"/>
      <c r="E20" s="81" t="n">
        <v>46302</v>
      </c>
    </row>
    <row r="21" customFormat="false" ht="15" hidden="false" customHeight="false" outlineLevel="0" collapsed="false">
      <c r="A21" s="79" t="s">
        <v>241</v>
      </c>
      <c r="B21" s="83" t="n">
        <v>535</v>
      </c>
      <c r="C21" s="81" t="n">
        <v>46302</v>
      </c>
      <c r="D21" s="81"/>
      <c r="E21" s="81" t="n">
        <v>46302</v>
      </c>
    </row>
    <row r="22" customFormat="false" ht="15" hidden="false" customHeight="false" outlineLevel="0" collapsed="false">
      <c r="A22" s="79" t="s">
        <v>197</v>
      </c>
      <c r="B22" s="83" t="n">
        <v>2315</v>
      </c>
      <c r="C22" s="81" t="n">
        <v>46302</v>
      </c>
      <c r="D22" s="81"/>
      <c r="E22" s="81" t="n">
        <v>46302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90</v>
      </c>
      <c r="C24" s="81" t="n">
        <v>46302</v>
      </c>
      <c r="D24" s="81"/>
      <c r="E24" s="81" t="n">
        <v>46302</v>
      </c>
    </row>
    <row r="25" customFormat="false" ht="15" hidden="false" customHeight="false" outlineLevel="0" collapsed="false">
      <c r="A25" s="79" t="s">
        <v>232</v>
      </c>
      <c r="B25" s="83" t="n">
        <v>579</v>
      </c>
      <c r="C25" s="81" t="n">
        <v>46302</v>
      </c>
      <c r="D25" s="81"/>
      <c r="E25" s="81" t="n">
        <v>46302</v>
      </c>
    </row>
    <row r="26" customFormat="false" ht="15" hidden="false" customHeight="false" outlineLevel="0" collapsed="false">
      <c r="A26" s="79" t="s">
        <v>186</v>
      </c>
      <c r="B26" s="83" t="n">
        <v>1260</v>
      </c>
      <c r="C26" s="81" t="n">
        <v>46302</v>
      </c>
      <c r="D26" s="81"/>
      <c r="E26" s="81" t="n">
        <v>46302</v>
      </c>
    </row>
    <row r="27" customFormat="false" ht="15" hidden="false" customHeight="false" outlineLevel="0" collapsed="false">
      <c r="A27" s="79" t="s">
        <v>201</v>
      </c>
      <c r="B27" s="83" t="n">
        <v>605</v>
      </c>
      <c r="C27" s="81" t="n">
        <v>46302</v>
      </c>
      <c r="D27" s="81"/>
      <c r="E27" s="81" t="n">
        <v>46302</v>
      </c>
    </row>
    <row r="28" customFormat="false" ht="15" hidden="false" customHeight="false" outlineLevel="0" collapsed="false">
      <c r="A28" s="79" t="s">
        <v>218</v>
      </c>
      <c r="B28" s="83" t="n">
        <v>1815</v>
      </c>
      <c r="C28" s="81" t="n">
        <v>46302</v>
      </c>
      <c r="D28" s="81"/>
      <c r="E28" s="81" t="n">
        <v>46302</v>
      </c>
    </row>
    <row r="29" customFormat="false" ht="15" hidden="false" customHeight="false" outlineLevel="0" collapsed="false">
      <c r="A29" s="79" t="s">
        <v>243</v>
      </c>
      <c r="B29" s="83" t="n">
        <v>530</v>
      </c>
      <c r="C29" s="81" t="n">
        <v>46302</v>
      </c>
      <c r="D29" s="81"/>
      <c r="E29" s="81" t="n">
        <v>46302</v>
      </c>
    </row>
    <row r="30" customFormat="false" ht="15" hidden="false" customHeight="false" outlineLevel="0" collapsed="false">
      <c r="A30" s="79" t="s">
        <v>228</v>
      </c>
      <c r="B30" s="83" t="n">
        <v>2060</v>
      </c>
      <c r="C30" s="81" t="n">
        <v>46302</v>
      </c>
      <c r="D30" s="81"/>
      <c r="E30" s="81" t="n">
        <v>46302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135.739732191781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29.9605934167826</v>
      </c>
      <c r="K2" s="52" t="n">
        <f aca="false">IF($A2="","",IFERROR(IF(G2&lt;=0,"N/M",D2/G2),"N/M"))</f>
        <v>26.6408413682695</v>
      </c>
      <c r="L2" s="52" t="n">
        <f aca="false">IF($A2="","",IFERROR(IF(H2&lt;=0,"N/M",D2/H2),"N/M"))</f>
        <v>19.0437977021184</v>
      </c>
      <c r="M2" s="49" t="n">
        <f aca="false">IF($A2="","",IFERROR(INDEX(Raw_Est!$C$2:$C$100,MATCH($A2,Raw_Est!$A$2:$A$100,0))/INDEX(Raw_Est!$B$2:$B$100,MATCH($A2,Raw_Est!$A$2:$A$100,0))-1,""))</f>
        <v>0.33216116565974</v>
      </c>
      <c r="N2" s="51" t="n">
        <f aca="false">IF($A2="","",IFERROR(IF(OR(NOT(ISNUMBER(J2)),I2&lt;Config!$B$6),"N/M",J2/(I2*100)),"N/M"))</f>
        <v>0.562923261694704</v>
      </c>
      <c r="O2" s="51" t="n">
        <f aca="false">IF($A2="","",IFERROR(IF(OR(NOT(ISNUMBER(L2)),M2&lt;Config!$B$6),"N/M",L2/(M2*100)),"N/M"))</f>
        <v>0.573330047908928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0.00851067705222437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0.436104624339819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46302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514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94.4598497260274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18.9318600368324</v>
      </c>
      <c r="K3" s="52" t="n">
        <f aca="false">IF($A3="","",IFERROR(IF(G3&lt;=0,"N/M",D3/G3),"N/M"))</f>
        <v>10.8215424487635</v>
      </c>
      <c r="L3" s="52" t="n">
        <f aca="false">IF($A3="","",IFERROR(IF(H3&lt;=0,"N/M",D3/H3),"N/M"))</f>
        <v>5.4414653579358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0.116001400247191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46302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1260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231.709705753425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5.4378386779397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46302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559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8.55149328767123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135.679611650485</v>
      </c>
      <c r="K5" s="52" t="n">
        <f aca="false">IF($A5="","",IFERROR(IF(G5&lt;=0,"N/M",D5/G5),"N/M"))</f>
        <v>119.080840766122</v>
      </c>
      <c r="L5" s="52" t="n">
        <f aca="false">IF($A5="","",IFERROR(IF(H5&lt;=0,"N/M",D5/H5),"N/M"))</f>
        <v>65.3687000849215</v>
      </c>
      <c r="M5" s="49" t="n">
        <f aca="false">IF($A5="","",IFERROR(INDEX(Raw_Est!$C$2:$C$100,MATCH($A5,Raw_Est!$A$2:$A$100,0))/INDEX(Raw_Est!$B$2:$B$100,MATCH($A5,Raw_Est!$A$2:$A$100,0))-1,""))</f>
        <v>0.696719678876282</v>
      </c>
      <c r="N5" s="51" t="n">
        <f aca="false">IF($A5="","",IFERROR(IF(OR(NOT(ISNUMBER(J5)),I5&lt;Config!$B$6),"N/M",J5/(I5*100)),"N/M"))</f>
        <v>2.20371343763527</v>
      </c>
      <c r="O5" s="51" t="n">
        <f aca="false">IF($A5="","",IFERROR(IF(OR(NOT(ISNUMBER(L5)),M5&lt;Config!$B$6),"N/M",L5/(M5*100)),"N/M"))</f>
        <v>0.938235305630418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0.00468793654740608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0.27902443098403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46302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529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34.9469512328767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18.4513428671085</v>
      </c>
      <c r="K6" s="52" t="n">
        <f aca="false">IF($A6="","",IFERROR(IF(G6&lt;=0,"N/M",D6/G6),"N/M"))</f>
        <v>16.4118894055825</v>
      </c>
      <c r="L6" s="52" t="n">
        <f aca="false">IF($A6="","",IFERROR(IF(H6&lt;=0,"N/M",D6/H6),"N/M"))</f>
        <v>15.1372288951586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0.052930056710775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46302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2315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114.721425753425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42.4536952136439</v>
      </c>
      <c r="K7" s="52" t="n">
        <f aca="false">IF($A7="","",IFERROR(IF(G7&lt;=0,"N/M",D7/G7),"N/M"))</f>
        <v>38.7358557654096</v>
      </c>
      <c r="L7" s="52" t="n">
        <f aca="false">IF($A7="","",IFERROR(IF(H7&lt;=0,"N/M",D7/H7),"N/M"))</f>
        <v>20.1793168520737</v>
      </c>
      <c r="M7" s="49" t="n">
        <f aca="false">IF($A7="","",IFERROR(INDEX(Raw_Est!$C$2:$C$100,MATCH($A7,Raw_Est!$A$2:$A$100,0))/INDEX(Raw_Est!$B$2:$B$100,MATCH($A7,Raw_Est!$A$2:$A$100,0))-1,""))</f>
        <v>0.859708954144366</v>
      </c>
      <c r="N7" s="51" t="n">
        <f aca="false">IF($A7="","",IFERROR(IF(OR(NOT(ISNUMBER(J7)),I7&lt;Config!$B$6),"N/M",J7/(I7*100)),"N/M"))</f>
        <v>0.738779630778134</v>
      </c>
      <c r="O7" s="51" t="n">
        <f aca="false">IF($A7="","",IFERROR(IF(OR(NOT(ISNUMBER(L7)),M7&lt;Config!$B$6),"N/M",L7/(M7*100)),"N/M"))</f>
        <v>0.234722655321851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0.00453800539524838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0.272094579963417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11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46302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605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33.511095890411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18.0537217278268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1.42886320928785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46302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365.5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36.1505554794521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13.6840134780981</v>
      </c>
      <c r="K9" s="52" t="n">
        <f aca="false">IF($A9="","",IFERROR(IF(G9&lt;=0,"N/M",D9/G9),"N/M"))</f>
        <v>12.0362265721683</v>
      </c>
      <c r="L9" s="52" t="n">
        <f aca="false">IF($A9="","",IFERROR(IF(H9&lt;=0,"N/M",D9/H9),"N/M"))</f>
        <v>10.1104947116995</v>
      </c>
      <c r="M9" s="49" t="n">
        <f aca="false">IF($A9="","",IFERROR(INDEX(Raw_Est!$C$2:$C$100,MATCH($A9,Raw_Est!$A$2:$A$100,0))/INDEX(Raw_Est!$B$2:$B$100,MATCH($A9,Raw_Est!$A$2:$A$100,0))-1,""))</f>
        <v>0.0655217665534491</v>
      </c>
      <c r="N9" s="51" t="n">
        <f aca="false">IF($A9="","",IFERROR(IF(OR(NOT(ISNUMBER(J9)),I9&lt;Config!$B$6),"N/M",J9/(I9*100)),"N/M"))</f>
        <v>0.21835908776518</v>
      </c>
      <c r="O9" s="51" t="n">
        <f aca="false">IF($A9="","",IFERROR(IF(OR(NOT(ISNUMBER(L9)),M9&lt;Config!$B$6),"N/M",L9/(M9*100)),"N/M"))</f>
        <v>1.54307419404694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0.027359781121751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0.346627437746392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46302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11790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463.882644383562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64.9980704559237</v>
      </c>
      <c r="K10" s="52" t="n">
        <f aca="false">IF($A10="","",IFERROR(IF(G10&lt;=0,"N/M",D10/G10),"N/M"))</f>
        <v>44.2832286192103</v>
      </c>
      <c r="L10" s="52" t="n">
        <f aca="false">IF($A10="","",IFERROR(IF(H10&lt;=0,"N/M",D10/H10),"N/M"))</f>
        <v>25.4159109911675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0.385683385391571</v>
      </c>
      <c r="O10" s="51" t="n">
        <f aca="false">IF($A10="","",IFERROR(IF(OR(NOT(ISNUMBER(L10)),M10&lt;Config!$B$6),"N/M",L10/(M10*100)),"N/M"))</f>
        <v>0.615321310678292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0.00273112807463953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46302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3140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34.7868236986301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280.107047279215</v>
      </c>
      <c r="K11" s="52" t="n">
        <f aca="false">IF($A11="","",IFERROR(IF(G11&lt;=0,"N/M",D11/G11),"N/M"))</f>
        <v>197.236180904523</v>
      </c>
      <c r="L11" s="52" t="n">
        <f aca="false">IF($A11="","",IFERROR(IF(H11&lt;=0,"N/M",D11/H11),"N/M"))</f>
        <v>90.2640616804474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0.497248854938943</v>
      </c>
      <c r="O11" s="51" t="n">
        <f aca="false">IF($A11="","",IFERROR(IF(OR(NOT(ISNUMBER(L11)),M11&lt;Config!$B$6),"N/M",L11/(M11*100)),"N/M"))</f>
        <v>0.89477909792619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0.000159242722929936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46302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702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72.8215767634855</v>
      </c>
      <c r="K12" s="52" t="n">
        <f aca="false">IF($A12="","",IFERROR(IF(G12&lt;=0,"N/M",D12/G12),"N/M"))</f>
        <v>102.332361516035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0.273210765888683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46302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1100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24.0954730136986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186.440677966102</v>
      </c>
      <c r="K13" s="52" t="n">
        <f aca="false">IF($A13="","",IFERROR(IF(G13&lt;=0,"N/M",D13/G13),"N/M"))</f>
        <v>131.985481597024</v>
      </c>
      <c r="L13" s="52" t="n">
        <f aca="false">IF($A13="","",IFERROR(IF(H13&lt;=0,"N/M",D13/H13),"N/M"))</f>
        <v>45.6517288278439</v>
      </c>
      <c r="M13" s="49" t="n">
        <f aca="false">IF($A13="","",IFERROR(INDEX(Raw_Est!$C$2:$C$100,MATCH($A13,Raw_Est!$A$2:$A$100,0))/INDEX(Raw_Est!$B$2:$B$100,MATCH($A13,Raw_Est!$A$2:$A$100,0))-1,""))</f>
        <v>1.49257702719665</v>
      </c>
      <c r="N13" s="51" t="n">
        <f aca="false">IF($A13="","",IFERROR(IF(OR(NOT(ISNUMBER(J13)),I13&lt;Config!$B$6),"N/M",J13/(I13*100)),"N/M"))</f>
        <v>0.481008998590582</v>
      </c>
      <c r="O13" s="51" t="n">
        <f aca="false">IF($A13="","",IFERROR(IF(OR(NOT(ISNUMBER(L13)),M13&lt;Config!$B$6),"N/M",L13/(M13*100)),"N/M"))</f>
        <v>0.30585844479723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0.000909247209090909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0.133110401237564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46302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1815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114.166712328767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15.8978038604924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0.144995266567015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46302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148.5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7.13284767123288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22.2305389221557</v>
      </c>
      <c r="K15" s="52" t="n">
        <f aca="false">IF($A15="","",IFERROR(IF(G15&lt;=0,"N/M",D15/G15),"N/M"))</f>
        <v>21.548596801811</v>
      </c>
      <c r="L15" s="52" t="n">
        <f aca="false">IF($A15="","",IFERROR(IF(H15&lt;=0,"N/M",D15/H15),"N/M"))</f>
        <v>20.8191744510272</v>
      </c>
      <c r="M15" s="49" t="n">
        <f aca="false">IF($A15="","",IFERROR(INDEX(Raw_Est!$C$2:$C$100,MATCH($A15,Raw_Est!$A$2:$A$100,0))/INDEX(Raw_Est!$B$2:$B$100,MATCH($A15,Raw_Est!$A$2:$A$100,0))-1,""))</f>
        <v>0.0278054605749241</v>
      </c>
      <c r="N15" s="51" t="n">
        <f aca="false">IF($A15="","",IFERROR(IF(OR(NOT(ISNUMBER(J15)),I15&lt;Config!$B$6),"N/M",J15/(I15*100)),"N/M"))</f>
        <v>0.200771533855366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0.197864714442012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46302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4835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128.773491232877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79.6671609820399</v>
      </c>
      <c r="K16" s="52" t="n">
        <f aca="false">IF($A16="","",IFERROR(IF(G16&lt;=0,"N/M",D16/G16),"N/M"))</f>
        <v>80.2032501309627</v>
      </c>
      <c r="L16" s="52" t="n">
        <f aca="false">IF($A16="","",IFERROR(IF(H16&lt;=0,"N/M",D16/H16),"N/M"))</f>
        <v>37.5465474587179</v>
      </c>
      <c r="M16" s="49" t="n">
        <f aca="false">IF($A16="","",IFERROR(INDEX(Raw_Est!$C$2:$C$100,MATCH($A16,Raw_Est!$A$2:$A$100,0))/INDEX(Raw_Est!$B$2:$B$100,MATCH($A16,Raw_Est!$A$2:$A$100,0))-1,""))</f>
        <v>1.15627880368347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0.324718807774636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0.0111686075429162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0.258028698312981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46302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32.962962962963</v>
      </c>
      <c r="K17" s="52" t="n">
        <f aca="false">IF($A17="","",IFERROR(IF(G17&lt;=0,"N/M",D17/G17),"N/M"))</f>
        <v>28.4345047923323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46302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6.85373424657534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13.1315275384322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0.472765449839976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46302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2060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288.918802465753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7.13003093747829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46302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588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9.53555616438356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69.0951821386604</v>
      </c>
      <c r="K20" s="52" t="n">
        <f aca="false">IF($A20="","",IFERROR(IF(G20&lt;=0,"N/M",D20/G20),"N/M"))</f>
        <v>72.5232925574821</v>
      </c>
      <c r="L20" s="52" t="n">
        <f aca="false">IF($A20="","",IFERROR(IF(H20&lt;=0,"N/M",D20/H20),"N/M"))</f>
        <v>61.6639438605847</v>
      </c>
      <c r="M20" s="49" t="n">
        <f aca="false">IF($A20="","",IFERROR(INDEX(Raw_Est!$C$2:$C$100,MATCH($A20,Raw_Est!$A$2:$A$100,0))/INDEX(Raw_Est!$B$2:$B$100,MATCH($A20,Raw_Est!$A$2:$A$100,0))-1,""))</f>
        <v>0.312244569004066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1.97486041333778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0.00340136054421769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0.0744417042015389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46302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579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12.5604109589041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94.1463414634146</v>
      </c>
      <c r="K21" s="52" t="n">
        <f aca="false">IF($A21="","",IFERROR(IF(G21&lt;=0,"N/M",D21/G21),"N/M"))</f>
        <v>85.2724594992636</v>
      </c>
      <c r="L21" s="52" t="n">
        <f aca="false">IF($A21="","",IFERROR(IF(H21&lt;=0,"N/M",D21/H21),"N/M"))</f>
        <v>46.0972178294489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2.10590500641848</v>
      </c>
      <c r="O21" s="51" t="n">
        <f aca="false">IF($A21="","",IFERROR(IF(OR(NOT(ISNUMBER(L21)),M21&lt;Config!$B$6),"N/M",L21/(M21*100)),"N/M"))</f>
        <v>0.505427952165619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0.0026677596373057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46302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679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9.83128109589041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69.0652615236309</v>
      </c>
      <c r="M22" s="49" t="n">
        <f aca="false">IF($A22="","",IFERROR(INDEX(Raw_Est!$C$2:$C$100,MATCH($A22,Raw_Est!$A$2:$A$100,0))/INDEX(Raw_Est!$B$2:$B$100,MATCH($A22,Raw_Est!$A$2:$A$100,0))-1,""))</f>
        <v>-25.4842830188679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-0.0105348813535131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1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46302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179.5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46.2302926027397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19.8123620309051</v>
      </c>
      <c r="K23" s="52" t="n">
        <f aca="false">IF($A23="","",IFERROR(IF(G23&lt;=0,"N/M",D23/G23),"N/M"))</f>
        <v>10.8728374713717</v>
      </c>
      <c r="L23" s="52" t="n">
        <f aca="false">IF($A23="","",IFERROR(IF(H23&lt;=0,"N/M",D23/H23),"N/M"))</f>
        <v>3.88273553755016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0.0363767947706643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0.00278551532033426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46302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535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108.739837398374</v>
      </c>
      <c r="K25" s="52" t="n">
        <f aca="false">IF($A25="","",IFERROR(IF(G25&lt;=0,"N/M",D25/G25),"N/M"))</f>
        <v>124.129930394432</v>
      </c>
      <c r="L25" s="52" t="n">
        <f aca="false">IF($A25="","",IFERROR(IF(H25&lt;=0,"N/M",D25/H25),"N/M"))</f>
        <v>44.6950710108605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0.00186915887850467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46302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530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12.753698630137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41.556572361496</v>
      </c>
      <c r="M26" s="49" t="n">
        <f aca="false">IF($A26="","",IFERROR(INDEX(Raw_Est!$C$2:$C$100,MATCH($A26,Raw_Est!$A$2:$A$100,0))/INDEX(Raw_Est!$B$2:$B$100,MATCH($A26,Raw_Est!$A$2:$A$100,0))-1,""))</f>
        <v>2.56279069767442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0.162153594514004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0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46302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8460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105.372143013699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216.867469879518</v>
      </c>
      <c r="K27" s="52" t="n">
        <f aca="false">IF($A27="","",IFERROR(IF(G27&lt;=0,"N/M",D27/G27),"N/M"))</f>
        <v>188.459800032123</v>
      </c>
      <c r="L27" s="52" t="n">
        <f aca="false">IF($A27="","",IFERROR(IF(H27&lt;=0,"N/M",D27/H27),"N/M"))</f>
        <v>80.2868742918153</v>
      </c>
      <c r="M27" s="49" t="n">
        <f aca="false">IF($A27="","",IFERROR(INDEX(Raw_Est!$C$2:$C$100,MATCH($A27,Raw_Est!$A$2:$A$100,0))/INDEX(Raw_Est!$B$2:$B$100,MATCH($A27,Raw_Est!$A$2:$A$100,0))-1,""))</f>
        <v>1.26619949607388</v>
      </c>
      <c r="N27" s="51" t="n">
        <f aca="false">IF($A27="","",IFERROR(IF(OR(NOT(ISNUMBER(J27)),I27&lt;Config!$B$6),"N/M",J27/(I27*100)),"N/M"))</f>
        <v>4.89899447413715</v>
      </c>
      <c r="O27" s="51" t="n">
        <f aca="false">IF($A27="","",IFERROR(IF(OR(NOT(ISNUMBER(L27)),M27&lt;Config!$B$6),"N/M",L27/(M27*100)),"N/M"))</f>
        <v>0.634077604206617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0.00236406619385343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0.531975972855065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46302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2026-10-07T13:45:59Z</dcterms:created>
  <dc:creator>openpyxl</dc:creator>
  <dc:description/>
  <dc:language>en-US</dc:language>
  <cp:lastModifiedBy/>
  <dcterms:modified xsi:type="dcterms:W3CDTF">2026-10-07T13:46:00Z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