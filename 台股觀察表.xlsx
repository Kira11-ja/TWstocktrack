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9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12.xml" ContentType="application/vnd.openxmlformats-officedocument.spreadsheetml.worksheet+xml"/>
  <Override PartName="/xl/worksheets/sheet7.xml" ContentType="application/vnd.openxmlformats-officedocument.spreadsheetml.worksheet+xml"/>
  <Override PartName="/xl/worksheets/sheet13.xml" ContentType="application/vnd.openxmlformats-officedocument.spreadsheetml.worksheet+xml"/>
  <Override PartName="/xl/worksheets/sheet8.xml" ContentType="application/vnd.openxmlformats-officedocument.spreadsheetml.worksheet+xml"/>
  <Override PartName="/xl/worksheets/sheet14.xml" ContentType="application/vnd.openxmlformats-officedocument.spreadsheetml.worksheet+xml"/>
  <Override PartName="/xl/worksheets/sheet9.xml" ContentType="application/vnd.openxmlformats-officedocument.spreadsheetml.worksheet+xml"/>
  <Override PartName="/xl/worksheets/sheet5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說明" sheetId="1" state="visible" r:id="rId3"/>
    <sheet name="Dashboard" sheetId="2" state="visible" r:id="rId4"/>
    <sheet name="Stock_Card" sheetId="3" state="visible" r:id="rId5"/>
    <sheet name="年度檢視" sheetId="4" state="visible" r:id="rId6"/>
    <sheet name="季度檢視" sheetId="5" state="visible" r:id="rId7"/>
    <sheet name="月營收檢視" sheetId="6" state="visible" r:id="rId8"/>
    <sheet name="_Manifest" sheetId="7" state="visible" r:id="rId9"/>
    <sheet name="Tickers" sheetId="8" state="visible" r:id="rId10"/>
    <sheet name="Raw_Q" sheetId="9" state="visible" r:id="rId11"/>
    <sheet name="Raw_M" sheetId="10" state="visible" r:id="rId12"/>
    <sheet name="Raw_Est" sheetId="11" state="visible" r:id="rId13"/>
    <sheet name="Raw_Price" sheetId="12" state="visible" r:id="rId14"/>
    <sheet name="Calc" sheetId="13" state="hidden" r:id="rId15"/>
    <sheet name="Config" sheetId="14" state="visible" r:id="rId16"/>
  </sheets>
  <definedNames>
    <definedName function="false" hidden="true" localSheetId="1" name="_xlnm._FilterDatabase" vbProcedure="false">Dashboard!$A$2:$W$33</definedName>
    <definedName function="false" hidden="true" localSheetId="8" name="_xlnm._FilterDatabase" vbProcedure="false">Raw_Q!$A$1:$S$743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<sst xmlns="http://schemas.openxmlformats.org/spreadsheetml/2006/main" count="8221" uniqueCount="1534">
  <si>
    <r>
      <rPr>
        <b val="true"/>
        <sz val="14"/>
        <color rgb="FF1F3864"/>
        <rFont val="DejaVu Sans"/>
        <family val="2"/>
      </rPr>
      <t xml:space="preserve">台股觀察表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架構範本 </t>
    </r>
    <r>
      <rPr>
        <b val="true"/>
        <sz val="14"/>
        <color rgb="FF1F3864"/>
        <rFont val="Arial"/>
        <family val="0"/>
        <charset val="1"/>
      </rPr>
      <t xml:space="preserve">v2</t>
    </r>
  </si>
  <si>
    <r>
      <rPr>
        <b val="true"/>
        <sz val="10"/>
        <color rgb="FFC00000"/>
        <rFont val="DejaVu Sans"/>
        <family val="2"/>
      </rPr>
      <t xml:space="preserve">資料由 </t>
    </r>
    <r>
      <rPr>
        <b val="true"/>
        <sz val="10"/>
        <color rgb="FFC00000"/>
        <rFont val="Arial"/>
        <family val="0"/>
        <charset val="1"/>
      </rPr>
      <t xml:space="preserve">GitHub Actions </t>
    </r>
    <r>
      <rPr>
        <b val="true"/>
        <sz val="10"/>
        <color rgb="FFC00000"/>
        <rFont val="DejaVu Sans"/>
        <family val="2"/>
      </rPr>
      <t xml:space="preserve">自動更新。</t>
    </r>
    <r>
      <rPr>
        <b val="true"/>
        <sz val="10"/>
        <color rgb="FFC00000"/>
        <rFont val="Arial"/>
        <family val="0"/>
        <charset val="1"/>
      </rPr>
      <t xml:space="preserve">Raw </t>
    </r>
    <r>
      <rPr>
        <b val="true"/>
        <sz val="10"/>
        <color rgb="FFC00000"/>
        <rFont val="DejaVu Sans"/>
        <family val="2"/>
      </rPr>
      <t xml:space="preserve">分頁為管線寫入區，請勿手改。</t>
    </r>
  </si>
  <si>
    <r>
      <rPr>
        <b val="true"/>
        <sz val="11"/>
        <color rgb="FF1F3864"/>
        <rFont val="Arial"/>
        <family val="0"/>
        <charset val="1"/>
      </rPr>
      <t xml:space="preserve">v2 </t>
    </r>
    <r>
      <rPr>
        <b val="true"/>
        <sz val="11"/>
        <color rgb="FF1F3864"/>
        <rFont val="DejaVu Sans"/>
        <family val="2"/>
      </rPr>
      <t xml:space="preserve">改了什麼</t>
    </r>
  </si>
  <si>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從 </t>
    </r>
    <r>
      <rPr>
        <sz val="10"/>
        <rFont val="Arial"/>
        <family val="0"/>
        <charset val="1"/>
      </rPr>
      <t xml:space="preserve">32 </t>
    </r>
    <r>
      <rPr>
        <sz val="10"/>
        <rFont val="DejaVu Sans"/>
        <family val="2"/>
      </rPr>
      <t xml:space="preserve">欄砍到 </t>
    </r>
    <r>
      <rPr>
        <sz val="10"/>
        <rFont val="Arial"/>
        <family val="0"/>
        <charset val="1"/>
      </rPr>
      <t xml:space="preserve">14 </t>
    </r>
    <r>
      <rPr>
        <sz val="10"/>
        <rFont val="DejaVu Sans"/>
        <family val="2"/>
      </rPr>
      <t xml:space="preserve">欄。只留下你指定的指標，以及計算這些指標所必需的原始欄位。</t>
    </r>
  </si>
  <si>
    <r>
      <rPr>
        <sz val="10"/>
        <rFont val="DejaVu Sans"/>
        <family val="2"/>
      </rPr>
      <t xml:space="preserve">刪掉的是：營益率、</t>
    </r>
    <r>
      <rPr>
        <sz val="10"/>
        <rFont val="Arial"/>
        <family val="0"/>
        <charset val="1"/>
      </rPr>
      <t xml:space="preserve">FCF</t>
    </r>
    <r>
      <rPr>
        <sz val="10"/>
        <rFont val="DejaVu Sans"/>
        <family val="2"/>
      </rPr>
      <t xml:space="preserve">、杜邦拆解、</t>
    </r>
    <r>
      <rPr>
        <sz val="10"/>
        <rFont val="Arial"/>
        <family val="0"/>
        <charset val="1"/>
      </rPr>
      <t xml:space="preserve">ROIC</t>
    </r>
    <r>
      <rPr>
        <sz val="10"/>
        <rFont val="DejaVu Sans"/>
        <family val="2"/>
      </rPr>
      <t xml:space="preserve">、淨負債、有效稅率、</t>
    </r>
    <r>
      <rPr>
        <sz val="10"/>
        <rFont val="Arial"/>
        <family val="0"/>
        <charset val="1"/>
      </rPr>
      <t xml:space="preserve">adj_gap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 </t>
    </r>
    <r>
      <rPr>
        <sz val="10"/>
        <rFont val="DejaVu Sans"/>
        <family val="2"/>
      </rPr>
      <t xml:space="preserve">百分位、</t>
    </r>
    <r>
      <rPr>
        <sz val="10"/>
        <rFont val="Arial"/>
        <family val="0"/>
        <charset val="1"/>
      </rPr>
      <t xml:space="preserve">2</t>
    </r>
    <r>
      <rPr>
        <sz val="10"/>
        <rFont val="DejaVu Sans"/>
        <family val="2"/>
      </rPr>
      <t xml:space="preserve">年</t>
    </r>
    <r>
      <rPr>
        <sz val="10"/>
        <rFont val="Arial"/>
        <family val="0"/>
        <charset val="1"/>
      </rPr>
      <t xml:space="preserve">CAGR</t>
    </r>
    <r>
      <rPr>
        <sz val="10"/>
        <rFont val="DejaVu Sans"/>
        <family val="2"/>
      </rPr>
      <t xml:space="preserve">、</t>
    </r>
  </si>
  <si>
    <r>
      <rPr>
        <sz val="10"/>
        <rFont val="DejaVu Sans"/>
        <family val="2"/>
      </rPr>
      <t xml:space="preserve">近</t>
    </r>
    <r>
      <rPr>
        <sz val="10"/>
        <rFont val="Arial"/>
        <family val="0"/>
        <charset val="1"/>
      </rPr>
      <t xml:space="preserve">4</t>
    </r>
    <r>
      <rPr>
        <sz val="10"/>
        <rFont val="DejaVu Sans"/>
        <family val="2"/>
      </rPr>
      <t xml:space="preserve">季平均加速度、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加速度、年度加速度 —— 這些都是我加的，不是你要的。</t>
    </r>
  </si>
  <si>
    <r>
      <rPr>
        <sz val="10"/>
        <rFont val="DejaVu Sans"/>
        <family val="2"/>
      </rPr>
      <t xml:space="preserve">新增：殖利率（需要 </t>
    </r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的 </t>
    </r>
    <r>
      <rPr>
        <sz val="10"/>
        <rFont val="Arial"/>
        <family val="0"/>
        <charset val="1"/>
      </rPr>
      <t xml:space="preserve">dps </t>
    </r>
    <r>
      <rPr>
        <sz val="10"/>
        <rFont val="DejaVu Sans"/>
        <family val="2"/>
      </rPr>
      <t xml:space="preserve">欄）。</t>
    </r>
  </si>
  <si>
    <r>
      <rPr>
        <b val="true"/>
        <sz val="11"/>
        <color rgb="FF1F3864"/>
        <rFont val="Arial"/>
        <family val="0"/>
        <charset val="1"/>
      </rPr>
      <t xml:space="preserve">Raw_Q </t>
    </r>
    <r>
      <rPr>
        <b val="true"/>
        <sz val="11"/>
        <color rgb="FF1F3864"/>
        <rFont val="DejaVu Sans"/>
        <family val="2"/>
      </rPr>
      <t xml:space="preserve">的 </t>
    </r>
    <r>
      <rPr>
        <b val="true"/>
        <sz val="11"/>
        <color rgb="FF1F3864"/>
        <rFont val="Arial"/>
        <family val="0"/>
        <charset val="1"/>
      </rPr>
      <t xml:space="preserve">14 </t>
    </r>
    <r>
      <rPr>
        <b val="true"/>
        <sz val="11"/>
        <color rgb="FF1F3864"/>
        <rFont val="DejaVu Sans"/>
        <family val="2"/>
      </rPr>
      <t xml:space="preserve">欄，每一欄都有用途</t>
    </r>
  </si>
  <si>
    <r>
      <rPr>
        <sz val="10"/>
        <rFont val="Arial"/>
        <family val="0"/>
        <charset val="1"/>
      </rPr>
      <t xml:space="preserve">ticker / period / fy / fq / period_end   → </t>
    </r>
    <r>
      <rPr>
        <sz val="10"/>
        <rFont val="DejaVu Sans"/>
        <family val="2"/>
      </rPr>
      <t xml:space="preserve">鍵值與期別對齊</t>
    </r>
  </si>
  <si>
    <r>
      <rPr>
        <sz val="10"/>
        <rFont val="Arial"/>
        <family val="0"/>
        <charset val="1"/>
      </rPr>
      <t xml:space="preserve">is_est / est_source                      → </t>
    </r>
    <r>
      <rPr>
        <sz val="10"/>
        <rFont val="DejaVu Sans"/>
        <family val="2"/>
      </rPr>
      <t xml:space="preserve">區分實際與預估，避免預估污染歷史</t>
    </r>
  </si>
  <si>
    <r>
      <rPr>
        <sz val="10"/>
        <rFont val="Arial"/>
        <family val="0"/>
        <charset val="1"/>
      </rPr>
      <t xml:space="preserve">eps_basis                                → EPS </t>
    </r>
    <r>
      <rPr>
        <sz val="10"/>
        <rFont val="DejaVu Sans"/>
        <family val="2"/>
      </rPr>
      <t xml:space="preserve">口徑標記：</t>
    </r>
    <r>
      <rPr>
        <sz val="10"/>
        <rFont val="Arial"/>
        <family val="0"/>
        <charset val="1"/>
      </rPr>
      <t xml:space="preserve">street=</t>
    </r>
    <r>
      <rPr>
        <sz val="10"/>
        <rFont val="DejaVu Sans"/>
        <family val="2"/>
      </rPr>
      <t xml:space="preserve">市場口徑；</t>
    </r>
    <r>
      <rPr>
        <sz val="10"/>
        <rFont val="Arial"/>
        <family val="0"/>
        <charset val="1"/>
      </rPr>
      <t xml:space="preserve">gaap=</t>
    </r>
    <r>
      <rPr>
        <sz val="10"/>
        <rFont val="DejaVu Sans"/>
        <family val="2"/>
      </rPr>
      <t xml:space="preserve">四層來源</t>
    </r>
  </si>
  <si>
    <r>
      <rPr>
        <sz val="10"/>
        <rFont val="DejaVu Sans"/>
        <family val="2"/>
      </rPr>
      <t xml:space="preserve">                                            全部失敗時的降級，</t>
    </r>
    <r>
      <rPr>
        <sz val="10"/>
        <rFont val="Arial"/>
        <family val="0"/>
        <charset val="1"/>
      </rPr>
      <t xml:space="preserve">PE/PEG </t>
    </r>
    <r>
      <rPr>
        <sz val="10"/>
        <rFont val="DejaVu Sans"/>
        <family val="2"/>
      </rPr>
      <t xml:space="preserve">會失真，須注意</t>
    </r>
  </si>
  <si>
    <r>
      <rPr>
        <sz val="10"/>
        <rFont val="Arial"/>
        <family val="0"/>
        <charset val="1"/>
      </rPr>
      <t xml:space="preserve">revenue                                  → </t>
    </r>
    <r>
      <rPr>
        <sz val="10"/>
        <rFont val="DejaVu Sans"/>
        <family val="2"/>
      </rPr>
      <t xml:space="preserve">營收成長率、毛利率分母</t>
    </r>
  </si>
  <si>
    <r>
      <rPr>
        <sz val="10"/>
        <rFont val="Arial"/>
        <family val="0"/>
        <charset val="1"/>
      </rPr>
      <t xml:space="preserve">gross_profit                             → </t>
    </r>
    <r>
      <rPr>
        <sz val="10"/>
        <rFont val="DejaVu Sans"/>
        <family val="2"/>
      </rPr>
      <t xml:space="preserve">毛利率分子</t>
    </r>
  </si>
  <si>
    <r>
      <rPr>
        <sz val="10"/>
        <rFont val="Arial"/>
        <family val="0"/>
        <charset val="1"/>
      </rPr>
      <t xml:space="preserve">eps_diluted_adj                          → EPS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PEG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成長率</t>
    </r>
  </si>
  <si>
    <r>
      <rPr>
        <sz val="10"/>
        <rFont val="Arial"/>
        <family val="0"/>
        <charset val="1"/>
      </rPr>
      <t xml:space="preserve">shares_diluted                           → </t>
    </r>
    <r>
      <rPr>
        <sz val="10"/>
        <rFont val="DejaVu Sans"/>
        <family val="2"/>
      </rPr>
      <t xml:space="preserve">反推 </t>
    </r>
    <r>
      <rPr>
        <sz val="10"/>
        <rFont val="Arial"/>
        <family val="0"/>
        <charset val="1"/>
      </rPr>
      <t xml:space="preserve">ROE </t>
    </r>
    <r>
      <rPr>
        <sz val="10"/>
        <rFont val="DejaVu Sans"/>
        <family val="2"/>
      </rPr>
      <t xml:space="preserve">淨利、</t>
    </r>
    <r>
      <rPr>
        <sz val="10"/>
        <rFont val="Arial"/>
        <family val="0"/>
        <charset val="1"/>
      </rPr>
      <t xml:space="preserve">ROE_Forward </t>
    </r>
    <r>
      <rPr>
        <sz val="10"/>
        <rFont val="DejaVu Sans"/>
        <family val="2"/>
      </rPr>
      <t xml:space="preserve">的每股淨值</t>
    </r>
  </si>
  <si>
    <r>
      <rPr>
        <sz val="10"/>
        <rFont val="Arial"/>
        <family val="0"/>
        <charset val="1"/>
      </rPr>
      <t xml:space="preserve">total_equity                             → ROE </t>
    </r>
    <r>
      <rPr>
        <sz val="10"/>
        <rFont val="DejaVu Sans"/>
        <family val="2"/>
      </rPr>
      <t xml:space="preserve">分母</t>
    </r>
  </si>
  <si>
    <r>
      <rPr>
        <sz val="10"/>
        <rFont val="Arial"/>
        <family val="0"/>
        <charset val="1"/>
      </rPr>
      <t xml:space="preserve">dps                                      → </t>
    </r>
    <r>
      <rPr>
        <sz val="10"/>
        <rFont val="DejaVu Sans"/>
        <family val="2"/>
      </rPr>
      <t xml:space="preserve">殖利率</t>
    </r>
  </si>
  <si>
    <r>
      <rPr>
        <sz val="10"/>
        <rFont val="Arial"/>
        <family val="0"/>
        <charset val="1"/>
      </rPr>
      <t xml:space="preserve">price_at_end                             → </t>
    </r>
    <r>
      <rPr>
        <sz val="10"/>
        <rFont val="DejaVu Sans"/>
        <family val="2"/>
      </rPr>
      <t xml:space="preserve">歷史 </t>
    </r>
    <r>
      <rPr>
        <sz val="10"/>
        <rFont val="Arial"/>
        <family val="0"/>
        <charset val="1"/>
      </rPr>
      <t xml:space="preserve">PE</t>
    </r>
    <r>
      <rPr>
        <sz val="10"/>
        <rFont val="DejaVu Sans"/>
        <family val="2"/>
      </rPr>
      <t xml:space="preserve">、</t>
    </r>
    <r>
      <rPr>
        <sz val="10"/>
        <rFont val="Arial"/>
        <family val="0"/>
        <charset val="1"/>
      </rPr>
      <t xml:space="preserve">PEG_T</t>
    </r>
    <r>
      <rPr>
        <sz val="10"/>
        <rFont val="DejaVu Sans"/>
        <family val="2"/>
      </rPr>
      <t xml:space="preserve">、歷史殖利率</t>
    </r>
  </si>
  <si>
    <t xml:space="preserve">抓不到的東西（誠實說明）</t>
  </si>
  <si>
    <r>
      <rPr>
        <sz val="10"/>
        <rFont val="Arial"/>
        <family val="0"/>
        <charset val="1"/>
      </rPr>
      <t xml:space="preserve">Adjusted </t>
    </r>
    <r>
      <rPr>
        <sz val="10"/>
        <rFont val="DejaVu Sans"/>
        <family val="2"/>
      </rPr>
      <t xml:space="preserve">淨利：沒有任何 </t>
    </r>
    <r>
      <rPr>
        <sz val="10"/>
        <rFont val="Arial"/>
        <family val="0"/>
        <charset val="1"/>
      </rPr>
      <t xml:space="preserve">API </t>
    </r>
    <r>
      <rPr>
        <sz val="10"/>
        <rFont val="DejaVu Sans"/>
        <family val="2"/>
      </rPr>
      <t xml:space="preserve">提供。它不是損益表項目，只存在於公司財報的 </t>
    </r>
    <r>
      <rPr>
        <sz val="10"/>
        <rFont val="Arial"/>
        <family val="0"/>
        <charset val="1"/>
      </rPr>
      <t xml:space="preserve">non-GAAP </t>
    </r>
    <r>
      <rPr>
        <sz val="10"/>
        <rFont val="DejaVu Sans"/>
        <family val="2"/>
      </rPr>
      <t xml:space="preserve">對帳附註。</t>
    </r>
  </si>
  <si>
    <r>
      <rPr>
        <sz val="10"/>
        <rFont val="DejaVu Sans"/>
        <family val="2"/>
      </rPr>
      <t xml:space="preserve">本表用「逐季 </t>
    </r>
    <r>
      <rPr>
        <sz val="10"/>
        <rFont val="Arial"/>
        <family val="0"/>
        <charset val="1"/>
      </rPr>
      <t xml:space="preserve">adjusted EPS × </t>
    </r>
    <r>
      <rPr>
        <sz val="10"/>
        <rFont val="DejaVu Sans"/>
        <family val="2"/>
      </rPr>
      <t xml:space="preserve">稀釋股數」反推，逐季相乘再加總比用單一股數準，但仍是近似值。</t>
    </r>
  </si>
  <si>
    <r>
      <rPr>
        <sz val="10"/>
        <rFont val="Arial"/>
        <family val="0"/>
        <charset val="1"/>
      </rPr>
      <t xml:space="preserve">Adjusted EPS </t>
    </r>
    <r>
      <rPr>
        <sz val="10"/>
        <rFont val="DejaVu Sans"/>
        <family val="2"/>
      </rPr>
      <t xml:space="preserve">本身拿得到，但不是從損益表，是從「歷史財報實際值」那類端點的 </t>
    </r>
    <r>
      <rPr>
        <sz val="10"/>
        <rFont val="Arial"/>
        <family val="0"/>
        <charset val="1"/>
      </rPr>
      <t xml:space="preserve">actual EPS</t>
    </r>
    <r>
      <rPr>
        <sz val="10"/>
        <rFont val="DejaVu Sans"/>
        <family val="2"/>
      </rPr>
      <t xml:space="preserve">。</t>
    </r>
  </si>
  <si>
    <r>
      <rPr>
        <sz val="10"/>
        <rFont val="Arial"/>
        <family val="0"/>
        <charset val="1"/>
      </rPr>
      <t xml:space="preserve">fy / fq</t>
    </r>
    <r>
      <rPr>
        <sz val="10"/>
        <rFont val="DejaVu Sans"/>
        <family val="2"/>
      </rPr>
      <t xml:space="preserve">：多數來源不直接提供公司自己的財年標號，要從 </t>
    </r>
    <r>
      <rPr>
        <sz val="10"/>
        <rFont val="Arial"/>
        <family val="0"/>
        <charset val="1"/>
      </rPr>
      <t xml:space="preserve">period_end </t>
    </r>
    <r>
      <rPr>
        <sz val="10"/>
        <rFont val="DejaVu Sans"/>
        <family val="2"/>
      </rPr>
      <t xml:space="preserve">推算。</t>
    </r>
  </si>
  <si>
    <r>
      <rPr>
        <sz val="10"/>
        <rFont val="DejaVu Sans"/>
        <family val="2"/>
      </rPr>
      <t xml:space="preserve">歷史的 </t>
    </r>
    <r>
      <rPr>
        <sz val="10"/>
        <rFont val="Arial"/>
        <family val="0"/>
        <charset val="1"/>
      </rPr>
      <t xml:space="preserve">Forward PE</t>
    </r>
    <r>
      <rPr>
        <sz val="10"/>
        <rFont val="DejaVu Sans"/>
        <family val="2"/>
      </rPr>
      <t xml:space="preserve">（每一年當時的前瞻本益比）：拿不到，歷史分析師共識一般不留存。</t>
    </r>
  </si>
  <si>
    <t xml:space="preserve">年 與 季 分在哪裡</t>
  </si>
  <si>
    <r>
      <rPr>
        <sz val="10"/>
        <rFont val="DejaVu Sans"/>
        <family val="2"/>
      </rPr>
      <t xml:space="preserve">年度層 → 「年度檢視」：每一列＝一個完整財年，由 </t>
    </r>
    <r>
      <rPr>
        <sz val="10"/>
        <rFont val="Arial"/>
        <family val="0"/>
        <charset val="1"/>
      </rPr>
      <t xml:space="preserve">Raw_Q </t>
    </r>
    <r>
      <rPr>
        <sz val="10"/>
        <rFont val="DejaVu Sans"/>
        <family val="2"/>
      </rPr>
      <t xml:space="preserve">的季度資料 </t>
    </r>
    <r>
      <rPr>
        <sz val="10"/>
        <rFont val="Arial"/>
        <family val="0"/>
        <charset val="1"/>
      </rPr>
      <t xml:space="preserve">rollup </t>
    </r>
    <r>
      <rPr>
        <sz val="10"/>
        <rFont val="DejaVu Sans"/>
        <family val="2"/>
      </rPr>
      <t xml:space="preserve">而來。</t>
    </r>
  </si>
  <si>
    <r>
      <rPr>
        <sz val="10"/>
        <rFont val="DejaVu Sans"/>
        <family val="2"/>
      </rPr>
      <t xml:space="preserve">季度層 → 「季度檢視」：每一列＝一個財季，另有年 </t>
    </r>
    <r>
      <rPr>
        <sz val="10"/>
        <rFont val="Arial"/>
        <family val="0"/>
        <charset val="1"/>
      </rPr>
      <t xml:space="preserve">× </t>
    </r>
    <r>
      <rPr>
        <sz val="10"/>
        <rFont val="DejaVu Sans"/>
        <family val="2"/>
      </rPr>
      <t xml:space="preserve">季矩陣做季節可比的閱讀。</t>
    </r>
  </si>
  <si>
    <r>
      <rPr>
        <sz val="10"/>
        <rFont val="DejaVu Sans"/>
        <family val="2"/>
      </rPr>
      <t xml:space="preserve">橫向層 → 「</t>
    </r>
    <r>
      <rPr>
        <sz val="10"/>
        <rFont val="Arial"/>
        <family val="0"/>
        <charset val="1"/>
      </rPr>
      <t xml:space="preserve">Dashboard</t>
    </r>
    <r>
      <rPr>
        <sz val="10"/>
        <rFont val="DejaVu Sans"/>
        <family val="2"/>
      </rPr>
      <t xml:space="preserve">」：每一列＝一檔股票，用來跨標的比較與篩選。</t>
    </r>
  </si>
  <si>
    <r>
      <rPr>
        <sz val="10"/>
        <rFont val="DejaVu Sans"/>
        <family val="2"/>
      </rPr>
      <t xml:space="preserve">三層共用同一份 </t>
    </r>
    <r>
      <rPr>
        <sz val="10"/>
        <rFont val="Arial"/>
        <family val="0"/>
        <charset val="1"/>
      </rPr>
      <t xml:space="preserve">Raw_Q</t>
    </r>
    <r>
      <rPr>
        <sz val="10"/>
        <rFont val="DejaVu Sans"/>
        <family val="2"/>
      </rPr>
      <t xml:space="preserve">，年度值永遠等於該年四季加總，不會有兩套打架的資料。</t>
    </r>
  </si>
  <si>
    <t xml:space="preserve">加速度只做在季度層</t>
  </si>
  <si>
    <r>
      <rPr>
        <sz val="10"/>
        <rFont val="DejaVu Sans"/>
        <family val="2"/>
      </rPr>
      <t xml:space="preserve">季度成長率</t>
    </r>
    <r>
      <rPr>
        <sz val="10"/>
        <rFont val="Arial"/>
        <family val="0"/>
        <charset val="1"/>
      </rPr>
      <t xml:space="preserve">(QoQ) </t>
    </r>
    <r>
      <rPr>
        <sz val="10"/>
        <rFont val="DejaVu Sans"/>
        <family val="2"/>
      </rPr>
      <t xml:space="preserve">＝ 本季營收 </t>
    </r>
    <r>
      <rPr>
        <sz val="10"/>
        <rFont val="Arial"/>
        <family val="0"/>
        <charset val="1"/>
      </rPr>
      <t xml:space="preserve">÷ </t>
    </r>
    <r>
      <rPr>
        <sz val="10"/>
        <rFont val="DejaVu Sans"/>
        <family val="2"/>
      </rPr>
      <t xml:space="preserve">上一季營收 − </t>
    </r>
    <r>
      <rPr>
        <sz val="10"/>
        <rFont val="Arial"/>
        <family val="0"/>
        <charset val="1"/>
      </rPr>
      <t xml:space="preserve">1</t>
    </r>
    <r>
      <rPr>
        <sz val="10"/>
        <rFont val="DejaVu Sans"/>
        <family val="2"/>
      </rPr>
      <t xml:space="preserve">。</t>
    </r>
  </si>
  <si>
    <r>
      <rPr>
        <sz val="10"/>
        <rFont val="DejaVu Sans"/>
        <family val="2"/>
      </rPr>
      <t xml:space="preserve">加速度</t>
    </r>
    <r>
      <rPr>
        <sz val="10"/>
        <rFont val="Arial"/>
        <family val="0"/>
        <charset val="1"/>
      </rPr>
      <t xml:space="preserve">(pp) </t>
    </r>
    <r>
      <rPr>
        <sz val="10"/>
        <rFont val="DejaVu Sans"/>
        <family val="2"/>
      </rPr>
      <t xml:space="preserve">＝ 本季</t>
    </r>
    <r>
      <rPr>
        <sz val="10"/>
        <rFont val="Arial"/>
        <family val="0"/>
        <charset val="1"/>
      </rPr>
      <t xml:space="preserve">QoQ − </t>
    </r>
    <r>
      <rPr>
        <sz val="10"/>
        <rFont val="DejaVu Sans"/>
        <family val="2"/>
      </rPr>
      <t xml:space="preserve">上一季</t>
    </r>
    <r>
      <rPr>
        <sz val="10"/>
        <rFont val="Arial"/>
        <family val="0"/>
        <charset val="1"/>
      </rPr>
      <t xml:space="preserve">QoQ</t>
    </r>
    <r>
      <rPr>
        <sz val="10"/>
        <rFont val="DejaVu Sans"/>
        <family val="2"/>
      </rPr>
      <t xml:space="preserve">。字面上就是「這季成長率有沒有比上季快」。</t>
    </r>
  </si>
  <si>
    <r>
      <rPr>
        <sz val="10"/>
        <rFont val="DejaVu Sans"/>
        <family val="2"/>
      </rPr>
      <t xml:space="preserve">但這一欄會被季節性主宰：旺季 </t>
    </r>
    <r>
      <rPr>
        <sz val="10"/>
        <rFont val="Arial"/>
        <family val="0"/>
        <charset val="1"/>
      </rPr>
      <t xml:space="preserve">QoQ </t>
    </r>
    <r>
      <rPr>
        <sz val="10"/>
        <rFont val="DejaVu Sans"/>
        <family val="2"/>
      </rPr>
      <t xml:space="preserve">天生高、淡季天生低，每年在同一季重複同樣的震盪。</t>
    </r>
  </si>
  <si>
    <r>
      <rPr>
        <sz val="10"/>
        <rFont val="DejaVu Sans"/>
        <family val="2"/>
      </rPr>
      <t xml:space="preserve">同期加速度</t>
    </r>
    <r>
      <rPr>
        <sz val="10"/>
        <rFont val="Arial"/>
        <family val="0"/>
        <charset val="1"/>
      </rPr>
      <t xml:space="preserve">(pp) </t>
    </r>
    <r>
      <rPr>
        <sz val="10"/>
        <rFont val="DejaVu Sans"/>
        <family val="2"/>
      </rPr>
      <t xml:space="preserve">＝ 本季</t>
    </r>
    <r>
      <rPr>
        <sz val="10"/>
        <rFont val="Arial"/>
        <family val="0"/>
        <charset val="1"/>
      </rPr>
      <t xml:space="preserve">QoQ − </t>
    </r>
    <r>
      <rPr>
        <sz val="10"/>
        <rFont val="DejaVu Sans"/>
        <family val="2"/>
      </rPr>
      <t xml:space="preserve">去年同一財季的</t>
    </r>
    <r>
      <rPr>
        <sz val="10"/>
        <rFont val="Arial"/>
        <family val="0"/>
        <charset val="1"/>
      </rPr>
      <t xml:space="preserve">QoQ</t>
    </r>
    <r>
      <rPr>
        <sz val="10"/>
        <rFont val="DejaVu Sans"/>
        <family val="2"/>
      </rPr>
      <t xml:space="preserve">。一樣在比季度成長率，但基準換成</t>
    </r>
  </si>
  <si>
    <t xml:space="preserve">去年同一季，季節性自動抵消。實務上這一欄才有訊號，建議以它為主、加速度當參考。</t>
  </si>
  <si>
    <t xml:space="preserve">年度層刻意不放加速度：一年才一個點，訊號遲鈍到失去意義。</t>
  </si>
  <si>
    <t xml:space="preserve">口徑</t>
  </si>
  <si>
    <r>
      <rPr>
        <sz val="10"/>
        <rFont val="Arial"/>
        <family val="0"/>
        <charset val="1"/>
      </rPr>
      <t xml:space="preserve">EPS / PE / PEG / EPS</t>
    </r>
    <r>
      <rPr>
        <sz val="10"/>
        <rFont val="DejaVu Sans"/>
        <family val="2"/>
      </rPr>
      <t xml:space="preserve">成長 → </t>
    </r>
    <r>
      <rPr>
        <sz val="10"/>
        <rFont val="Arial"/>
        <family val="0"/>
        <charset val="1"/>
      </rPr>
      <t xml:space="preserve">Adjusted</t>
    </r>
    <r>
      <rPr>
        <sz val="10"/>
        <rFont val="DejaVu Sans"/>
        <family val="2"/>
      </rPr>
      <t xml:space="preserve">，與分析師預估和市場定價同口徑。</t>
    </r>
  </si>
  <si>
    <r>
      <rPr>
        <sz val="10"/>
        <rFont val="Arial"/>
        <family val="0"/>
        <charset val="1"/>
      </rPr>
      <t xml:space="preserve">ROE → </t>
    </r>
    <r>
      <rPr>
        <sz val="10"/>
        <rFont val="DejaVu Sans"/>
        <family val="2"/>
      </rPr>
      <t xml:space="preserve">分子用 </t>
    </r>
    <r>
      <rPr>
        <sz val="10"/>
        <rFont val="Arial"/>
        <family val="0"/>
        <charset val="1"/>
      </rPr>
      <t xml:space="preserve">adjusted EPS </t>
    </r>
    <r>
      <rPr>
        <sz val="10"/>
        <rFont val="DejaVu Sans"/>
        <family val="2"/>
      </rPr>
      <t xml:space="preserve">反推的淨利，分母用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股東權益（你選的口徑）。</t>
    </r>
  </si>
  <si>
    <r>
      <rPr>
        <sz val="10"/>
        <rFont val="DejaVu Sans"/>
        <family val="2"/>
      </rPr>
      <t xml:space="preserve">注意：這代表 </t>
    </r>
    <r>
      <rPr>
        <sz val="10"/>
        <rFont val="Arial"/>
        <family val="0"/>
        <charset val="1"/>
      </rPr>
      <t xml:space="preserve">ROE </t>
    </r>
    <r>
      <rPr>
        <sz val="10"/>
        <rFont val="DejaVu Sans"/>
        <family val="2"/>
      </rPr>
      <t xml:space="preserve">數字會與各大財經網站（多用 </t>
    </r>
    <r>
      <rPr>
        <sz val="10"/>
        <rFont val="Arial"/>
        <family val="0"/>
        <charset val="1"/>
      </rPr>
      <t xml:space="preserve">GAAP </t>
    </r>
    <r>
      <rPr>
        <sz val="10"/>
        <rFont val="DejaVu Sans"/>
        <family val="2"/>
      </rPr>
      <t xml:space="preserve">淨利）不同，這是刻意的。</t>
    </r>
  </si>
  <si>
    <t xml:space="preserve">顏色慣例</t>
  </si>
  <si>
    <t xml:space="preserve">藍字＝你手動輸入 ｜ 黑字＝公式 ｜ 綠字＝跨分頁連結 ｜ 黃底＝資料管線寫入區，請勿手改</t>
  </si>
  <si>
    <t xml:space="preserve">新增一檔股票</t>
  </si>
  <si>
    <r>
      <rPr>
        <sz val="10"/>
        <rFont val="Arial"/>
        <family val="0"/>
        <charset val="1"/>
      </rPr>
      <t xml:space="preserve">① Tickers </t>
    </r>
    <r>
      <rPr>
        <sz val="10"/>
        <rFont val="DejaVu Sans"/>
        <family val="2"/>
      </rPr>
      <t xml:space="preserve">第 </t>
    </r>
    <r>
      <rPr>
        <sz val="10"/>
        <rFont val="Arial"/>
        <family val="0"/>
        <charset val="1"/>
      </rPr>
      <t xml:space="preserve">2~21 </t>
    </r>
    <r>
      <rPr>
        <sz val="10"/>
        <rFont val="DejaVu Sans"/>
        <family val="2"/>
      </rPr>
      <t xml:space="preserve">列往下打一列 → ② 重跑資料管線 → ③ </t>
    </r>
    <r>
      <rPr>
        <sz val="10"/>
        <rFont val="Arial"/>
        <family val="0"/>
        <charset val="1"/>
      </rPr>
      <t xml:space="preserve">Excel </t>
    </r>
    <r>
      <rPr>
        <sz val="10"/>
        <rFont val="DejaVu Sans"/>
        <family val="2"/>
      </rPr>
      <t xml:space="preserve">按「資料 → 全部重新整理」</t>
    </r>
  </si>
  <si>
    <t xml:space="preserve">基本</t>
  </si>
  <si>
    <t xml:space="preserve">毛利率</t>
  </si>
  <si>
    <t xml:space="preserve">ROE</t>
  </si>
  <si>
    <t xml:space="preserve">成長</t>
  </si>
  <si>
    <t xml:space="preserve">預估</t>
  </si>
  <si>
    <t xml:space="preserve">估值</t>
  </si>
  <si>
    <t xml:space="preserve">殖利率</t>
  </si>
  <si>
    <t xml:space="preserve">參考</t>
  </si>
  <si>
    <t xml:space="preserve">Ticker</t>
  </si>
  <si>
    <t xml:space="preserve">公司</t>
  </si>
  <si>
    <t xml:space="preserve">等級</t>
  </si>
  <si>
    <t xml:space="preserve">股價</t>
  </si>
  <si>
    <r>
      <rPr>
        <b val="true"/>
        <sz val="10"/>
        <color rgb="FFFFFFFF"/>
        <rFont val="Arial"/>
        <family val="0"/>
        <charset val="1"/>
      </rPr>
      <t xml:space="preserve">5</t>
    </r>
    <r>
      <rPr>
        <b val="true"/>
        <sz val="10"/>
        <color rgb="FFFFFFFF"/>
        <rFont val="DejaVu Sans"/>
        <family val="2"/>
      </rPr>
      <t xml:space="preserve">年平均</t>
    </r>
  </si>
  <si>
    <t xml:space="preserve">ROE_TTM</t>
  </si>
  <si>
    <r>
      <rPr>
        <b val="true"/>
        <sz val="10"/>
        <color rgb="FFFFFFFF"/>
        <rFont val="Arial"/>
        <family val="0"/>
        <charset val="1"/>
      </rPr>
      <t xml:space="preserve">ROE_5</t>
    </r>
    <r>
      <rPr>
        <b val="true"/>
        <sz val="10"/>
        <color rgb="FFFFFFFF"/>
        <rFont val="DejaVu Sans"/>
        <family val="2"/>
      </rPr>
      <t xml:space="preserve">年平均</t>
    </r>
  </si>
  <si>
    <t xml:space="preserve">ROE Forward</t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</si>
  <si>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</t>
    </r>
  </si>
  <si>
    <r>
      <rPr>
        <b val="true"/>
        <sz val="10"/>
        <color rgb="FFFFFFFF"/>
        <rFont val="DejaVu Sans"/>
        <family val="2"/>
      </rPr>
      <t xml:space="preserve">加速度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</si>
  <si>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動能判讀</t>
  </si>
  <si>
    <r>
      <rPr>
        <b val="true"/>
        <sz val="10"/>
        <color rgb="FFFFFFFF"/>
        <rFont val="DejaVu Sans"/>
        <family val="2"/>
      </rPr>
      <t xml:space="preserve">同期成長率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</si>
  <si>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當季</t>
    </r>
    <r>
      <rPr>
        <b val="true"/>
        <sz val="10"/>
        <color rgb="FFFFFFFF"/>
        <rFont val="Arial"/>
        <family val="0"/>
        <charset val="1"/>
      </rPr>
      <t xml:space="preserve">EPS</t>
    </r>
    <r>
      <rPr>
        <b val="true"/>
        <sz val="10"/>
        <color rgb="FFFFFFFF"/>
        <rFont val="DejaVu Sans"/>
        <family val="2"/>
      </rPr>
      <t xml:space="preserve">預估</t>
    </r>
  </si>
  <si>
    <t xml:space="preserve">PE_TTM</t>
  </si>
  <si>
    <t xml:space="preserve">PE Forward</t>
  </si>
  <si>
    <t xml:space="preserve">PEG_T</t>
  </si>
  <si>
    <t xml:space="preserve">PEG_F</t>
  </si>
  <si>
    <r>
      <rPr>
        <b val="true"/>
        <sz val="10"/>
        <color rgb="FFFFFFFF"/>
        <rFont val="DejaVu Sans"/>
        <family val="2"/>
      </rPr>
      <t xml:space="preserve">配息</t>
    </r>
    <r>
      <rPr>
        <b val="true"/>
        <sz val="10"/>
        <color rgb="FFFFFFFF"/>
        <rFont val="Arial"/>
        <family val="0"/>
        <charset val="1"/>
      </rPr>
      <t xml:space="preserve">YoY</t>
    </r>
  </si>
  <si>
    <t xml:space="preserve">預估期別</t>
  </si>
  <si>
    <t xml:space="preserve">來源</t>
  </si>
  <si>
    <t xml:space="preserve">下次財報</t>
  </si>
  <si>
    <r>
      <rPr>
        <i val="true"/>
        <sz val="9"/>
        <color rgb="FF808080"/>
        <rFont val="DejaVu Sans"/>
        <family val="2"/>
      </rPr>
      <t xml:space="preserve">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最新季 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上一季 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。</t>
    </r>
    <r>
      <rPr>
        <i val="true"/>
        <sz val="9"/>
        <color rgb="FF808080"/>
        <rFont val="Arial"/>
        <family val="0"/>
        <charset val="1"/>
      </rPr>
      <t xml:space="preserve">QoQ </t>
    </r>
    <r>
      <rPr>
        <i val="true"/>
        <sz val="9"/>
        <color rgb="FF808080"/>
        <rFont val="DejaVu Sans"/>
        <family val="2"/>
      </rPr>
      <t xml:space="preserve">＝ 本季營收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DejaVu Sans"/>
        <family val="2"/>
      </rPr>
      <t xml:space="preserve">上一季營收 −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（季度成長率）。正值代表這一季的成長速度比上一季快。</t>
    </r>
  </si>
  <si>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顯示 </t>
    </r>
    <r>
      <rPr>
        <i val="true"/>
        <sz val="9"/>
        <color rgb="FF808080"/>
        <rFont val="Arial"/>
        <family val="0"/>
        <charset val="1"/>
      </rPr>
      <t xml:space="preserve">N/M </t>
    </r>
    <r>
      <rPr>
        <i val="true"/>
        <sz val="9"/>
        <color rgb="FF808080"/>
        <rFont val="DejaVu Sans"/>
        <family val="2"/>
      </rPr>
      <t xml:space="preserve">代表股東權益為負（大量庫藏股或累積虧損），此時 </t>
    </r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沒有比較意義。殖利率顯示「不配息」代表該檔近四季沒有配息紀錄。</t>
    </r>
  </si>
  <si>
    <r>
      <rPr>
        <i val="true"/>
        <sz val="9"/>
        <color rgb="FF808080"/>
        <rFont val="DejaVu Sans"/>
        <family val="2"/>
      </rPr>
      <t xml:space="preserve">資料來源：</t>
    </r>
    <r>
      <rPr>
        <i val="true"/>
        <sz val="9"/>
        <color rgb="FF808080"/>
        <rFont val="Arial"/>
        <family val="0"/>
        <charset val="1"/>
      </rPr>
      <t xml:space="preserve">yfinance / yahooquery / Alpha Vantage / SEC EDGAR</t>
    </r>
  </si>
  <si>
    <t xml:space="preserve">個股卡</t>
  </si>
  <si>
    <t xml:space="preserve">選擇股票 →</t>
  </si>
  <si>
    <t xml:space="preserve">2330</t>
  </si>
  <si>
    <t xml:space="preserve">← 這個下拉同時驅動「年度檢視」與「季度檢視」兩頁</t>
  </si>
  <si>
    <t xml:space="preserve">分析師家數</t>
  </si>
  <si>
    <t xml:space="preserve">下次財報日</t>
  </si>
  <si>
    <t xml:space="preserve">資料日期</t>
  </si>
  <si>
    <r>
      <rPr>
        <b val="true"/>
        <sz val="11"/>
        <color rgb="FFFFFFFF"/>
        <rFont val="DejaVu Sans"/>
        <family val="2"/>
      </rPr>
      <t xml:space="preserve">估值 </t>
    </r>
    <r>
      <rPr>
        <b val="true"/>
        <sz val="11"/>
        <color rgb="FFFFFFFF"/>
        <rFont val="Arial"/>
        <family val="0"/>
        <charset val="1"/>
      </rPr>
      <t xml:space="preserve">· </t>
    </r>
    <r>
      <rPr>
        <b val="true"/>
        <sz val="11"/>
        <color rgb="FFFFFFFF"/>
        <rFont val="DejaVu Sans"/>
        <family val="2"/>
      </rPr>
      <t xml:space="preserve">殖利率</t>
    </r>
  </si>
  <si>
    <r>
      <rPr>
        <b val="true"/>
        <sz val="11"/>
        <color rgb="FFFFFFFF"/>
        <rFont val="DejaVu Sans"/>
        <family val="2"/>
      </rPr>
      <t xml:space="preserve">毛利率 </t>
    </r>
    <r>
      <rPr>
        <b val="true"/>
        <sz val="11"/>
        <color rgb="FFFFFFFF"/>
        <rFont val="Arial"/>
        <family val="0"/>
        <charset val="1"/>
      </rPr>
      <t xml:space="preserve">· ROE</t>
    </r>
  </si>
  <si>
    <r>
      <rPr>
        <sz val="10"/>
        <rFont val="DejaVu Sans"/>
        <family val="2"/>
      </rPr>
      <t xml:space="preserve">營收</t>
    </r>
    <r>
      <rPr>
        <sz val="10"/>
        <rFont val="Arial"/>
        <family val="0"/>
        <charset val="1"/>
      </rPr>
      <t xml:space="preserve">QoQ </t>
    </r>
    <r>
      <rPr>
        <sz val="10"/>
        <rFont val="DejaVu Sans"/>
        <family val="2"/>
      </rPr>
      <t xml:space="preserve">最新季</t>
    </r>
  </si>
  <si>
    <r>
      <rPr>
        <sz val="10"/>
        <rFont val="DejaVu Sans"/>
        <family val="2"/>
      </rPr>
      <t xml:space="preserve">毛利率</t>
    </r>
    <r>
      <rPr>
        <sz val="10"/>
        <rFont val="Arial"/>
        <family val="0"/>
        <charset val="1"/>
      </rPr>
      <t xml:space="preserve">_TTM</t>
    </r>
  </si>
  <si>
    <r>
      <rPr>
        <sz val="10"/>
        <rFont val="DejaVu Sans"/>
        <family val="2"/>
      </rPr>
      <t xml:space="preserve">  上一季 </t>
    </r>
    <r>
      <rPr>
        <sz val="10"/>
        <rFont val="Arial"/>
        <family val="0"/>
        <charset val="1"/>
      </rPr>
      <t xml:space="preserve">QoQ</t>
    </r>
  </si>
  <si>
    <r>
      <rPr>
        <sz val="10"/>
        <rFont val="Arial"/>
        <family val="0"/>
        <charset val="1"/>
      </rPr>
      <t xml:space="preserve">  5 </t>
    </r>
    <r>
      <rPr>
        <sz val="10"/>
        <rFont val="DejaVu Sans"/>
        <family val="2"/>
      </rPr>
      <t xml:space="preserve">年平均</t>
    </r>
  </si>
  <si>
    <r>
      <rPr>
        <sz val="10"/>
        <rFont val="DejaVu Sans"/>
        <family val="2"/>
      </rPr>
      <t xml:space="preserve">  加速度 </t>
    </r>
    <r>
      <rPr>
        <sz val="10"/>
        <rFont val="Arial"/>
        <family val="0"/>
        <charset val="1"/>
      </rPr>
      <t xml:space="preserve">(pp)</t>
    </r>
  </si>
  <si>
    <r>
      <rPr>
        <sz val="10"/>
        <rFont val="DejaVu Sans"/>
        <family val="2"/>
      </rPr>
      <t xml:space="preserve">  差距 </t>
    </r>
    <r>
      <rPr>
        <sz val="10"/>
        <rFont val="Arial"/>
        <family val="0"/>
        <charset val="1"/>
      </rPr>
      <t xml:space="preserve">(bps)</t>
    </r>
  </si>
  <si>
    <t xml:space="preserve">  動能判讀</t>
  </si>
  <si>
    <t xml:space="preserve">  ΔGM_YoY (bps)</t>
  </si>
  <si>
    <t xml:space="preserve">EPS_TTM (Adj)</t>
  </si>
  <si>
    <r>
      <rPr>
        <sz val="10"/>
        <rFont val="DejaVu Sans"/>
        <family val="2"/>
      </rPr>
      <t xml:space="preserve">  同期加速度 </t>
    </r>
    <r>
      <rPr>
        <sz val="10"/>
        <rFont val="Arial"/>
        <family val="0"/>
        <charset val="1"/>
      </rPr>
      <t xml:space="preserve">(pp)</t>
    </r>
  </si>
  <si>
    <t xml:space="preserve">EPS Forward</t>
  </si>
  <si>
    <r>
      <rPr>
        <sz val="10"/>
        <rFont val="DejaVu Sans"/>
        <family val="2"/>
      </rPr>
      <t xml:space="preserve">營收</t>
    </r>
    <r>
      <rPr>
        <sz val="10"/>
        <rFont val="Arial"/>
        <family val="0"/>
        <charset val="1"/>
      </rPr>
      <t xml:space="preserve">YoY </t>
    </r>
    <r>
      <rPr>
        <sz val="10"/>
        <rFont val="DejaVu Sans"/>
        <family val="2"/>
      </rPr>
      <t xml:space="preserve">最新季</t>
    </r>
  </si>
  <si>
    <r>
      <rPr>
        <sz val="10"/>
        <rFont val="Arial"/>
        <family val="0"/>
        <charset val="1"/>
      </rPr>
      <t xml:space="preserve">EPS_YoY </t>
    </r>
    <r>
      <rPr>
        <sz val="10"/>
        <rFont val="DejaVu Sans"/>
        <family val="2"/>
      </rPr>
      <t xml:space="preserve">最新季</t>
    </r>
  </si>
  <si>
    <r>
      <rPr>
        <sz val="10"/>
        <rFont val="DejaVu Sans"/>
        <family val="2"/>
      </rPr>
      <t xml:space="preserve">每股配息 </t>
    </r>
    <r>
      <rPr>
        <sz val="10"/>
        <rFont val="Arial"/>
        <family val="0"/>
        <charset val="1"/>
      </rPr>
      <t xml:space="preserve">TTM</t>
    </r>
  </si>
  <si>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成長</t>
    </r>
    <r>
      <rPr>
        <sz val="10"/>
        <rFont val="Arial"/>
        <family val="0"/>
        <charset val="1"/>
      </rPr>
      <t xml:space="preserve">_F (F1→F2)</t>
    </r>
  </si>
  <si>
    <t xml:space="preserve">每股淨值</t>
  </si>
  <si>
    <r>
      <rPr>
        <sz val="10"/>
        <rFont val="DejaVu Sans"/>
        <family val="2"/>
      </rPr>
      <t xml:space="preserve">當季</t>
    </r>
    <r>
      <rPr>
        <sz val="10"/>
        <rFont val="Arial"/>
        <family val="0"/>
        <charset val="1"/>
      </rPr>
      <t xml:space="preserve">EPS</t>
    </r>
    <r>
      <rPr>
        <sz val="10"/>
        <rFont val="DejaVu Sans"/>
        <family val="2"/>
      </rPr>
      <t xml:space="preserve">預估</t>
    </r>
  </si>
  <si>
    <t xml:space="preserve">旗標</t>
  </si>
  <si>
    <r>
      <rPr>
        <b val="true"/>
        <sz val="14"/>
        <color rgb="FF1F3864"/>
        <rFont val="DejaVu Sans"/>
        <family val="2"/>
      </rPr>
      <t xml:space="preserve">年度檢視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近六財年逐年指標</t>
    </r>
  </si>
  <si>
    <t xml:space="preserve">股票</t>
  </si>
  <si>
    <r>
      <rPr>
        <i val="true"/>
        <sz val="9"/>
        <color rgb="FF808080"/>
        <rFont val="DejaVu Sans"/>
        <family val="2"/>
      </rPr>
      <t xml:space="preserve">← 在 </t>
    </r>
    <r>
      <rPr>
        <i val="true"/>
        <sz val="9"/>
        <color rgb="FF808080"/>
        <rFont val="Arial"/>
        <family val="0"/>
        <charset val="1"/>
      </rPr>
      <t xml:space="preserve">Stock_Card </t>
    </r>
    <r>
      <rPr>
        <i val="true"/>
        <sz val="9"/>
        <color rgb="FF808080"/>
        <rFont val="DejaVu Sans"/>
        <family val="2"/>
      </rPr>
      <t xml:space="preserve">換股票，這一頁與「季度檢視」同步。每一列＝一個完整財年，全部由 </t>
    </r>
    <r>
      <rPr>
        <i val="true"/>
        <sz val="9"/>
        <color rgb="FF808080"/>
        <rFont val="Arial"/>
        <family val="0"/>
        <charset val="1"/>
      </rPr>
      <t xml:space="preserve">Raw_Q </t>
    </r>
    <r>
      <rPr>
        <i val="true"/>
        <sz val="9"/>
        <color rgb="FF808080"/>
        <rFont val="DejaVu Sans"/>
        <family val="2"/>
      </rPr>
      <t xml:space="preserve">的季度資料 </t>
    </r>
    <r>
      <rPr>
        <i val="true"/>
        <sz val="9"/>
        <color rgb="FF808080"/>
        <rFont val="Arial"/>
        <family val="0"/>
        <charset val="1"/>
      </rPr>
      <t xml:space="preserve">rollup </t>
    </r>
    <r>
      <rPr>
        <i val="true"/>
        <sz val="9"/>
        <color rgb="FF808080"/>
        <rFont val="DejaVu Sans"/>
        <family val="2"/>
      </rPr>
      <t xml:space="preserve">而來。</t>
    </r>
  </si>
  <si>
    <t xml:space="preserve">財年</t>
  </si>
  <si>
    <t xml:space="preserve">實際季數</t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</si>
  <si>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($M)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</si>
  <si>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YoY</t>
    </r>
  </si>
  <si>
    <r>
      <rPr>
        <b val="true"/>
        <sz val="10"/>
        <color rgb="FFFFFFFF"/>
        <rFont val="DejaVu Sans"/>
        <family val="2"/>
      </rPr>
      <t xml:space="preserve">毛利率變化</t>
    </r>
    <r>
      <rPr>
        <b val="true"/>
        <sz val="10"/>
        <color rgb="FFFFFFFF"/>
        <rFont val="Arial"/>
        <family val="0"/>
        <charset val="1"/>
      </rPr>
      <t xml:space="preserve">(bps)</t>
    </r>
  </si>
  <si>
    <t xml:space="preserve">EPS(Adj)</t>
  </si>
  <si>
    <t xml:space="preserve">EPS YoY</t>
  </si>
  <si>
    <t xml:space="preserve">每股配息</t>
  </si>
  <si>
    <t xml:space="preserve">年末股價</t>
  </si>
  <si>
    <t xml:space="preserve">PE</t>
  </si>
  <si>
    <r>
      <rPr>
        <i val="true"/>
        <sz val="9"/>
        <color rgb="FF808080"/>
        <rFont val="DejaVu Sans"/>
        <family val="2"/>
      </rPr>
      <t xml:space="preserve">↓ 以下兩列是「現況」，不是年度值。</t>
    </r>
    <r>
      <rPr>
        <i val="true"/>
        <sz val="9"/>
        <color rgb="FF808080"/>
        <rFont val="Arial"/>
        <family val="0"/>
        <charset val="1"/>
      </rPr>
      <t xml:space="preserve">F </t>
    </r>
    <r>
      <rPr>
        <i val="true"/>
        <sz val="9"/>
        <color rgb="FF808080"/>
        <rFont val="DejaVu Sans"/>
        <family val="2"/>
      </rPr>
      <t xml:space="preserve">欄在 </t>
    </r>
    <r>
      <rPr>
        <i val="true"/>
        <sz val="9"/>
        <color rgb="FF808080"/>
        <rFont val="Arial"/>
        <family val="0"/>
        <charset val="1"/>
      </rPr>
      <t xml:space="preserve">TTM </t>
    </r>
    <r>
      <rPr>
        <i val="true"/>
        <sz val="9"/>
        <color rgb="FF808080"/>
        <rFont val="DejaVu Sans"/>
        <family val="2"/>
      </rPr>
      <t xml:space="preserve">列是「最新毛利率 − </t>
    </r>
    <r>
      <rPr>
        <i val="true"/>
        <sz val="9"/>
        <color rgb="FF808080"/>
        <rFont val="Arial"/>
        <family val="0"/>
        <charset val="1"/>
      </rPr>
      <t xml:space="preserve">5 </t>
    </r>
    <r>
      <rPr>
        <i val="true"/>
        <sz val="9"/>
        <color rgb="FF808080"/>
        <rFont val="DejaVu Sans"/>
        <family val="2"/>
      </rPr>
      <t xml:space="preserve">年平均」。</t>
    </r>
  </si>
  <si>
    <r>
      <rPr>
        <b val="true"/>
        <sz val="11"/>
        <color rgb="FF1F3864"/>
        <rFont val="Arial"/>
        <family val="0"/>
        <charset val="1"/>
      </rPr>
      <t xml:space="preserve">TTM / </t>
    </r>
    <r>
      <rPr>
        <b val="true"/>
        <sz val="11"/>
        <color rgb="FF1F3864"/>
        <rFont val="DejaVu Sans"/>
        <family val="2"/>
      </rPr>
      <t xml:space="preserve">最新季</t>
    </r>
  </si>
  <si>
    <r>
      <rPr>
        <b val="true"/>
        <sz val="11"/>
        <color rgb="FF1F3864"/>
        <rFont val="Arial"/>
        <family val="0"/>
        <charset val="1"/>
      </rPr>
      <t xml:space="preserve">Forward</t>
    </r>
    <r>
      <rPr>
        <b val="true"/>
        <sz val="11"/>
        <color rgb="FF1F3864"/>
        <rFont val="DejaVu Sans"/>
        <family val="2"/>
      </rPr>
      <t xml:space="preserve">（分析師共識）</t>
    </r>
  </si>
  <si>
    <t xml:space="preserve">近五年摘要</t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</si>
  <si>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年平均毛利率</t>
    </r>
  </si>
  <si>
    <t xml:space="preserve">五個完整財年的算術平均</t>
  </si>
  <si>
    <r>
      <rPr>
        <sz val="10"/>
        <rFont val="DejaVu Sans"/>
        <family val="2"/>
      </rPr>
      <t xml:space="preserve">最新毛利率 − </t>
    </r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 </t>
    </r>
    <r>
      <rPr>
        <sz val="10"/>
        <rFont val="Arial"/>
        <family val="0"/>
        <charset val="1"/>
      </rPr>
      <t xml:space="preserve">(bps)</t>
    </r>
  </si>
  <si>
    <t xml:space="preserve">正值＝目前毛利率高於五年常態</t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</si>
  <si>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 </t>
    </r>
    <r>
      <rPr>
        <sz val="10"/>
        <rFont val="Arial"/>
        <family val="0"/>
        <charset val="1"/>
      </rPr>
      <t xml:space="preserve">ROE</t>
    </r>
  </si>
  <si>
    <r>
      <rPr>
        <i val="true"/>
        <sz val="9"/>
        <color rgb="FF808080"/>
        <rFont val="Arial"/>
        <family val="0"/>
        <charset val="1"/>
      </rPr>
      <t xml:space="preserve">N/M </t>
    </r>
    <r>
      <rPr>
        <i val="true"/>
        <sz val="9"/>
        <color rgb="FF808080"/>
        <rFont val="DejaVu Sans"/>
        <family val="2"/>
      </rPr>
      <t xml:space="preserve">的年度會被自動略過</t>
    </r>
  </si>
  <si>
    <r>
      <rPr>
        <sz val="10"/>
        <rFont val="Arial"/>
        <family val="0"/>
        <charset val="1"/>
      </rPr>
      <t xml:space="preserve">5 </t>
    </r>
    <r>
      <rPr>
        <sz val="10"/>
        <rFont val="DejaVu Sans"/>
        <family val="2"/>
      </rPr>
      <t xml:space="preserve">年平均殖利率</t>
    </r>
  </si>
  <si>
    <t xml:space="preserve">以各財年年末股價計算</t>
  </si>
  <si>
    <r>
      <rPr>
        <i val="true"/>
        <sz val="9"/>
        <color rgb="FF808080"/>
        <rFont val="Arial"/>
        <family val="0"/>
        <charset val="1"/>
      </rPr>
      <t xml:space="preserve">PE </t>
    </r>
    <r>
      <rPr>
        <i val="true"/>
        <sz val="9"/>
        <color rgb="FF808080"/>
        <rFont val="DejaVu Sans"/>
        <family val="2"/>
      </rPr>
      <t xml:space="preserve">與殖利率都用「該財年年末股價」計算，不是用今天的股價除歷史數字——後者沒有估值意義。這需要 </t>
    </r>
    <r>
      <rPr>
        <i val="true"/>
        <sz val="9"/>
        <color rgb="FF808080"/>
        <rFont val="Arial"/>
        <family val="0"/>
        <charset val="1"/>
      </rPr>
      <t xml:space="preserve">Raw_Q </t>
    </r>
    <r>
      <rPr>
        <i val="true"/>
        <sz val="9"/>
        <color rgb="FF808080"/>
        <rFont val="DejaVu Sans"/>
        <family val="2"/>
      </rPr>
      <t xml:space="preserve">的 </t>
    </r>
    <r>
      <rPr>
        <i val="true"/>
        <sz val="9"/>
        <color rgb="FF808080"/>
        <rFont val="Arial"/>
        <family val="0"/>
        <charset val="1"/>
      </rPr>
      <t xml:space="preserve">price_at_end </t>
    </r>
    <r>
      <rPr>
        <i val="true"/>
        <sz val="9"/>
        <color rgb="FF808080"/>
        <rFont val="DejaVu Sans"/>
        <family val="2"/>
      </rPr>
      <t xml:space="preserve">欄。</t>
    </r>
  </si>
  <si>
    <r>
      <rPr>
        <i val="true"/>
        <sz val="9"/>
        <color rgb="FF808080"/>
        <rFont val="Arial"/>
        <family val="0"/>
        <charset val="1"/>
      </rPr>
      <t xml:space="preserve">PEG_T </t>
    </r>
    <r>
      <rPr>
        <i val="true"/>
        <sz val="9"/>
        <color rgb="FF808080"/>
        <rFont val="DejaVu Sans"/>
        <family val="2"/>
      </rPr>
      <t xml:space="preserve">＝ 當年 </t>
    </r>
    <r>
      <rPr>
        <i val="true"/>
        <sz val="9"/>
        <color rgb="FF808080"/>
        <rFont val="Arial"/>
        <family val="0"/>
        <charset val="1"/>
      </rPr>
      <t xml:space="preserve">PE ÷ </t>
    </r>
    <r>
      <rPr>
        <i val="true"/>
        <sz val="9"/>
        <color rgb="FF808080"/>
        <rFont val="DejaVu Sans"/>
        <family val="2"/>
      </rPr>
      <t xml:space="preserve">當年 </t>
    </r>
    <r>
      <rPr>
        <i val="true"/>
        <sz val="9"/>
        <color rgb="FF808080"/>
        <rFont val="Arial"/>
        <family val="0"/>
        <charset val="1"/>
      </rPr>
      <t xml:space="preserve">EPS </t>
    </r>
    <r>
      <rPr>
        <i val="true"/>
        <sz val="9"/>
        <color rgb="FF808080"/>
        <rFont val="DejaVu Sans"/>
        <family val="2"/>
      </rPr>
      <t xml:space="preserve">成長率，是「市場當時為已實現成長付了多少」；</t>
    </r>
    <r>
      <rPr>
        <i val="true"/>
        <sz val="9"/>
        <color rgb="FF808080"/>
        <rFont val="Arial"/>
        <family val="0"/>
        <charset val="1"/>
      </rPr>
      <t xml:space="preserve">PEG_F </t>
    </r>
    <r>
      <rPr>
        <i val="true"/>
        <sz val="9"/>
        <color rgb="FF808080"/>
        <rFont val="DejaVu Sans"/>
        <family val="2"/>
      </rPr>
      <t xml:space="preserve">＝ 前瞻 </t>
    </r>
    <r>
      <rPr>
        <i val="true"/>
        <sz val="9"/>
        <color rgb="FF808080"/>
        <rFont val="Arial"/>
        <family val="0"/>
        <charset val="1"/>
      </rPr>
      <t xml:space="preserve">PE ÷ </t>
    </r>
    <r>
      <rPr>
        <i val="true"/>
        <sz val="9"/>
        <color rgb="FF808080"/>
        <rFont val="DejaVu Sans"/>
        <family val="2"/>
      </rPr>
      <t xml:space="preserve">預估成長率，才是估值指標。兩者不要混著解讀。</t>
    </r>
  </si>
  <si>
    <t xml:space="preserve">年度層刻意不放加速度——加速度是季度層的訊號（這一季有沒有比上一季快），放在年度層會遲鈍到失去意義。</t>
  </si>
  <si>
    <r>
      <rPr>
        <b val="true"/>
        <sz val="14"/>
        <color rgb="FF1F3864"/>
        <rFont val="DejaVu Sans"/>
        <family val="2"/>
      </rPr>
      <t xml:space="preserve">季度檢視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近 </t>
    </r>
    <r>
      <rPr>
        <b val="true"/>
        <sz val="14"/>
        <color rgb="FF1F3864"/>
        <rFont val="Arial"/>
        <family val="0"/>
        <charset val="1"/>
      </rPr>
      <t xml:space="preserve">12 </t>
    </r>
    <r>
      <rPr>
        <b val="true"/>
        <sz val="14"/>
        <color rgb="FF1F3864"/>
        <rFont val="DejaVu Sans"/>
        <family val="2"/>
      </rPr>
      <t xml:space="preserve">季 </t>
    </r>
    <r>
      <rPr>
        <b val="true"/>
        <sz val="14"/>
        <color rgb="FF1F3864"/>
        <rFont val="Arial"/>
        <family val="0"/>
        <charset val="1"/>
      </rPr>
      <t xml:space="preserve">+ </t>
    </r>
    <r>
      <rPr>
        <b val="true"/>
        <sz val="14"/>
        <color rgb="FF1F3864"/>
        <rFont val="DejaVu Sans"/>
        <family val="2"/>
      </rPr>
      <t xml:space="preserve">當季預估</t>
    </r>
  </si>
  <si>
    <r>
      <rPr>
        <i val="true"/>
        <sz val="9"/>
        <color rgb="FF808080"/>
        <rFont val="DejaVu Sans"/>
        <family val="2"/>
      </rPr>
      <t xml:space="preserve">← 與 </t>
    </r>
    <r>
      <rPr>
        <i val="true"/>
        <sz val="9"/>
        <color rgb="FF808080"/>
        <rFont val="Arial"/>
        <family val="0"/>
        <charset val="1"/>
      </rPr>
      <t xml:space="preserve">Stock_Card / </t>
    </r>
    <r>
      <rPr>
        <i val="true"/>
        <sz val="9"/>
        <color rgb="FF808080"/>
        <rFont val="DejaVu Sans"/>
        <family val="2"/>
      </rPr>
      <t xml:space="preserve">年度檢視 同步。每一列＝一個財季。加速度只做在這一層。</t>
    </r>
  </si>
  <si>
    <t xml:space="preserve">期別</t>
  </si>
  <si>
    <t xml:space="preserve">期末日</t>
  </si>
  <si>
    <r>
      <rPr>
        <b val="true"/>
        <sz val="10"/>
        <color rgb="FFFFFFFF"/>
        <rFont val="DejaVu Sans"/>
        <family val="2"/>
      </rPr>
      <t xml:space="preserve">上一季</t>
    </r>
    <r>
      <rPr>
        <b val="true"/>
        <sz val="10"/>
        <color rgb="FFFFFFFF"/>
        <rFont val="Arial"/>
        <family val="0"/>
        <charset val="1"/>
      </rPr>
      <t xml:space="preserve">QoQ</t>
    </r>
  </si>
  <si>
    <r>
      <rPr>
        <b val="true"/>
        <sz val="10"/>
        <color rgb="FFFFFFFF"/>
        <rFont val="DejaVu Sans"/>
        <family val="2"/>
      </rPr>
      <t xml:space="preserve">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</si>
  <si>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同期加速度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</si>
  <si>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t xml:space="preserve">ΔGM_YoY(bps)</t>
  </si>
  <si>
    <t xml:space="preserve">狀態</t>
  </si>
  <si>
    <r>
      <rPr>
        <i val="true"/>
        <sz val="9"/>
        <color rgb="FF808080"/>
        <rFont val="DejaVu Sans"/>
        <family val="2"/>
      </rPr>
      <t xml:space="preserve">營收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（季度成長率）＝ 本季營收 </t>
    </r>
    <r>
      <rPr>
        <i val="true"/>
        <sz val="9"/>
        <color rgb="FF808080"/>
        <rFont val="Arial"/>
        <family val="0"/>
        <charset val="1"/>
      </rPr>
      <t xml:space="preserve">÷ </t>
    </r>
    <r>
      <rPr>
        <i val="true"/>
        <sz val="9"/>
        <color rgb="FF808080"/>
        <rFont val="DejaVu Sans"/>
        <family val="2"/>
      </rPr>
      <t xml:space="preserve">上一季營收 − </t>
    </r>
    <r>
      <rPr>
        <i val="true"/>
        <sz val="9"/>
        <color rgb="FF808080"/>
        <rFont val="Arial"/>
        <family val="0"/>
        <charset val="1"/>
      </rPr>
      <t xml:space="preserve">1</t>
    </r>
    <r>
      <rPr>
        <i val="true"/>
        <sz val="9"/>
        <color rgb="FF808080"/>
        <rFont val="DejaVu Sans"/>
        <family val="2"/>
      </rPr>
      <t xml:space="preserve">。加速度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本季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上一季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。注意：加速度是「成長率的變化」，不是營收的變化——營收在衰退但衰退幅度縮小時，加速度一樣是正的。「動能判讀」欄就是為了讓正負號不再誤導。</t>
    </r>
  </si>
  <si>
    <r>
      <rPr>
        <i val="true"/>
        <sz val="9"/>
        <color rgb="FF808080"/>
        <rFont val="DejaVu Sans"/>
        <family val="2"/>
      </rPr>
      <t xml:space="preserve">⚠ 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會被季節性主宰：旺季那一季 </t>
    </r>
    <r>
      <rPr>
        <i val="true"/>
        <sz val="9"/>
        <color rgb="FF808080"/>
        <rFont val="Arial"/>
        <family val="0"/>
        <charset val="1"/>
      </rPr>
      <t xml:space="preserve">QoQ </t>
    </r>
    <r>
      <rPr>
        <i val="true"/>
        <sz val="9"/>
        <color rgb="FF808080"/>
        <rFont val="DejaVu Sans"/>
        <family val="2"/>
      </rPr>
      <t xml:space="preserve">天生就高、淡季天生就低，所以這一欄每年會在同一季出現同樣的大幅震盪，那是季節性不是動能。同期加速度</t>
    </r>
    <r>
      <rPr>
        <i val="true"/>
        <sz val="9"/>
        <color rgb="FF808080"/>
        <rFont val="Arial"/>
        <family val="0"/>
        <charset val="1"/>
      </rPr>
      <t xml:space="preserve">(pp) </t>
    </r>
    <r>
      <rPr>
        <i val="true"/>
        <sz val="9"/>
        <color rgb="FF808080"/>
        <rFont val="DejaVu Sans"/>
        <family val="2"/>
      </rPr>
      <t xml:space="preserve">＝ 本季</t>
    </r>
    <r>
      <rPr>
        <i val="true"/>
        <sz val="9"/>
        <color rgb="FF808080"/>
        <rFont val="Arial"/>
        <family val="0"/>
        <charset val="1"/>
      </rPr>
      <t xml:space="preserve">QoQ − </t>
    </r>
    <r>
      <rPr>
        <i val="true"/>
        <sz val="9"/>
        <color rgb="FF808080"/>
        <rFont val="DejaVu Sans"/>
        <family val="2"/>
      </rPr>
      <t xml:space="preserve">去年同一財季的</t>
    </r>
    <r>
      <rPr>
        <i val="true"/>
        <sz val="9"/>
        <color rgb="FF808080"/>
        <rFont val="Arial"/>
        <family val="0"/>
        <charset val="1"/>
      </rPr>
      <t xml:space="preserve">QoQ</t>
    </r>
    <r>
      <rPr>
        <i val="true"/>
        <sz val="9"/>
        <color rgb="FF808080"/>
        <rFont val="DejaVu Sans"/>
        <family val="2"/>
      </rPr>
      <t xml:space="preserve">：一樣是在比「季度成長率」，但拿去年同一季當基準，季節性自動抵消，剩下的才是真正的動能變化。最後一列黃底＝當季預估。</t>
    </r>
  </si>
  <si>
    <t xml:space="preserve">以下兩張矩陣同一欄＝同一個財季。長條排列會把旺季誤讀成成長，排成矩陣才看得出季節性與真實趨勢。黃底斜體＝當季預估。</t>
  </si>
  <si>
    <r>
      <rPr>
        <b val="true"/>
        <sz val="11"/>
        <color rgb="FF1F3864"/>
        <rFont val="Arial"/>
        <family val="0"/>
        <charset val="1"/>
      </rPr>
      <t xml:space="preserve">EPS (Adjusted)  ·  </t>
    </r>
    <r>
      <rPr>
        <b val="true"/>
        <sz val="11"/>
        <color rgb="FF1F3864"/>
        <rFont val="DejaVu Sans"/>
        <family val="2"/>
      </rPr>
      <t xml:space="preserve">年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DejaVu Sans"/>
        <family val="2"/>
      </rPr>
      <t xml:space="preserve">季矩陣</t>
    </r>
  </si>
  <si>
    <t xml:space="preserve">Q1</t>
  </si>
  <si>
    <t xml:space="preserve">Q2</t>
  </si>
  <si>
    <t xml:space="preserve">Q3</t>
  </si>
  <si>
    <t xml:space="preserve">Q4</t>
  </si>
  <si>
    <r>
      <rPr>
        <b val="true"/>
        <sz val="10"/>
        <color rgb="FFFFFFFF"/>
        <rFont val="Arial"/>
        <family val="0"/>
        <charset val="1"/>
      </rPr>
      <t xml:space="preserve">FY </t>
    </r>
    <r>
      <rPr>
        <b val="true"/>
        <sz val="10"/>
        <color rgb="FFFFFFFF"/>
        <rFont val="DejaVu Sans"/>
        <family val="2"/>
      </rPr>
      <t xml:space="preserve">合計</t>
    </r>
  </si>
  <si>
    <t xml:space="preserve">FY YoY</t>
  </si>
  <si>
    <t xml:space="preserve">↓ 這張就是「每季營收成長率」，季節可比。</t>
  </si>
  <si>
    <r>
      <rPr>
        <b val="true"/>
        <sz val="11"/>
        <color rgb="FF1F3864"/>
        <rFont val="DejaVu Sans"/>
        <family val="2"/>
      </rPr>
      <t xml:space="preserve">營收 </t>
    </r>
    <r>
      <rPr>
        <b val="true"/>
        <sz val="11"/>
        <color rgb="FF1F3864"/>
        <rFont val="Arial"/>
        <family val="0"/>
        <charset val="1"/>
      </rPr>
      <t xml:space="preserve">YoY </t>
    </r>
    <r>
      <rPr>
        <b val="true"/>
        <sz val="11"/>
        <color rgb="FF1F3864"/>
        <rFont val="DejaVu Sans"/>
        <family val="2"/>
      </rPr>
      <t xml:space="preserve">成長率  </t>
    </r>
    <r>
      <rPr>
        <b val="true"/>
        <sz val="11"/>
        <color rgb="FF1F3864"/>
        <rFont val="Arial"/>
        <family val="0"/>
        <charset val="1"/>
      </rPr>
      <t xml:space="preserve">·  </t>
    </r>
    <r>
      <rPr>
        <b val="true"/>
        <sz val="11"/>
        <color rgb="FF1F3864"/>
        <rFont val="DejaVu Sans"/>
        <family val="2"/>
      </rPr>
      <t xml:space="preserve">年 </t>
    </r>
    <r>
      <rPr>
        <b val="true"/>
        <sz val="11"/>
        <color rgb="FF1F3864"/>
        <rFont val="Arial"/>
        <family val="0"/>
        <charset val="1"/>
      </rPr>
      <t xml:space="preserve">× </t>
    </r>
    <r>
      <rPr>
        <b val="true"/>
        <sz val="11"/>
        <color rgb="FF1F3864"/>
        <rFont val="DejaVu Sans"/>
        <family val="2"/>
      </rPr>
      <t xml:space="preserve">季矩陣</t>
    </r>
  </si>
  <si>
    <r>
      <rPr>
        <b val="true"/>
        <sz val="14"/>
        <color rgb="FF1F3864"/>
        <rFont val="DejaVu Sans"/>
        <family val="2"/>
      </rPr>
      <t xml:space="preserve">月營收檢視  </t>
    </r>
    <r>
      <rPr>
        <b val="true"/>
        <sz val="14"/>
        <color rgb="FF1F3864"/>
        <rFont val="Arial"/>
        <family val="0"/>
        <charset val="1"/>
      </rPr>
      <t xml:space="preserve">·  </t>
    </r>
    <r>
      <rPr>
        <b val="true"/>
        <sz val="14"/>
        <color rgb="FF1F3864"/>
        <rFont val="DejaVu Sans"/>
        <family val="2"/>
      </rPr>
      <t xml:space="preserve">近 </t>
    </r>
    <r>
      <rPr>
        <b val="true"/>
        <sz val="14"/>
        <color rgb="FF1F3864"/>
        <rFont val="Arial"/>
        <family val="0"/>
        <charset val="1"/>
      </rPr>
      <t xml:space="preserve">18 </t>
    </r>
    <r>
      <rPr>
        <b val="true"/>
        <sz val="14"/>
        <color rgb="FF1F3864"/>
        <rFont val="DejaVu Sans"/>
        <family val="2"/>
      </rPr>
      <t xml:space="preserve">個月</t>
    </r>
  </si>
  <si>
    <r>
      <rPr>
        <i val="true"/>
        <sz val="9"/>
        <color rgb="FF808080"/>
        <rFont val="DejaVu Sans"/>
        <family val="2"/>
      </rPr>
      <t xml:space="preserve">← 與 </t>
    </r>
    <r>
      <rPr>
        <i val="true"/>
        <sz val="9"/>
        <color rgb="FF808080"/>
        <rFont val="Arial"/>
        <family val="0"/>
        <charset val="1"/>
      </rPr>
      <t xml:space="preserve">Stock_Card </t>
    </r>
    <r>
      <rPr>
        <i val="true"/>
        <sz val="9"/>
        <color rgb="FF808080"/>
        <rFont val="DejaVu Sans"/>
        <family val="2"/>
      </rPr>
      <t xml:space="preserve">同步。台股每月 </t>
    </r>
    <r>
      <rPr>
        <i val="true"/>
        <sz val="9"/>
        <color rgb="FF808080"/>
        <rFont val="Arial"/>
        <family val="0"/>
        <charset val="1"/>
      </rPr>
      <t xml:space="preserve">10 </t>
    </r>
    <r>
      <rPr>
        <i val="true"/>
        <sz val="9"/>
        <color rgb="FF808080"/>
        <rFont val="DejaVu Sans"/>
        <family val="2"/>
      </rPr>
      <t xml:space="preserve">日前公布上月營收，比季報早兩三個月透露轉折。</t>
    </r>
  </si>
  <si>
    <t xml:space="preserve">月份</t>
  </si>
  <si>
    <r>
      <rPr>
        <b val="true"/>
        <sz val="10"/>
        <color rgb="FFFFFFFF"/>
        <rFont val="DejaVu Sans"/>
        <family val="2"/>
      </rPr>
      <t xml:space="preserve">月營收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</si>
  <si>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月增率</t>
  </si>
  <si>
    <r>
      <rPr>
        <b val="true"/>
        <sz val="10"/>
        <color rgb="FFFFFFFF"/>
        <rFont val="DejaVu Sans"/>
        <family val="2"/>
      </rPr>
      <t xml:space="preserve">月增加速度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</si>
  <si>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月增加速度</t>
    </r>
    <r>
      <rPr>
        <b val="true"/>
        <sz val="10"/>
        <color rgb="FFFFFFFF"/>
        <rFont val="Arial"/>
        <family val="0"/>
        <charset val="1"/>
      </rPr>
      <t xml:space="preserve">(%)</t>
    </r>
  </si>
  <si>
    <t xml:space="preserve">年增率</t>
  </si>
  <si>
    <r>
      <rPr>
        <b val="true"/>
        <sz val="10"/>
        <color rgb="FFFFFFFF"/>
        <rFont val="DejaVu Sans"/>
        <family val="2"/>
      </rPr>
      <t xml:space="preserve">年增加速度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</si>
  <si>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年增加速度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</si>
  <si>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DejaVu Sans"/>
        <family val="2"/>
      </rPr>
      <t xml:space="preserve">累計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</si>
  <si>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累計年增率</t>
  </si>
  <si>
    <r>
      <rPr>
        <i val="true"/>
        <sz val="9"/>
        <color rgb="FF808080"/>
        <rFont val="DejaVu Sans"/>
        <family val="2"/>
      </rPr>
      <t xml:space="preserve">年增加速度是主要看的那個（年增率已排除季節性），動能判讀就是依它算的。月增加速度對急單與突發斷鏈最敏感、早一步，但帶季節性 —— 每年 </t>
    </r>
    <r>
      <rPr>
        <i val="true"/>
        <sz val="9"/>
        <color rgb="FF808080"/>
        <rFont val="Arial"/>
        <family val="0"/>
        <charset val="1"/>
      </rPr>
      <t xml:space="preserve">2 </t>
    </r>
    <r>
      <rPr>
        <i val="true"/>
        <sz val="9"/>
        <color rgb="FF808080"/>
        <rFont val="DejaVu Sans"/>
        <family val="2"/>
      </rPr>
      <t xml:space="preserve">月工作天少必掉、</t>
    </r>
    <r>
      <rPr>
        <i val="true"/>
        <sz val="9"/>
        <color rgb="FF808080"/>
        <rFont val="Arial"/>
        <family val="0"/>
        <charset val="1"/>
      </rPr>
      <t xml:space="preserve">3 </t>
    </r>
    <r>
      <rPr>
        <i val="true"/>
        <sz val="9"/>
        <color rgb="FF808080"/>
        <rFont val="DejaVu Sans"/>
        <family val="2"/>
      </rPr>
      <t xml:space="preserve">月必彈，要跟去年同月比才有意義。</t>
    </r>
  </si>
  <si>
    <t xml:space="preserve">資料完整度儀表板</t>
  </si>
  <si>
    <t xml:space="preserve">ticker</t>
  </si>
  <si>
    <t xml:space="preserve">目標</t>
  </si>
  <si>
    <t xml:space="preserve">最舊季</t>
  </si>
  <si>
    <t xml:space="preserve">最新實際季</t>
  </si>
  <si>
    <t xml:space="preserve">當季預估期別</t>
  </si>
  <si>
    <r>
      <rPr>
        <b val="true"/>
        <sz val="10"/>
        <color rgb="FFFFFFFF"/>
        <rFont val="DejaVu Sans"/>
        <family val="2"/>
      </rPr>
      <t xml:space="preserve">距財報</t>
    </r>
    <r>
      <rPr>
        <b val="true"/>
        <sz val="10"/>
        <color rgb="FFFFFFFF"/>
        <rFont val="Arial"/>
        <family val="0"/>
        <charset val="1"/>
      </rPr>
      <t xml:space="preserve">(</t>
    </r>
    <r>
      <rPr>
        <b val="true"/>
        <sz val="10"/>
        <color rgb="FFFFFFFF"/>
        <rFont val="DejaVu Sans"/>
        <family val="2"/>
      </rPr>
      <t xml:space="preserve">天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</si>
  <si>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狀態欄告訴資料管線該做什麼：需補歷史 → 只抓缺的那幾季；待更新財報 → 只抓最新 </t>
    </r>
    <r>
      <rPr>
        <i val="true"/>
        <sz val="9"/>
        <color rgb="FF808080"/>
        <rFont val="Arial"/>
        <family val="0"/>
        <charset val="1"/>
      </rPr>
      <t xml:space="preserve">1~2 </t>
    </r>
    <r>
      <rPr>
        <i val="true"/>
        <sz val="9"/>
        <color rgb="FF808080"/>
        <rFont val="DejaVu Sans"/>
        <family val="2"/>
      </rPr>
      <t xml:space="preserve">季；</t>
    </r>
    <r>
      <rPr>
        <i val="true"/>
        <sz val="9"/>
        <color rgb="FF808080"/>
        <rFont val="Arial"/>
        <family val="0"/>
        <charset val="1"/>
      </rPr>
      <t xml:space="preserve">OK → </t>
    </r>
    <r>
      <rPr>
        <i val="true"/>
        <sz val="9"/>
        <color rgb="FF808080"/>
        <rFont val="DejaVu Sans"/>
        <family val="2"/>
      </rPr>
      <t xml:space="preserve">整檔跳過季度 </t>
    </r>
    <r>
      <rPr>
        <i val="true"/>
        <sz val="9"/>
        <color rgb="FF808080"/>
        <rFont val="Arial"/>
        <family val="0"/>
        <charset val="1"/>
      </rPr>
      <t xml:space="preserve">API</t>
    </r>
    <r>
      <rPr>
        <i val="true"/>
        <sz val="9"/>
        <color rgb="FF808080"/>
        <rFont val="DejaVu Sans"/>
        <family val="2"/>
      </rPr>
      <t xml:space="preserve">。這是增量更新省下絕大部分請求的關鍵。</t>
    </r>
  </si>
  <si>
    <t xml:space="preserve">公司名稱</t>
  </si>
  <si>
    <t xml:space="preserve">產業</t>
  </si>
  <si>
    <t xml:space="preserve">標籤</t>
  </si>
  <si>
    <t xml:space="preserve">加入日期</t>
  </si>
  <si>
    <t xml:space="preserve">備註</t>
  </si>
  <si>
    <t xml:space="preserve">台積電</t>
  </si>
  <si>
    <t xml:space="preserve">半導體業</t>
  </si>
  <si>
    <t xml:space="preserve">核心</t>
  </si>
  <si>
    <t xml:space="preserve">2408</t>
  </si>
  <si>
    <t xml:space="preserve">南亞科</t>
  </si>
  <si>
    <t xml:space="preserve">DRAM</t>
  </si>
  <si>
    <r>
      <rPr>
        <sz val="10"/>
        <color rgb="FF0000FF"/>
        <rFont val="DejaVu Sans"/>
        <family val="2"/>
      </rPr>
      <t xml:space="preserve">週期性強，虧損季會讓 </t>
    </r>
    <r>
      <rPr>
        <sz val="10"/>
        <color rgb="FF0000FF"/>
        <rFont val="Arial"/>
        <family val="0"/>
        <charset val="1"/>
      </rPr>
      <t xml:space="preserve">PEG </t>
    </r>
    <r>
      <rPr>
        <sz val="10"/>
        <color rgb="FF0000FF"/>
        <rFont val="DejaVu Sans"/>
        <family val="2"/>
      </rPr>
      <t xml:space="preserve">顯示 </t>
    </r>
    <r>
      <rPr>
        <sz val="10"/>
        <color rgb="FF0000FF"/>
        <rFont val="Arial"/>
        <family val="0"/>
        <charset val="1"/>
      </rPr>
      <t xml:space="preserve">N/M</t>
    </r>
  </si>
  <si>
    <t xml:space="preserve">5289</t>
  </si>
  <si>
    <t xml:space="preserve">宜鼎</t>
  </si>
  <si>
    <t xml:space="preserve">電腦及週邊設備業</t>
  </si>
  <si>
    <t xml:space="preserve">觀察</t>
  </si>
  <si>
    <t xml:space="preserve">2455</t>
  </si>
  <si>
    <t xml:space="preserve">全新</t>
  </si>
  <si>
    <t xml:space="preserve">通信網路業</t>
  </si>
  <si>
    <t xml:space="preserve">池子</t>
  </si>
  <si>
    <t xml:space="preserve">CPO</t>
  </si>
  <si>
    <t xml:space="preserve">3034</t>
  </si>
  <si>
    <t xml:space="preserve">聯詠</t>
  </si>
  <si>
    <t xml:space="preserve">3665</t>
  </si>
  <si>
    <r>
      <rPr>
        <sz val="10"/>
        <color rgb="FF0000FF"/>
        <rFont val="DejaVu Sans"/>
        <family val="2"/>
      </rPr>
      <t xml:space="preserve">貿聯</t>
    </r>
    <r>
      <rPr>
        <sz val="10"/>
        <color rgb="FF0000FF"/>
        <rFont val="Arial"/>
        <family val="0"/>
        <charset val="1"/>
      </rPr>
      <t xml:space="preserve">-KY</t>
    </r>
  </si>
  <si>
    <t xml:space="preserve">其他電子業</t>
  </si>
  <si>
    <t xml:space="preserve">電纜</t>
  </si>
  <si>
    <t xml:space="preserve">5434</t>
  </si>
  <si>
    <t xml:space="preserve">崇越</t>
  </si>
  <si>
    <t xml:space="preserve">電子通路業</t>
  </si>
  <si>
    <r>
      <rPr>
        <sz val="10"/>
        <color rgb="FF0000FF"/>
        <rFont val="DejaVu Sans"/>
        <family val="2"/>
      </rPr>
      <t xml:space="preserve">基本面</t>
    </r>
    <r>
      <rPr>
        <sz val="10"/>
        <color rgb="FF0000FF"/>
        <rFont val="Arial"/>
        <family val="0"/>
        <charset val="1"/>
      </rPr>
      <t xml:space="preserve">NOTGOOD</t>
    </r>
  </si>
  <si>
    <t xml:space="preserve">2376</t>
  </si>
  <si>
    <t xml:space="preserve">技嘉</t>
  </si>
  <si>
    <t xml:space="preserve">電子工業</t>
  </si>
  <si>
    <t xml:space="preserve">2059</t>
  </si>
  <si>
    <t xml:space="preserve">川湖</t>
  </si>
  <si>
    <t xml:space="preserve">3081</t>
  </si>
  <si>
    <t xml:space="preserve">聯亞</t>
  </si>
  <si>
    <t xml:space="preserve">3163</t>
  </si>
  <si>
    <t xml:space="preserve">波若威</t>
  </si>
  <si>
    <r>
      <rPr>
        <sz val="10"/>
        <color rgb="FF0000FF"/>
        <rFont val="DejaVu Sans"/>
        <family val="2"/>
      </rPr>
      <t xml:space="preserve">基本面</t>
    </r>
    <r>
      <rPr>
        <sz val="10"/>
        <color rgb="FF0000FF"/>
        <rFont val="Arial"/>
        <family val="0"/>
        <charset val="1"/>
      </rPr>
      <t xml:space="preserve">not good</t>
    </r>
  </si>
  <si>
    <t xml:space="preserve">基本面普普</t>
  </si>
  <si>
    <t xml:space="preserve">3189</t>
  </si>
  <si>
    <t xml:space="preserve">景碩</t>
  </si>
  <si>
    <t xml:space="preserve">6442</t>
  </si>
  <si>
    <t xml:space="preserve">光聖</t>
  </si>
  <si>
    <t xml:space="preserve">2303</t>
  </si>
  <si>
    <t xml:space="preserve">聯電</t>
  </si>
  <si>
    <t xml:space="preserve">2454</t>
  </si>
  <si>
    <t xml:space="preserve">聯發科</t>
  </si>
  <si>
    <t xml:space="preserve">2465</t>
  </si>
  <si>
    <t xml:space="preserve">麗臺</t>
  </si>
  <si>
    <t xml:space="preserve">4938</t>
  </si>
  <si>
    <t xml:space="preserve">和碩</t>
  </si>
  <si>
    <t xml:space="preserve">8299</t>
  </si>
  <si>
    <t xml:space="preserve">群聯</t>
  </si>
  <si>
    <t xml:space="preserve">3105</t>
  </si>
  <si>
    <t xml:space="preserve">穩懋</t>
  </si>
  <si>
    <t xml:space="preserve">4979</t>
  </si>
  <si>
    <t xml:space="preserve">華星光</t>
  </si>
  <si>
    <t xml:space="preserve">3363</t>
  </si>
  <si>
    <t xml:space="preserve">上詮</t>
  </si>
  <si>
    <t xml:space="preserve">2344</t>
  </si>
  <si>
    <t xml:space="preserve">華邦電</t>
  </si>
  <si>
    <r>
      <rPr>
        <i val="true"/>
        <sz val="9"/>
        <color rgb="FF808080"/>
        <rFont val="DejaVu Sans"/>
        <family val="2"/>
      </rPr>
      <t xml:space="preserve">↑ 藍字＝手動輸入。新增股票就在第 </t>
    </r>
    <r>
      <rPr>
        <i val="true"/>
        <sz val="9"/>
        <color rgb="FF808080"/>
        <rFont val="Arial"/>
        <family val="0"/>
        <charset val="1"/>
      </rPr>
      <t xml:space="preserve">2~21 </t>
    </r>
    <r>
      <rPr>
        <i val="true"/>
        <sz val="9"/>
        <color rgb="FF808080"/>
        <rFont val="DejaVu Sans"/>
        <family val="2"/>
      </rPr>
      <t xml:space="preserve">列往下打一列，其餘分頁全自動延伸。</t>
    </r>
  </si>
  <si>
    <r>
      <rPr>
        <sz val="11"/>
        <color theme="1"/>
        <rFont val="DejaVu Sans"/>
        <family val="2"/>
      </rPr>
      <t xml:space="preserve">國巨</t>
    </r>
    <r>
      <rPr>
        <sz val="11"/>
        <color theme="1"/>
        <rFont val="Calibri"/>
        <family val="2"/>
        <charset val="1"/>
      </rPr>
      <t xml:space="preserve">*</t>
    </r>
  </si>
  <si>
    <t xml:space="preserve">電子零組件業</t>
  </si>
  <si>
    <t xml:space="preserve">3450</t>
  </si>
  <si>
    <t xml:space="preserve">聯鈞</t>
  </si>
  <si>
    <t xml:space="preserve">6830</t>
  </si>
  <si>
    <t xml:space="preserve">汎銓</t>
  </si>
  <si>
    <t xml:space="preserve">3443</t>
  </si>
  <si>
    <t xml:space="preserve">創意</t>
  </si>
  <si>
    <t xml:space="preserve">period</t>
  </si>
  <si>
    <t xml:space="preserve">fy</t>
  </si>
  <si>
    <t xml:space="preserve">fq</t>
  </si>
  <si>
    <t xml:space="preserve">period_end</t>
  </si>
  <si>
    <t xml:space="preserve">is_est</t>
  </si>
  <si>
    <t xml:space="preserve">est_source</t>
  </si>
  <si>
    <t xml:space="preserve">eps_basis</t>
  </si>
  <si>
    <r>
      <rPr>
        <b val="true"/>
        <sz val="10"/>
        <color rgb="FFFFFFFF"/>
        <rFont val="Arial"/>
        <family val="0"/>
        <charset val="1"/>
      </rPr>
      <t xml:space="preserve">revenue 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</si>
  <si>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gross_profit 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</si>
  <si>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net_income 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</si>
  <si>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eps_diluted_adj</t>
  </si>
  <si>
    <r>
      <rPr>
        <b val="true"/>
        <sz val="10"/>
        <color rgb="FFFFFFFF"/>
        <rFont val="Arial"/>
        <family val="0"/>
        <charset val="1"/>
      </rPr>
      <t xml:space="preserve">shares_diluted (</t>
    </r>
    <r>
      <rPr>
        <b val="true"/>
        <sz val="10"/>
        <color rgb="FFFFFFFF"/>
        <rFont val="DejaVu Sans"/>
        <family val="2"/>
      </rPr>
      <t xml:space="preserve">百萬股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</si>
  <si>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treasury_shares</t>
  </si>
  <si>
    <r>
      <rPr>
        <b val="true"/>
        <sz val="10"/>
        <color rgb="FFFFFFFF"/>
        <rFont val="Arial"/>
        <family val="0"/>
        <charset val="1"/>
      </rPr>
      <t xml:space="preserve">total_equity 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</si>
  <si>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r>
      <rPr>
        <b val="true"/>
        <sz val="10"/>
        <color rgb="FFFFFFFF"/>
        <rFont val="Arial"/>
        <family val="0"/>
        <charset val="1"/>
      </rPr>
      <t xml:space="preserve">dps (</t>
    </r>
    <r>
      <rPr>
        <b val="true"/>
        <sz val="10"/>
        <color rgb="FFFFFFFF"/>
        <rFont val="DejaVu Sans"/>
        <family val="2"/>
      </rPr>
      <t xml:space="preserve">每股配息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</si>
  <si>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price_at_end</t>
  </si>
  <si>
    <t xml:space="preserve">seq</t>
  </si>
  <si>
    <t xml:space="preserve">key</t>
  </si>
  <si>
    <t xml:space="preserve">FY2026Q3E</t>
  </si>
  <si>
    <t xml:space="preserve">Y</t>
  </si>
  <si>
    <t xml:space="preserve">consensus</t>
  </si>
  <si>
    <t xml:space="preserve">basic</t>
  </si>
  <si>
    <t xml:space="preserve">2059|0</t>
  </si>
  <si>
    <t xml:space="preserve">FY2026Q2</t>
  </si>
  <si>
    <t xml:space="preserve">N</t>
  </si>
  <si>
    <t xml:space="preserve">actual</t>
  </si>
  <si>
    <t xml:space="preserve">2059|1</t>
  </si>
  <si>
    <t xml:space="preserve">FY2026Q1</t>
  </si>
  <si>
    <t xml:space="preserve">2059|2</t>
  </si>
  <si>
    <t xml:space="preserve">FY2025Q4</t>
  </si>
  <si>
    <t xml:space="preserve">2059|3</t>
  </si>
  <si>
    <t xml:space="preserve">FY2025Q3</t>
  </si>
  <si>
    <t xml:space="preserve">2059|4</t>
  </si>
  <si>
    <t xml:space="preserve">FY2025Q2</t>
  </si>
  <si>
    <t xml:space="preserve">2059|5</t>
  </si>
  <si>
    <t xml:space="preserve">FY2025Q1</t>
  </si>
  <si>
    <t xml:space="preserve">2059|6</t>
  </si>
  <si>
    <t xml:space="preserve">FY2024Q4</t>
  </si>
  <si>
    <t xml:space="preserve">2059|7</t>
  </si>
  <si>
    <t xml:space="preserve">FY2024Q3</t>
  </si>
  <si>
    <t xml:space="preserve">2059|8</t>
  </si>
  <si>
    <t xml:space="preserve">FY2024Q2</t>
  </si>
  <si>
    <t xml:space="preserve">2059|9</t>
  </si>
  <si>
    <t xml:space="preserve">FY2024Q1</t>
  </si>
  <si>
    <t xml:space="preserve">2059|10</t>
  </si>
  <si>
    <t xml:space="preserve">FY2023Q4</t>
  </si>
  <si>
    <t xml:space="preserve">2059|11</t>
  </si>
  <si>
    <t xml:space="preserve">FY2023Q3</t>
  </si>
  <si>
    <t xml:space="preserve">2059|12</t>
  </si>
  <si>
    <t xml:space="preserve">FY2023Q2</t>
  </si>
  <si>
    <t xml:space="preserve">2059|13</t>
  </si>
  <si>
    <t xml:space="preserve">FY2023Q1</t>
  </si>
  <si>
    <t xml:space="preserve">2059|14</t>
  </si>
  <si>
    <t xml:space="preserve">FY2022Q4</t>
  </si>
  <si>
    <t xml:space="preserve">2059|15</t>
  </si>
  <si>
    <t xml:space="preserve">FY2022Q3</t>
  </si>
  <si>
    <t xml:space="preserve">2059|16</t>
  </si>
  <si>
    <t xml:space="preserve">FY2022Q2</t>
  </si>
  <si>
    <t xml:space="preserve">2059|17</t>
  </si>
  <si>
    <t xml:space="preserve">FY2022Q1</t>
  </si>
  <si>
    <t xml:space="preserve">2059|18</t>
  </si>
  <si>
    <t xml:space="preserve">FY2021Q4</t>
  </si>
  <si>
    <t xml:space="preserve">2059|19</t>
  </si>
  <si>
    <t xml:space="preserve">FY2021Q3</t>
  </si>
  <si>
    <t xml:space="preserve">2059|20</t>
  </si>
  <si>
    <t xml:space="preserve">FY2021Q2</t>
  </si>
  <si>
    <t xml:space="preserve">2059|21</t>
  </si>
  <si>
    <t xml:space="preserve">FY2021Q1</t>
  </si>
  <si>
    <t xml:space="preserve">2059|22</t>
  </si>
  <si>
    <t xml:space="preserve">FY2020Q4</t>
  </si>
  <si>
    <t xml:space="preserve">2059|23</t>
  </si>
  <si>
    <t xml:space="preserve">FY2020Q3</t>
  </si>
  <si>
    <t xml:space="preserve">2059|24</t>
  </si>
  <si>
    <t xml:space="preserve">2303|0</t>
  </si>
  <si>
    <t xml:space="preserve">2303|1</t>
  </si>
  <si>
    <t xml:space="preserve">2303|2</t>
  </si>
  <si>
    <t xml:space="preserve">2303|3</t>
  </si>
  <si>
    <t xml:space="preserve">2303|4</t>
  </si>
  <si>
    <t xml:space="preserve">2303|5</t>
  </si>
  <si>
    <t xml:space="preserve">2303|6</t>
  </si>
  <si>
    <t xml:space="preserve">2303|7</t>
  </si>
  <si>
    <t xml:space="preserve">2303|8</t>
  </si>
  <si>
    <t xml:space="preserve">2303|9</t>
  </si>
  <si>
    <t xml:space="preserve">2303|10</t>
  </si>
  <si>
    <t xml:space="preserve">2303|11</t>
  </si>
  <si>
    <t xml:space="preserve">2303|12</t>
  </si>
  <si>
    <t xml:space="preserve">2303|13</t>
  </si>
  <si>
    <t xml:space="preserve">2303|14</t>
  </si>
  <si>
    <t xml:space="preserve">2303|15</t>
  </si>
  <si>
    <t xml:space="preserve">2303|16</t>
  </si>
  <si>
    <t xml:space="preserve">2303|17</t>
  </si>
  <si>
    <t xml:space="preserve">2303|18</t>
  </si>
  <si>
    <t xml:space="preserve">2303|19</t>
  </si>
  <si>
    <t xml:space="preserve">2303|20</t>
  </si>
  <si>
    <t xml:space="preserve">2303|21</t>
  </si>
  <si>
    <t xml:space="preserve">2303|22</t>
  </si>
  <si>
    <t xml:space="preserve">2303|23</t>
  </si>
  <si>
    <t xml:space="preserve">2303|24</t>
  </si>
  <si>
    <t xml:space="preserve">2327</t>
  </si>
  <si>
    <t xml:space="preserve">2327|0</t>
  </si>
  <si>
    <t xml:space="preserve">2327|1</t>
  </si>
  <si>
    <t xml:space="preserve">2327|2</t>
  </si>
  <si>
    <t xml:space="preserve">2327|3</t>
  </si>
  <si>
    <t xml:space="preserve">2327|4</t>
  </si>
  <si>
    <t xml:space="preserve">2327|5</t>
  </si>
  <si>
    <t xml:space="preserve">2327|6</t>
  </si>
  <si>
    <t xml:space="preserve">2327|7</t>
  </si>
  <si>
    <t xml:space="preserve">2327|8</t>
  </si>
  <si>
    <t xml:space="preserve">2327|9</t>
  </si>
  <si>
    <t xml:space="preserve">2327|10</t>
  </si>
  <si>
    <t xml:space="preserve">2327|11</t>
  </si>
  <si>
    <t xml:space="preserve">2327|12</t>
  </si>
  <si>
    <t xml:space="preserve">2327|13</t>
  </si>
  <si>
    <t xml:space="preserve">2327|14</t>
  </si>
  <si>
    <t xml:space="preserve">2327|15</t>
  </si>
  <si>
    <t xml:space="preserve">2327|16</t>
  </si>
  <si>
    <t xml:space="preserve">2327|17</t>
  </si>
  <si>
    <t xml:space="preserve">2327|18</t>
  </si>
  <si>
    <t xml:space="preserve">2327|19</t>
  </si>
  <si>
    <t xml:space="preserve">2327|20</t>
  </si>
  <si>
    <t xml:space="preserve">2327|21</t>
  </si>
  <si>
    <t xml:space="preserve">2327|22</t>
  </si>
  <si>
    <t xml:space="preserve">2327|23</t>
  </si>
  <si>
    <t xml:space="preserve">2327|24</t>
  </si>
  <si>
    <t xml:space="preserve">2330|0</t>
  </si>
  <si>
    <t xml:space="preserve">2330|1</t>
  </si>
  <si>
    <t xml:space="preserve">2330|2</t>
  </si>
  <si>
    <t xml:space="preserve">2330|3</t>
  </si>
  <si>
    <t xml:space="preserve">2330|4</t>
  </si>
  <si>
    <t xml:space="preserve">2330|5</t>
  </si>
  <si>
    <t xml:space="preserve">2330|6</t>
  </si>
  <si>
    <t xml:space="preserve">2330|7</t>
  </si>
  <si>
    <t xml:space="preserve">2330|8</t>
  </si>
  <si>
    <t xml:space="preserve">2330|9</t>
  </si>
  <si>
    <t xml:space="preserve">2330|10</t>
  </si>
  <si>
    <t xml:space="preserve">2330|11</t>
  </si>
  <si>
    <t xml:space="preserve">2330|12</t>
  </si>
  <si>
    <t xml:space="preserve">2330|13</t>
  </si>
  <si>
    <t xml:space="preserve">2330|14</t>
  </si>
  <si>
    <t xml:space="preserve">2330|15</t>
  </si>
  <si>
    <t xml:space="preserve">2330|16</t>
  </si>
  <si>
    <t xml:space="preserve">2330|17</t>
  </si>
  <si>
    <t xml:space="preserve">2330|18</t>
  </si>
  <si>
    <t xml:space="preserve">2330|19</t>
  </si>
  <si>
    <t xml:space="preserve">2330|20</t>
  </si>
  <si>
    <t xml:space="preserve">2330|21</t>
  </si>
  <si>
    <t xml:space="preserve">2330|22</t>
  </si>
  <si>
    <t xml:space="preserve">2330|23</t>
  </si>
  <si>
    <t xml:space="preserve">2330|24</t>
  </si>
  <si>
    <t xml:space="preserve">2344|0</t>
  </si>
  <si>
    <t xml:space="preserve">2344|1</t>
  </si>
  <si>
    <t xml:space="preserve">2344|2</t>
  </si>
  <si>
    <t xml:space="preserve">2344|3</t>
  </si>
  <si>
    <t xml:space="preserve">2344|4</t>
  </si>
  <si>
    <t xml:space="preserve">2344|5</t>
  </si>
  <si>
    <t xml:space="preserve">2344|6</t>
  </si>
  <si>
    <t xml:space="preserve">2344|7</t>
  </si>
  <si>
    <t xml:space="preserve">2344|8</t>
  </si>
  <si>
    <t xml:space="preserve">2344|9</t>
  </si>
  <si>
    <t xml:space="preserve">2344|10</t>
  </si>
  <si>
    <t xml:space="preserve">2344|11</t>
  </si>
  <si>
    <t xml:space="preserve">2344|12</t>
  </si>
  <si>
    <t xml:space="preserve">2344|13</t>
  </si>
  <si>
    <t xml:space="preserve">2344|14</t>
  </si>
  <si>
    <t xml:space="preserve">2344|15</t>
  </si>
  <si>
    <t xml:space="preserve">2344|16</t>
  </si>
  <si>
    <t xml:space="preserve">2344|17</t>
  </si>
  <si>
    <t xml:space="preserve">2344|18</t>
  </si>
  <si>
    <t xml:space="preserve">2344|19</t>
  </si>
  <si>
    <t xml:space="preserve">2344|20</t>
  </si>
  <si>
    <t xml:space="preserve">2344|21</t>
  </si>
  <si>
    <t xml:space="preserve">2344|22</t>
  </si>
  <si>
    <t xml:space="preserve">2344|23</t>
  </si>
  <si>
    <t xml:space="preserve">2344|24</t>
  </si>
  <si>
    <t xml:space="preserve">2376|0</t>
  </si>
  <si>
    <t xml:space="preserve">2376|1</t>
  </si>
  <si>
    <t xml:space="preserve">2376|2</t>
  </si>
  <si>
    <t xml:space="preserve">2376|3</t>
  </si>
  <si>
    <t xml:space="preserve">2376|4</t>
  </si>
  <si>
    <t xml:space="preserve">2376|5</t>
  </si>
  <si>
    <t xml:space="preserve">2376|6</t>
  </si>
  <si>
    <t xml:space="preserve">2376|7</t>
  </si>
  <si>
    <t xml:space="preserve">2376|8</t>
  </si>
  <si>
    <t xml:space="preserve">2376|9</t>
  </si>
  <si>
    <t xml:space="preserve">2376|10</t>
  </si>
  <si>
    <t xml:space="preserve">2376|11</t>
  </si>
  <si>
    <t xml:space="preserve">2376|12</t>
  </si>
  <si>
    <t xml:space="preserve">2376|13</t>
  </si>
  <si>
    <t xml:space="preserve">2376|14</t>
  </si>
  <si>
    <t xml:space="preserve">2376|15</t>
  </si>
  <si>
    <t xml:space="preserve">2376|16</t>
  </si>
  <si>
    <t xml:space="preserve">2376|17</t>
  </si>
  <si>
    <t xml:space="preserve">2376|18</t>
  </si>
  <si>
    <t xml:space="preserve">2376|19</t>
  </si>
  <si>
    <t xml:space="preserve">2376|20</t>
  </si>
  <si>
    <t xml:space="preserve">2376|21</t>
  </si>
  <si>
    <t xml:space="preserve">2376|22</t>
  </si>
  <si>
    <t xml:space="preserve">2376|23</t>
  </si>
  <si>
    <t xml:space="preserve">2376|24</t>
  </si>
  <si>
    <t xml:space="preserve">2408|0</t>
  </si>
  <si>
    <t xml:space="preserve">2408|1</t>
  </si>
  <si>
    <t xml:space="preserve">2408|2</t>
  </si>
  <si>
    <t xml:space="preserve">2408|3</t>
  </si>
  <si>
    <t xml:space="preserve">2408|4</t>
  </si>
  <si>
    <t xml:space="preserve">2408|5</t>
  </si>
  <si>
    <t xml:space="preserve">2408|6</t>
  </si>
  <si>
    <t xml:space="preserve">2408|7</t>
  </si>
  <si>
    <t xml:space="preserve">2408|8</t>
  </si>
  <si>
    <t xml:space="preserve">2408|9</t>
  </si>
  <si>
    <t xml:space="preserve">2408|10</t>
  </si>
  <si>
    <t xml:space="preserve">2408|11</t>
  </si>
  <si>
    <t xml:space="preserve">2408|12</t>
  </si>
  <si>
    <t xml:space="preserve">2408|13</t>
  </si>
  <si>
    <t xml:space="preserve">2408|14</t>
  </si>
  <si>
    <t xml:space="preserve">2408|15</t>
  </si>
  <si>
    <t xml:space="preserve">2408|16</t>
  </si>
  <si>
    <t xml:space="preserve">2408|17</t>
  </si>
  <si>
    <t xml:space="preserve">2408|18</t>
  </si>
  <si>
    <t xml:space="preserve">2408|19</t>
  </si>
  <si>
    <t xml:space="preserve">2408|20</t>
  </si>
  <si>
    <t xml:space="preserve">2408|21</t>
  </si>
  <si>
    <t xml:space="preserve">2408|22</t>
  </si>
  <si>
    <t xml:space="preserve">2408|23</t>
  </si>
  <si>
    <t xml:space="preserve">2408|24</t>
  </si>
  <si>
    <t xml:space="preserve">2409</t>
  </si>
  <si>
    <t xml:space="preserve">2409|0</t>
  </si>
  <si>
    <t xml:space="preserve">2409|1</t>
  </si>
  <si>
    <t xml:space="preserve">2409|2</t>
  </si>
  <si>
    <t xml:space="preserve">2409|3</t>
  </si>
  <si>
    <t xml:space="preserve">2409|4</t>
  </si>
  <si>
    <t xml:space="preserve">2409|5</t>
  </si>
  <si>
    <t xml:space="preserve">2409|6</t>
  </si>
  <si>
    <t xml:space="preserve">2409|7</t>
  </si>
  <si>
    <t xml:space="preserve">2409|8</t>
  </si>
  <si>
    <t xml:space="preserve">2409|9</t>
  </si>
  <si>
    <t xml:space="preserve">2409|10</t>
  </si>
  <si>
    <t xml:space="preserve">2409|11</t>
  </si>
  <si>
    <t xml:space="preserve">2409|12</t>
  </si>
  <si>
    <t xml:space="preserve">2409|13</t>
  </si>
  <si>
    <t xml:space="preserve">2409|14</t>
  </si>
  <si>
    <t xml:space="preserve">2409|15</t>
  </si>
  <si>
    <t xml:space="preserve">2409|16</t>
  </si>
  <si>
    <t xml:space="preserve">2409|17</t>
  </si>
  <si>
    <t xml:space="preserve">2409|18</t>
  </si>
  <si>
    <t xml:space="preserve">2409|19</t>
  </si>
  <si>
    <t xml:space="preserve">2409|20</t>
  </si>
  <si>
    <t xml:space="preserve">2409|21</t>
  </si>
  <si>
    <t xml:space="preserve">2409|22</t>
  </si>
  <si>
    <t xml:space="preserve">2409|23</t>
  </si>
  <si>
    <t xml:space="preserve">2409|24</t>
  </si>
  <si>
    <t xml:space="preserve">2454|0</t>
  </si>
  <si>
    <t xml:space="preserve">2454|1</t>
  </si>
  <si>
    <t xml:space="preserve">2454|2</t>
  </si>
  <si>
    <t xml:space="preserve">2454|3</t>
  </si>
  <si>
    <t xml:space="preserve">2454|4</t>
  </si>
  <si>
    <t xml:space="preserve">2454|5</t>
  </si>
  <si>
    <t xml:space="preserve">2454|6</t>
  </si>
  <si>
    <t xml:space="preserve">2454|7</t>
  </si>
  <si>
    <t xml:space="preserve">2454|8</t>
  </si>
  <si>
    <t xml:space="preserve">2454|9</t>
  </si>
  <si>
    <t xml:space="preserve">2454|10</t>
  </si>
  <si>
    <t xml:space="preserve">2454|11</t>
  </si>
  <si>
    <t xml:space="preserve">2454|12</t>
  </si>
  <si>
    <t xml:space="preserve">2454|13</t>
  </si>
  <si>
    <t xml:space="preserve">2454|14</t>
  </si>
  <si>
    <t xml:space="preserve">2454|15</t>
  </si>
  <si>
    <t xml:space="preserve">2454|16</t>
  </si>
  <si>
    <t xml:space="preserve">2454|17</t>
  </si>
  <si>
    <t xml:space="preserve">2454|18</t>
  </si>
  <si>
    <t xml:space="preserve">2454|19</t>
  </si>
  <si>
    <t xml:space="preserve">2454|20</t>
  </si>
  <si>
    <t xml:space="preserve">2454|21</t>
  </si>
  <si>
    <t xml:space="preserve">2454|22</t>
  </si>
  <si>
    <t xml:space="preserve">2454|23</t>
  </si>
  <si>
    <t xml:space="preserve">2454|24</t>
  </si>
  <si>
    <t xml:space="preserve">2455|0</t>
  </si>
  <si>
    <t xml:space="preserve">2455|1</t>
  </si>
  <si>
    <t xml:space="preserve">2455|2</t>
  </si>
  <si>
    <t xml:space="preserve">2455|3</t>
  </si>
  <si>
    <t xml:space="preserve">2455|4</t>
  </si>
  <si>
    <t xml:space="preserve">2455|5</t>
  </si>
  <si>
    <t xml:space="preserve">2455|6</t>
  </si>
  <si>
    <t xml:space="preserve">2455|7</t>
  </si>
  <si>
    <t xml:space="preserve">2455|8</t>
  </si>
  <si>
    <t xml:space="preserve">2455|9</t>
  </si>
  <si>
    <t xml:space="preserve">2455|10</t>
  </si>
  <si>
    <t xml:space="preserve">2455|11</t>
  </si>
  <si>
    <t xml:space="preserve">2455|12</t>
  </si>
  <si>
    <t xml:space="preserve">2455|13</t>
  </si>
  <si>
    <t xml:space="preserve">2455|14</t>
  </si>
  <si>
    <t xml:space="preserve">2455|15</t>
  </si>
  <si>
    <t xml:space="preserve">2455|16</t>
  </si>
  <si>
    <t xml:space="preserve">2455|17</t>
  </si>
  <si>
    <t xml:space="preserve">2455|18</t>
  </si>
  <si>
    <t xml:space="preserve">2455|19</t>
  </si>
  <si>
    <t xml:space="preserve">2455|20</t>
  </si>
  <si>
    <t xml:space="preserve">2455|21</t>
  </si>
  <si>
    <t xml:space="preserve">2455|22</t>
  </si>
  <si>
    <t xml:space="preserve">2455|23</t>
  </si>
  <si>
    <t xml:space="preserve">2455|24</t>
  </si>
  <si>
    <t xml:space="preserve">2465|1</t>
  </si>
  <si>
    <t xml:space="preserve">2465|2</t>
  </si>
  <si>
    <t xml:space="preserve">2465|3</t>
  </si>
  <si>
    <t xml:space="preserve">2465|4</t>
  </si>
  <si>
    <t xml:space="preserve">2465|5</t>
  </si>
  <si>
    <t xml:space="preserve">2465|6</t>
  </si>
  <si>
    <t xml:space="preserve">2465|7</t>
  </si>
  <si>
    <t xml:space="preserve">2465|8</t>
  </si>
  <si>
    <t xml:space="preserve">2465|9</t>
  </si>
  <si>
    <t xml:space="preserve">2465|10</t>
  </si>
  <si>
    <t xml:space="preserve">2465|11</t>
  </si>
  <si>
    <t xml:space="preserve">2465|12</t>
  </si>
  <si>
    <t xml:space="preserve">2465|13</t>
  </si>
  <si>
    <t xml:space="preserve">2465|14</t>
  </si>
  <si>
    <t xml:space="preserve">2465|15</t>
  </si>
  <si>
    <t xml:space="preserve">2465|16</t>
  </si>
  <si>
    <t xml:space="preserve">2465|17</t>
  </si>
  <si>
    <t xml:space="preserve">2465|18</t>
  </si>
  <si>
    <t xml:space="preserve">2465|19</t>
  </si>
  <si>
    <t xml:space="preserve">2465|20</t>
  </si>
  <si>
    <t xml:space="preserve">2465|21</t>
  </si>
  <si>
    <t xml:space="preserve">2465|22</t>
  </si>
  <si>
    <t xml:space="preserve">2465|23</t>
  </si>
  <si>
    <t xml:space="preserve">2465|24</t>
  </si>
  <si>
    <t xml:space="preserve">3034|0</t>
  </si>
  <si>
    <t xml:space="preserve">3034|1</t>
  </si>
  <si>
    <t xml:space="preserve">3034|2</t>
  </si>
  <si>
    <t xml:space="preserve">3034|3</t>
  </si>
  <si>
    <t xml:space="preserve">3034|4</t>
  </si>
  <si>
    <t xml:space="preserve">3034|5</t>
  </si>
  <si>
    <t xml:space="preserve">3034|6</t>
  </si>
  <si>
    <t xml:space="preserve">3034|7</t>
  </si>
  <si>
    <t xml:space="preserve">3034|8</t>
  </si>
  <si>
    <t xml:space="preserve">3034|9</t>
  </si>
  <si>
    <t xml:space="preserve">3034|10</t>
  </si>
  <si>
    <t xml:space="preserve">3034|11</t>
  </si>
  <si>
    <t xml:space="preserve">3034|12</t>
  </si>
  <si>
    <t xml:space="preserve">3034|13</t>
  </si>
  <si>
    <t xml:space="preserve">3034|14</t>
  </si>
  <si>
    <t xml:space="preserve">3034|15</t>
  </si>
  <si>
    <t xml:space="preserve">3034|16</t>
  </si>
  <si>
    <t xml:space="preserve">3034|17</t>
  </si>
  <si>
    <t xml:space="preserve">3034|18</t>
  </si>
  <si>
    <t xml:space="preserve">3034|19</t>
  </si>
  <si>
    <t xml:space="preserve">3034|20</t>
  </si>
  <si>
    <t xml:space="preserve">3034|21</t>
  </si>
  <si>
    <t xml:space="preserve">3034|22</t>
  </si>
  <si>
    <t xml:space="preserve">3034|23</t>
  </si>
  <si>
    <t xml:space="preserve">3034|24</t>
  </si>
  <si>
    <t xml:space="preserve">3081|0</t>
  </si>
  <si>
    <t xml:space="preserve">3081|1</t>
  </si>
  <si>
    <t xml:space="preserve">3081|2</t>
  </si>
  <si>
    <t xml:space="preserve">3081|3</t>
  </si>
  <si>
    <t xml:space="preserve">3081|4</t>
  </si>
  <si>
    <t xml:space="preserve">3081|5</t>
  </si>
  <si>
    <t xml:space="preserve">3081|6</t>
  </si>
  <si>
    <t xml:space="preserve">3081|7</t>
  </si>
  <si>
    <t xml:space="preserve">3081|8</t>
  </si>
  <si>
    <t xml:space="preserve">3081|9</t>
  </si>
  <si>
    <t xml:space="preserve">3081|10</t>
  </si>
  <si>
    <t xml:space="preserve">3081|11</t>
  </si>
  <si>
    <t xml:space="preserve">3081|12</t>
  </si>
  <si>
    <t xml:space="preserve">3081|13</t>
  </si>
  <si>
    <t xml:space="preserve">3081|14</t>
  </si>
  <si>
    <t xml:space="preserve">3081|15</t>
  </si>
  <si>
    <t xml:space="preserve">3081|16</t>
  </si>
  <si>
    <t xml:space="preserve">3081|17</t>
  </si>
  <si>
    <t xml:space="preserve">3081|18</t>
  </si>
  <si>
    <t xml:space="preserve">3081|19</t>
  </si>
  <si>
    <t xml:space="preserve">3081|20</t>
  </si>
  <si>
    <t xml:space="preserve">3081|21</t>
  </si>
  <si>
    <t xml:space="preserve">3081|22</t>
  </si>
  <si>
    <t xml:space="preserve">3081|23</t>
  </si>
  <si>
    <t xml:space="preserve">3081|24</t>
  </si>
  <si>
    <t xml:space="preserve">3105|0</t>
  </si>
  <si>
    <t xml:space="preserve">3105|1</t>
  </si>
  <si>
    <t xml:space="preserve">3105|2</t>
  </si>
  <si>
    <t xml:space="preserve">3105|3</t>
  </si>
  <si>
    <t xml:space="preserve">3105|4</t>
  </si>
  <si>
    <t xml:space="preserve">3105|5</t>
  </si>
  <si>
    <t xml:space="preserve">3105|6</t>
  </si>
  <si>
    <t xml:space="preserve">3105|7</t>
  </si>
  <si>
    <t xml:space="preserve">3105|8</t>
  </si>
  <si>
    <t xml:space="preserve">3105|9</t>
  </si>
  <si>
    <t xml:space="preserve">3105|10</t>
  </si>
  <si>
    <t xml:space="preserve">3105|11</t>
  </si>
  <si>
    <t xml:space="preserve">3105|12</t>
  </si>
  <si>
    <t xml:space="preserve">3105|13</t>
  </si>
  <si>
    <t xml:space="preserve">3105|14</t>
  </si>
  <si>
    <t xml:space="preserve">3105|15</t>
  </si>
  <si>
    <t xml:space="preserve">3105|16</t>
  </si>
  <si>
    <t xml:space="preserve">3105|17</t>
  </si>
  <si>
    <t xml:space="preserve">3105|18</t>
  </si>
  <si>
    <t xml:space="preserve">3105|19</t>
  </si>
  <si>
    <t xml:space="preserve">3105|20</t>
  </si>
  <si>
    <t xml:space="preserve">3105|21</t>
  </si>
  <si>
    <t xml:space="preserve">3105|22</t>
  </si>
  <si>
    <t xml:space="preserve">3105|23</t>
  </si>
  <si>
    <t xml:space="preserve">3105|24</t>
  </si>
  <si>
    <t xml:space="preserve">3163|1</t>
  </si>
  <si>
    <t xml:space="preserve">3163|2</t>
  </si>
  <si>
    <t xml:space="preserve">3163|3</t>
  </si>
  <si>
    <t xml:space="preserve">3163|4</t>
  </si>
  <si>
    <t xml:space="preserve">3163|5</t>
  </si>
  <si>
    <t xml:space="preserve">3163|6</t>
  </si>
  <si>
    <t xml:space="preserve">3163|7</t>
  </si>
  <si>
    <t xml:space="preserve">3163|8</t>
  </si>
  <si>
    <t xml:space="preserve">3163|9</t>
  </si>
  <si>
    <t xml:space="preserve">3163|10</t>
  </si>
  <si>
    <t xml:space="preserve">3163|11</t>
  </si>
  <si>
    <t xml:space="preserve">3163|12</t>
  </si>
  <si>
    <t xml:space="preserve">3163|13</t>
  </si>
  <si>
    <t xml:space="preserve">3163|14</t>
  </si>
  <si>
    <t xml:space="preserve">3163|15</t>
  </si>
  <si>
    <t xml:space="preserve">3163|16</t>
  </si>
  <si>
    <t xml:space="preserve">3163|17</t>
  </si>
  <si>
    <t xml:space="preserve">3163|18</t>
  </si>
  <si>
    <t xml:space="preserve">3163|19</t>
  </si>
  <si>
    <t xml:space="preserve">3163|20</t>
  </si>
  <si>
    <t xml:space="preserve">3163|21</t>
  </si>
  <si>
    <t xml:space="preserve">3163|22</t>
  </si>
  <si>
    <t xml:space="preserve">3163|23</t>
  </si>
  <si>
    <t xml:space="preserve">3163|24</t>
  </si>
  <si>
    <t xml:space="preserve">3189|0</t>
  </si>
  <si>
    <t xml:space="preserve">3189|1</t>
  </si>
  <si>
    <t xml:space="preserve">3189|2</t>
  </si>
  <si>
    <t xml:space="preserve">3189|3</t>
  </si>
  <si>
    <t xml:space="preserve">3189|4</t>
  </si>
  <si>
    <t xml:space="preserve">3189|5</t>
  </si>
  <si>
    <t xml:space="preserve">3189|6</t>
  </si>
  <si>
    <t xml:space="preserve">3189|7</t>
  </si>
  <si>
    <t xml:space="preserve">3189|8</t>
  </si>
  <si>
    <t xml:space="preserve">3189|9</t>
  </si>
  <si>
    <t xml:space="preserve">3189|10</t>
  </si>
  <si>
    <t xml:space="preserve">3189|11</t>
  </si>
  <si>
    <t xml:space="preserve">3189|12</t>
  </si>
  <si>
    <t xml:space="preserve">3189|13</t>
  </si>
  <si>
    <t xml:space="preserve">3189|14</t>
  </si>
  <si>
    <t xml:space="preserve">3189|15</t>
  </si>
  <si>
    <t xml:space="preserve">3189|16</t>
  </si>
  <si>
    <t xml:space="preserve">3189|17</t>
  </si>
  <si>
    <t xml:space="preserve">3189|18</t>
  </si>
  <si>
    <t xml:space="preserve">3189|19</t>
  </si>
  <si>
    <t xml:space="preserve">3189|20</t>
  </si>
  <si>
    <t xml:space="preserve">3189|21</t>
  </si>
  <si>
    <t xml:space="preserve">3189|22</t>
  </si>
  <si>
    <t xml:space="preserve">3189|23</t>
  </si>
  <si>
    <t xml:space="preserve">3189|24</t>
  </si>
  <si>
    <t xml:space="preserve">3324</t>
  </si>
  <si>
    <t xml:space="preserve">3324|0</t>
  </si>
  <si>
    <t xml:space="preserve">3324|1</t>
  </si>
  <si>
    <t xml:space="preserve">3324|2</t>
  </si>
  <si>
    <t xml:space="preserve">3324|3</t>
  </si>
  <si>
    <t xml:space="preserve">3324|4</t>
  </si>
  <si>
    <t xml:space="preserve">3324|5</t>
  </si>
  <si>
    <t xml:space="preserve">3324|6</t>
  </si>
  <si>
    <t xml:space="preserve">3324|7</t>
  </si>
  <si>
    <t xml:space="preserve">3324|8</t>
  </si>
  <si>
    <t xml:space="preserve">3324|9</t>
  </si>
  <si>
    <t xml:space="preserve">3324|10</t>
  </si>
  <si>
    <t xml:space="preserve">3324|11</t>
  </si>
  <si>
    <t xml:space="preserve">3324|12</t>
  </si>
  <si>
    <t xml:space="preserve">3324|13</t>
  </si>
  <si>
    <t xml:space="preserve">3324|14</t>
  </si>
  <si>
    <t xml:space="preserve">3324|15</t>
  </si>
  <si>
    <t xml:space="preserve">3324|16</t>
  </si>
  <si>
    <t xml:space="preserve">3324|17</t>
  </si>
  <si>
    <t xml:space="preserve">3324|18</t>
  </si>
  <si>
    <t xml:space="preserve">3324|19</t>
  </si>
  <si>
    <t xml:space="preserve">3324|20</t>
  </si>
  <si>
    <t xml:space="preserve">3324|21</t>
  </si>
  <si>
    <t xml:space="preserve">3324|22</t>
  </si>
  <si>
    <t xml:space="preserve">3324|23</t>
  </si>
  <si>
    <t xml:space="preserve">3324|24</t>
  </si>
  <si>
    <t xml:space="preserve">3363|0</t>
  </si>
  <si>
    <t xml:space="preserve">3363|1</t>
  </si>
  <si>
    <t xml:space="preserve">3363|2</t>
  </si>
  <si>
    <t xml:space="preserve">3363|3</t>
  </si>
  <si>
    <t xml:space="preserve">3363|4</t>
  </si>
  <si>
    <t xml:space="preserve">3363|5</t>
  </si>
  <si>
    <t xml:space="preserve">3363|6</t>
  </si>
  <si>
    <t xml:space="preserve">3363|7</t>
  </si>
  <si>
    <t xml:space="preserve">3363|8</t>
  </si>
  <si>
    <t xml:space="preserve">3363|9</t>
  </si>
  <si>
    <t xml:space="preserve">3363|10</t>
  </si>
  <si>
    <t xml:space="preserve">3363|11</t>
  </si>
  <si>
    <t xml:space="preserve">3363|12</t>
  </si>
  <si>
    <t xml:space="preserve">3363|13</t>
  </si>
  <si>
    <t xml:space="preserve">3363|14</t>
  </si>
  <si>
    <t xml:space="preserve">3363|15</t>
  </si>
  <si>
    <t xml:space="preserve">3363|16</t>
  </si>
  <si>
    <t xml:space="preserve">3363|17</t>
  </si>
  <si>
    <t xml:space="preserve">3363|18</t>
  </si>
  <si>
    <t xml:space="preserve">3363|19</t>
  </si>
  <si>
    <t xml:space="preserve">3363|20</t>
  </si>
  <si>
    <t xml:space="preserve">3363|21</t>
  </si>
  <si>
    <t xml:space="preserve">3363|22</t>
  </si>
  <si>
    <t xml:space="preserve">3363|23</t>
  </si>
  <si>
    <t xml:space="preserve">3363|24</t>
  </si>
  <si>
    <t xml:space="preserve">3443|0</t>
  </si>
  <si>
    <t xml:space="preserve">3443|1</t>
  </si>
  <si>
    <t xml:space="preserve">3443|2</t>
  </si>
  <si>
    <t xml:space="preserve">3443|3</t>
  </si>
  <si>
    <t xml:space="preserve">3443|4</t>
  </si>
  <si>
    <t xml:space="preserve">3443|5</t>
  </si>
  <si>
    <t xml:space="preserve">3443|6</t>
  </si>
  <si>
    <t xml:space="preserve">3443|7</t>
  </si>
  <si>
    <t xml:space="preserve">3443|8</t>
  </si>
  <si>
    <t xml:space="preserve">3443|9</t>
  </si>
  <si>
    <t xml:space="preserve">3443|10</t>
  </si>
  <si>
    <t xml:space="preserve">3443|11</t>
  </si>
  <si>
    <t xml:space="preserve">3443|12</t>
  </si>
  <si>
    <t xml:space="preserve">3443|13</t>
  </si>
  <si>
    <t xml:space="preserve">3443|14</t>
  </si>
  <si>
    <t xml:space="preserve">3443|15</t>
  </si>
  <si>
    <t xml:space="preserve">3443|16</t>
  </si>
  <si>
    <t xml:space="preserve">3443|17</t>
  </si>
  <si>
    <t xml:space="preserve">3443|18</t>
  </si>
  <si>
    <t xml:space="preserve">3443|19</t>
  </si>
  <si>
    <t xml:space="preserve">3443|20</t>
  </si>
  <si>
    <t xml:space="preserve">3443|21</t>
  </si>
  <si>
    <t xml:space="preserve">3443|22</t>
  </si>
  <si>
    <t xml:space="preserve">3443|23</t>
  </si>
  <si>
    <t xml:space="preserve">3443|24</t>
  </si>
  <si>
    <t xml:space="preserve">3450|1</t>
  </si>
  <si>
    <t xml:space="preserve">3450|2</t>
  </si>
  <si>
    <t xml:space="preserve">3450|3</t>
  </si>
  <si>
    <t xml:space="preserve">3450|4</t>
  </si>
  <si>
    <t xml:space="preserve">3450|5</t>
  </si>
  <si>
    <t xml:space="preserve">3450|6</t>
  </si>
  <si>
    <t xml:space="preserve">3450|7</t>
  </si>
  <si>
    <t xml:space="preserve">3450|8</t>
  </si>
  <si>
    <t xml:space="preserve">3450|9</t>
  </si>
  <si>
    <t xml:space="preserve">3450|10</t>
  </si>
  <si>
    <t xml:space="preserve">3450|11</t>
  </si>
  <si>
    <t xml:space="preserve">3450|12</t>
  </si>
  <si>
    <t xml:space="preserve">3450|13</t>
  </si>
  <si>
    <t xml:space="preserve">3450|14</t>
  </si>
  <si>
    <t xml:space="preserve">3450|15</t>
  </si>
  <si>
    <t xml:space="preserve">3450|16</t>
  </si>
  <si>
    <t xml:space="preserve">3450|17</t>
  </si>
  <si>
    <t xml:space="preserve">3450|18</t>
  </si>
  <si>
    <t xml:space="preserve">3450|19</t>
  </si>
  <si>
    <t xml:space="preserve">3450|20</t>
  </si>
  <si>
    <t xml:space="preserve">3450|21</t>
  </si>
  <si>
    <t xml:space="preserve">3450|22</t>
  </si>
  <si>
    <t xml:space="preserve">3450|23</t>
  </si>
  <si>
    <t xml:space="preserve">3450|24</t>
  </si>
  <si>
    <t xml:space="preserve">3665|0</t>
  </si>
  <si>
    <t xml:space="preserve">3665|1</t>
  </si>
  <si>
    <t xml:space="preserve">3665|2</t>
  </si>
  <si>
    <t xml:space="preserve">3665|3</t>
  </si>
  <si>
    <t xml:space="preserve">3665|4</t>
  </si>
  <si>
    <t xml:space="preserve">3665|5</t>
  </si>
  <si>
    <t xml:space="preserve">3665|6</t>
  </si>
  <si>
    <t xml:space="preserve">3665|7</t>
  </si>
  <si>
    <t xml:space="preserve">3665|8</t>
  </si>
  <si>
    <t xml:space="preserve">3665|9</t>
  </si>
  <si>
    <t xml:space="preserve">3665|10</t>
  </si>
  <si>
    <t xml:space="preserve">3665|11</t>
  </si>
  <si>
    <t xml:space="preserve">3665|12</t>
  </si>
  <si>
    <t xml:space="preserve">3665|13</t>
  </si>
  <si>
    <t xml:space="preserve">3665|14</t>
  </si>
  <si>
    <t xml:space="preserve">3665|15</t>
  </si>
  <si>
    <t xml:space="preserve">3665|16</t>
  </si>
  <si>
    <t xml:space="preserve">3665|17</t>
  </si>
  <si>
    <t xml:space="preserve">3665|18</t>
  </si>
  <si>
    <t xml:space="preserve">3665|19</t>
  </si>
  <si>
    <t xml:space="preserve">3665|20</t>
  </si>
  <si>
    <t xml:space="preserve">3665|21</t>
  </si>
  <si>
    <t xml:space="preserve">3665|22</t>
  </si>
  <si>
    <t xml:space="preserve">3665|23</t>
  </si>
  <si>
    <t xml:space="preserve">3665|24</t>
  </si>
  <si>
    <t xml:space="preserve">3711</t>
  </si>
  <si>
    <t xml:space="preserve">3711|0</t>
  </si>
  <si>
    <t xml:space="preserve">3711|1</t>
  </si>
  <si>
    <t xml:space="preserve">3711|2</t>
  </si>
  <si>
    <t xml:space="preserve">3711|3</t>
  </si>
  <si>
    <t xml:space="preserve">3711|4</t>
  </si>
  <si>
    <t xml:space="preserve">3711|5</t>
  </si>
  <si>
    <t xml:space="preserve">3711|6</t>
  </si>
  <si>
    <t xml:space="preserve">3711|7</t>
  </si>
  <si>
    <t xml:space="preserve">3711|8</t>
  </si>
  <si>
    <t xml:space="preserve">3711|9</t>
  </si>
  <si>
    <t xml:space="preserve">3711|10</t>
  </si>
  <si>
    <t xml:space="preserve">3711|11</t>
  </si>
  <si>
    <t xml:space="preserve">3711|12</t>
  </si>
  <si>
    <t xml:space="preserve">3711|13</t>
  </si>
  <si>
    <t xml:space="preserve">3711|14</t>
  </si>
  <si>
    <t xml:space="preserve">3711|15</t>
  </si>
  <si>
    <t xml:space="preserve">3711|16</t>
  </si>
  <si>
    <t xml:space="preserve">3711|17</t>
  </si>
  <si>
    <t xml:space="preserve">3711|18</t>
  </si>
  <si>
    <t xml:space="preserve">3711|19</t>
  </si>
  <si>
    <t xml:space="preserve">3711|20</t>
  </si>
  <si>
    <t xml:space="preserve">3711|21</t>
  </si>
  <si>
    <t xml:space="preserve">3711|22</t>
  </si>
  <si>
    <t xml:space="preserve">3711|23</t>
  </si>
  <si>
    <t xml:space="preserve">3711|24</t>
  </si>
  <si>
    <t xml:space="preserve">4938|0</t>
  </si>
  <si>
    <t xml:space="preserve">4938|1</t>
  </si>
  <si>
    <t xml:space="preserve">4938|2</t>
  </si>
  <si>
    <t xml:space="preserve">4938|3</t>
  </si>
  <si>
    <t xml:space="preserve">4938|4</t>
  </si>
  <si>
    <t xml:space="preserve">4938|5</t>
  </si>
  <si>
    <t xml:space="preserve">4938|6</t>
  </si>
  <si>
    <t xml:space="preserve">4938|7</t>
  </si>
  <si>
    <t xml:space="preserve">4938|8</t>
  </si>
  <si>
    <t xml:space="preserve">4938|9</t>
  </si>
  <si>
    <t xml:space="preserve">4938|10</t>
  </si>
  <si>
    <t xml:space="preserve">4938|11</t>
  </si>
  <si>
    <t xml:space="preserve">4938|12</t>
  </si>
  <si>
    <t xml:space="preserve">4938|13</t>
  </si>
  <si>
    <t xml:space="preserve">4938|14</t>
  </si>
  <si>
    <t xml:space="preserve">4938|15</t>
  </si>
  <si>
    <t xml:space="preserve">4938|16</t>
  </si>
  <si>
    <t xml:space="preserve">4938|17</t>
  </si>
  <si>
    <t xml:space="preserve">4938|18</t>
  </si>
  <si>
    <t xml:space="preserve">4938|19</t>
  </si>
  <si>
    <t xml:space="preserve">4938|20</t>
  </si>
  <si>
    <t xml:space="preserve">4938|21</t>
  </si>
  <si>
    <t xml:space="preserve">4938|22</t>
  </si>
  <si>
    <t xml:space="preserve">4938|23</t>
  </si>
  <si>
    <t xml:space="preserve">4938|24</t>
  </si>
  <si>
    <t xml:space="preserve">4979|0</t>
  </si>
  <si>
    <t xml:space="preserve">4979|1</t>
  </si>
  <si>
    <t xml:space="preserve">4979|2</t>
  </si>
  <si>
    <t xml:space="preserve">4979|3</t>
  </si>
  <si>
    <t xml:space="preserve">4979|4</t>
  </si>
  <si>
    <t xml:space="preserve">4979|5</t>
  </si>
  <si>
    <t xml:space="preserve">4979|6</t>
  </si>
  <si>
    <t xml:space="preserve">4979|7</t>
  </si>
  <si>
    <t xml:space="preserve">4979|8</t>
  </si>
  <si>
    <t xml:space="preserve">4979|9</t>
  </si>
  <si>
    <t xml:space="preserve">4979|10</t>
  </si>
  <si>
    <t xml:space="preserve">4979|11</t>
  </si>
  <si>
    <t xml:space="preserve">4979|12</t>
  </si>
  <si>
    <t xml:space="preserve">4979|13</t>
  </si>
  <si>
    <t xml:space="preserve">4979|14</t>
  </si>
  <si>
    <t xml:space="preserve">4979|15</t>
  </si>
  <si>
    <t xml:space="preserve">4979|16</t>
  </si>
  <si>
    <t xml:space="preserve">4979|17</t>
  </si>
  <si>
    <t xml:space="preserve">4979|18</t>
  </si>
  <si>
    <t xml:space="preserve">4979|19</t>
  </si>
  <si>
    <t xml:space="preserve">4979|20</t>
  </si>
  <si>
    <t xml:space="preserve">4979|21</t>
  </si>
  <si>
    <t xml:space="preserve">4979|22</t>
  </si>
  <si>
    <t xml:space="preserve">4979|23</t>
  </si>
  <si>
    <t xml:space="preserve">4979|24</t>
  </si>
  <si>
    <t xml:space="preserve">5274</t>
  </si>
  <si>
    <t xml:space="preserve">5274|0</t>
  </si>
  <si>
    <t xml:space="preserve">5274|1</t>
  </si>
  <si>
    <t xml:space="preserve">5274|2</t>
  </si>
  <si>
    <t xml:space="preserve">5274|3</t>
  </si>
  <si>
    <t xml:space="preserve">5274|4</t>
  </si>
  <si>
    <t xml:space="preserve">5274|5</t>
  </si>
  <si>
    <t xml:space="preserve">5274|6</t>
  </si>
  <si>
    <t xml:space="preserve">5274|7</t>
  </si>
  <si>
    <t xml:space="preserve">5274|8</t>
  </si>
  <si>
    <t xml:space="preserve">5274|9</t>
  </si>
  <si>
    <t xml:space="preserve">5274|10</t>
  </si>
  <si>
    <t xml:space="preserve">5274|11</t>
  </si>
  <si>
    <t xml:space="preserve">5274|12</t>
  </si>
  <si>
    <t xml:space="preserve">5274|13</t>
  </si>
  <si>
    <t xml:space="preserve">5274|14</t>
  </si>
  <si>
    <t xml:space="preserve">5274|15</t>
  </si>
  <si>
    <t xml:space="preserve">5274|16</t>
  </si>
  <si>
    <t xml:space="preserve">5274|17</t>
  </si>
  <si>
    <t xml:space="preserve">5274|18</t>
  </si>
  <si>
    <t xml:space="preserve">5274|19</t>
  </si>
  <si>
    <t xml:space="preserve">5274|20</t>
  </si>
  <si>
    <t xml:space="preserve">5274|21</t>
  </si>
  <si>
    <t xml:space="preserve">5274|22</t>
  </si>
  <si>
    <t xml:space="preserve">5274|23</t>
  </si>
  <si>
    <t xml:space="preserve">5274|24</t>
  </si>
  <si>
    <t xml:space="preserve">5289|0</t>
  </si>
  <si>
    <t xml:space="preserve">5289|1</t>
  </si>
  <si>
    <t xml:space="preserve">5289|2</t>
  </si>
  <si>
    <t xml:space="preserve">5289|3</t>
  </si>
  <si>
    <t xml:space="preserve">5289|4</t>
  </si>
  <si>
    <t xml:space="preserve">5289|5</t>
  </si>
  <si>
    <t xml:space="preserve">5289|6</t>
  </si>
  <si>
    <t xml:space="preserve">5289|7</t>
  </si>
  <si>
    <t xml:space="preserve">5289|8</t>
  </si>
  <si>
    <t xml:space="preserve">5289|9</t>
  </si>
  <si>
    <t xml:space="preserve">5289|10</t>
  </si>
  <si>
    <t xml:space="preserve">5289|11</t>
  </si>
  <si>
    <t xml:space="preserve">5289|12</t>
  </si>
  <si>
    <t xml:space="preserve">5289|13</t>
  </si>
  <si>
    <t xml:space="preserve">5289|14</t>
  </si>
  <si>
    <t xml:space="preserve">5289|15</t>
  </si>
  <si>
    <t xml:space="preserve">5289|16</t>
  </si>
  <si>
    <t xml:space="preserve">5289|17</t>
  </si>
  <si>
    <t xml:space="preserve">5289|18</t>
  </si>
  <si>
    <t xml:space="preserve">5289|19</t>
  </si>
  <si>
    <t xml:space="preserve">5289|20</t>
  </si>
  <si>
    <t xml:space="preserve">5289|21</t>
  </si>
  <si>
    <t xml:space="preserve">5289|22</t>
  </si>
  <si>
    <t xml:space="preserve">5289|23</t>
  </si>
  <si>
    <t xml:space="preserve">5289|24</t>
  </si>
  <si>
    <t xml:space="preserve">5434|0</t>
  </si>
  <si>
    <t xml:space="preserve">5434|1</t>
  </si>
  <si>
    <t xml:space="preserve">5434|2</t>
  </si>
  <si>
    <t xml:space="preserve">5434|3</t>
  </si>
  <si>
    <t xml:space="preserve">5434|4</t>
  </si>
  <si>
    <t xml:space="preserve">5434|5</t>
  </si>
  <si>
    <t xml:space="preserve">5434|6</t>
  </si>
  <si>
    <t xml:space="preserve">5434|7</t>
  </si>
  <si>
    <t xml:space="preserve">5434|8</t>
  </si>
  <si>
    <t xml:space="preserve">5434|9</t>
  </si>
  <si>
    <t xml:space="preserve">5434|10</t>
  </si>
  <si>
    <t xml:space="preserve">5434|11</t>
  </si>
  <si>
    <t xml:space="preserve">5434|12</t>
  </si>
  <si>
    <t xml:space="preserve">5434|13</t>
  </si>
  <si>
    <t xml:space="preserve">5434|14</t>
  </si>
  <si>
    <t xml:space="preserve">5434|15</t>
  </si>
  <si>
    <t xml:space="preserve">5434|16</t>
  </si>
  <si>
    <t xml:space="preserve">5434|17</t>
  </si>
  <si>
    <t xml:space="preserve">5434|18</t>
  </si>
  <si>
    <t xml:space="preserve">5434|19</t>
  </si>
  <si>
    <t xml:space="preserve">5434|20</t>
  </si>
  <si>
    <t xml:space="preserve">5434|21</t>
  </si>
  <si>
    <t xml:space="preserve">5434|22</t>
  </si>
  <si>
    <t xml:space="preserve">5434|23</t>
  </si>
  <si>
    <t xml:space="preserve">5434|24</t>
  </si>
  <si>
    <t xml:space="preserve">6442|0</t>
  </si>
  <si>
    <t xml:space="preserve">6442|1</t>
  </si>
  <si>
    <t xml:space="preserve">6442|2</t>
  </si>
  <si>
    <t xml:space="preserve">6442|3</t>
  </si>
  <si>
    <t xml:space="preserve">6442|4</t>
  </si>
  <si>
    <t xml:space="preserve">6442|5</t>
  </si>
  <si>
    <t xml:space="preserve">6442|6</t>
  </si>
  <si>
    <t xml:space="preserve">6442|7</t>
  </si>
  <si>
    <t xml:space="preserve">6442|8</t>
  </si>
  <si>
    <t xml:space="preserve">6442|9</t>
  </si>
  <si>
    <t xml:space="preserve">6442|10</t>
  </si>
  <si>
    <t xml:space="preserve">6442|11</t>
  </si>
  <si>
    <t xml:space="preserve">6442|12</t>
  </si>
  <si>
    <t xml:space="preserve">6442|13</t>
  </si>
  <si>
    <t xml:space="preserve">6442|14</t>
  </si>
  <si>
    <t xml:space="preserve">6442|15</t>
  </si>
  <si>
    <t xml:space="preserve">6442|16</t>
  </si>
  <si>
    <t xml:space="preserve">6442|17</t>
  </si>
  <si>
    <t xml:space="preserve">6442|18</t>
  </si>
  <si>
    <t xml:space="preserve">6442|19</t>
  </si>
  <si>
    <t xml:space="preserve">6442|20</t>
  </si>
  <si>
    <t xml:space="preserve">6442|21</t>
  </si>
  <si>
    <t xml:space="preserve">6442|22</t>
  </si>
  <si>
    <t xml:space="preserve">6442|23</t>
  </si>
  <si>
    <t xml:space="preserve">6442|24</t>
  </si>
  <si>
    <t xml:space="preserve">6830|0</t>
  </si>
  <si>
    <t xml:space="preserve">6830|1</t>
  </si>
  <si>
    <t xml:space="preserve">6830|2</t>
  </si>
  <si>
    <t xml:space="preserve">6830|3</t>
  </si>
  <si>
    <t xml:space="preserve">6830|4</t>
  </si>
  <si>
    <t xml:space="preserve">6830|5</t>
  </si>
  <si>
    <t xml:space="preserve">6830|6</t>
  </si>
  <si>
    <t xml:space="preserve">6830|7</t>
  </si>
  <si>
    <t xml:space="preserve">6830|8</t>
  </si>
  <si>
    <t xml:space="preserve">6830|9</t>
  </si>
  <si>
    <t xml:space="preserve">6830|10</t>
  </si>
  <si>
    <t xml:space="preserve">6830|11</t>
  </si>
  <si>
    <t xml:space="preserve">6830|12</t>
  </si>
  <si>
    <t xml:space="preserve">6830|13</t>
  </si>
  <si>
    <t xml:space="preserve">6830|14</t>
  </si>
  <si>
    <t xml:space="preserve">6830|15</t>
  </si>
  <si>
    <t xml:space="preserve">6830|16</t>
  </si>
  <si>
    <t xml:space="preserve">6830|17</t>
  </si>
  <si>
    <t xml:space="preserve">6830|18</t>
  </si>
  <si>
    <t xml:space="preserve">6830|19</t>
  </si>
  <si>
    <t xml:space="preserve">8299|0</t>
  </si>
  <si>
    <t xml:space="preserve">8299|1</t>
  </si>
  <si>
    <t xml:space="preserve">8299|2</t>
  </si>
  <si>
    <t xml:space="preserve">8299|3</t>
  </si>
  <si>
    <t xml:space="preserve">8299|4</t>
  </si>
  <si>
    <t xml:space="preserve">8299|5</t>
  </si>
  <si>
    <t xml:space="preserve">8299|6</t>
  </si>
  <si>
    <t xml:space="preserve">8299|7</t>
  </si>
  <si>
    <t xml:space="preserve">8299|8</t>
  </si>
  <si>
    <t xml:space="preserve">8299|9</t>
  </si>
  <si>
    <t xml:space="preserve">8299|10</t>
  </si>
  <si>
    <t xml:space="preserve">8299|11</t>
  </si>
  <si>
    <t xml:space="preserve">8299|12</t>
  </si>
  <si>
    <t xml:space="preserve">8299|13</t>
  </si>
  <si>
    <t xml:space="preserve">8299|14</t>
  </si>
  <si>
    <t xml:space="preserve">8299|15</t>
  </si>
  <si>
    <t xml:space="preserve">8299|16</t>
  </si>
  <si>
    <t xml:space="preserve">8299|17</t>
  </si>
  <si>
    <t xml:space="preserve">8299|18</t>
  </si>
  <si>
    <t xml:space="preserve">8299|19</t>
  </si>
  <si>
    <t xml:space="preserve">8299|20</t>
  </si>
  <si>
    <t xml:space="preserve">8299|21</t>
  </si>
  <si>
    <t xml:space="preserve">8299|22</t>
  </si>
  <si>
    <t xml:space="preserve">8299|23</t>
  </si>
  <si>
    <t xml:space="preserve">8299|24</t>
  </si>
  <si>
    <r>
      <rPr>
        <b val="true"/>
        <sz val="10"/>
        <color rgb="FFC00000"/>
        <rFont val="DejaVu Sans"/>
        <family val="2"/>
      </rPr>
      <t xml:space="preserve">⚠ 黃底＝資料管線寫入區，請勿手改。</t>
    </r>
    <r>
      <rPr>
        <b val="true"/>
        <sz val="10"/>
        <color rgb="FFC00000"/>
        <rFont val="Arial"/>
        <family val="0"/>
        <charset val="1"/>
      </rPr>
      <t xml:space="preserve">seq </t>
    </r>
    <r>
      <rPr>
        <b val="true"/>
        <sz val="10"/>
        <color rgb="FFC00000"/>
        <rFont val="DejaVu Sans"/>
        <family val="2"/>
      </rPr>
      <t xml:space="preserve">與 </t>
    </r>
    <r>
      <rPr>
        <b val="true"/>
        <sz val="10"/>
        <color rgb="FFC00000"/>
        <rFont val="Arial"/>
        <family val="0"/>
        <charset val="1"/>
      </rPr>
      <t xml:space="preserve">key </t>
    </r>
    <r>
      <rPr>
        <b val="true"/>
        <sz val="10"/>
        <color rgb="FFC00000"/>
        <rFont val="DejaVu Sans"/>
        <family val="2"/>
      </rPr>
      <t xml:space="preserve">是公式：</t>
    </r>
    <r>
      <rPr>
        <b val="true"/>
        <sz val="10"/>
        <color rgb="FFC00000"/>
        <rFont val="Arial"/>
        <family val="0"/>
        <charset val="1"/>
      </rPr>
      <t xml:space="preserve">is_est="Y" </t>
    </r>
    <r>
      <rPr>
        <b val="true"/>
        <sz val="10"/>
        <color rgb="FFC00000"/>
        <rFont val="DejaVu Sans"/>
        <family val="2"/>
      </rPr>
      <t xml:space="preserve">記為 </t>
    </r>
    <r>
      <rPr>
        <b val="true"/>
        <sz val="10"/>
        <color rgb="FFC00000"/>
        <rFont val="Arial"/>
        <family val="0"/>
        <charset val="1"/>
      </rPr>
      <t xml:space="preserve">0</t>
    </r>
    <r>
      <rPr>
        <b val="true"/>
        <sz val="10"/>
        <color rgb="FFC00000"/>
        <rFont val="DejaVu Sans"/>
        <family val="2"/>
      </rPr>
      <t xml:space="preserve">（當季預估），實際季由新到舊排 </t>
    </r>
    <r>
      <rPr>
        <b val="true"/>
        <sz val="10"/>
        <color rgb="FFC00000"/>
        <rFont val="Arial"/>
        <family val="0"/>
        <charset val="1"/>
      </rPr>
      <t xml:space="preserve">1</t>
    </r>
    <r>
      <rPr>
        <b val="true"/>
        <sz val="10"/>
        <color rgb="FFC00000"/>
        <rFont val="DejaVu Sans"/>
        <family val="2"/>
      </rPr>
      <t xml:space="preserve">、</t>
    </r>
    <r>
      <rPr>
        <b val="true"/>
        <sz val="10"/>
        <color rgb="FFC00000"/>
        <rFont val="Arial"/>
        <family val="0"/>
        <charset val="1"/>
      </rPr>
      <t xml:space="preserve">2</t>
    </r>
    <r>
      <rPr>
        <b val="true"/>
        <sz val="10"/>
        <color rgb="FFC00000"/>
        <rFont val="DejaVu Sans"/>
        <family val="2"/>
      </rPr>
      <t xml:space="preserve">、</t>
    </r>
    <r>
      <rPr>
        <b val="true"/>
        <sz val="10"/>
        <color rgb="FFC00000"/>
        <rFont val="Arial"/>
        <family val="0"/>
        <charset val="1"/>
      </rPr>
      <t xml:space="preserve">3…</t>
    </r>
    <r>
      <rPr>
        <b val="true"/>
        <sz val="10"/>
        <color rgb="FFC00000"/>
        <rFont val="DejaVu Sans"/>
        <family val="2"/>
      </rPr>
      <t xml:space="preserve">；補進新一季時整欄自動重排。</t>
    </r>
  </si>
  <si>
    <t xml:space="preserve">每一欄的用途：</t>
  </si>
  <si>
    <t xml:space="preserve">A  ticker</t>
  </si>
  <si>
    <t xml:space="preserve">鍵值</t>
  </si>
  <si>
    <t xml:space="preserve">B  period</t>
  </si>
  <si>
    <t xml:space="preserve">C  fy</t>
  </si>
  <si>
    <t xml:space="preserve">D  fq</t>
  </si>
  <si>
    <t xml:space="preserve">E  period_end</t>
  </si>
  <si>
    <t xml:space="preserve">F  is_est</t>
  </si>
  <si>
    <t xml:space="preserve">治理</t>
  </si>
  <si>
    <t xml:space="preserve">G  est_source</t>
  </si>
  <si>
    <t xml:space="preserve">H  eps_basis</t>
  </si>
  <si>
    <r>
      <rPr>
        <i val="true"/>
        <sz val="9"/>
        <color rgb="FF808080"/>
        <rFont val="Arial"/>
        <family val="0"/>
        <charset val="1"/>
      </rPr>
      <t xml:space="preserve">EPS </t>
    </r>
    <r>
      <rPr>
        <i val="true"/>
        <sz val="9"/>
        <color rgb="FF808080"/>
        <rFont val="DejaVu Sans"/>
        <family val="2"/>
      </rPr>
      <t xml:space="preserve">口徑：台股一律 </t>
    </r>
    <r>
      <rPr>
        <i val="true"/>
        <sz val="9"/>
        <color rgb="FF808080"/>
        <rFont val="Arial"/>
        <family val="0"/>
        <charset val="1"/>
      </rPr>
      <t xml:space="preserve">basic</t>
    </r>
    <r>
      <rPr>
        <i val="true"/>
        <sz val="9"/>
        <color rgb="FF808080"/>
        <rFont val="DejaVu Sans"/>
        <family val="2"/>
      </rPr>
      <t xml:space="preserve">（財報上的基本每股盈餘）</t>
    </r>
  </si>
  <si>
    <r>
      <rPr>
        <sz val="9"/>
        <rFont val="Arial"/>
        <family val="0"/>
        <charset val="1"/>
      </rPr>
      <t xml:space="preserve">I  revenue (</t>
    </r>
    <r>
      <rPr>
        <sz val="9"/>
        <rFont val="DejaVu Sans"/>
        <family val="2"/>
      </rPr>
      <t xml:space="preserve">百萬元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</si>
  <si>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營收成長率 </t>
    </r>
    <r>
      <rPr>
        <i val="true"/>
        <sz val="9"/>
        <color rgb="FF808080"/>
        <rFont val="Arial"/>
        <family val="0"/>
        <charset val="1"/>
      </rPr>
      <t xml:space="preserve">· </t>
    </r>
    <r>
      <rPr>
        <i val="true"/>
        <sz val="9"/>
        <color rgb="FF808080"/>
        <rFont val="DejaVu Sans"/>
        <family val="2"/>
      </rPr>
      <t xml:space="preserve">毛利率分母</t>
    </r>
  </si>
  <si>
    <r>
      <rPr>
        <sz val="9"/>
        <rFont val="Arial"/>
        <family val="0"/>
        <charset val="1"/>
      </rPr>
      <t xml:space="preserve">J  gross_profit (</t>
    </r>
    <r>
      <rPr>
        <sz val="9"/>
        <rFont val="DejaVu Sans"/>
        <family val="2"/>
      </rPr>
      <t xml:space="preserve">百萬元</t>
    </r>
    <r>
      <rPr>
        <sz val="9"/>
        <rFont val="Arial"/>
        <family val="0"/>
        <charset val="1"/>
      </rPr>
      <t xml:space="preserve">)</t>
    </r>
  </si>
  <si>
    <t xml:space="preserve">毛利率分子</t>
  </si>
  <si>
    <r>
      <rPr>
        <sz val="9"/>
        <rFont val="Arial"/>
        <family val="0"/>
        <charset val="1"/>
      </rPr>
      <t xml:space="preserve">K  net_income (</t>
    </r>
    <r>
      <rPr>
        <sz val="9"/>
        <rFont val="DejaVu Sans"/>
        <family val="2"/>
      </rPr>
      <t xml:space="preserve">百萬元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</si>
  <si>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分子（主路徑）</t>
    </r>
  </si>
  <si>
    <t xml:space="preserve">L  eps_diluted_adj</t>
  </si>
  <si>
    <r>
      <rPr>
        <i val="true"/>
        <sz val="9"/>
        <color rgb="FF808080"/>
        <rFont val="Arial"/>
        <family val="0"/>
        <charset val="1"/>
      </rPr>
      <t xml:space="preserve">EPS · PE · PEG · EPS</t>
    </r>
    <r>
      <rPr>
        <i val="true"/>
        <sz val="9"/>
        <color rgb="FF808080"/>
        <rFont val="DejaVu Sans"/>
        <family val="2"/>
      </rPr>
      <t xml:space="preserve">成長率</t>
    </r>
  </si>
  <si>
    <r>
      <rPr>
        <sz val="9"/>
        <rFont val="Arial"/>
        <family val="0"/>
        <charset val="1"/>
      </rPr>
      <t xml:space="preserve">M  shares_diluted (</t>
    </r>
    <r>
      <rPr>
        <sz val="9"/>
        <rFont val="DejaVu Sans"/>
        <family val="2"/>
      </rPr>
      <t xml:space="preserve">百萬股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</si>
  <si>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color rgb="FF808080"/>
        <rFont val="DejaVu Sans"/>
        <family val="2"/>
      </rPr>
      <t xml:space="preserve">股本</t>
    </r>
    <r>
      <rPr>
        <i val="true"/>
        <sz val="9"/>
        <color rgb="FF808080"/>
        <rFont val="Arial"/>
        <family val="0"/>
        <charset val="1"/>
      </rPr>
      <t xml:space="preserve">÷10 · ROE_F </t>
    </r>
    <r>
      <rPr>
        <i val="true"/>
        <sz val="9"/>
        <color rgb="FF808080"/>
        <rFont val="DejaVu Sans"/>
        <family val="2"/>
      </rPr>
      <t xml:space="preserve">的 </t>
    </r>
    <r>
      <rPr>
        <i val="true"/>
        <sz val="9"/>
        <color rgb="FF808080"/>
        <rFont val="Arial"/>
        <family val="0"/>
        <charset val="1"/>
      </rPr>
      <t xml:space="preserve">BVPS</t>
    </r>
  </si>
  <si>
    <t xml:space="preserve">N  treasury_shares</t>
  </si>
  <si>
    <t xml:space="preserve">庫藏股股數</t>
  </si>
  <si>
    <r>
      <rPr>
        <sz val="9"/>
        <rFont val="Arial"/>
        <family val="0"/>
        <charset val="1"/>
      </rPr>
      <t xml:space="preserve">O  total_equity (</t>
    </r>
    <r>
      <rPr>
        <sz val="9"/>
        <rFont val="DejaVu Sans"/>
        <family val="2"/>
      </rPr>
      <t xml:space="preserve">百萬元</t>
    </r>
    <r>
      <rPr>
        <sz val="9"/>
        <rFont val="Arial"/>
        <family val="0"/>
        <charset val="1"/>
      </rPr>
      <t xml:space="preserve">)</t>
    </r>
  </si>
  <si>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分母</t>
    </r>
  </si>
  <si>
    <r>
      <rPr>
        <sz val="9"/>
        <rFont val="Arial"/>
        <family val="0"/>
        <charset val="1"/>
      </rPr>
      <t xml:space="preserve">P  dps (</t>
    </r>
    <r>
      <rPr>
        <sz val="9"/>
        <rFont val="DejaVu Sans"/>
        <family val="2"/>
      </rPr>
      <t xml:space="preserve">每股配息</t>
    </r>
    <r>
      <rPr>
        <sz val="9"/>
        <rFont val="Arial"/>
        <family val="0"/>
        <charset val="1"/>
      </rPr>
      <t xml:space="preserve">)</t>
    </r>
  </si>
  <si>
    <t xml:space="preserve">Q  price_at_end</t>
  </si>
  <si>
    <r>
      <rPr>
        <i val="true"/>
        <sz val="9"/>
        <color rgb="FF808080"/>
        <rFont val="DejaVu Sans"/>
        <family val="2"/>
      </rPr>
      <t xml:space="preserve">歷史 </t>
    </r>
    <r>
      <rPr>
        <i val="true"/>
        <sz val="9"/>
        <color rgb="FF808080"/>
        <rFont val="Arial"/>
        <family val="0"/>
        <charset val="1"/>
      </rPr>
      <t xml:space="preserve">PE · PEG_T · </t>
    </r>
    <r>
      <rPr>
        <i val="true"/>
        <sz val="9"/>
        <color rgb="FF808080"/>
        <rFont val="DejaVu Sans"/>
        <family val="2"/>
      </rPr>
      <t xml:space="preserve">歷史殖利率</t>
    </r>
  </si>
  <si>
    <t xml:space="preserve">示範資料為合成數字，非真實財報。</t>
  </si>
  <si>
    <t xml:space="preserve">ym</t>
  </si>
  <si>
    <t xml:space="preserve">ymn</t>
  </si>
  <si>
    <t xml:space="preserve">month_end</t>
  </si>
  <si>
    <t xml:space="preserve">revenue</t>
  </si>
  <si>
    <t xml:space="preserve">mseq</t>
  </si>
  <si>
    <t xml:space="preserve">mkey</t>
  </si>
  <si>
    <t xml:space="preserve">2026-10</t>
  </si>
  <si>
    <t xml:space="preserve">2026-09</t>
  </si>
  <si>
    <t xml:space="preserve">2026-08</t>
  </si>
  <si>
    <t xml:space="preserve">2026-07</t>
  </si>
  <si>
    <t xml:space="preserve">2026-06</t>
  </si>
  <si>
    <t xml:space="preserve">2026-05</t>
  </si>
  <si>
    <t xml:space="preserve">2026-04</t>
  </si>
  <si>
    <t xml:space="preserve">2026-03</t>
  </si>
  <si>
    <t xml:space="preserve">2026-02</t>
  </si>
  <si>
    <t xml:space="preserve">2026-01</t>
  </si>
  <si>
    <t xml:space="preserve">2025-12</t>
  </si>
  <si>
    <t xml:space="preserve">2025-11</t>
  </si>
  <si>
    <t xml:space="preserve">2025-10</t>
  </si>
  <si>
    <t xml:space="preserve">2025-09</t>
  </si>
  <si>
    <t xml:space="preserve">2025-08</t>
  </si>
  <si>
    <t xml:space="preserve">2025-07</t>
  </si>
  <si>
    <t xml:space="preserve">2025-06</t>
  </si>
  <si>
    <t xml:space="preserve">2025-05</t>
  </si>
  <si>
    <t xml:space="preserve">2025-04</t>
  </si>
  <si>
    <t xml:space="preserve">2025-03</t>
  </si>
  <si>
    <t xml:space="preserve">2025-02</t>
  </si>
  <si>
    <t xml:space="preserve">2025-01</t>
  </si>
  <si>
    <t xml:space="preserve">2024-12</t>
  </si>
  <si>
    <t xml:space="preserve">2024-11</t>
  </si>
  <si>
    <t xml:space="preserve">2024-10</t>
  </si>
  <si>
    <t xml:space="preserve">2059|25</t>
  </si>
  <si>
    <t xml:space="preserve">2024-09</t>
  </si>
  <si>
    <t xml:space="preserve">2059|26</t>
  </si>
  <si>
    <t xml:space="preserve">2024-08</t>
  </si>
  <si>
    <t xml:space="preserve">2059|27</t>
  </si>
  <si>
    <t xml:space="preserve">2024-07</t>
  </si>
  <si>
    <t xml:space="preserve">2059|28</t>
  </si>
  <si>
    <t xml:space="preserve">2024-06</t>
  </si>
  <si>
    <t xml:space="preserve">2059|29</t>
  </si>
  <si>
    <t xml:space="preserve">2024-05</t>
  </si>
  <si>
    <t xml:space="preserve">2059|30</t>
  </si>
  <si>
    <t xml:space="preserve">2024-04</t>
  </si>
  <si>
    <t xml:space="preserve">2059|31</t>
  </si>
  <si>
    <t xml:space="preserve">2024-03</t>
  </si>
  <si>
    <t xml:space="preserve">2059|32</t>
  </si>
  <si>
    <t xml:space="preserve">2024-02</t>
  </si>
  <si>
    <t xml:space="preserve">2059|33</t>
  </si>
  <si>
    <t xml:space="preserve">2024-01</t>
  </si>
  <si>
    <t xml:space="preserve">2059|34</t>
  </si>
  <si>
    <t xml:space="preserve">2023-12</t>
  </si>
  <si>
    <t xml:space="preserve">2059|35</t>
  </si>
  <si>
    <t xml:space="preserve">2023-11</t>
  </si>
  <si>
    <t xml:space="preserve">2059|36</t>
  </si>
  <si>
    <t xml:space="preserve">2303|25</t>
  </si>
  <si>
    <t xml:space="preserve">2303|26</t>
  </si>
  <si>
    <t xml:space="preserve">2303|27</t>
  </si>
  <si>
    <t xml:space="preserve">2303|28</t>
  </si>
  <si>
    <t xml:space="preserve">2303|29</t>
  </si>
  <si>
    <t xml:space="preserve">2303|30</t>
  </si>
  <si>
    <t xml:space="preserve">2303|31</t>
  </si>
  <si>
    <t xml:space="preserve">2303|32</t>
  </si>
  <si>
    <t xml:space="preserve">2303|33</t>
  </si>
  <si>
    <t xml:space="preserve">2303|34</t>
  </si>
  <si>
    <t xml:space="preserve">2303|35</t>
  </si>
  <si>
    <t xml:space="preserve">2303|36</t>
  </si>
  <si>
    <t xml:space="preserve">2327|25</t>
  </si>
  <si>
    <t xml:space="preserve">2327|26</t>
  </si>
  <si>
    <t xml:space="preserve">2327|27</t>
  </si>
  <si>
    <t xml:space="preserve">2327|28</t>
  </si>
  <si>
    <t xml:space="preserve">2327|29</t>
  </si>
  <si>
    <t xml:space="preserve">2327|30</t>
  </si>
  <si>
    <t xml:space="preserve">2327|31</t>
  </si>
  <si>
    <t xml:space="preserve">2327|32</t>
  </si>
  <si>
    <t xml:space="preserve">2327|33</t>
  </si>
  <si>
    <t xml:space="preserve">2327|34</t>
  </si>
  <si>
    <t xml:space="preserve">2327|35</t>
  </si>
  <si>
    <t xml:space="preserve">2327|36</t>
  </si>
  <si>
    <t xml:space="preserve">2330|25</t>
  </si>
  <si>
    <t xml:space="preserve">2330|26</t>
  </si>
  <si>
    <t xml:space="preserve">2330|27</t>
  </si>
  <si>
    <t xml:space="preserve">2330|28</t>
  </si>
  <si>
    <t xml:space="preserve">2330|29</t>
  </si>
  <si>
    <t xml:space="preserve">2330|30</t>
  </si>
  <si>
    <t xml:space="preserve">2330|31</t>
  </si>
  <si>
    <t xml:space="preserve">2330|32</t>
  </si>
  <si>
    <t xml:space="preserve">2330|33</t>
  </si>
  <si>
    <t xml:space="preserve">2330|34</t>
  </si>
  <si>
    <t xml:space="preserve">2330|35</t>
  </si>
  <si>
    <t xml:space="preserve">2330|36</t>
  </si>
  <si>
    <t xml:space="preserve">2344|25</t>
  </si>
  <si>
    <t xml:space="preserve">2344|26</t>
  </si>
  <si>
    <t xml:space="preserve">2344|27</t>
  </si>
  <si>
    <t xml:space="preserve">2344|28</t>
  </si>
  <si>
    <t xml:space="preserve">2344|29</t>
  </si>
  <si>
    <t xml:space="preserve">2344|30</t>
  </si>
  <si>
    <t xml:space="preserve">2344|31</t>
  </si>
  <si>
    <t xml:space="preserve">2344|32</t>
  </si>
  <si>
    <t xml:space="preserve">2344|33</t>
  </si>
  <si>
    <t xml:space="preserve">2344|34</t>
  </si>
  <si>
    <t xml:space="preserve">2344|35</t>
  </si>
  <si>
    <t xml:space="preserve">2344|36</t>
  </si>
  <si>
    <t xml:space="preserve">2376|25</t>
  </si>
  <si>
    <t xml:space="preserve">2376|26</t>
  </si>
  <si>
    <t xml:space="preserve">2376|27</t>
  </si>
  <si>
    <t xml:space="preserve">2376|28</t>
  </si>
  <si>
    <t xml:space="preserve">2376|29</t>
  </si>
  <si>
    <t xml:space="preserve">2376|30</t>
  </si>
  <si>
    <t xml:space="preserve">2376|31</t>
  </si>
  <si>
    <t xml:space="preserve">2376|32</t>
  </si>
  <si>
    <t xml:space="preserve">2376|33</t>
  </si>
  <si>
    <t xml:space="preserve">2376|34</t>
  </si>
  <si>
    <t xml:space="preserve">2376|35</t>
  </si>
  <si>
    <t xml:space="preserve">2376|36</t>
  </si>
  <si>
    <t xml:space="preserve">2408|25</t>
  </si>
  <si>
    <t xml:space="preserve">2408|26</t>
  </si>
  <si>
    <t xml:space="preserve">2408|27</t>
  </si>
  <si>
    <t xml:space="preserve">2408|28</t>
  </si>
  <si>
    <t xml:space="preserve">2408|29</t>
  </si>
  <si>
    <t xml:space="preserve">2408|30</t>
  </si>
  <si>
    <t xml:space="preserve">2408|31</t>
  </si>
  <si>
    <t xml:space="preserve">2408|32</t>
  </si>
  <si>
    <t xml:space="preserve">2408|33</t>
  </si>
  <si>
    <t xml:space="preserve">2408|34</t>
  </si>
  <si>
    <t xml:space="preserve">2408|35</t>
  </si>
  <si>
    <t xml:space="preserve">2408|36</t>
  </si>
  <si>
    <t xml:space="preserve">2409|25</t>
  </si>
  <si>
    <t xml:space="preserve">2409|26</t>
  </si>
  <si>
    <t xml:space="preserve">2409|27</t>
  </si>
  <si>
    <t xml:space="preserve">2409|28</t>
  </si>
  <si>
    <t xml:space="preserve">2409|29</t>
  </si>
  <si>
    <t xml:space="preserve">2409|30</t>
  </si>
  <si>
    <t xml:space="preserve">2409|31</t>
  </si>
  <si>
    <t xml:space="preserve">2409|32</t>
  </si>
  <si>
    <t xml:space="preserve">2409|33</t>
  </si>
  <si>
    <t xml:space="preserve">2409|34</t>
  </si>
  <si>
    <t xml:space="preserve">2409|35</t>
  </si>
  <si>
    <t xml:space="preserve">2023-10</t>
  </si>
  <si>
    <t xml:space="preserve">2409|36</t>
  </si>
  <si>
    <t xml:space="preserve">2454|25</t>
  </si>
  <si>
    <t xml:space="preserve">2454|26</t>
  </si>
  <si>
    <t xml:space="preserve">2454|27</t>
  </si>
  <si>
    <t xml:space="preserve">2454|28</t>
  </si>
  <si>
    <t xml:space="preserve">2454|29</t>
  </si>
  <si>
    <t xml:space="preserve">2454|30</t>
  </si>
  <si>
    <t xml:space="preserve">2454|31</t>
  </si>
  <si>
    <t xml:space="preserve">2454|32</t>
  </si>
  <si>
    <t xml:space="preserve">2454|33</t>
  </si>
  <si>
    <t xml:space="preserve">2454|34</t>
  </si>
  <si>
    <t xml:space="preserve">2454|35</t>
  </si>
  <si>
    <t xml:space="preserve">2454|36</t>
  </si>
  <si>
    <t xml:space="preserve">2455|25</t>
  </si>
  <si>
    <t xml:space="preserve">2455|26</t>
  </si>
  <si>
    <t xml:space="preserve">2455|27</t>
  </si>
  <si>
    <t xml:space="preserve">2455|28</t>
  </si>
  <si>
    <t xml:space="preserve">2455|29</t>
  </si>
  <si>
    <t xml:space="preserve">2455|30</t>
  </si>
  <si>
    <t xml:space="preserve">2455|31</t>
  </si>
  <si>
    <t xml:space="preserve">2455|32</t>
  </si>
  <si>
    <t xml:space="preserve">2455|33</t>
  </si>
  <si>
    <t xml:space="preserve">2455|34</t>
  </si>
  <si>
    <t xml:space="preserve">2455|35</t>
  </si>
  <si>
    <t xml:space="preserve">2455|36</t>
  </si>
  <si>
    <t xml:space="preserve">2465|25</t>
  </si>
  <si>
    <t xml:space="preserve">2465|26</t>
  </si>
  <si>
    <t xml:space="preserve">2465|27</t>
  </si>
  <si>
    <t xml:space="preserve">2465|28</t>
  </si>
  <si>
    <t xml:space="preserve">2465|29</t>
  </si>
  <si>
    <t xml:space="preserve">2465|30</t>
  </si>
  <si>
    <t xml:space="preserve">2465|31</t>
  </si>
  <si>
    <t xml:space="preserve">2465|32</t>
  </si>
  <si>
    <t xml:space="preserve">2465|33</t>
  </si>
  <si>
    <t xml:space="preserve">2465|34</t>
  </si>
  <si>
    <t xml:space="preserve">2465|35</t>
  </si>
  <si>
    <t xml:space="preserve">2465|36</t>
  </si>
  <si>
    <t xml:space="preserve">3034|25</t>
  </si>
  <si>
    <t xml:space="preserve">3034|26</t>
  </si>
  <si>
    <t xml:space="preserve">3034|27</t>
  </si>
  <si>
    <t xml:space="preserve">3034|28</t>
  </si>
  <si>
    <t xml:space="preserve">3034|29</t>
  </si>
  <si>
    <t xml:space="preserve">3034|30</t>
  </si>
  <si>
    <t xml:space="preserve">3034|31</t>
  </si>
  <si>
    <t xml:space="preserve">3034|32</t>
  </si>
  <si>
    <t xml:space="preserve">3034|33</t>
  </si>
  <si>
    <t xml:space="preserve">3034|34</t>
  </si>
  <si>
    <t xml:space="preserve">3034|35</t>
  </si>
  <si>
    <t xml:space="preserve">3034|36</t>
  </si>
  <si>
    <t xml:space="preserve">3081|25</t>
  </si>
  <si>
    <t xml:space="preserve">3081|26</t>
  </si>
  <si>
    <t xml:space="preserve">3081|27</t>
  </si>
  <si>
    <t xml:space="preserve">3081|28</t>
  </si>
  <si>
    <t xml:space="preserve">3081|29</t>
  </si>
  <si>
    <t xml:space="preserve">3081|30</t>
  </si>
  <si>
    <t xml:space="preserve">3081|31</t>
  </si>
  <si>
    <t xml:space="preserve">3081|32</t>
  </si>
  <si>
    <t xml:space="preserve">3081|33</t>
  </si>
  <si>
    <t xml:space="preserve">3081|34</t>
  </si>
  <si>
    <t xml:space="preserve">3081|35</t>
  </si>
  <si>
    <t xml:space="preserve">3081|36</t>
  </si>
  <si>
    <t xml:space="preserve">3105|25</t>
  </si>
  <si>
    <t xml:space="preserve">3105|26</t>
  </si>
  <si>
    <t xml:space="preserve">3105|27</t>
  </si>
  <si>
    <t xml:space="preserve">3105|28</t>
  </si>
  <si>
    <t xml:space="preserve">3105|29</t>
  </si>
  <si>
    <t xml:space="preserve">3105|30</t>
  </si>
  <si>
    <t xml:space="preserve">3105|31</t>
  </si>
  <si>
    <t xml:space="preserve">3105|32</t>
  </si>
  <si>
    <t xml:space="preserve">3105|33</t>
  </si>
  <si>
    <t xml:space="preserve">3105|34</t>
  </si>
  <si>
    <t xml:space="preserve">3105|35</t>
  </si>
  <si>
    <t xml:space="preserve">3105|36</t>
  </si>
  <si>
    <t xml:space="preserve">3163|25</t>
  </si>
  <si>
    <t xml:space="preserve">3163|26</t>
  </si>
  <si>
    <t xml:space="preserve">3163|27</t>
  </si>
  <si>
    <t xml:space="preserve">3163|28</t>
  </si>
  <si>
    <t xml:space="preserve">3163|29</t>
  </si>
  <si>
    <t xml:space="preserve">3163|30</t>
  </si>
  <si>
    <t xml:space="preserve">3163|31</t>
  </si>
  <si>
    <t xml:space="preserve">3163|32</t>
  </si>
  <si>
    <t xml:space="preserve">3163|33</t>
  </si>
  <si>
    <t xml:space="preserve">3163|34</t>
  </si>
  <si>
    <t xml:space="preserve">3163|35</t>
  </si>
  <si>
    <t xml:space="preserve">3163|36</t>
  </si>
  <si>
    <t xml:space="preserve">3189|25</t>
  </si>
  <si>
    <t xml:space="preserve">3189|26</t>
  </si>
  <si>
    <t xml:space="preserve">3189|27</t>
  </si>
  <si>
    <t xml:space="preserve">3189|28</t>
  </si>
  <si>
    <t xml:space="preserve">3189|29</t>
  </si>
  <si>
    <t xml:space="preserve">3189|30</t>
  </si>
  <si>
    <t xml:space="preserve">3189|31</t>
  </si>
  <si>
    <t xml:space="preserve">3189|32</t>
  </si>
  <si>
    <t xml:space="preserve">3189|33</t>
  </si>
  <si>
    <t xml:space="preserve">3189|34</t>
  </si>
  <si>
    <t xml:space="preserve">3189|35</t>
  </si>
  <si>
    <t xml:space="preserve">3189|36</t>
  </si>
  <si>
    <t xml:space="preserve">3324|25</t>
  </si>
  <si>
    <t xml:space="preserve">3324|26</t>
  </si>
  <si>
    <t xml:space="preserve">3324|27</t>
  </si>
  <si>
    <t xml:space="preserve">3324|28</t>
  </si>
  <si>
    <t xml:space="preserve">3324|29</t>
  </si>
  <si>
    <t xml:space="preserve">3324|30</t>
  </si>
  <si>
    <t xml:space="preserve">3324|31</t>
  </si>
  <si>
    <t xml:space="preserve">3324|32</t>
  </si>
  <si>
    <t xml:space="preserve">3324|33</t>
  </si>
  <si>
    <t xml:space="preserve">3324|34</t>
  </si>
  <si>
    <t xml:space="preserve">3324|35</t>
  </si>
  <si>
    <t xml:space="preserve">3324|36</t>
  </si>
  <si>
    <t xml:space="preserve">3363|25</t>
  </si>
  <si>
    <t xml:space="preserve">3363|26</t>
  </si>
  <si>
    <t xml:space="preserve">3363|27</t>
  </si>
  <si>
    <t xml:space="preserve">3363|28</t>
  </si>
  <si>
    <t xml:space="preserve">3363|29</t>
  </si>
  <si>
    <t xml:space="preserve">3363|30</t>
  </si>
  <si>
    <t xml:space="preserve">3363|31</t>
  </si>
  <si>
    <t xml:space="preserve">3363|32</t>
  </si>
  <si>
    <t xml:space="preserve">3363|33</t>
  </si>
  <si>
    <t xml:space="preserve">3363|34</t>
  </si>
  <si>
    <t xml:space="preserve">3363|35</t>
  </si>
  <si>
    <t xml:space="preserve">3363|36</t>
  </si>
  <si>
    <t xml:space="preserve">3443|25</t>
  </si>
  <si>
    <t xml:space="preserve">3443|26</t>
  </si>
  <si>
    <t xml:space="preserve">3443|27</t>
  </si>
  <si>
    <t xml:space="preserve">3443|28</t>
  </si>
  <si>
    <t xml:space="preserve">3443|29</t>
  </si>
  <si>
    <t xml:space="preserve">3443|30</t>
  </si>
  <si>
    <t xml:space="preserve">3443|31</t>
  </si>
  <si>
    <t xml:space="preserve">3443|32</t>
  </si>
  <si>
    <t xml:space="preserve">3443|33</t>
  </si>
  <si>
    <t xml:space="preserve">3443|34</t>
  </si>
  <si>
    <t xml:space="preserve">3443|35</t>
  </si>
  <si>
    <t xml:space="preserve">3443|36</t>
  </si>
  <si>
    <t xml:space="preserve">3450|25</t>
  </si>
  <si>
    <t xml:space="preserve">3450|26</t>
  </si>
  <si>
    <t xml:space="preserve">3450|27</t>
  </si>
  <si>
    <t xml:space="preserve">3450|28</t>
  </si>
  <si>
    <t xml:space="preserve">3450|29</t>
  </si>
  <si>
    <t xml:space="preserve">3450|30</t>
  </si>
  <si>
    <t xml:space="preserve">3450|31</t>
  </si>
  <si>
    <t xml:space="preserve">3450|32</t>
  </si>
  <si>
    <t xml:space="preserve">3450|33</t>
  </si>
  <si>
    <t xml:space="preserve">3450|34</t>
  </si>
  <si>
    <t xml:space="preserve">3450|35</t>
  </si>
  <si>
    <t xml:space="preserve">3450|36</t>
  </si>
  <si>
    <t xml:space="preserve">3665|25</t>
  </si>
  <si>
    <t xml:space="preserve">3665|26</t>
  </si>
  <si>
    <t xml:space="preserve">3665|27</t>
  </si>
  <si>
    <t xml:space="preserve">3665|28</t>
  </si>
  <si>
    <t xml:space="preserve">3665|29</t>
  </si>
  <si>
    <t xml:space="preserve">3665|30</t>
  </si>
  <si>
    <t xml:space="preserve">3665|31</t>
  </si>
  <si>
    <t xml:space="preserve">3665|32</t>
  </si>
  <si>
    <t xml:space="preserve">3665|33</t>
  </si>
  <si>
    <t xml:space="preserve">3665|34</t>
  </si>
  <si>
    <t xml:space="preserve">3665|35</t>
  </si>
  <si>
    <t xml:space="preserve">3665|36</t>
  </si>
  <si>
    <t xml:space="preserve">3711|25</t>
  </si>
  <si>
    <t xml:space="preserve">3711|26</t>
  </si>
  <si>
    <t xml:space="preserve">3711|27</t>
  </si>
  <si>
    <t xml:space="preserve">3711|28</t>
  </si>
  <si>
    <t xml:space="preserve">3711|29</t>
  </si>
  <si>
    <t xml:space="preserve">3711|30</t>
  </si>
  <si>
    <t xml:space="preserve">3711|31</t>
  </si>
  <si>
    <t xml:space="preserve">3711|32</t>
  </si>
  <si>
    <t xml:space="preserve">3711|33</t>
  </si>
  <si>
    <t xml:space="preserve">3711|34</t>
  </si>
  <si>
    <t xml:space="preserve">3711|35</t>
  </si>
  <si>
    <t xml:space="preserve">3711|36</t>
  </si>
  <si>
    <t xml:space="preserve">4938|25</t>
  </si>
  <si>
    <t xml:space="preserve">4938|26</t>
  </si>
  <si>
    <t xml:space="preserve">4938|27</t>
  </si>
  <si>
    <t xml:space="preserve">4938|28</t>
  </si>
  <si>
    <t xml:space="preserve">4938|29</t>
  </si>
  <si>
    <t xml:space="preserve">4938|30</t>
  </si>
  <si>
    <t xml:space="preserve">4938|31</t>
  </si>
  <si>
    <t xml:space="preserve">4938|32</t>
  </si>
  <si>
    <t xml:space="preserve">4938|33</t>
  </si>
  <si>
    <t xml:space="preserve">4938|34</t>
  </si>
  <si>
    <t xml:space="preserve">4938|35</t>
  </si>
  <si>
    <t xml:space="preserve">4938|36</t>
  </si>
  <si>
    <t xml:space="preserve">4979|25</t>
  </si>
  <si>
    <t xml:space="preserve">4979|26</t>
  </si>
  <si>
    <t xml:space="preserve">4979|27</t>
  </si>
  <si>
    <t xml:space="preserve">4979|28</t>
  </si>
  <si>
    <t xml:space="preserve">4979|29</t>
  </si>
  <si>
    <t xml:space="preserve">4979|30</t>
  </si>
  <si>
    <t xml:space="preserve">4979|31</t>
  </si>
  <si>
    <t xml:space="preserve">4979|32</t>
  </si>
  <si>
    <t xml:space="preserve">4979|33</t>
  </si>
  <si>
    <t xml:space="preserve">4979|34</t>
  </si>
  <si>
    <t xml:space="preserve">4979|35</t>
  </si>
  <si>
    <t xml:space="preserve">4979|36</t>
  </si>
  <si>
    <t xml:space="preserve">5274|25</t>
  </si>
  <si>
    <t xml:space="preserve">5274|26</t>
  </si>
  <si>
    <t xml:space="preserve">5274|27</t>
  </si>
  <si>
    <t xml:space="preserve">5274|28</t>
  </si>
  <si>
    <t xml:space="preserve">5274|29</t>
  </si>
  <si>
    <t xml:space="preserve">5274|30</t>
  </si>
  <si>
    <t xml:space="preserve">5274|31</t>
  </si>
  <si>
    <t xml:space="preserve">5274|32</t>
  </si>
  <si>
    <t xml:space="preserve">5274|33</t>
  </si>
  <si>
    <t xml:space="preserve">5274|34</t>
  </si>
  <si>
    <t xml:space="preserve">5274|35</t>
  </si>
  <si>
    <t xml:space="preserve">5274|36</t>
  </si>
  <si>
    <t xml:space="preserve">5289|25</t>
  </si>
  <si>
    <t xml:space="preserve">5289|26</t>
  </si>
  <si>
    <t xml:space="preserve">5289|27</t>
  </si>
  <si>
    <t xml:space="preserve">5289|28</t>
  </si>
  <si>
    <t xml:space="preserve">5289|29</t>
  </si>
  <si>
    <t xml:space="preserve">5289|30</t>
  </si>
  <si>
    <t xml:space="preserve">5289|31</t>
  </si>
  <si>
    <t xml:space="preserve">5289|32</t>
  </si>
  <si>
    <t xml:space="preserve">5289|33</t>
  </si>
  <si>
    <t xml:space="preserve">5289|34</t>
  </si>
  <si>
    <t xml:space="preserve">5289|35</t>
  </si>
  <si>
    <t xml:space="preserve">5289|36</t>
  </si>
  <si>
    <t xml:space="preserve">5434|25</t>
  </si>
  <si>
    <t xml:space="preserve">5434|26</t>
  </si>
  <si>
    <t xml:space="preserve">5434|27</t>
  </si>
  <si>
    <t xml:space="preserve">5434|28</t>
  </si>
  <si>
    <t xml:space="preserve">5434|29</t>
  </si>
  <si>
    <t xml:space="preserve">5434|30</t>
  </si>
  <si>
    <t xml:space="preserve">5434|31</t>
  </si>
  <si>
    <t xml:space="preserve">5434|32</t>
  </si>
  <si>
    <t xml:space="preserve">5434|33</t>
  </si>
  <si>
    <t xml:space="preserve">5434|34</t>
  </si>
  <si>
    <t xml:space="preserve">5434|35</t>
  </si>
  <si>
    <t xml:space="preserve">5434|36</t>
  </si>
  <si>
    <t xml:space="preserve">6442|25</t>
  </si>
  <si>
    <t xml:space="preserve">6442|26</t>
  </si>
  <si>
    <t xml:space="preserve">6442|27</t>
  </si>
  <si>
    <t xml:space="preserve">6442|28</t>
  </si>
  <si>
    <t xml:space="preserve">6442|29</t>
  </si>
  <si>
    <t xml:space="preserve">6442|30</t>
  </si>
  <si>
    <t xml:space="preserve">6442|31</t>
  </si>
  <si>
    <t xml:space="preserve">6442|32</t>
  </si>
  <si>
    <t xml:space="preserve">6442|33</t>
  </si>
  <si>
    <t xml:space="preserve">6442|34</t>
  </si>
  <si>
    <t xml:space="preserve">6442|35</t>
  </si>
  <si>
    <t xml:space="preserve">6442|36</t>
  </si>
  <si>
    <t xml:space="preserve">6830|20</t>
  </si>
  <si>
    <t xml:space="preserve">6830|21</t>
  </si>
  <si>
    <t xml:space="preserve">6830|22</t>
  </si>
  <si>
    <t xml:space="preserve">6830|23</t>
  </si>
  <si>
    <t xml:space="preserve">6830|24</t>
  </si>
  <si>
    <t xml:space="preserve">6830|25</t>
  </si>
  <si>
    <t xml:space="preserve">6830|26</t>
  </si>
  <si>
    <t xml:space="preserve">6830|27</t>
  </si>
  <si>
    <t xml:space="preserve">6830|28</t>
  </si>
  <si>
    <t xml:space="preserve">6830|29</t>
  </si>
  <si>
    <t xml:space="preserve">6830|30</t>
  </si>
  <si>
    <t xml:space="preserve">6830|31</t>
  </si>
  <si>
    <t xml:space="preserve">6830|32</t>
  </si>
  <si>
    <t xml:space="preserve">6830|33</t>
  </si>
  <si>
    <t xml:space="preserve">6830|34</t>
  </si>
  <si>
    <t xml:space="preserve">6830|35</t>
  </si>
  <si>
    <t xml:space="preserve">6830|36</t>
  </si>
  <si>
    <t xml:space="preserve">8299|25</t>
  </si>
  <si>
    <t xml:space="preserve">8299|26</t>
  </si>
  <si>
    <t xml:space="preserve">8299|27</t>
  </si>
  <si>
    <t xml:space="preserve">8299|28</t>
  </si>
  <si>
    <t xml:space="preserve">8299|29</t>
  </si>
  <si>
    <t xml:space="preserve">8299|30</t>
  </si>
  <si>
    <t xml:space="preserve">8299|31</t>
  </si>
  <si>
    <t xml:space="preserve">8299|32</t>
  </si>
  <si>
    <t xml:space="preserve">8299|33</t>
  </si>
  <si>
    <t xml:space="preserve">8299|34</t>
  </si>
  <si>
    <t xml:space="preserve">8299|35</t>
  </si>
  <si>
    <t xml:space="preserve">8299|36</t>
  </si>
  <si>
    <t xml:space="preserve">eps_f1</t>
  </si>
  <si>
    <t xml:space="preserve">eps_f2</t>
  </si>
  <si>
    <t xml:space="preserve">fy1_end</t>
  </si>
  <si>
    <t xml:space="preserve">n_analysts</t>
  </si>
  <si>
    <t xml:space="preserve">as_of</t>
  </si>
  <si>
    <r>
      <rPr>
        <i val="true"/>
        <sz val="9"/>
        <color rgb="FF808080"/>
        <rFont val="Arial"/>
        <family val="0"/>
        <charset val="1"/>
      </rPr>
      <t xml:space="preserve">eps_f1</t>
    </r>
    <r>
      <rPr>
        <i val="true"/>
        <sz val="9"/>
        <color rgb="FF808080"/>
        <rFont val="DejaVu Sans"/>
        <family val="2"/>
      </rPr>
      <t xml:space="preserve">＝本財年共識、</t>
    </r>
    <r>
      <rPr>
        <i val="true"/>
        <sz val="9"/>
        <color rgb="FF808080"/>
        <rFont val="Arial"/>
        <family val="0"/>
        <charset val="1"/>
      </rPr>
      <t xml:space="preserve">eps_f2</t>
    </r>
    <r>
      <rPr>
        <i val="true"/>
        <sz val="9"/>
        <color rgb="FF808080"/>
        <rFont val="DejaVu Sans"/>
        <family val="2"/>
      </rPr>
      <t xml:space="preserve">＝下一財年共識，皆為 </t>
    </r>
    <r>
      <rPr>
        <i val="true"/>
        <sz val="9"/>
        <color rgb="FF808080"/>
        <rFont val="Arial"/>
        <family val="0"/>
        <charset val="1"/>
      </rPr>
      <t xml:space="preserve">Adjusted </t>
    </r>
    <r>
      <rPr>
        <i val="true"/>
        <sz val="9"/>
        <color rgb="FF808080"/>
        <rFont val="DejaVu Sans"/>
        <family val="2"/>
      </rPr>
      <t xml:space="preserve">口徑（與 </t>
    </r>
    <r>
      <rPr>
        <i val="true"/>
        <sz val="9"/>
        <color rgb="FF808080"/>
        <rFont val="Arial"/>
        <family val="0"/>
        <charset val="1"/>
      </rPr>
      <t xml:space="preserve">EPS_TTM </t>
    </r>
    <r>
      <rPr>
        <i val="true"/>
        <sz val="9"/>
        <color rgb="FF808080"/>
        <rFont val="DejaVu Sans"/>
        <family val="2"/>
      </rPr>
      <t xml:space="preserve">同口徑）。</t>
    </r>
  </si>
  <si>
    <t xml:space="preserve">price</t>
  </si>
  <si>
    <t xml:space="preserve">price_date</t>
  </si>
  <si>
    <t xml:space="preserve">next_earnings</t>
  </si>
  <si>
    <t xml:space="preserve">Rev_TTM($M)</t>
  </si>
  <si>
    <t xml:space="preserve">EPS_TTM(Adj)</t>
  </si>
  <si>
    <t xml:space="preserve">EPS_TTM_fwd</t>
  </si>
  <si>
    <t xml:space="preserve">EPS_NTM</t>
  </si>
  <si>
    <t xml:space="preserve">EPS_TTM_YoY</t>
  </si>
  <si>
    <t xml:space="preserve">PE_TTM_fwd</t>
  </si>
  <si>
    <t xml:space="preserve">PE_NTM</t>
  </si>
  <si>
    <r>
      <rPr>
        <b val="true"/>
        <sz val="10"/>
        <color rgb="FFFFFFFF"/>
        <rFont val="Arial"/>
        <family val="0"/>
        <charset val="1"/>
      </rPr>
      <t xml:space="preserve">EPS</t>
    </r>
    <r>
      <rPr>
        <b val="true"/>
        <sz val="10"/>
        <color rgb="FFFFFFFF"/>
        <rFont val="DejaVu Sans"/>
        <family val="2"/>
      </rPr>
      <t xml:space="preserve">成長</t>
    </r>
    <r>
      <rPr>
        <b val="true"/>
        <sz val="10"/>
        <color rgb="FFFFFFFF"/>
        <rFont val="Arial"/>
        <family val="0"/>
        <charset val="1"/>
      </rPr>
      <t xml:space="preserve">_F</t>
    </r>
  </si>
  <si>
    <t xml:space="preserve">DPS_TTM</t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</si>
  <si>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YoY_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</si>
  <si>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</si>
  <si>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營收</t>
    </r>
    <r>
      <rPr>
        <b val="true"/>
        <sz val="10"/>
        <color rgb="FFFFFFFF"/>
        <rFont val="Arial"/>
        <family val="0"/>
        <charset val="1"/>
      </rPr>
      <t xml:space="preserve">QoQ_</t>
    </r>
    <r>
      <rPr>
        <b val="true"/>
        <sz val="10"/>
        <color rgb="FFFFFFFF"/>
        <rFont val="DejaVu Sans"/>
        <family val="2"/>
      </rPr>
      <t xml:space="preserve">上一季</t>
    </r>
  </si>
  <si>
    <r>
      <rPr>
        <b val="true"/>
        <sz val="10"/>
        <color rgb="FFFFFFFF"/>
        <rFont val="DejaVu Sans"/>
        <family val="2"/>
      </rPr>
      <t xml:space="preserve">營收加速度</t>
    </r>
    <r>
      <rPr>
        <b val="true"/>
        <sz val="10"/>
        <color rgb="FFFFFFFF"/>
        <rFont val="Arial"/>
        <family val="0"/>
        <charset val="1"/>
      </rPr>
      <t xml:space="preserve">(pp)</t>
    </r>
  </si>
  <si>
    <r>
      <rPr>
        <b val="true"/>
        <sz val="10"/>
        <color rgb="FFFFFFFF"/>
        <rFont val="DejaVu Sans"/>
        <family val="2"/>
      </rPr>
      <t xml:space="preserve">營收加速度</t>
    </r>
    <r>
      <rPr>
        <b val="true"/>
        <sz val="10"/>
        <color rgb="FFFFFFFF"/>
        <rFont val="Arial"/>
        <family val="0"/>
        <charset val="1"/>
      </rPr>
      <t xml:space="preserve">(%)</t>
    </r>
  </si>
  <si>
    <r>
      <rPr>
        <b val="true"/>
        <sz val="10"/>
        <color rgb="FFFFFFFF"/>
        <rFont val="Arial"/>
        <family val="0"/>
        <charset val="1"/>
      </rPr>
      <t xml:space="preserve">EPS_YoY_</t>
    </r>
    <r>
      <rPr>
        <b val="true"/>
        <sz val="10"/>
        <color rgb="FFFFFFFF"/>
        <rFont val="DejaVu Sans"/>
        <family val="2"/>
      </rPr>
      <t xml:space="preserve">最新季</t>
    </r>
  </si>
  <si>
    <r>
      <rPr>
        <b val="true"/>
        <sz val="10"/>
        <color rgb="FFFFFFFF"/>
        <rFont val="DejaVu Sans"/>
        <family val="2"/>
      </rPr>
      <t xml:space="preserve">毛利率</t>
    </r>
    <r>
      <rPr>
        <b val="true"/>
        <sz val="10"/>
        <color rgb="FFFFFFFF"/>
        <rFont val="Arial"/>
        <family val="0"/>
        <charset val="1"/>
      </rPr>
      <t xml:space="preserve">_TTM</t>
    </r>
  </si>
  <si>
    <r>
      <rPr>
        <b val="true"/>
        <sz val="10"/>
        <color rgb="FFFFFFFF"/>
        <rFont val="DejaVu Sans"/>
        <family val="2"/>
      </rPr>
      <t xml:space="preserve">毛利率</t>
    </r>
    <r>
      <rPr>
        <b val="true"/>
        <sz val="10"/>
        <color rgb="FFFFFFFF"/>
        <rFont val="Arial"/>
        <family val="0"/>
        <charset val="1"/>
      </rPr>
      <t xml:space="preserve">_5</t>
    </r>
    <r>
      <rPr>
        <b val="true"/>
        <sz val="10"/>
        <color rgb="FFFFFFFF"/>
        <rFont val="DejaVu Sans"/>
        <family val="2"/>
      </rPr>
      <t xml:space="preserve">年平均</t>
    </r>
  </si>
  <si>
    <r>
      <rPr>
        <b val="true"/>
        <sz val="10"/>
        <color rgb="FFFFFFFF"/>
        <rFont val="Arial"/>
        <family val="0"/>
        <charset val="1"/>
      </rPr>
      <t xml:space="preserve">GM vs 5</t>
    </r>
    <r>
      <rPr>
        <b val="true"/>
        <sz val="10"/>
        <color rgb="FFFFFFFF"/>
        <rFont val="DejaVu Sans"/>
        <family val="2"/>
      </rPr>
      <t xml:space="preserve">年平均</t>
    </r>
    <r>
      <rPr>
        <b val="true"/>
        <sz val="10"/>
        <color rgb="FFFFFFFF"/>
        <rFont val="Arial"/>
        <family val="0"/>
        <charset val="1"/>
      </rPr>
      <t xml:space="preserve">(bps)</t>
    </r>
  </si>
  <si>
    <r>
      <rPr>
        <b val="true"/>
        <sz val="10"/>
        <color rgb="FFFFFFFF"/>
        <rFont val="DejaVu Sans"/>
        <family val="2"/>
      </rPr>
      <t xml:space="preserve">淨利</t>
    </r>
    <r>
      <rPr>
        <b val="true"/>
        <sz val="10"/>
        <color rgb="FFFFFFFF"/>
        <rFont val="Arial"/>
        <family val="0"/>
        <charset val="1"/>
      </rPr>
      <t xml:space="preserve">_TTM(</t>
    </r>
    <r>
      <rPr>
        <b val="true"/>
        <sz val="10"/>
        <color rgb="FFFFFFFF"/>
        <rFont val="DejaVu Sans"/>
        <family val="2"/>
      </rPr>
      <t xml:space="preserve">百萬元</t>
    </r>
    <r>
      <rPr>
        <b val="true"/>
        <sz val="10"/>
        <color rgb="FFFFFFFF"/>
        <rFont val="Arial"/>
        <family val="0"/>
        <charset val="1"/>
      </rPr>
      <t xml:space="preserve">)</t>
    </r>
  </si>
  <si>
    <t xml:space="preserve">ROE_Forward</t>
  </si>
  <si>
    <t xml:space="preserve">預估來源</t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</si>
  <si>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</si>
  <si>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_seq5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</si>
  <si>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_seq9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</si>
  <si>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_seq13</t>
    </r>
  </si>
  <si>
    <r>
      <rPr>
        <b val="true"/>
        <sz val="10"/>
        <color rgb="FFFFFFFF"/>
        <rFont val="Arial"/>
        <family val="0"/>
        <charset val="1"/>
      </rPr>
      <t xml:space="preserve">ROE</t>
    </r>
    <r>
      <rPr>
        <b val="true"/>
        <sz val="10"/>
        <color rgb="FFFFFFFF"/>
        <rFont val="DejaVu Sans"/>
        <family val="2"/>
      </rPr>
      <t xml:space="preserve">錨點</t>
    </r>
    <r>
      <rPr>
        <b val="true"/>
        <sz val="10"/>
        <color rgb="FFFFFFFF"/>
        <rFont val="Arial"/>
        <family val="0"/>
        <charset val="1"/>
      </rPr>
      <t xml:space="preserve">_seq17</t>
    </r>
  </si>
  <si>
    <r>
      <rPr>
        <i val="true"/>
        <sz val="9"/>
        <color rgb="FF808080"/>
        <rFont val="Arial"/>
        <family val="0"/>
        <charset val="1"/>
      </rPr>
      <t xml:space="preserve">Calc </t>
    </r>
    <r>
      <rPr>
        <i val="true"/>
        <sz val="9"/>
        <color rgb="FF808080"/>
        <rFont val="DejaVu Sans"/>
        <family val="2"/>
      </rPr>
      <t xml:space="preserve">是引擎，不是給人看的。淨利</t>
    </r>
    <r>
      <rPr>
        <i val="true"/>
        <sz val="9"/>
        <color rgb="FF808080"/>
        <rFont val="Arial"/>
        <family val="0"/>
        <charset val="1"/>
      </rPr>
      <t xml:space="preserve">_TTM </t>
    </r>
    <r>
      <rPr>
        <i val="true"/>
        <sz val="9"/>
        <color rgb="FF808080"/>
        <rFont val="DejaVu Sans"/>
        <family val="2"/>
      </rPr>
      <t xml:space="preserve">是用「逐季 </t>
    </r>
    <r>
      <rPr>
        <i val="true"/>
        <sz val="9"/>
        <color rgb="FF808080"/>
        <rFont val="Arial"/>
        <family val="0"/>
        <charset val="1"/>
      </rPr>
      <t xml:space="preserve">adjusted EPS × </t>
    </r>
    <r>
      <rPr>
        <i val="true"/>
        <sz val="9"/>
        <color rgb="FF808080"/>
        <rFont val="DejaVu Sans"/>
        <family val="2"/>
      </rPr>
      <t xml:space="preserve">稀釋股數」反推的——沒有任何 </t>
    </r>
    <r>
      <rPr>
        <i val="true"/>
        <sz val="9"/>
        <color rgb="FF808080"/>
        <rFont val="Arial"/>
        <family val="0"/>
        <charset val="1"/>
      </rPr>
      <t xml:space="preserve">API </t>
    </r>
    <r>
      <rPr>
        <i val="true"/>
        <sz val="9"/>
        <color rgb="FF808080"/>
        <rFont val="DejaVu Sans"/>
        <family val="2"/>
      </rPr>
      <t xml:space="preserve">提供 </t>
    </r>
    <r>
      <rPr>
        <i val="true"/>
        <sz val="9"/>
        <color rgb="FF808080"/>
        <rFont val="Arial"/>
        <family val="0"/>
        <charset val="1"/>
      </rPr>
      <t xml:space="preserve">non-GAAP </t>
    </r>
    <r>
      <rPr>
        <i val="true"/>
        <sz val="9"/>
        <color rgb="FF808080"/>
        <rFont val="DejaVu Sans"/>
        <family val="2"/>
      </rPr>
      <t xml:space="preserve">淨利，這是唯一算得出 </t>
    </r>
    <r>
      <rPr>
        <i val="true"/>
        <sz val="9"/>
        <color rgb="FF808080"/>
        <rFont val="Arial"/>
        <family val="0"/>
        <charset val="1"/>
      </rPr>
      <t xml:space="preserve">Adjusted </t>
    </r>
    <r>
      <rPr>
        <i val="true"/>
        <sz val="9"/>
        <color rgb="FF808080"/>
        <rFont val="DejaVu Sans"/>
        <family val="2"/>
      </rPr>
      <t xml:space="preserve">口徑 </t>
    </r>
    <r>
      <rPr>
        <i val="true"/>
        <sz val="9"/>
        <color rgb="FF808080"/>
        <rFont val="Arial"/>
        <family val="0"/>
        <charset val="1"/>
      </rPr>
      <t xml:space="preserve">ROE </t>
    </r>
    <r>
      <rPr>
        <i val="true"/>
        <sz val="9"/>
        <color rgb="FF808080"/>
        <rFont val="DejaVu Sans"/>
        <family val="2"/>
      </rPr>
      <t xml:space="preserve">的方法。</t>
    </r>
  </si>
  <si>
    <t xml:space="preserve">參數設定</t>
  </si>
  <si>
    <t xml:space="preserve">參數</t>
  </si>
  <si>
    <t xml:space="preserve">值</t>
  </si>
  <si>
    <t xml:space="preserve">用途</t>
  </si>
  <si>
    <t xml:space="preserve">目標季數（每檔應有的實際季數）</t>
  </si>
  <si>
    <r>
      <rPr>
        <i val="true"/>
        <sz val="9"/>
        <color rgb="FF808080"/>
        <rFont val="Arial"/>
        <family val="0"/>
        <charset val="1"/>
      </rPr>
      <t xml:space="preserve">_Manifest </t>
    </r>
    <r>
      <rPr>
        <i val="true"/>
        <sz val="9"/>
        <color rgb="FF808080"/>
        <rFont val="DejaVu Sans"/>
        <family val="2"/>
      </rPr>
      <t xml:space="preserve">判斷是否需要補歷史</t>
    </r>
  </si>
  <si>
    <t xml:space="preserve">毛利率五年平均取樣季數</t>
  </si>
  <si>
    <r>
      <rPr>
        <i val="true"/>
        <sz val="9"/>
        <color rgb="FF808080"/>
        <rFont val="Arial"/>
        <family val="0"/>
        <charset val="1"/>
      </rPr>
      <t xml:space="preserve">5 </t>
    </r>
    <r>
      <rPr>
        <i val="true"/>
        <sz val="9"/>
        <color rgb="FF808080"/>
        <rFont val="DejaVu Sans"/>
        <family val="2"/>
      </rPr>
      <t xml:space="preserve">年平均毛利率的取樣範圍</t>
    </r>
  </si>
  <si>
    <r>
      <rPr>
        <sz val="10"/>
        <rFont val="Arial"/>
        <family val="0"/>
        <charset val="1"/>
      </rPr>
      <t xml:space="preserve">PEG </t>
    </r>
    <r>
      <rPr>
        <sz val="10"/>
        <rFont val="DejaVu Sans"/>
        <family val="2"/>
      </rPr>
      <t xml:space="preserve">成長率下限</t>
    </r>
  </si>
  <si>
    <r>
      <rPr>
        <i val="true"/>
        <sz val="9"/>
        <color rgb="FF808080"/>
        <rFont val="DejaVu Sans"/>
        <family val="2"/>
      </rPr>
      <t xml:space="preserve">成長率低於此值時 </t>
    </r>
    <r>
      <rPr>
        <i val="true"/>
        <sz val="9"/>
        <color rgb="FF808080"/>
        <rFont val="Arial"/>
        <family val="0"/>
        <charset val="1"/>
      </rPr>
      <t xml:space="preserve">PEG </t>
    </r>
    <r>
      <rPr>
        <i val="true"/>
        <sz val="9"/>
        <color rgb="FF808080"/>
        <rFont val="DejaVu Sans"/>
        <family val="2"/>
      </rPr>
      <t xml:space="preserve">顯示 </t>
    </r>
    <r>
      <rPr>
        <i val="true"/>
        <sz val="9"/>
        <color rgb="FF808080"/>
        <rFont val="Arial"/>
        <family val="0"/>
        <charset val="1"/>
      </rPr>
      <t xml:space="preserve">N/M</t>
    </r>
    <r>
      <rPr>
        <i val="true"/>
        <sz val="9"/>
        <color rgb="FF808080"/>
        <rFont val="DejaVu Sans"/>
        <family val="2"/>
      </rPr>
      <t xml:space="preserve">（</t>
    </r>
    <r>
      <rPr>
        <i val="true"/>
        <sz val="9"/>
        <color rgb="FF808080"/>
        <rFont val="Arial"/>
        <family val="0"/>
        <charset val="1"/>
      </rPr>
      <t xml:space="preserve">PEG </t>
    </r>
    <r>
      <rPr>
        <i val="true"/>
        <sz val="9"/>
        <color rgb="FF808080"/>
        <rFont val="DejaVu Sans"/>
        <family val="2"/>
      </rPr>
      <t xml:space="preserve">在低成長時失真）</t>
    </r>
  </si>
  <si>
    <t xml:space="preserve">分析師家數下限</t>
  </si>
  <si>
    <t xml:space="preserve">低於此值時共識預估信心不足，會出旗標</t>
  </si>
  <si>
    <r>
      <rPr>
        <sz val="10"/>
        <rFont val="Arial"/>
        <family val="0"/>
        <charset val="1"/>
      </rPr>
      <t xml:space="preserve">NTM </t>
    </r>
    <r>
      <rPr>
        <sz val="10"/>
        <rFont val="DejaVu Sans"/>
        <family val="2"/>
      </rPr>
      <t xml:space="preserve">換算基準天數</t>
    </r>
  </si>
  <si>
    <r>
      <rPr>
        <i val="true"/>
        <sz val="9"/>
        <color rgb="FF808080"/>
        <rFont val="Arial"/>
        <family val="0"/>
        <charset val="1"/>
      </rPr>
      <t xml:space="preserve">EPS_NTM </t>
    </r>
    <r>
      <rPr>
        <i val="true"/>
        <sz val="9"/>
        <color rgb="FF808080"/>
        <rFont val="DejaVu Sans"/>
        <family val="2"/>
      </rPr>
      <t xml:space="preserve">依 </t>
    </r>
    <r>
      <rPr>
        <i val="true"/>
        <sz val="9"/>
        <color rgb="FF808080"/>
        <rFont val="Arial"/>
        <family val="0"/>
        <charset val="1"/>
      </rPr>
      <t xml:space="preserve">fy1_end </t>
    </r>
    <r>
      <rPr>
        <i val="true"/>
        <sz val="9"/>
        <color rgb="FF808080"/>
        <rFont val="DejaVu Sans"/>
        <family val="2"/>
      </rPr>
      <t xml:space="preserve">距今天數在 </t>
    </r>
    <r>
      <rPr>
        <i val="true"/>
        <sz val="9"/>
        <color rgb="FF808080"/>
        <rFont val="Arial"/>
        <family val="0"/>
        <charset val="1"/>
      </rPr>
      <t xml:space="preserve">F1 / F2 </t>
    </r>
    <r>
      <rPr>
        <i val="true"/>
        <sz val="9"/>
        <color rgb="FF808080"/>
        <rFont val="DejaVu Sans"/>
        <family val="2"/>
      </rPr>
      <t xml:space="preserve">之間加權</t>
    </r>
  </si>
  <si>
    <t xml:space="preserve">相對加速度的分母下限</t>
  </si>
  <si>
    <r>
      <rPr>
        <i val="true"/>
        <sz val="9"/>
        <color rgb="FF808080"/>
        <rFont val="DejaVu Sans"/>
        <family val="2"/>
      </rPr>
      <t xml:space="preserve">上季</t>
    </r>
    <r>
      <rPr>
        <i val="true"/>
        <sz val="9"/>
        <color rgb="FF808080"/>
        <rFont val="Arial"/>
        <family val="0"/>
        <charset val="1"/>
      </rPr>
      <t xml:space="preserve">QoQ ≤ 0 </t>
    </r>
    <r>
      <rPr>
        <i val="true"/>
        <sz val="9"/>
        <color rgb="FF808080"/>
        <rFont val="DejaVu Sans"/>
        <family val="2"/>
      </rPr>
      <t xml:space="preserve">或絕對值低於此值時，加速度</t>
    </r>
    <r>
      <rPr>
        <i val="true"/>
        <sz val="9"/>
        <color rgb="FF808080"/>
        <rFont val="Arial"/>
        <family val="0"/>
        <charset val="1"/>
      </rPr>
      <t xml:space="preserve">(%) </t>
    </r>
    <r>
      <rPr>
        <i val="true"/>
        <sz val="9"/>
        <color rgb="FF808080"/>
        <rFont val="DejaVu Sans"/>
        <family val="2"/>
      </rPr>
      <t xml:space="preserve">顯示 </t>
    </r>
    <r>
      <rPr>
        <i val="true"/>
        <sz val="9"/>
        <color rgb="FF808080"/>
        <rFont val="Arial"/>
        <family val="0"/>
        <charset val="1"/>
      </rPr>
      <t xml:space="preserve">N/M —— </t>
    </r>
    <r>
      <rPr>
        <i val="true"/>
        <sz val="9"/>
        <color rgb="FF808080"/>
        <rFont val="DejaVu Sans"/>
        <family val="2"/>
      </rPr>
      <t xml:space="preserve">分母是負的會翻轉符號（由衰退轉成長會變成大負數），接近零會爆成幾百</t>
    </r>
    <r>
      <rPr>
        <i val="true"/>
        <sz val="9"/>
        <color rgb="FF808080"/>
        <rFont val="Arial"/>
        <family val="0"/>
        <charset val="1"/>
      </rPr>
      <t xml:space="preserve">%</t>
    </r>
  </si>
  <si>
    <t xml:space="preserve">黃底藍字＝可以改，改了整張表的判斷規則跟著變。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</si>
</sst>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#,##0.00"/>
    <numFmt numFmtId="166" formatCode="0.0%"/>
    <numFmt numFmtId="167" formatCode="0.0;[RED]\-0.0"/>
    <numFmt numFmtId="168" formatCode="0.0"/>
    <numFmt numFmtId="169" formatCode="yyyy\-mm\-dd"/>
    <numFmt numFmtId="170" formatCode="0"/>
    <numFmt numFmtId="171" formatCode="#,##0;[RED]\-#,##0"/>
    <numFmt numFmtId="172" formatCode="General"/>
    <numFmt numFmtId="173" formatCode="#,##0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DejaVu Sans"/>
      <family val="2"/>
    </font>
    <font>
      <b val="true"/>
      <sz val="14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C00000"/>
      <name val="DejaVu Sans"/>
      <family val="2"/>
    </font>
    <font>
      <b val="true"/>
      <sz val="10"/>
      <color rgb="FFC00000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1"/>
      <color rgb="FF1F3864"/>
      <name val="DejaVu Sans"/>
      <family val="2"/>
    </font>
    <font>
      <sz val="10"/>
      <name val="DejaVu Sans"/>
      <family val="2"/>
    </font>
    <font>
      <b val="true"/>
      <sz val="10"/>
      <color rgb="FF1F3864"/>
      <name val="DejaVu Sans"/>
      <family val="2"/>
    </font>
    <font>
      <b val="true"/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FFFFFF"/>
      <name val="DejaVu Sans"/>
      <family val="2"/>
    </font>
    <font>
      <sz val="10"/>
      <color rgb="FF008000"/>
      <name val="Arial"/>
      <family val="0"/>
      <charset val="1"/>
    </font>
    <font>
      <sz val="10"/>
      <color rgb="FF008000"/>
      <name val="DejaVu Sans"/>
      <family val="2"/>
    </font>
    <font>
      <i val="true"/>
      <sz val="9"/>
      <color rgb="FF808080"/>
      <name val="DejaVu Sans"/>
      <family val="2"/>
    </font>
    <font>
      <i val="true"/>
      <sz val="9"/>
      <color rgb="FF808080"/>
      <name val="Arial"/>
      <family val="0"/>
      <charset val="1"/>
    </font>
    <font>
      <b val="true"/>
      <sz val="11"/>
      <name val="DejaVu Sans"/>
      <family val="2"/>
    </font>
    <font>
      <b val="true"/>
      <sz val="13"/>
      <color rgb="FF0000FF"/>
      <name val="Arial"/>
      <family val="0"/>
      <charset val="1"/>
    </font>
    <font>
      <b val="true"/>
      <sz val="12"/>
      <name val="DejaVu Sans"/>
      <family val="2"/>
    </font>
    <font>
      <sz val="11"/>
      <color rgb="FF808080"/>
      <name val="DejaVu Sans"/>
      <family val="2"/>
    </font>
    <font>
      <sz val="9"/>
      <color rgb="FF808080"/>
      <name val="DejaVu Sans"/>
      <family val="2"/>
    </font>
    <font>
      <b val="true"/>
      <sz val="11"/>
      <name val="Arial"/>
      <family val="0"/>
      <charset val="1"/>
    </font>
    <font>
      <b val="true"/>
      <sz val="11"/>
      <color rgb="FFFFFFFF"/>
      <name val="DejaVu Sans"/>
      <family val="2"/>
    </font>
    <font>
      <b val="true"/>
      <sz val="11"/>
      <color rgb="FFFFFFFF"/>
      <name val="Arial"/>
      <family val="0"/>
      <charset val="1"/>
    </font>
    <font>
      <sz val="10"/>
      <color rgb="FFC00000"/>
      <name val="DejaVu Sans"/>
      <family val="2"/>
    </font>
    <font>
      <b val="true"/>
      <sz val="10"/>
      <name val="DejaVu Sans"/>
      <family val="2"/>
    </font>
    <font>
      <b val="true"/>
      <sz val="12"/>
      <color rgb="FF00800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00"/>
      <name val="DejaVu Sans"/>
      <family val="2"/>
    </font>
    <font>
      <sz val="10"/>
      <color rgb="FF0000FF"/>
      <name val="Arial"/>
      <family val="0"/>
      <charset val="1"/>
    </font>
    <font>
      <sz val="10"/>
      <color rgb="FF0000FF"/>
      <name val="DejaVu Sans"/>
      <family val="2"/>
    </font>
    <font>
      <sz val="11"/>
      <color theme="1"/>
      <name val="DejaVu Sans"/>
      <family val="2"/>
    </font>
    <font>
      <sz val="9"/>
      <name val="Arial"/>
      <family val="0"/>
      <charset val="1"/>
    </font>
    <font>
      <sz val="9"/>
      <name val="DejaVu Sans"/>
      <family val="2"/>
    </font>
  </fonts>
  <fills count="13">
    <fill>
      <patternFill patternType="none"/>
    </fill>
    <fill>
      <patternFill patternType="gray125"/>
    </fill>
    <fill>
      <patternFill patternType="solid">
        <fgColor rgb="FFD9E2F3"/>
        <bgColor rgb="FFDEEBF7"/>
      </patternFill>
    </fill>
    <fill>
      <patternFill patternType="solid">
        <fgColor rgb="FFFFF2CC"/>
        <bgColor rgb="FFFCE4D6"/>
      </patternFill>
    </fill>
    <fill>
      <patternFill patternType="solid">
        <fgColor rgb="FFF2E3F1"/>
        <bgColor rgb="FFE7E6E6"/>
      </patternFill>
    </fill>
    <fill>
      <patternFill patternType="solid">
        <fgColor rgb="FFE2EFDA"/>
        <bgColor rgb="FFE7E6E6"/>
      </patternFill>
    </fill>
    <fill>
      <patternFill patternType="solid">
        <fgColor rgb="FFDEEBF7"/>
        <bgColor rgb="FFD9E2F3"/>
      </patternFill>
    </fill>
    <fill>
      <patternFill patternType="solid">
        <fgColor rgb="FFFCE4D6"/>
        <bgColor rgb="FFF2E3F1"/>
      </patternFill>
    </fill>
    <fill>
      <patternFill patternType="solid">
        <fgColor rgb="FFE7E6E6"/>
        <bgColor rgb="FFEDEDED"/>
      </patternFill>
    </fill>
    <fill>
      <patternFill patternType="solid">
        <fgColor rgb="FFEFEFEF"/>
        <bgColor rgb="FFEDEDED"/>
      </patternFill>
    </fill>
    <fill>
      <patternFill patternType="solid">
        <fgColor rgb="FF1F3864"/>
        <bgColor rgb="FF333333"/>
      </patternFill>
    </fill>
    <fill>
      <patternFill patternType="solid">
        <fgColor rgb="FFFFFF00"/>
        <bgColor rgb="FFFFCC00"/>
      </patternFill>
    </fill>
    <fill>
      <patternFill patternType="solid">
        <fgColor rgb="FFEDEDED"/>
        <bgColor rgb="FFEFEFE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3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5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7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8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4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5" fillId="1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1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1" fillId="11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2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6" fillId="1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7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71" fontId="1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1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3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6" fillId="1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1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8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1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19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3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5" fontId="3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0" borderId="0" xfId="0" applyFont="tru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32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3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3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34" fillId="11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7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8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63BE7B"/>
          <bgColor rgb="FF000000"/>
        </patternFill>
      </fill>
    </dxf>
    <dxf>
      <fill>
        <patternFill patternType="solid">
          <fgColor rgb="FF92D2A3"/>
          <bgColor rgb="FF000000"/>
        </patternFill>
      </fill>
    </dxf>
    <dxf>
      <fill>
        <patternFill patternType="solid">
          <fgColor rgb="FF98D4A8"/>
          <bgColor rgb="FF000000"/>
        </patternFill>
      </fill>
    </dxf>
    <dxf>
      <fill>
        <patternFill patternType="solid">
          <fgColor rgb="FF9FD7AE"/>
          <bgColor rgb="FF000000"/>
        </patternFill>
      </fill>
    </dxf>
    <dxf>
      <fill>
        <patternFill patternType="solid">
          <fgColor rgb="FFACDDB8"/>
          <bgColor rgb="FF000000"/>
        </patternFill>
      </fill>
    </dxf>
    <dxf>
      <fill>
        <patternFill patternType="solid">
          <fgColor rgb="FFB0DFBD"/>
          <bgColor rgb="FF000000"/>
        </patternFill>
      </fill>
    </dxf>
    <dxf>
      <fill>
        <patternFill patternType="solid">
          <fgColor rgb="FFB8E2C3"/>
          <bgColor rgb="FF000000"/>
        </patternFill>
      </fill>
    </dxf>
    <dxf>
      <fill>
        <patternFill patternType="solid">
          <fgColor rgb="FFB9E2C4"/>
          <bgColor rgb="FF000000"/>
        </patternFill>
      </fill>
    </dxf>
    <dxf>
      <fill>
        <patternFill patternType="solid">
          <fgColor rgb="FFBAE2C4"/>
          <bgColor rgb="FF000000"/>
        </patternFill>
      </fill>
    </dxf>
    <dxf>
      <fill>
        <patternFill patternType="solid">
          <fgColor rgb="FFBDE4C8"/>
          <bgColor rgb="FF000000"/>
        </patternFill>
      </fill>
    </dxf>
    <dxf>
      <fill>
        <patternFill patternType="solid">
          <fgColor rgb="FFBEE4C8"/>
          <bgColor rgb="FF000000"/>
        </patternFill>
      </fill>
    </dxf>
    <dxf>
      <fill>
        <patternFill patternType="solid">
          <fgColor rgb="FFBFE5C9"/>
          <bgColor rgb="FF000000"/>
        </patternFill>
      </fill>
    </dxf>
    <dxf>
      <fill>
        <patternFill patternType="solid">
          <fgColor rgb="FFC1E5CA"/>
          <bgColor rgb="FF000000"/>
        </patternFill>
      </fill>
    </dxf>
    <dxf>
      <fill>
        <patternFill patternType="solid">
          <fgColor rgb="FFC4E7CD"/>
          <bgColor rgb="FF000000"/>
        </patternFill>
      </fill>
    </dxf>
    <dxf>
      <fill>
        <patternFill patternType="solid">
          <fgColor rgb="FFC5E7CE"/>
          <bgColor rgb="FF000000"/>
        </patternFill>
      </fill>
    </dxf>
    <dxf>
      <fill>
        <patternFill patternType="solid">
          <fgColor rgb="FFD7EEDD"/>
          <bgColor rgb="FF000000"/>
        </patternFill>
      </fill>
    </dxf>
    <dxf>
      <fill>
        <patternFill patternType="solid">
          <fgColor rgb="FFE2F3E7"/>
          <bgColor rgb="FF000000"/>
        </patternFill>
      </fill>
    </dxf>
    <dxf>
      <fill>
        <patternFill patternType="solid">
          <fgColor rgb="FFE4F4E8"/>
          <bgColor rgb="FF000000"/>
        </patternFill>
      </fill>
    </dxf>
    <dxf>
      <fill>
        <patternFill patternType="solid">
          <fgColor rgb="FFE5F5E9"/>
          <bgColor rgb="FF000000"/>
        </patternFill>
      </fill>
    </dxf>
    <dxf>
      <fill>
        <patternFill patternType="solid">
          <fgColor rgb="FF808080"/>
          <bgColor rgb="FF000000"/>
        </patternFill>
      </fill>
    </dxf>
    <dxf>
      <fill>
        <patternFill patternType="solid">
          <fgColor rgb="FF8FD1A1"/>
          <bgColor rgb="FF000000"/>
        </patternFill>
      </fill>
    </dxf>
    <dxf>
      <fill>
        <patternFill patternType="solid">
          <fgColor rgb="FF9CD6AB"/>
          <bgColor rgb="FF000000"/>
        </patternFill>
      </fill>
    </dxf>
    <dxf>
      <fill>
        <patternFill patternType="solid">
          <fgColor rgb="FFA0D8AF"/>
          <bgColor rgb="FF000000"/>
        </patternFill>
      </fill>
    </dxf>
    <dxf>
      <fill>
        <patternFill patternType="solid">
          <fgColor rgb="FFB4E0C0"/>
          <bgColor rgb="FF000000"/>
        </patternFill>
      </fill>
    </dxf>
    <dxf>
      <fill>
        <patternFill patternType="solid">
          <fgColor rgb="FFBCE3C6"/>
          <bgColor rgb="FF000000"/>
        </patternFill>
      </fill>
    </dxf>
    <dxf>
      <fill>
        <patternFill patternType="solid">
          <fgColor rgb="FFCFEBD7"/>
          <bgColor rgb="FF000000"/>
        </patternFill>
      </fill>
    </dxf>
    <dxf>
      <fill>
        <patternFill patternType="solid">
          <fgColor rgb="FFD3EDDA"/>
          <bgColor rgb="FF000000"/>
        </patternFill>
      </fill>
    </dxf>
    <dxf>
      <fill>
        <patternFill patternType="solid">
          <fgColor rgb="FFDDF1E2"/>
          <bgColor rgb="FF000000"/>
        </patternFill>
      </fill>
    </dxf>
    <dxf>
      <fill>
        <patternFill patternType="solid">
          <fgColor rgb="FFDFF2E4"/>
          <bgColor rgb="FF000000"/>
        </patternFill>
      </fill>
    </dxf>
    <dxf>
      <fill>
        <patternFill patternType="solid">
          <fgColor rgb="FFE0F2E4"/>
          <bgColor rgb="FF000000"/>
        </patternFill>
      </fill>
    </dxf>
    <dxf>
      <fill>
        <patternFill patternType="solid">
          <fgColor rgb="FFE0F2E5"/>
          <bgColor rgb="FF000000"/>
        </patternFill>
      </fill>
    </dxf>
    <dxf>
      <fill>
        <patternFill patternType="solid">
          <fgColor rgb="FFE1F3E5"/>
          <bgColor rgb="FF000000"/>
        </patternFill>
      </fill>
    </dxf>
    <dxf>
      <fill>
        <patternFill patternType="solid">
          <fgColor rgb="FFE6F5EA"/>
          <bgColor rgb="FF000000"/>
        </patternFill>
      </fill>
    </dxf>
    <dxf>
      <fill>
        <patternFill patternType="solid">
          <fgColor rgb="FFEFF8F1"/>
          <bgColor rgb="FF000000"/>
        </patternFill>
      </fill>
    </dxf>
    <dxf>
      <fill>
        <patternFill patternType="solid">
          <fgColor rgb="FFF1F9F3"/>
          <bgColor rgb="FF000000"/>
        </patternFill>
      </fill>
    </dxf>
    <dxf>
      <fill>
        <patternFill patternType="solid">
          <fgColor rgb="FF7AC88E"/>
          <bgColor rgb="FF000000"/>
        </patternFill>
      </fill>
    </dxf>
    <dxf>
      <fill>
        <patternFill patternType="solid">
          <fgColor rgb="FFA4D9B2"/>
          <bgColor rgb="FF000000"/>
        </patternFill>
      </fill>
    </dxf>
    <dxf>
      <fill>
        <patternFill patternType="solid">
          <fgColor rgb="FFE7F5EA"/>
          <bgColor rgb="FF000000"/>
        </patternFill>
      </fill>
    </dxf>
    <dxf>
      <fill>
        <patternFill patternType="solid">
          <fgColor rgb="FFF8696B"/>
          <bgColor rgb="FF000000"/>
        </patternFill>
      </fill>
    </dxf>
    <dxf>
      <fill>
        <patternFill patternType="solid">
          <fgColor rgb="FFFDD4D5"/>
          <bgColor rgb="FF000000"/>
        </patternFill>
      </fill>
    </dxf>
    <dxf>
      <fill>
        <patternFill patternType="solid">
          <fgColor rgb="FFFDD6D6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FFEB9C"/>
          <bgColor rgb="FF000000"/>
        </patternFill>
      </fill>
    </dxf>
    <dxf>
      <fill>
        <patternFill patternType="solid">
          <fgColor rgb="FF006100"/>
          <bgColor rgb="FF000000"/>
        </patternFill>
      </fill>
    </dxf>
    <dxf>
      <fill>
        <patternFill patternType="solid">
          <fgColor rgb="FF9C5700"/>
          <bgColor rgb="FF000000"/>
        </patternFill>
      </fill>
    </dxf>
    <dxf>
      <fill>
        <patternFill patternType="solid">
          <fgColor rgb="FF80CA93"/>
          <bgColor rgb="FF000000"/>
        </patternFill>
      </fill>
    </dxf>
    <dxf>
      <fill>
        <patternFill patternType="solid">
          <fgColor rgb="FF89CE9B"/>
          <bgColor rgb="FF000000"/>
        </patternFill>
      </fill>
    </dxf>
    <dxf>
      <fill>
        <patternFill patternType="solid">
          <fgColor rgb="FFB2DFBE"/>
          <bgColor rgb="FF000000"/>
        </patternFill>
      </fill>
    </dxf>
    <dxf>
      <fill>
        <patternFill patternType="solid">
          <fgColor rgb="FF81CB95"/>
          <bgColor rgb="FF000000"/>
        </patternFill>
      </fill>
    </dxf>
    <dxf>
      <fill>
        <patternFill patternType="solid">
          <fgColor rgb="FFA6DAB4"/>
          <bgColor rgb="FF000000"/>
        </patternFill>
      </fill>
    </dxf>
    <dxf>
      <fill>
        <patternFill patternType="solid">
          <fgColor rgb="FFD7EFDD"/>
          <bgColor rgb="FF000000"/>
        </patternFill>
      </fill>
    </dxf>
    <dxf>
      <fill>
        <patternFill patternType="solid">
          <fgColor rgb="FFE3F4E7"/>
          <bgColor rgb="FF000000"/>
        </patternFill>
      </fill>
    </dxf>
    <dxf>
      <fill>
        <patternFill patternType="solid">
          <fgColor rgb="FFEFF9F2"/>
          <bgColor rgb="FF000000"/>
        </patternFill>
      </fill>
    </dxf>
    <dxf>
      <fill>
        <patternFill patternType="solid">
          <fgColor rgb="FFF3FAF5"/>
          <bgColor rgb="FF000000"/>
        </patternFill>
      </fill>
    </dxf>
    <dxf>
      <fill>
        <patternFill patternType="solid">
          <fgColor rgb="FFF6FBF7"/>
          <bgColor rgb="FF000000"/>
        </patternFill>
      </fill>
    </dxf>
    <dxf>
      <fill>
        <patternFill patternType="solid">
          <fgColor rgb="FFF6FCF8"/>
          <bgColor rgb="FF000000"/>
        </patternFill>
      </fill>
    </dxf>
    <dxf>
      <fill>
        <patternFill patternType="solid">
          <fgColor rgb="FFF7FCF8"/>
          <bgColor rgb="FF000000"/>
        </patternFill>
      </fill>
    </dxf>
    <dxf>
      <fill>
        <patternFill patternType="solid">
          <fgColor rgb="FFF8FCF9"/>
          <bgColor rgb="FF000000"/>
        </patternFill>
      </fill>
    </dxf>
    <dxf>
      <fill>
        <patternFill patternType="solid">
          <fgColor rgb="FFF9FDFA"/>
          <bgColor rgb="FF000000"/>
        </patternFill>
      </fill>
    </dxf>
    <dxf>
      <fill>
        <patternFill patternType="solid">
          <fgColor rgb="FFFDFEFD"/>
          <bgColor rgb="FF000000"/>
        </patternFill>
      </fill>
    </dxf>
    <dxf>
      <font>
        <name val="Arial"/>
        <charset val="1"/>
        <family val="0"/>
        <i val="1"/>
        <color rgb="FF808080"/>
      </font>
    </dxf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ill>
        <patternFill>
          <bgColor rgb="FFF2F2F2"/>
        </patternFill>
      </fill>
    </dxf>
    <dxf>
      <font>
        <name val="Arial"/>
        <charset val="1"/>
        <family val="0"/>
        <b val="1"/>
        <i val="1"/>
        <color rgb="FFBF8F00"/>
      </font>
      <fill>
        <patternFill>
          <bgColor rgb="FFFFF2CC"/>
        </patternFill>
      </fill>
    </dxf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b val="1"/>
        <color rgb="FF9C0006"/>
      </font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E7E6E6"/>
      <rgbColor rgb="FF808080"/>
      <rgbColor rgb="FFF2F2F2"/>
      <rgbColor rgb="FF993366"/>
      <rgbColor rgb="FFFFF2CC"/>
      <rgbColor rgb="FFDEEBF7"/>
      <rgbColor rgb="FF660066"/>
      <rgbColor rgb="FFFF8080"/>
      <rgbColor rgb="FF0066CC"/>
      <rgbColor rgb="FFD9E2F3"/>
      <rgbColor rgb="FF000080"/>
      <rgbColor rgb="FFFF00FF"/>
      <rgbColor rgb="FFEFEFEF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F2E3F1"/>
      <rgbColor rgb="FFFCE4D6"/>
      <rgbColor rgb="FFEDEDED"/>
      <rgbColor rgb="FFFFC7CE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61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worksheet" Target="worksheets/sheet14.xml"/><Relationship Id="rId1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9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6"/>
  </cols>
  <sheetData>
    <row r="1" customFormat="false" ht="17.9" hidden="false" customHeight="false" outlineLevel="0" collapsed="false">
      <c r="A1" s="1" t="s">
        <v>0</v>
      </c>
    </row>
    <row r="2" customFormat="false" ht="15" hidden="false" customHeight="false" outlineLevel="0" collapsed="false">
      <c r="B2" s="2"/>
    </row>
    <row r="3" customFormat="false" ht="27.75" hidden="false" customHeight="true" outlineLevel="0" collapsed="false">
      <c r="B3" s="3" t="s">
        <v>1</v>
      </c>
    </row>
    <row r="4" customFormat="false" ht="15" hidden="false" customHeight="false" outlineLevel="0" collapsed="false">
      <c r="B4" s="2"/>
    </row>
    <row r="5" customFormat="false" ht="14.9" hidden="false" customHeight="false" outlineLevel="0" collapsed="false">
      <c r="A5" s="4" t="s">
        <v>2</v>
      </c>
      <c r="B5" s="4"/>
    </row>
    <row r="6" customFormat="false" ht="15" hidden="false" customHeight="false" outlineLevel="0" collapsed="false">
      <c r="B6" s="2" t="s">
        <v>3</v>
      </c>
    </row>
    <row r="7" customFormat="false" ht="15" hidden="false" customHeight="false" outlineLevel="0" collapsed="false">
      <c r="B7" s="5" t="s">
        <v>4</v>
      </c>
    </row>
    <row r="8" customFormat="false" ht="15" hidden="false" customHeight="false" outlineLevel="0" collapsed="false">
      <c r="B8" s="5" t="s">
        <v>5</v>
      </c>
    </row>
    <row r="9" customFormat="false" ht="15" hidden="false" customHeight="false" outlineLevel="0" collapsed="false">
      <c r="B9" s="5" t="s">
        <v>6</v>
      </c>
    </row>
    <row r="10" customFormat="false" ht="15" hidden="false" customHeight="false" outlineLevel="0" collapsed="false">
      <c r="B10" s="2"/>
    </row>
    <row r="11" customFormat="false" ht="14.9" hidden="false" customHeight="false" outlineLevel="0" collapsed="false">
      <c r="A11" s="4" t="s">
        <v>7</v>
      </c>
      <c r="B11" s="4"/>
    </row>
    <row r="12" customFormat="false" ht="15" hidden="false" customHeight="false" outlineLevel="0" collapsed="false">
      <c r="B12" s="2" t="s">
        <v>8</v>
      </c>
    </row>
    <row r="13" customFormat="false" ht="15" hidden="false" customHeight="false" outlineLevel="0" collapsed="false">
      <c r="B13" s="2" t="s">
        <v>9</v>
      </c>
    </row>
    <row r="14" customFormat="false" ht="15" hidden="false" customHeight="false" outlineLevel="0" collapsed="false">
      <c r="B14" s="2" t="s">
        <v>10</v>
      </c>
    </row>
    <row r="15" customFormat="false" ht="15" hidden="false" customHeight="false" outlineLevel="0" collapsed="false">
      <c r="B15" s="5" t="s">
        <v>11</v>
      </c>
    </row>
    <row r="16" customFormat="false" ht="15" hidden="false" customHeight="false" outlineLevel="0" collapsed="false">
      <c r="B16" s="2" t="s">
        <v>12</v>
      </c>
    </row>
    <row r="17" customFormat="false" ht="15" hidden="false" customHeight="false" outlineLevel="0" collapsed="false">
      <c r="B17" s="2" t="s">
        <v>13</v>
      </c>
    </row>
    <row r="18" customFormat="false" ht="15" hidden="false" customHeight="false" outlineLevel="0" collapsed="false">
      <c r="B18" s="2" t="s">
        <v>14</v>
      </c>
    </row>
    <row r="19" customFormat="false" ht="15" hidden="false" customHeight="false" outlineLevel="0" collapsed="false">
      <c r="B19" s="2" t="s">
        <v>15</v>
      </c>
    </row>
    <row r="20" customFormat="false" ht="15" hidden="false" customHeight="false" outlineLevel="0" collapsed="false">
      <c r="B20" s="2" t="s">
        <v>16</v>
      </c>
    </row>
    <row r="21" customFormat="false" ht="15" hidden="false" customHeight="false" outlineLevel="0" collapsed="false">
      <c r="B21" s="2" t="s">
        <v>17</v>
      </c>
    </row>
    <row r="22" customFormat="false" ht="15" hidden="false" customHeight="false" outlineLevel="0" collapsed="false">
      <c r="B22" s="2" t="s">
        <v>18</v>
      </c>
    </row>
    <row r="23" customFormat="false" ht="15" hidden="false" customHeight="false" outlineLevel="0" collapsed="false">
      <c r="B23" s="2"/>
    </row>
    <row r="24" customFormat="false" ht="15" hidden="false" customHeight="false" outlineLevel="0" collapsed="false">
      <c r="A24" s="6" t="s">
        <v>19</v>
      </c>
      <c r="B24" s="6"/>
    </row>
    <row r="25" customFormat="false" ht="15" hidden="false" customHeight="false" outlineLevel="0" collapsed="false">
      <c r="B25" s="2" t="s">
        <v>20</v>
      </c>
    </row>
    <row r="26" customFormat="false" ht="15" hidden="false" customHeight="false" outlineLevel="0" collapsed="false">
      <c r="B26" s="5" t="s">
        <v>21</v>
      </c>
    </row>
    <row r="27" customFormat="false" ht="15" hidden="false" customHeight="false" outlineLevel="0" collapsed="false">
      <c r="B27" s="2" t="s">
        <v>22</v>
      </c>
    </row>
    <row r="28" customFormat="false" ht="15" hidden="false" customHeight="false" outlineLevel="0" collapsed="false">
      <c r="B28" s="2" t="s">
        <v>23</v>
      </c>
    </row>
    <row r="29" customFormat="false" ht="15" hidden="false" customHeight="false" outlineLevel="0" collapsed="false">
      <c r="B29" s="5" t="s">
        <v>24</v>
      </c>
    </row>
    <row r="30" customFormat="false" ht="15" hidden="false" customHeight="false" outlineLevel="0" collapsed="false">
      <c r="B30" s="2"/>
    </row>
    <row r="31" customFormat="false" ht="15" hidden="false" customHeight="false" outlineLevel="0" collapsed="false">
      <c r="A31" s="6" t="s">
        <v>25</v>
      </c>
      <c r="B31" s="6"/>
    </row>
    <row r="32" customFormat="false" ht="15" hidden="false" customHeight="false" outlineLevel="0" collapsed="false">
      <c r="B32" s="5" t="s">
        <v>26</v>
      </c>
    </row>
    <row r="33" customFormat="false" ht="15" hidden="false" customHeight="false" outlineLevel="0" collapsed="false">
      <c r="B33" s="5" t="s">
        <v>27</v>
      </c>
    </row>
    <row r="34" customFormat="false" ht="15" hidden="false" customHeight="false" outlineLevel="0" collapsed="false">
      <c r="B34" s="5" t="s">
        <v>28</v>
      </c>
    </row>
    <row r="35" customFormat="false" ht="15" hidden="false" customHeight="false" outlineLevel="0" collapsed="false">
      <c r="B35" s="5" t="s">
        <v>29</v>
      </c>
    </row>
    <row r="36" customFormat="false" ht="15" hidden="false" customHeight="false" outlineLevel="0" collapsed="false">
      <c r="B36" s="2"/>
    </row>
    <row r="37" customFormat="false" ht="15" hidden="false" customHeight="false" outlineLevel="0" collapsed="false">
      <c r="A37" s="6" t="s">
        <v>30</v>
      </c>
      <c r="B37" s="6"/>
    </row>
    <row r="38" customFormat="false" ht="15" hidden="false" customHeight="false" outlineLevel="0" collapsed="false">
      <c r="B38" s="5" t="s">
        <v>31</v>
      </c>
    </row>
    <row r="39" customFormat="false" ht="15" hidden="false" customHeight="false" outlineLevel="0" collapsed="false">
      <c r="B39" s="5" t="s">
        <v>32</v>
      </c>
    </row>
    <row r="40" customFormat="false" ht="15" hidden="false" customHeight="false" outlineLevel="0" collapsed="false">
      <c r="B40" s="5" t="s">
        <v>33</v>
      </c>
    </row>
    <row r="41" customFormat="false" ht="15" hidden="false" customHeight="false" outlineLevel="0" collapsed="false">
      <c r="B41" s="5" t="s">
        <v>34</v>
      </c>
    </row>
    <row r="42" customFormat="false" ht="15" hidden="false" customHeight="false" outlineLevel="0" collapsed="false">
      <c r="B42" s="5" t="s">
        <v>35</v>
      </c>
    </row>
    <row r="43" customFormat="false" ht="15" hidden="false" customHeight="false" outlineLevel="0" collapsed="false">
      <c r="B43" s="5" t="s">
        <v>36</v>
      </c>
    </row>
    <row r="44" customFormat="false" ht="15" hidden="false" customHeight="false" outlineLevel="0" collapsed="false">
      <c r="B44" s="2"/>
    </row>
    <row r="45" customFormat="false" ht="15" hidden="false" customHeight="false" outlineLevel="0" collapsed="false">
      <c r="A45" s="6" t="s">
        <v>37</v>
      </c>
      <c r="B45" s="6"/>
    </row>
    <row r="46" customFormat="false" ht="15" hidden="false" customHeight="false" outlineLevel="0" collapsed="false">
      <c r="B46" s="2" t="s">
        <v>38</v>
      </c>
    </row>
    <row r="47" customFormat="false" ht="15" hidden="false" customHeight="false" outlineLevel="0" collapsed="false">
      <c r="B47" s="2" t="s">
        <v>39</v>
      </c>
    </row>
    <row r="48" customFormat="false" ht="15" hidden="false" customHeight="false" outlineLevel="0" collapsed="false">
      <c r="B48" s="5" t="s">
        <v>40</v>
      </c>
    </row>
    <row r="49" customFormat="false" ht="15" hidden="false" customHeight="false" outlineLevel="0" collapsed="false">
      <c r="B49" s="2"/>
    </row>
    <row r="50" customFormat="false" ht="15" hidden="false" customHeight="false" outlineLevel="0" collapsed="false">
      <c r="A50" s="6" t="s">
        <v>41</v>
      </c>
      <c r="B50" s="6"/>
    </row>
    <row r="51" customFormat="false" ht="15" hidden="false" customHeight="false" outlineLevel="0" collapsed="false">
      <c r="B51" s="5" t="s">
        <v>42</v>
      </c>
    </row>
    <row r="52" customFormat="false" ht="15" hidden="false" customHeight="false" outlineLevel="0" collapsed="false">
      <c r="B52" s="2"/>
    </row>
    <row r="53" customFormat="false" ht="15" hidden="false" customHeight="false" outlineLevel="0" collapsed="false">
      <c r="A53" s="6" t="s">
        <v>43</v>
      </c>
      <c r="B53" s="6"/>
    </row>
    <row r="54" customFormat="false" ht="15" hidden="false" customHeight="false" outlineLevel="0" collapsed="false">
      <c r="B54" s="2" t="s">
        <v>44</v>
      </c>
    </row>
  </sheetData>
  <mergeCells count="8">
    <mergeCell ref="A5:B5"/>
    <mergeCell ref="A11:B11"/>
    <mergeCell ref="A24:B24"/>
    <mergeCell ref="A31:B31"/>
    <mergeCell ref="A37:B37"/>
    <mergeCell ref="A45:B45"/>
    <mergeCell ref="A50:B50"/>
    <mergeCell ref="A53:B5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5390625" defaultRowHeight="15" zeroHeight="false" outlineLevelRow="0" outlineLevelCol="1"/>
  <cols>
    <col collapsed="false" customWidth="true" hidden="false" outlineLevel="0" max="1" min="1" style="0" width="10"/>
    <col collapsed="false" customWidth="true" hidden="false" outlineLevel="0" max="2" min="2" style="0" width="18"/>
    <col collapsed="false" customWidth="true" hidden="false" outlineLevel="0" max="3" min="3" style="0" width="8"/>
    <col collapsed="false" customWidth="true" hidden="false" outlineLevel="0" max="4" min="4" style="0" width="10"/>
    <col collapsed="false" customWidth="true" hidden="false" outlineLevel="1" max="13" min="5" style="0" width="10"/>
    <col collapsed="false" customWidth="true" hidden="false" outlineLevel="1" max="14" min="14" style="0" width="12"/>
    <col collapsed="false" customWidth="true" hidden="false" outlineLevel="1" max="20" min="15" style="0" width="9"/>
    <col collapsed="false" customWidth="true" hidden="false" outlineLevel="1" max="23" min="21" style="0" width="11"/>
  </cols>
  <sheetData>
    <row r="1" customFormat="false" ht="15" hidden="false" customHeight="false" outlineLevel="0" collapsed="false">
      <c r="A1" s="7" t="s">
        <v>45</v>
      </c>
      <c r="B1" s="7"/>
      <c r="C1" s="7"/>
      <c r="D1" s="7"/>
      <c r="E1" s="8" t="s">
        <v>46</v>
      </c>
      <c r="F1" s="8"/>
      <c r="G1" s="9" t="s">
        <v>47</v>
      </c>
      <c r="H1" s="9"/>
      <c r="I1" s="9"/>
      <c r="J1" s="10" t="s">
        <v>48</v>
      </c>
      <c r="K1" s="10"/>
      <c r="L1" s="10"/>
      <c r="M1" s="10"/>
      <c r="N1" s="11" t="s">
        <v>49</v>
      </c>
      <c r="O1" s="12" t="s">
        <v>50</v>
      </c>
      <c r="P1" s="12"/>
      <c r="Q1" s="12"/>
      <c r="R1" s="12"/>
      <c r="S1" s="13" t="s">
        <v>51</v>
      </c>
      <c r="T1" s="13"/>
      <c r="U1" s="14" t="s">
        <v>52</v>
      </c>
      <c r="V1" s="14"/>
      <c r="W1" s="14"/>
    </row>
    <row r="2" customFormat="false" ht="31.5" hidden="false" customHeight="true" outlineLevel="0" collapsed="false">
      <c r="A2" s="15" t="s">
        <v>53</v>
      </c>
      <c r="B2" s="16" t="s">
        <v>54</v>
      </c>
      <c r="C2" s="16" t="s">
        <v>55</v>
      </c>
      <c r="D2" s="16" t="s">
        <v>56</v>
      </c>
      <c r="E2" s="16" t="s">
        <v>46</v>
      </c>
      <c r="F2" s="15" t="s">
        <v>57</v>
      </c>
      <c r="G2" s="15" t="s">
        <v>58</v>
      </c>
      <c r="H2" s="15" t="s">
        <v>59</v>
      </c>
      <c r="I2" s="15" t="s">
        <v>60</v>
      </c>
      <c r="J2" s="16" t="s">
        <v>61</v>
      </c>
      <c r="K2" s="16" t="s">
        <v>62</v>
      </c>
      <c r="L2" s="16" t="s">
        <v>63</v>
      </c>
      <c r="M2" s="16" t="s">
        <v>64</v>
      </c>
      <c r="N2" s="16" t="s">
        <v>65</v>
      </c>
      <c r="O2" s="15" t="s">
        <v>66</v>
      </c>
      <c r="P2" s="15" t="s">
        <v>67</v>
      </c>
      <c r="Q2" s="15" t="s">
        <v>68</v>
      </c>
      <c r="R2" s="15" t="s">
        <v>69</v>
      </c>
      <c r="S2" s="16" t="s">
        <v>51</v>
      </c>
      <c r="T2" s="16" t="s">
        <v>70</v>
      </c>
      <c r="U2" s="16" t="s">
        <v>71</v>
      </c>
      <c r="V2" s="16" t="s">
        <v>72</v>
      </c>
      <c r="W2" s="16" t="s">
        <v>73</v>
      </c>
    </row>
    <row r="3" customFormat="false" ht="15" hidden="false" customHeight="false" outlineLevel="0" collapsed="false">
      <c r="A3" s="17" t="str">
        <f aca="false">IF(Calc!$A$2="","",Calc!A$2)</f>
        <v>2330</v>
      </c>
      <c r="B3" s="17" t="str">
        <f aca="false">IF(Calc!$A$2="","",Calc!B$2)</f>
        <v>台積電</v>
      </c>
      <c r="C3" s="17" t="str">
        <f aca="false">IF(Calc!$A$2="","",Calc!C$2)</f>
        <v>核心</v>
      </c>
      <c r="D3" s="18" t="n">
        <f aca="false">IF(Calc!$A$2="","",Calc!D$2)</f>
        <v>2420</v>
      </c>
      <c r="E3" s="19" t="n">
        <f aca="false">IF(Calc!$A$2="","",Calc!AA$2)</f>
        <v>0.642301687617628</v>
      </c>
      <c r="F3" s="19" t="n">
        <f aca="false">IF(Calc!$A$2="","",Calc!AB$2)</f>
        <v>0.589743565108384</v>
      </c>
      <c r="G3" s="19" t="n">
        <f aca="false">IF(Calc!$A$2="","",Calc!AG$2)</f>
        <v>0.40630775930059</v>
      </c>
      <c r="H3" s="19" t="n">
        <f aca="false">IF(Calc!$A$2="","",Calc!AH$2)</f>
        <v>0.339841203932941</v>
      </c>
      <c r="I3" s="19" t="n">
        <f aca="false">IF(Calc!$A$2="","",Calc!AI$2)</f>
        <v>0.44646532752408</v>
      </c>
      <c r="J3" s="19" t="n">
        <f aca="false">IF(Calc!$A$2="","",Calc!T$2)</f>
        <v>0.120162592928913</v>
      </c>
      <c r="K3" s="19" t="n">
        <f aca="false">IF(Calc!$A$2="","",Calc!W$2)</f>
        <v>0.42820844976876</v>
      </c>
      <c r="L3" s="20" t="str">
        <f aca="false">IF(Calc!$A$2="","",Calc!X$2)</f>
        <v>成長且加速</v>
      </c>
      <c r="M3" s="21" t="n">
        <f aca="false">IF(Calc!$A$2="","",Calc!Y$2)</f>
        <v>0.751702573601265</v>
      </c>
      <c r="N3" s="18" t="n">
        <f aca="false">IF(Calc!$A$2="","",Calc!AJ$2)</f>
        <v>28.19147</v>
      </c>
      <c r="O3" s="22" t="n">
        <f aca="false">IF(Calc!$A$2="","",Calc!J$2)</f>
        <v>28.0482151135837</v>
      </c>
      <c r="P3" s="22" t="n">
        <f aca="false">IF(Calc!$A$2="","",Calc!L$2)</f>
        <v>17.2469234101156</v>
      </c>
      <c r="Q3" s="18" t="n">
        <f aca="false">IF(Calc!$A$2="","",Calc!N$2)</f>
        <v>0.526991989671637</v>
      </c>
      <c r="R3" s="18" t="n">
        <f aca="false">IF(Calc!$A$2="","",Calc!O$2)</f>
        <v>0.511449438602319</v>
      </c>
      <c r="S3" s="19" t="n">
        <f aca="false">IF(Calc!$A$2="","",Calc!Q$2)</f>
        <v>0.00909095048760331</v>
      </c>
      <c r="T3" s="19" t="n">
        <f aca="false">IF(Calc!$A$2="","",Calc!R$2)</f>
        <v>0.294137539523148</v>
      </c>
      <c r="U3" s="17" t="str">
        <f aca="false">IF(Calc!$A$2="","",Calc!AK$2)</f>
        <v>FY2026Q3E</v>
      </c>
      <c r="V3" s="17" t="str">
        <f aca="false">IF(Calc!$A$2="","",Calc!AL$2)</f>
        <v>consensus</v>
      </c>
      <c r="W3" s="23" t="n">
        <f aca="false">IF(Calc!$A$2="","",Calc!AN$2)</f>
        <v>0</v>
      </c>
    </row>
    <row r="4" customFormat="false" ht="15" hidden="false" customHeight="false" outlineLevel="0" collapsed="false">
      <c r="A4" s="17" t="str">
        <f aca="false">IF(Calc!$A$3="","",Calc!A$3)</f>
        <v>2408</v>
      </c>
      <c r="B4" s="17" t="str">
        <f aca="false">IF(Calc!$A$3="","",Calc!B$3)</f>
        <v>南亞科</v>
      </c>
      <c r="C4" s="17" t="str">
        <f aca="false">IF(Calc!$A$3="","",Calc!C$3)</f>
        <v>核心</v>
      </c>
      <c r="D4" s="18" t="n">
        <f aca="false">IF(Calc!$A$3="","",Calc!D$3)</f>
        <v>447.5</v>
      </c>
      <c r="E4" s="19" t="n">
        <f aca="false">IF(Calc!$A$3="","",Calc!AA$3)</f>
        <v>0.649097759063312</v>
      </c>
      <c r="F4" s="19" t="n">
        <f aca="false">IF(Calc!$A$3="","",Calc!AB$3)</f>
        <v>0.418912793329178</v>
      </c>
      <c r="G4" s="19" t="n">
        <f aca="false">IF(Calc!$A$3="","",Calc!AG$3)</f>
        <v>0.374169873512502</v>
      </c>
      <c r="H4" s="19" t="n">
        <f aca="false">IF(Calc!$A$3="","",Calc!AH$3)</f>
        <v>0.176654073947422</v>
      </c>
      <c r="I4" s="19" t="n">
        <f aca="false">IF(Calc!$A$3="","",Calc!AI$3)</f>
        <v>0.814119891189542</v>
      </c>
      <c r="J4" s="19" t="n">
        <f aca="false">IF(Calc!$A$3="","",Calc!T$3)</f>
        <v>0.681691432660734</v>
      </c>
      <c r="K4" s="19" t="n">
        <f aca="false">IF(Calc!$A$3="","",Calc!W$3)</f>
        <v>0.0800938460957805</v>
      </c>
      <c r="L4" s="20" t="str">
        <f aca="false">IF(Calc!$A$3="","",Calc!X$3)</f>
        <v>成長且加速</v>
      </c>
      <c r="M4" s="21" t="n">
        <f aca="false">IF(Calc!$A$3="","",Calc!Y$3)</f>
        <v>21.728104526184</v>
      </c>
      <c r="N4" s="18" t="n">
        <f aca="false">IF(Calc!$A$3="","",Calc!AJ$3)</f>
        <v>20.84785</v>
      </c>
      <c r="O4" s="22" t="n">
        <f aca="false">IF(Calc!$A$3="","",Calc!J$3)</f>
        <v>16.4825046040516</v>
      </c>
      <c r="P4" s="22" t="n">
        <f aca="false">IF(Calc!$A$3="","",Calc!L$3)</f>
        <v>4.07173259008074</v>
      </c>
      <c r="Q4" s="18" t="str">
        <f aca="false">IF(Calc!$A$3="","",Calc!N$3)</f>
        <v>N/M</v>
      </c>
      <c r="R4" s="18" t="n">
        <f aca="false">IF(Calc!$A$3="","",Calc!O$3)</f>
        <v>0.0726151975524816</v>
      </c>
      <c r="S4" s="19" t="str">
        <f aca="false">IF(Calc!$A$3="","",Calc!Q$3)</f>
        <v>不配息</v>
      </c>
      <c r="T4" s="19" t="str">
        <f aca="false">IF(Calc!$A$3="","",Calc!R$3)</f>
        <v/>
      </c>
      <c r="U4" s="17" t="str">
        <f aca="false">IF(Calc!$A$3="","",Calc!AK$3)</f>
        <v>FY2026Q3E</v>
      </c>
      <c r="V4" s="17" t="str">
        <f aca="false">IF(Calc!$A$3="","",Calc!AL$3)</f>
        <v>consensus</v>
      </c>
      <c r="W4" s="23" t="n">
        <f aca="false">IF(Calc!$A$3="","",Calc!AN$3)</f>
        <v>0</v>
      </c>
    </row>
    <row r="5" customFormat="false" ht="15" hidden="false" customHeight="false" outlineLevel="0" collapsed="false">
      <c r="A5" s="17" t="str">
        <f aca="false">IF(Calc!$A$4="","",Calc!A$4)</f>
        <v>5289</v>
      </c>
      <c r="B5" s="17" t="str">
        <f aca="false">IF(Calc!$A$4="","",Calc!B$4)</f>
        <v>宜鼎</v>
      </c>
      <c r="C5" s="17" t="str">
        <f aca="false">IF(Calc!$A$4="","",Calc!C$4)</f>
        <v>觀察</v>
      </c>
      <c r="D5" s="18" t="n">
        <f aca="false">IF(Calc!$A$4="","",Calc!D$4)</f>
        <v>1175</v>
      </c>
      <c r="E5" s="19" t="str">
        <f aca="false">IF(Calc!$A$4="","",Calc!AA$4)</f>
        <v/>
      </c>
      <c r="F5" s="19" t="str">
        <f aca="false">IF(Calc!$A$4="","",Calc!AB$4)</f>
        <v/>
      </c>
      <c r="G5" s="19" t="str">
        <f aca="false">IF(Calc!$A$4="","",Calc!AG$4)</f>
        <v>N/M</v>
      </c>
      <c r="H5" s="19" t="str">
        <f aca="false">IF(Calc!$A$4="","",Calc!AH$4)</f>
        <v/>
      </c>
      <c r="I5" s="19" t="str">
        <f aca="false">IF(Calc!$A$4="","",Calc!AI$4)</f>
        <v>N/M</v>
      </c>
      <c r="J5" s="19" t="str">
        <f aca="false">IF(Calc!$A$4="","",Calc!T$4)</f>
        <v/>
      </c>
      <c r="K5" s="19" t="str">
        <f aca="false">IF(Calc!$A$4="","",Calc!W$4)</f>
        <v>N/M</v>
      </c>
      <c r="L5" s="20" t="str">
        <f aca="false">IF(Calc!$A$4="","",Calc!X$4)</f>
        <v/>
      </c>
      <c r="M5" s="21" t="str">
        <f aca="false">IF(Calc!$A$4="","",Calc!Y$4)</f>
        <v/>
      </c>
      <c r="N5" s="18" t="n">
        <f aca="false">IF(Calc!$A$4="","",Calc!AJ$4)</f>
        <v>0</v>
      </c>
      <c r="O5" s="22" t="str">
        <f aca="false">IF(Calc!$A$4="","",Calc!J$4)</f>
        <v>N/M</v>
      </c>
      <c r="P5" s="22" t="n">
        <f aca="false">IF(Calc!$A$4="","",Calc!L$4)</f>
        <v>5.15793875272554</v>
      </c>
      <c r="Q5" s="18" t="str">
        <f aca="false">IF(Calc!$A$4="","",Calc!N$4)</f>
        <v>N/M</v>
      </c>
      <c r="R5" s="18" t="str">
        <f aca="false">IF(Calc!$A$4="","",Calc!O$4)</f>
        <v>N/M</v>
      </c>
      <c r="S5" s="19" t="str">
        <f aca="false">IF(Calc!$A$4="","",Calc!Q$4)</f>
        <v>不配息</v>
      </c>
      <c r="T5" s="19" t="str">
        <f aca="false">IF(Calc!$A$4="","",Calc!R$4)</f>
        <v/>
      </c>
      <c r="U5" s="17" t="str">
        <f aca="false">IF(Calc!$A$4="","",Calc!AK$4)</f>
        <v/>
      </c>
      <c r="V5" s="17" t="str">
        <f aca="false">IF(Calc!$A$4="","",Calc!AL$4)</f>
        <v/>
      </c>
      <c r="W5" s="23" t="n">
        <f aca="false">IF(Calc!$A$4="","",Calc!AN$4)</f>
        <v>0</v>
      </c>
    </row>
    <row r="6" customFormat="false" ht="15" hidden="false" customHeight="false" outlineLevel="0" collapsed="false">
      <c r="A6" s="17" t="str">
        <f aca="false">IF(Calc!$A$5="","",Calc!A$5)</f>
        <v>2455</v>
      </c>
      <c r="B6" s="17" t="str">
        <f aca="false">IF(Calc!$A$5="","",Calc!B$5)</f>
        <v>全新</v>
      </c>
      <c r="C6" s="17" t="str">
        <f aca="false">IF(Calc!$A$5="","",Calc!C$5)</f>
        <v>池子</v>
      </c>
      <c r="D6" s="18" t="n">
        <f aca="false">IF(Calc!$A$5="","",Calc!D$5)</f>
        <v>493</v>
      </c>
      <c r="E6" s="19" t="n">
        <f aca="false">IF(Calc!$A$5="","",Calc!AA$5)</f>
        <v>0.367558352795678</v>
      </c>
      <c r="F6" s="19" t="n">
        <f aca="false">IF(Calc!$A$5="","",Calc!AB$5)</f>
        <v>0.394732998966364</v>
      </c>
      <c r="G6" s="19" t="n">
        <f aca="false">IF(Calc!$A$5="","",Calc!AG$5)</f>
        <v>0.233486293705565</v>
      </c>
      <c r="H6" s="19" t="n">
        <f aca="false">IF(Calc!$A$5="","",Calc!AH$5)</f>
        <v>0.19780000115247</v>
      </c>
      <c r="I6" s="19" t="n">
        <f aca="false">IF(Calc!$A$5="","",Calc!AI$5)</f>
        <v>0.281671516389037</v>
      </c>
      <c r="J6" s="19" t="n">
        <f aca="false">IF(Calc!$A$5="","",Calc!T$5)</f>
        <v>0.00632016762047738</v>
      </c>
      <c r="K6" s="19" t="str">
        <f aca="false">IF(Calc!$A$5="","",Calc!W$5)</f>
        <v>N/M</v>
      </c>
      <c r="L6" s="20" t="str">
        <f aca="false">IF(Calc!$A$5="","",Calc!X$5)</f>
        <v>由負轉正</v>
      </c>
      <c r="M6" s="21" t="n">
        <f aca="false">IF(Calc!$A$5="","",Calc!Y$5)</f>
        <v>10.6584385556805</v>
      </c>
      <c r="N6" s="18" t="n">
        <f aca="false">IF(Calc!$A$5="","",Calc!AJ$5)</f>
        <v>1.43429</v>
      </c>
      <c r="O6" s="22" t="n">
        <f aca="false">IF(Calc!$A$5="","",Calc!J$5)</f>
        <v>119.660194174757</v>
      </c>
      <c r="P6" s="22" t="n">
        <f aca="false">IF(Calc!$A$5="","",Calc!L$5)</f>
        <v>56.9399695550183</v>
      </c>
      <c r="Q6" s="18" t="n">
        <f aca="false">IF(Calc!$A$5="","",Calc!N$5)</f>
        <v>1.94352544678746</v>
      </c>
      <c r="R6" s="18" t="n">
        <f aca="false">IF(Calc!$A$5="","",Calc!O$5)</f>
        <v>0.836400116772297</v>
      </c>
      <c r="S6" s="19" t="n">
        <f aca="false">IF(Calc!$A$5="","",Calc!Q$5)</f>
        <v>0.00531553048681542</v>
      </c>
      <c r="T6" s="19" t="n">
        <f aca="false">IF(Calc!$A$5="","",Calc!R$5)</f>
        <v>-0.18555809814312</v>
      </c>
      <c r="U6" s="17" t="str">
        <f aca="false">IF(Calc!$A$5="","",Calc!AK$5)</f>
        <v>FY2026Q3E</v>
      </c>
      <c r="V6" s="17" t="str">
        <f aca="false">IF(Calc!$A$5="","",Calc!AL$5)</f>
        <v>consensus</v>
      </c>
      <c r="W6" s="23" t="n">
        <f aca="false">IF(Calc!$A$5="","",Calc!AN$5)</f>
        <v>0</v>
      </c>
    </row>
    <row r="7" customFormat="false" ht="15" hidden="false" customHeight="false" outlineLevel="0" collapsed="false">
      <c r="A7" s="17" t="str">
        <f aca="false">IF(Calc!$A$6="","",Calc!A$6)</f>
        <v>3034</v>
      </c>
      <c r="B7" s="17" t="str">
        <f aca="false">IF(Calc!$A$6="","",Calc!B$6)</f>
        <v>聯詠</v>
      </c>
      <c r="C7" s="17" t="str">
        <f aca="false">IF(Calc!$A$6="","",Calc!C$6)</f>
        <v>池子</v>
      </c>
      <c r="D7" s="18" t="n">
        <f aca="false">IF(Calc!$A$6="","",Calc!D$6)</f>
        <v>577</v>
      </c>
      <c r="E7" s="19" t="n">
        <f aca="false">IF(Calc!$A$6="","",Calc!AA$6)</f>
        <v>0.39142949715453</v>
      </c>
      <c r="F7" s="19" t="n">
        <f aca="false">IF(Calc!$A$6="","",Calc!AB$6)</f>
        <v>0.429492751432017</v>
      </c>
      <c r="G7" s="19" t="n">
        <f aca="false">IF(Calc!$A$6="","",Calc!AG$6)</f>
        <v>0.271316607852973</v>
      </c>
      <c r="H7" s="19" t="n">
        <f aca="false">IF(Calc!$A$6="","",Calc!AH$6)</f>
        <v>0.432821020049639</v>
      </c>
      <c r="I7" s="19" t="n">
        <f aca="false">IF(Calc!$A$6="","",Calc!AI$6)</f>
        <v>0.299427087809628</v>
      </c>
      <c r="J7" s="19" t="n">
        <f aca="false">IF(Calc!$A$6="","",Calc!T$6)</f>
        <v>0.238268429667998</v>
      </c>
      <c r="K7" s="19" t="str">
        <f aca="false">IF(Calc!$A$6="","",Calc!W$6)</f>
        <v>N/M</v>
      </c>
      <c r="L7" s="20" t="str">
        <f aca="false">IF(Calc!$A$6="","",Calc!X$6)</f>
        <v>成長且加速</v>
      </c>
      <c r="M7" s="21" t="n">
        <f aca="false">IF(Calc!$A$6="","",Calc!Y$6)</f>
        <v>27.3966504483223</v>
      </c>
      <c r="N7" s="18" t="n">
        <f aca="false">IF(Calc!$A$6="","",Calc!AJ$6)</f>
        <v>9.57273</v>
      </c>
      <c r="O7" s="22" t="n">
        <f aca="false">IF(Calc!$A$6="","",Calc!J$6)</f>
        <v>20.1255667945588</v>
      </c>
      <c r="P7" s="22" t="n">
        <f aca="false">IF(Calc!$A$6="","",Calc!L$6)</f>
        <v>16.4369041044721</v>
      </c>
      <c r="Q7" s="18" t="str">
        <f aca="false">IF(Calc!$A$6="","",Calc!N$6)</f>
        <v>N/M</v>
      </c>
      <c r="R7" s="18" t="str">
        <f aca="false">IF(Calc!$A$6="","",Calc!O$6)</f>
        <v>N/M</v>
      </c>
      <c r="S7" s="19" t="n">
        <f aca="false">IF(Calc!$A$6="","",Calc!Q$6)</f>
        <v>0.048526863084922</v>
      </c>
      <c r="T7" s="19" t="n">
        <f aca="false">IF(Calc!$A$6="","",Calc!R$6)</f>
        <v>-0.125</v>
      </c>
      <c r="U7" s="17" t="str">
        <f aca="false">IF(Calc!$A$6="","",Calc!AK$6)</f>
        <v>FY2026Q3E</v>
      </c>
      <c r="V7" s="17" t="str">
        <f aca="false">IF(Calc!$A$6="","",Calc!AL$6)</f>
        <v>consensus</v>
      </c>
      <c r="W7" s="23" t="n">
        <f aca="false">IF(Calc!$A$6="","",Calc!AN$6)</f>
        <v>0</v>
      </c>
    </row>
    <row r="8" customFormat="false" ht="15" hidden="false" customHeight="false" outlineLevel="0" collapsed="false">
      <c r="A8" s="17" t="str">
        <f aca="false">IF(Calc!$A$7="","",Calc!A$7)</f>
        <v>3665</v>
      </c>
      <c r="B8" s="17" t="str">
        <f aca="false">IF(Calc!$A$7="","",Calc!B$7)</f>
        <v>貿聯-KY</v>
      </c>
      <c r="C8" s="17" t="str">
        <f aca="false">IF(Calc!$A$7="","",Calc!C$7)</f>
        <v>池子</v>
      </c>
      <c r="D8" s="18" t="n">
        <f aca="false">IF(Calc!$A$7="","",Calc!D$7)</f>
        <v>2015</v>
      </c>
      <c r="E8" s="19" t="n">
        <f aca="false">IF(Calc!$A$7="","",Calc!AA$7)</f>
        <v>0.310848347584267</v>
      </c>
      <c r="F8" s="19" t="n">
        <f aca="false">IF(Calc!$A$7="","",Calc!AB$7)</f>
        <v>0.279551522958118</v>
      </c>
      <c r="G8" s="19" t="n">
        <f aca="false">IF(Calc!$A$7="","",Calc!AG$7)</f>
        <v>0.246843882201776</v>
      </c>
      <c r="H8" s="19" t="n">
        <f aca="false">IF(Calc!$A$7="","",Calc!AH$7)</f>
        <v>0.180759126269984</v>
      </c>
      <c r="I8" s="19" t="n">
        <f aca="false">IF(Calc!$A$7="","",Calc!AI$7)</f>
        <v>0.273562150990253</v>
      </c>
      <c r="J8" s="19" t="n">
        <f aca="false">IF(Calc!$A$7="","",Calc!T$7)</f>
        <v>0.115873258795717</v>
      </c>
      <c r="K8" s="19" t="n">
        <f aca="false">IF(Calc!$A$7="","",Calc!W$7)</f>
        <v>1.11497703441679</v>
      </c>
      <c r="L8" s="20" t="str">
        <f aca="false">IF(Calc!$A$7="","",Calc!X$7)</f>
        <v>成長且加速</v>
      </c>
      <c r="M8" s="21" t="n">
        <f aca="false">IF(Calc!$A$7="","",Calc!Y$7)</f>
        <v>6.54698200053601</v>
      </c>
      <c r="N8" s="18" t="n">
        <f aca="false">IF(Calc!$A$7="","",Calc!AJ$7)</f>
        <v>18.74375</v>
      </c>
      <c r="O8" s="22" t="n">
        <f aca="false">IF(Calc!$A$7="","",Calc!J$7)</f>
        <v>36.9521364386576</v>
      </c>
      <c r="P8" s="22" t="n">
        <f aca="false">IF(Calc!$A$7="","",Calc!L$7)</f>
        <v>17.3556827447655</v>
      </c>
      <c r="Q8" s="18" t="n">
        <f aca="false">IF(Calc!$A$7="","",Calc!N$7)</f>
        <v>0.643041449683775</v>
      </c>
      <c r="R8" s="18" t="n">
        <f aca="false">IF(Calc!$A$7="","",Calc!O$7)</f>
        <v>0.204968576472191</v>
      </c>
      <c r="S8" s="19" t="n">
        <f aca="false">IF(Calc!$A$7="","",Calc!Q$7)</f>
        <v>0.0052136389528536</v>
      </c>
      <c r="T8" s="19" t="n">
        <f aca="false">IF(Calc!$A$7="","",Calc!R$7)</f>
        <v>0.196424031741944</v>
      </c>
      <c r="U8" s="17" t="str">
        <f aca="false">IF(Calc!$A$7="","",Calc!AK$7)</f>
        <v>FY2026Q3E</v>
      </c>
      <c r="V8" s="17" t="str">
        <f aca="false">IF(Calc!$A$7="","",Calc!AL$7)</f>
        <v>consensus</v>
      </c>
      <c r="W8" s="23" t="n">
        <f aca="false">IF(Calc!$A$7="","",Calc!AN$7)</f>
        <v>0</v>
      </c>
    </row>
    <row r="9" customFormat="false" ht="15" hidden="false" customHeight="false" outlineLevel="0" collapsed="false">
      <c r="A9" s="17" t="str">
        <f aca="false">IF(Calc!$A$8="","",Calc!A$8)</f>
        <v>5434</v>
      </c>
      <c r="B9" s="17" t="str">
        <f aca="false">IF(Calc!$A$8="","",Calc!B$8)</f>
        <v>崇越</v>
      </c>
      <c r="C9" s="17" t="str">
        <f aca="false">IF(Calc!$A$8="","",Calc!C$8)</f>
        <v>池子</v>
      </c>
      <c r="D9" s="18" t="n">
        <f aca="false">IF(Calc!$A$8="","",Calc!D$8)</f>
        <v>576</v>
      </c>
      <c r="E9" s="19" t="str">
        <f aca="false">IF(Calc!$A$8="","",Calc!AA$8)</f>
        <v/>
      </c>
      <c r="F9" s="19" t="str">
        <f aca="false">IF(Calc!$A$8="","",Calc!AB$8)</f>
        <v/>
      </c>
      <c r="G9" s="19" t="str">
        <f aca="false">IF(Calc!$A$8="","",Calc!AG$8)</f>
        <v>N/M</v>
      </c>
      <c r="H9" s="19" t="str">
        <f aca="false">IF(Calc!$A$8="","",Calc!AH$8)</f>
        <v/>
      </c>
      <c r="I9" s="19" t="str">
        <f aca="false">IF(Calc!$A$8="","",Calc!AI$8)</f>
        <v>N/M</v>
      </c>
      <c r="J9" s="19" t="str">
        <f aca="false">IF(Calc!$A$8="","",Calc!T$8)</f>
        <v/>
      </c>
      <c r="K9" s="19" t="str">
        <f aca="false">IF(Calc!$A$8="","",Calc!W$8)</f>
        <v>N/M</v>
      </c>
      <c r="L9" s="20" t="str">
        <f aca="false">IF(Calc!$A$8="","",Calc!X$8)</f>
        <v/>
      </c>
      <c r="M9" s="21" t="str">
        <f aca="false">IF(Calc!$A$8="","",Calc!Y$8)</f>
        <v/>
      </c>
      <c r="N9" s="18" t="n">
        <f aca="false">IF(Calc!$A$8="","",Calc!AJ$8)</f>
        <v>0</v>
      </c>
      <c r="O9" s="22" t="str">
        <f aca="false">IF(Calc!$A$8="","",Calc!J$8)</f>
        <v>N/M</v>
      </c>
      <c r="P9" s="22" t="n">
        <f aca="false">IF(Calc!$A$8="","",Calc!L$8)</f>
        <v>17.3038831513808</v>
      </c>
      <c r="Q9" s="18" t="str">
        <f aca="false">IF(Calc!$A$8="","",Calc!N$8)</f>
        <v>N/M</v>
      </c>
      <c r="R9" s="18" t="n">
        <f aca="false">IF(Calc!$A$8="","",Calc!O$8)</f>
        <v>1.55536666757343</v>
      </c>
      <c r="S9" s="19" t="str">
        <f aca="false">IF(Calc!$A$8="","",Calc!Q$8)</f>
        <v>不配息</v>
      </c>
      <c r="T9" s="19" t="str">
        <f aca="false">IF(Calc!$A$8="","",Calc!R$8)</f>
        <v/>
      </c>
      <c r="U9" s="17" t="str">
        <f aca="false">IF(Calc!$A$8="","",Calc!AK$8)</f>
        <v/>
      </c>
      <c r="V9" s="17" t="str">
        <f aca="false">IF(Calc!$A$8="","",Calc!AL$8)</f>
        <v/>
      </c>
      <c r="W9" s="23" t="n">
        <f aca="false">IF(Calc!$A$8="","",Calc!AN$8)</f>
        <v>0</v>
      </c>
    </row>
    <row r="10" customFormat="false" ht="15" hidden="false" customHeight="false" outlineLevel="0" collapsed="false">
      <c r="A10" s="17" t="str">
        <f aca="false">IF(Calc!$A$9="","",Calc!A$9)</f>
        <v>2376</v>
      </c>
      <c r="B10" s="17" t="str">
        <f aca="false">IF(Calc!$A$9="","",Calc!B$9)</f>
        <v>技嘉</v>
      </c>
      <c r="C10" s="17" t="str">
        <f aca="false">IF(Calc!$A$9="","",Calc!C$9)</f>
        <v>池子</v>
      </c>
      <c r="D10" s="18" t="n">
        <f aca="false">IF(Calc!$A$9="","",Calc!D$9)</f>
        <v>357.5</v>
      </c>
      <c r="E10" s="19" t="n">
        <f aca="false">IF(Calc!$A$9="","",Calc!AA$9)</f>
        <v>0.10415901084296</v>
      </c>
      <c r="F10" s="19" t="n">
        <f aca="false">IF(Calc!$A$9="","",Calc!AB$9)</f>
        <v>0.118581328423799</v>
      </c>
      <c r="G10" s="19" t="n">
        <f aca="false">IF(Calc!$A$9="","",Calc!AG$9)</f>
        <v>0.301945745142759</v>
      </c>
      <c r="H10" s="19" t="n">
        <f aca="false">IF(Calc!$A$9="","",Calc!AH$9)</f>
        <v>0.249162750478788</v>
      </c>
      <c r="I10" s="19" t="n">
        <f aca="false">IF(Calc!$A$9="","",Calc!AI$9)</f>
        <v>0.342610662667669</v>
      </c>
      <c r="J10" s="19" t="n">
        <f aca="false">IF(Calc!$A$9="","",Calc!T$9)</f>
        <v>0.372721284654769</v>
      </c>
      <c r="K10" s="19" t="n">
        <f aca="false">IF(Calc!$A$9="","",Calc!W$9)</f>
        <v>1.12014068295473</v>
      </c>
      <c r="L10" s="20" t="str">
        <f aca="false">IF(Calc!$A$9="","",Calc!X$9)</f>
        <v>成長且加速</v>
      </c>
      <c r="M10" s="21" t="n">
        <f aca="false">IF(Calc!$A$9="","",Calc!Y$9)</f>
        <v>-18.259602584695</v>
      </c>
      <c r="N10" s="18" t="n">
        <f aca="false">IF(Calc!$A$9="","",Calc!AJ$9)</f>
        <v>8.21666</v>
      </c>
      <c r="O10" s="22" t="n">
        <f aca="false">IF(Calc!$A$9="","",Calc!J$9)</f>
        <v>13.3845001871958</v>
      </c>
      <c r="P10" s="22" t="n">
        <f aca="false">IF(Calc!$A$9="","",Calc!L$9)</f>
        <v>9.75549299616272</v>
      </c>
      <c r="Q10" s="18" t="n">
        <f aca="false">IF(Calc!$A$9="","",Calc!N$9)</f>
        <v>0.21357968228742</v>
      </c>
      <c r="R10" s="18" t="n">
        <f aca="false">IF(Calc!$A$9="","",Calc!O$9)</f>
        <v>1.00132590107419</v>
      </c>
      <c r="S10" s="19" t="n">
        <f aca="false">IF(Calc!$A$9="","",Calc!Q$9)</f>
        <v>0.027972027972028</v>
      </c>
      <c r="T10" s="19" t="n">
        <f aca="false">IF(Calc!$A$9="","",Calc!R$9)</f>
        <v>0.572835675836409</v>
      </c>
      <c r="U10" s="17" t="str">
        <f aca="false">IF(Calc!$A$9="","",Calc!AK$9)</f>
        <v>FY2026Q3E</v>
      </c>
      <c r="V10" s="17" t="str">
        <f aca="false">IF(Calc!$A$9="","",Calc!AL$9)</f>
        <v>consensus</v>
      </c>
      <c r="W10" s="23" t="n">
        <f aca="false">IF(Calc!$A$9="","",Calc!AN$9)</f>
        <v>0</v>
      </c>
    </row>
    <row r="11" customFormat="false" ht="15" hidden="false" customHeight="false" outlineLevel="0" collapsed="false">
      <c r="A11" s="17" t="str">
        <f aca="false">IF(Calc!$A$10="","",Calc!A$10)</f>
        <v>2059</v>
      </c>
      <c r="B11" s="17" t="str">
        <f aca="false">IF(Calc!$A$10="","",Calc!B$10)</f>
        <v>川湖</v>
      </c>
      <c r="C11" s="17" t="str">
        <f aca="false">IF(Calc!$A$10="","",Calc!C$10)</f>
        <v>池子</v>
      </c>
      <c r="D11" s="18" t="n">
        <f aca="false">IF(Calc!$A$10="","",Calc!D$10)</f>
        <v>9955</v>
      </c>
      <c r="E11" s="19" t="n">
        <f aca="false">IF(Calc!$A$10="","",Calc!AA$10)</f>
        <v>0.809798391469676</v>
      </c>
      <c r="F11" s="19" t="n">
        <f aca="false">IF(Calc!$A$10="","",Calc!AB$10)</f>
        <v>0.719932965892331</v>
      </c>
      <c r="G11" s="19" t="n">
        <f aca="false">IF(Calc!$A$10="","",Calc!AG$10)</f>
        <v>0.628454380649385</v>
      </c>
      <c r="H11" s="19" t="n">
        <f aca="false">IF(Calc!$A$10="","",Calc!AH$10)</f>
        <v>0.341147971116175</v>
      </c>
      <c r="I11" s="19" t="n">
        <f aca="false">IF(Calc!$A$10="","",Calc!AI$10)</f>
        <v>0.990033037124845</v>
      </c>
      <c r="J11" s="19" t="n">
        <f aca="false">IF(Calc!$A$10="","",Calc!T$10)</f>
        <v>0.987263761015464</v>
      </c>
      <c r="K11" s="19" t="n">
        <f aca="false">IF(Calc!$A$10="","",Calc!W$10)</f>
        <v>8.76010598471829</v>
      </c>
      <c r="L11" s="20" t="str">
        <f aca="false">IF(Calc!$A$10="","",Calc!X$10)</f>
        <v>成長且加速</v>
      </c>
      <c r="M11" s="21" t="n">
        <f aca="false">IF(Calc!$A$10="","",Calc!Y$10)</f>
        <v>91.7835034742456</v>
      </c>
      <c r="N11" s="18" t="n">
        <f aca="false">IF(Calc!$A$10="","",Calc!AJ$10)</f>
        <v>118.40075</v>
      </c>
      <c r="O11" s="22" t="n">
        <f aca="false">IF(Calc!$A$10="","",Calc!J$10)</f>
        <v>54.8817465130382</v>
      </c>
      <c r="P11" s="22" t="n">
        <f aca="false">IF(Calc!$A$10="","",Calc!L$10)</f>
        <v>21.3551302255832</v>
      </c>
      <c r="Q11" s="18" t="n">
        <f aca="false">IF(Calc!$A$10="","",Calc!N$10)</f>
        <v>0.325655479353104</v>
      </c>
      <c r="R11" s="18" t="n">
        <f aca="false">IF(Calc!$A$10="","",Calc!O$10)</f>
        <v>0.513361331853883</v>
      </c>
      <c r="S11" s="19" t="n">
        <f aca="false">IF(Calc!$A$10="","",Calc!Q$10)</f>
        <v>0.00323455549974887</v>
      </c>
      <c r="T11" s="19" t="n">
        <f aca="false">IF(Calc!$A$10="","",Calc!R$10)</f>
        <v>1.2692036645525</v>
      </c>
      <c r="U11" s="17" t="str">
        <f aca="false">IF(Calc!$A$10="","",Calc!AK$10)</f>
        <v>FY2026Q3E</v>
      </c>
      <c r="V11" s="17" t="str">
        <f aca="false">IF(Calc!$A$10="","",Calc!AL$10)</f>
        <v>consensus</v>
      </c>
      <c r="W11" s="23" t="n">
        <f aca="false">IF(Calc!$A$10="","",Calc!AN$10)</f>
        <v>0</v>
      </c>
    </row>
    <row r="12" customFormat="false" ht="15" hidden="false" customHeight="false" outlineLevel="0" collapsed="false">
      <c r="A12" s="17" t="str">
        <f aca="false">IF(Calc!$A$11="","",Calc!A$11)</f>
        <v>3081</v>
      </c>
      <c r="B12" s="17" t="str">
        <f aca="false">IF(Calc!$A$11="","",Calc!B$11)</f>
        <v>聯亞</v>
      </c>
      <c r="C12" s="17" t="str">
        <f aca="false">IF(Calc!$A$11="","",Calc!C$11)</f>
        <v>池子</v>
      </c>
      <c r="D12" s="18" t="n">
        <f aca="false">IF(Calc!$A$11="","",Calc!D$11)</f>
        <v>2545</v>
      </c>
      <c r="E12" s="19" t="n">
        <f aca="false">IF(Calc!$A$11="","",Calc!AA$11)</f>
        <v>0.527199677908259</v>
      </c>
      <c r="F12" s="19" t="n">
        <f aca="false">IF(Calc!$A$11="","",Calc!AB$11)</f>
        <v>0.358686834362507</v>
      </c>
      <c r="G12" s="19" t="n">
        <f aca="false">IF(Calc!$A$11="","",Calc!AG$11)</f>
        <v>0.24117216817725</v>
      </c>
      <c r="H12" s="19" t="n">
        <f aca="false">IF(Calc!$A$11="","",Calc!AH$11)</f>
        <v>0.0600543962917394</v>
      </c>
      <c r="I12" s="19" t="n">
        <f aca="false">IF(Calc!$A$11="","",Calc!AI$11)</f>
        <v>0.384482227728418</v>
      </c>
      <c r="J12" s="19" t="n">
        <f aca="false">IF(Calc!$A$11="","",Calc!T$11)</f>
        <v>0.350279581020999</v>
      </c>
      <c r="K12" s="19" t="n">
        <f aca="false">IF(Calc!$A$11="","",Calc!W$11)</f>
        <v>-0.141008947696954</v>
      </c>
      <c r="L12" s="20" t="str">
        <f aca="false">IF(Calc!$A$11="","",Calc!X$11)</f>
        <v>成長但減速</v>
      </c>
      <c r="M12" s="21" t="n">
        <f aca="false">IF(Calc!$A$11="","",Calc!Y$11)</f>
        <v>13.335644316902</v>
      </c>
      <c r="N12" s="18" t="n">
        <f aca="false">IF(Calc!$A$11="","",Calc!AJ$11)</f>
        <v>5.79</v>
      </c>
      <c r="O12" s="22" t="n">
        <f aca="false">IF(Calc!$A$11="","",Calc!J$11)</f>
        <v>227.029438001784</v>
      </c>
      <c r="P12" s="22" t="n">
        <f aca="false">IF(Calc!$A$11="","",Calc!L$11)</f>
        <v>72.1481793034436</v>
      </c>
      <c r="Q12" s="18" t="n">
        <f aca="false">IF(Calc!$A$11="","",Calc!N$11)</f>
        <v>0.403024947713251</v>
      </c>
      <c r="R12" s="18" t="n">
        <f aca="false">IF(Calc!$A$11="","",Calc!O$11)</f>
        <v>0.715198070996358</v>
      </c>
      <c r="S12" s="19" t="n">
        <f aca="false">IF(Calc!$A$11="","",Calc!Q$11)</f>
        <v>0.000196472357563851</v>
      </c>
      <c r="T12" s="19" t="n">
        <f aca="false">IF(Calc!$A$11="","",Calc!R$11)</f>
        <v>9.77052174586657E-005</v>
      </c>
      <c r="U12" s="17" t="str">
        <f aca="false">IF(Calc!$A$11="","",Calc!AK$11)</f>
        <v>FY2026Q3E</v>
      </c>
      <c r="V12" s="17" t="str">
        <f aca="false">IF(Calc!$A$11="","",Calc!AL$11)</f>
        <v>consensus</v>
      </c>
      <c r="W12" s="23" t="n">
        <f aca="false">IF(Calc!$A$11="","",Calc!AN$11)</f>
        <v>0</v>
      </c>
    </row>
    <row r="13" customFormat="false" ht="15" hidden="false" customHeight="false" outlineLevel="0" collapsed="false">
      <c r="A13" s="17" t="str">
        <f aca="false">IF(Calc!$A$12="","",Calc!A$12)</f>
        <v>3163</v>
      </c>
      <c r="B13" s="17" t="str">
        <f aca="false">IF(Calc!$A$12="","",Calc!B$12)</f>
        <v>波若威</v>
      </c>
      <c r="C13" s="17" t="str">
        <f aca="false">IF(Calc!$A$12="","",Calc!C$12)</f>
        <v>基本面not good</v>
      </c>
      <c r="D13" s="18" t="n">
        <f aca="false">IF(Calc!$A$12="","",Calc!D$12)</f>
        <v>589</v>
      </c>
      <c r="E13" s="19" t="n">
        <f aca="false">IF(Calc!$A$12="","",Calc!AA$12)</f>
        <v>0.178306504390756</v>
      </c>
      <c r="F13" s="19" t="n">
        <f aca="false">IF(Calc!$A$12="","",Calc!AB$12)</f>
        <v>0.194188067451665</v>
      </c>
      <c r="G13" s="19" t="n">
        <f aca="false">IF(Calc!$A$12="","",Calc!AG$12)</f>
        <v>0.265219556044418</v>
      </c>
      <c r="H13" s="19" t="n">
        <f aca="false">IF(Calc!$A$12="","",Calc!AH$12)</f>
        <v>0.188510758552902</v>
      </c>
      <c r="I13" s="19" t="n">
        <f aca="false">IF(Calc!$A$12="","",Calc!AI$12)</f>
        <v>0</v>
      </c>
      <c r="J13" s="19" t="n">
        <f aca="false">IF(Calc!$A$12="","",Calc!T$12)</f>
        <v>-0.0979187465229884</v>
      </c>
      <c r="K13" s="19" t="n">
        <f aca="false">IF(Calc!$A$12="","",Calc!W$12)</f>
        <v>-2.837724519521</v>
      </c>
      <c r="L13" s="20" t="str">
        <f aca="false">IF(Calc!$A$12="","",Calc!X$12)</f>
        <v>由正轉負</v>
      </c>
      <c r="M13" s="21" t="n">
        <f aca="false">IF(Calc!$A$12="","",Calc!Y$12)</f>
        <v>-12.5734539663427</v>
      </c>
      <c r="N13" s="18" t="n">
        <f aca="false">IF(Calc!$A$12="","",Calc!AJ$12)</f>
        <v>0</v>
      </c>
      <c r="O13" s="22" t="n">
        <f aca="false">IF(Calc!$A$12="","",Calc!J$12)</f>
        <v>61.0995850622407</v>
      </c>
      <c r="P13" s="22" t="str">
        <f aca="false">IF(Calc!$A$12="","",Calc!L$12)</f>
        <v>N/M</v>
      </c>
      <c r="Q13" s="18" t="n">
        <f aca="false">IF(Calc!$A$12="","",Calc!N$12)</f>
        <v>0.229232394741359</v>
      </c>
      <c r="R13" s="18" t="str">
        <f aca="false">IF(Calc!$A$12="","",Calc!O$12)</f>
        <v>N/M</v>
      </c>
      <c r="S13" s="19" t="str">
        <f aca="false">IF(Calc!$A$12="","",Calc!Q$12)</f>
        <v>不配息</v>
      </c>
      <c r="T13" s="19" t="n">
        <f aca="false">IF(Calc!$A$12="","",Calc!R$12)</f>
        <v>-1</v>
      </c>
      <c r="U13" s="17" t="str">
        <f aca="false">IF(Calc!$A$12="","",Calc!AK$12)</f>
        <v/>
      </c>
      <c r="V13" s="17" t="str">
        <f aca="false">IF(Calc!$A$12="","",Calc!AL$12)</f>
        <v/>
      </c>
      <c r="W13" s="23" t="n">
        <f aca="false">IF(Calc!$A$12="","",Calc!AN$12)</f>
        <v>0</v>
      </c>
    </row>
    <row r="14" customFormat="false" ht="15" hidden="false" customHeight="false" outlineLevel="0" collapsed="false">
      <c r="A14" s="17" t="str">
        <f aca="false">IF(Calc!$A$13="","",Calc!A$13)</f>
        <v>3189</v>
      </c>
      <c r="B14" s="17" t="str">
        <f aca="false">IF(Calc!$A$13="","",Calc!B$13)</f>
        <v>景碩</v>
      </c>
      <c r="C14" s="17" t="str">
        <f aca="false">IF(Calc!$A$13="","",Calc!C$13)</f>
        <v>池子</v>
      </c>
      <c r="D14" s="18" t="n">
        <f aca="false">IF(Calc!$A$13="","",Calc!D$13)</f>
        <v>1000</v>
      </c>
      <c r="E14" s="19" t="n">
        <f aca="false">IF(Calc!$A$13="","",Calc!AA$13)</f>
        <v>0.222641906441857</v>
      </c>
      <c r="F14" s="19" t="n">
        <f aca="false">IF(Calc!$A$13="","",Calc!AB$13)</f>
        <v>0.285033485013648</v>
      </c>
      <c r="G14" s="19" t="n">
        <f aca="false">IF(Calc!$A$13="","",Calc!AG$13)</f>
        <v>0.0778103242070686</v>
      </c>
      <c r="H14" s="19" t="n">
        <f aca="false">IF(Calc!$A$13="","",Calc!AH$13)</f>
        <v>0.0864176589454461</v>
      </c>
      <c r="I14" s="19" t="n">
        <f aca="false">IF(Calc!$A$13="","",Calc!AI$13)</f>
        <v>0.142690289996194</v>
      </c>
      <c r="J14" s="19" t="n">
        <f aca="false">IF(Calc!$A$13="","",Calc!T$13)</f>
        <v>0.125285311570095</v>
      </c>
      <c r="K14" s="19" t="n">
        <f aca="false">IF(Calc!$A$13="","",Calc!W$13)</f>
        <v>3.61461595815978</v>
      </c>
      <c r="L14" s="20" t="str">
        <f aca="false">IF(Calc!$A$13="","",Calc!X$13)</f>
        <v>成長且加速</v>
      </c>
      <c r="M14" s="21" t="n">
        <f aca="false">IF(Calc!$A$13="","",Calc!Y$13)</f>
        <v>1.5771386330552</v>
      </c>
      <c r="N14" s="18" t="n">
        <f aca="false">IF(Calc!$A$13="","",Calc!AJ$13)</f>
        <v>3.18425</v>
      </c>
      <c r="O14" s="22" t="n">
        <f aca="false">IF(Calc!$A$13="","",Calc!J$13)</f>
        <v>169.491525423729</v>
      </c>
      <c r="P14" s="22" t="n">
        <f aca="false">IF(Calc!$A$13="","",Calc!L$13)</f>
        <v>38.2558451268226</v>
      </c>
      <c r="Q14" s="18" t="n">
        <f aca="false">IF(Calc!$A$13="","",Calc!N$13)</f>
        <v>0.43728090780962</v>
      </c>
      <c r="R14" s="18" t="n">
        <f aca="false">IF(Calc!$A$13="","",Calc!O$13)</f>
        <v>0.258725241920298</v>
      </c>
      <c r="S14" s="19" t="n">
        <f aca="false">IF(Calc!$A$13="","",Calc!Q$13)</f>
        <v>0.00100017193</v>
      </c>
      <c r="T14" s="19" t="n">
        <f aca="false">IF(Calc!$A$13="","",Calc!R$13)</f>
        <v>6.40830892795208E-005</v>
      </c>
      <c r="U14" s="17" t="str">
        <f aca="false">IF(Calc!$A$13="","",Calc!AK$13)</f>
        <v>FY2026Q3E</v>
      </c>
      <c r="V14" s="17" t="str">
        <f aca="false">IF(Calc!$A$13="","",Calc!AL$13)</f>
        <v>consensus</v>
      </c>
      <c r="W14" s="23" t="n">
        <f aca="false">IF(Calc!$A$13="","",Calc!AN$13)</f>
        <v>0</v>
      </c>
    </row>
    <row r="15" customFormat="false" ht="15" hidden="false" customHeight="false" outlineLevel="0" collapsed="false">
      <c r="A15" s="17" t="str">
        <f aca="false">IF(Calc!$A$14="","",Calc!A$14)</f>
        <v>6442</v>
      </c>
      <c r="B15" s="17" t="str">
        <f aca="false">IF(Calc!$A$14="","",Calc!B$14)</f>
        <v>光聖</v>
      </c>
      <c r="C15" s="17" t="str">
        <f aca="false">IF(Calc!$A$14="","",Calc!C$14)</f>
        <v>池子</v>
      </c>
      <c r="D15" s="18" t="n">
        <f aca="false">IF(Calc!$A$14="","",Calc!D$14)</f>
        <v>1505</v>
      </c>
      <c r="E15" s="19" t="str">
        <f aca="false">IF(Calc!$A$14="","",Calc!AA$14)</f>
        <v/>
      </c>
      <c r="F15" s="19" t="str">
        <f aca="false">IF(Calc!$A$14="","",Calc!AB$14)</f>
        <v/>
      </c>
      <c r="G15" s="19" t="str">
        <f aca="false">IF(Calc!$A$14="","",Calc!AG$14)</f>
        <v>N/M</v>
      </c>
      <c r="H15" s="19" t="str">
        <f aca="false">IF(Calc!$A$14="","",Calc!AH$14)</f>
        <v/>
      </c>
      <c r="I15" s="19" t="str">
        <f aca="false">IF(Calc!$A$14="","",Calc!AI$14)</f>
        <v>N/M</v>
      </c>
      <c r="J15" s="19" t="str">
        <f aca="false">IF(Calc!$A$14="","",Calc!T$14)</f>
        <v/>
      </c>
      <c r="K15" s="19" t="str">
        <f aca="false">IF(Calc!$A$14="","",Calc!W$14)</f>
        <v>N/M</v>
      </c>
      <c r="L15" s="20" t="str">
        <f aca="false">IF(Calc!$A$14="","",Calc!X$14)</f>
        <v/>
      </c>
      <c r="M15" s="21" t="str">
        <f aca="false">IF(Calc!$A$14="","",Calc!Y$14)</f>
        <v/>
      </c>
      <c r="N15" s="18" t="n">
        <f aca="false">IF(Calc!$A$14="","",Calc!AJ$14)</f>
        <v>0</v>
      </c>
      <c r="O15" s="22" t="str">
        <f aca="false">IF(Calc!$A$14="","",Calc!J$14)</f>
        <v>N/M</v>
      </c>
      <c r="P15" s="22" t="n">
        <f aca="false">IF(Calc!$A$14="","",Calc!L$14)</f>
        <v>12.9917015823943</v>
      </c>
      <c r="Q15" s="18" t="str">
        <f aca="false">IF(Calc!$A$14="","",Calc!N$14)</f>
        <v>N/M</v>
      </c>
      <c r="R15" s="18" t="n">
        <f aca="false">IF(Calc!$A$14="","",Calc!O$14)</f>
        <v>0.118490280206541</v>
      </c>
      <c r="S15" s="19" t="str">
        <f aca="false">IF(Calc!$A$14="","",Calc!Q$14)</f>
        <v>不配息</v>
      </c>
      <c r="T15" s="19" t="str">
        <f aca="false">IF(Calc!$A$14="","",Calc!R$14)</f>
        <v/>
      </c>
      <c r="U15" s="17" t="str">
        <f aca="false">IF(Calc!$A$14="","",Calc!AK$14)</f>
        <v/>
      </c>
      <c r="V15" s="17" t="str">
        <f aca="false">IF(Calc!$A$14="","",Calc!AL$14)</f>
        <v/>
      </c>
      <c r="W15" s="23" t="n">
        <f aca="false">IF(Calc!$A$14="","",Calc!AN$14)</f>
        <v>0</v>
      </c>
    </row>
    <row r="16" customFormat="false" ht="15" hidden="false" customHeight="false" outlineLevel="0" collapsed="false">
      <c r="A16" s="17" t="str">
        <f aca="false">IF(Calc!$A$15="","",Calc!A$15)</f>
        <v>2303</v>
      </c>
      <c r="B16" s="17" t="str">
        <f aca="false">IF(Calc!$A$15="","",Calc!B$15)</f>
        <v>聯電</v>
      </c>
      <c r="C16" s="17" t="str">
        <f aca="false">IF(Calc!$A$15="","",Calc!C$15)</f>
        <v>池子</v>
      </c>
      <c r="D16" s="18" t="n">
        <f aca="false">IF(Calc!$A$15="","",Calc!D$15)</f>
        <v>133</v>
      </c>
      <c r="E16" s="19" t="n">
        <f aca="false">IF(Calc!$A$15="","",Calc!AA$15)</f>
        <v>0.306026518613556</v>
      </c>
      <c r="F16" s="19" t="n">
        <f aca="false">IF(Calc!$A$15="","",Calc!AB$15)</f>
        <v>0.355183628068084</v>
      </c>
      <c r="G16" s="19" t="n">
        <f aca="false">IF(Calc!$A$15="","",Calc!AG$15)</f>
        <v>0.215167216303623</v>
      </c>
      <c r="H16" s="19" t="n">
        <f aca="false">IF(Calc!$A$15="","",Calc!AH$15)</f>
        <v>0.207483850203655</v>
      </c>
      <c r="I16" s="19" t="n">
        <f aca="false">IF(Calc!$A$15="","",Calc!AI$15)</f>
        <v>0.202624428530207</v>
      </c>
      <c r="J16" s="19" t="n">
        <f aca="false">IF(Calc!$A$15="","",Calc!T$15)</f>
        <v>0.126065276621074</v>
      </c>
      <c r="K16" s="19" t="str">
        <f aca="false">IF(Calc!$A$15="","",Calc!W$15)</f>
        <v>N/M</v>
      </c>
      <c r="L16" s="20" t="str">
        <f aca="false">IF(Calc!$A$15="","",Calc!X$15)</f>
        <v>由負轉正</v>
      </c>
      <c r="M16" s="21" t="n">
        <f aca="false">IF(Calc!$A$15="","",Calc!Y$15)</f>
        <v>11.0532677234604</v>
      </c>
      <c r="N16" s="18" t="n">
        <f aca="false">IF(Calc!$A$15="","",Calc!AJ$15)</f>
        <v>1.4114</v>
      </c>
      <c r="O16" s="22" t="n">
        <f aca="false">IF(Calc!$A$15="","",Calc!J$15)</f>
        <v>19.9101796407186</v>
      </c>
      <c r="P16" s="22" t="n">
        <f aca="false">IF(Calc!$A$15="","",Calc!L$15)</f>
        <v>18.2553175132013</v>
      </c>
      <c r="Q16" s="18" t="n">
        <f aca="false">IF(Calc!$A$15="","",Calc!N$15)</f>
        <v>0.179815582510193</v>
      </c>
      <c r="R16" s="18" t="str">
        <f aca="false">IF(Calc!$A$15="","",Calc!O$15)</f>
        <v>N/M</v>
      </c>
      <c r="S16" s="19" t="str">
        <f aca="false">IF(Calc!$A$15="","",Calc!Q$15)</f>
        <v>不配息</v>
      </c>
      <c r="T16" s="19" t="n">
        <f aca="false">IF(Calc!$A$15="","",Calc!R$15)</f>
        <v>-1</v>
      </c>
      <c r="U16" s="17" t="str">
        <f aca="false">IF(Calc!$A$15="","",Calc!AK$15)</f>
        <v>FY2026Q3E</v>
      </c>
      <c r="V16" s="17" t="str">
        <f aca="false">IF(Calc!$A$15="","",Calc!AL$15)</f>
        <v>consensus</v>
      </c>
      <c r="W16" s="23" t="n">
        <f aca="false">IF(Calc!$A$15="","",Calc!AN$15)</f>
        <v>0</v>
      </c>
    </row>
    <row r="17" customFormat="false" ht="15" hidden="false" customHeight="false" outlineLevel="0" collapsed="false">
      <c r="A17" s="17" t="str">
        <f aca="false">IF(Calc!$A$16="","",Calc!A$16)</f>
        <v>2454</v>
      </c>
      <c r="B17" s="17" t="str">
        <f aca="false">IF(Calc!$A$16="","",Calc!B$16)</f>
        <v>聯發科</v>
      </c>
      <c r="C17" s="17" t="str">
        <f aca="false">IF(Calc!$A$16="","",Calc!C$16)</f>
        <v>池子</v>
      </c>
      <c r="D17" s="18" t="n">
        <f aca="false">IF(Calc!$A$16="","",Calc!D$16)</f>
        <v>4250</v>
      </c>
      <c r="E17" s="19" t="n">
        <f aca="false">IF(Calc!$A$16="","",Calc!AA$16)</f>
        <v>0.462849459272204</v>
      </c>
      <c r="F17" s="19" t="n">
        <f aca="false">IF(Calc!$A$16="","",Calc!AB$16)</f>
        <v>0.482852341875616</v>
      </c>
      <c r="G17" s="19" t="n">
        <f aca="false">IF(Calc!$A$16="","",Calc!AG$16)</f>
        <v>0.243176517047698</v>
      </c>
      <c r="H17" s="19" t="n">
        <f aca="false">IF(Calc!$A$16="","",Calc!AH$16)</f>
        <v>0.269656864555169</v>
      </c>
      <c r="I17" s="19" t="n">
        <f aca="false">IF(Calc!$A$16="","",Calc!AI$16)</f>
        <v>0.258960657855284</v>
      </c>
      <c r="J17" s="19" t="n">
        <f aca="false">IF(Calc!$A$16="","",Calc!T$16)</f>
        <v>0.0203291359848519</v>
      </c>
      <c r="K17" s="19" t="str">
        <f aca="false">IF(Calc!$A$16="","",Calc!W$16)</f>
        <v>N/M</v>
      </c>
      <c r="L17" s="20" t="str">
        <f aca="false">IF(Calc!$A$16="","",Calc!X$16)</f>
        <v>由負轉正</v>
      </c>
      <c r="M17" s="21" t="n">
        <f aca="false">IF(Calc!$A$16="","",Calc!Y$16)</f>
        <v>3.95295994155694</v>
      </c>
      <c r="N17" s="18" t="n">
        <f aca="false">IF(Calc!$A$16="","",Calc!AJ$16)</f>
        <v>15.43434</v>
      </c>
      <c r="O17" s="22" t="n">
        <f aca="false">IF(Calc!$A$16="","",Calc!J$16)</f>
        <v>70.0280112044818</v>
      </c>
      <c r="P17" s="22" t="n">
        <f aca="false">IF(Calc!$A$16="","",Calc!L$16)</f>
        <v>32.2003371651897</v>
      </c>
      <c r="Q17" s="18" t="str">
        <f aca="false">IF(Calc!$A$16="","",Calc!N$16)</f>
        <v>N/M</v>
      </c>
      <c r="R17" s="18" t="n">
        <f aca="false">IF(Calc!$A$16="","",Calc!O$16)</f>
        <v>0.274996185089083</v>
      </c>
      <c r="S17" s="19" t="n">
        <f aca="false">IF(Calc!$A$16="","",Calc!Q$16)</f>
        <v>0.0127059335223529</v>
      </c>
      <c r="T17" s="19" t="n">
        <f aca="false">IF(Calc!$A$16="","",Calc!R$16)</f>
        <v>-0.0909866707983378</v>
      </c>
      <c r="U17" s="17" t="str">
        <f aca="false">IF(Calc!$A$16="","",Calc!AK$16)</f>
        <v>FY2026Q3E</v>
      </c>
      <c r="V17" s="17" t="str">
        <f aca="false">IF(Calc!$A$16="","",Calc!AL$16)</f>
        <v>consensus</v>
      </c>
      <c r="W17" s="23" t="n">
        <f aca="false">IF(Calc!$A$16="","",Calc!AN$16)</f>
        <v>0</v>
      </c>
    </row>
    <row r="18" customFormat="false" ht="15" hidden="false" customHeight="false" outlineLevel="0" collapsed="false">
      <c r="A18" s="17" t="str">
        <f aca="false">IF(Calc!$A$17="","",Calc!A$17)</f>
        <v>2465</v>
      </c>
      <c r="B18" s="17" t="str">
        <f aca="false">IF(Calc!$A$17="","",Calc!B$17)</f>
        <v>麗臺</v>
      </c>
      <c r="C18" s="17" t="str">
        <f aca="false">IF(Calc!$A$17="","",Calc!C$17)</f>
        <v>池子</v>
      </c>
      <c r="D18" s="18" t="n">
        <f aca="false">IF(Calc!$A$17="","",Calc!D$17)</f>
        <v>86</v>
      </c>
      <c r="E18" s="19" t="n">
        <f aca="false">IF(Calc!$A$17="","",Calc!AA$17)</f>
        <v>0.095604954504336</v>
      </c>
      <c r="F18" s="19" t="n">
        <f aca="false">IF(Calc!$A$17="","",Calc!AB$17)</f>
        <v>0.118614384746041</v>
      </c>
      <c r="G18" s="19" t="n">
        <f aca="false">IF(Calc!$A$17="","",Calc!AG$17)</f>
        <v>0.263003472160269</v>
      </c>
      <c r="H18" s="19" t="n">
        <f aca="false">IF(Calc!$A$17="","",Calc!AH$17)</f>
        <v>-0.146717242444086</v>
      </c>
      <c r="I18" s="19" t="n">
        <f aca="false">IF(Calc!$A$17="","",Calc!AI$17)</f>
        <v>0</v>
      </c>
      <c r="J18" s="19" t="n">
        <f aca="false">IF(Calc!$A$17="","",Calc!T$17)</f>
        <v>0.596803569744352</v>
      </c>
      <c r="K18" s="19" t="n">
        <f aca="false">IF(Calc!$A$17="","",Calc!W$17)</f>
        <v>-0.136297404875837</v>
      </c>
      <c r="L18" s="20" t="str">
        <f aca="false">IF(Calc!$A$17="","",Calc!X$17)</f>
        <v>成長但減速</v>
      </c>
      <c r="M18" s="21" t="n">
        <f aca="false">IF(Calc!$A$17="","",Calc!Y$17)</f>
        <v>69.9493074179724</v>
      </c>
      <c r="N18" s="18" t="n">
        <f aca="false">IF(Calc!$A$17="","",Calc!AJ$17)</f>
        <v>0</v>
      </c>
      <c r="O18" s="22" t="n">
        <f aca="false">IF(Calc!$A$17="","",Calc!J$17)</f>
        <v>31.8518518518519</v>
      </c>
      <c r="P18" s="22" t="str">
        <f aca="false">IF(Calc!$A$17="","",Calc!L$17)</f>
        <v>N/M</v>
      </c>
      <c r="Q18" s="18" t="str">
        <f aca="false">IF(Calc!$A$17="","",Calc!N$17)</f>
        <v>N/M</v>
      </c>
      <c r="R18" s="18" t="str">
        <f aca="false">IF(Calc!$A$17="","",Calc!O$17)</f>
        <v>N/M</v>
      </c>
      <c r="S18" s="19" t="str">
        <f aca="false">IF(Calc!$A$17="","",Calc!Q$17)</f>
        <v>不配息</v>
      </c>
      <c r="T18" s="19" t="str">
        <f aca="false">IF(Calc!$A$17="","",Calc!R$17)</f>
        <v/>
      </c>
      <c r="U18" s="17" t="str">
        <f aca="false">IF(Calc!$A$17="","",Calc!AK$17)</f>
        <v/>
      </c>
      <c r="V18" s="17" t="str">
        <f aca="false">IF(Calc!$A$17="","",Calc!AL$17)</f>
        <v/>
      </c>
      <c r="W18" s="23" t="n">
        <f aca="false">IF(Calc!$A$17="","",Calc!AN$17)</f>
        <v>0</v>
      </c>
    </row>
    <row r="19" customFormat="false" ht="15" hidden="false" customHeight="false" outlineLevel="0" collapsed="false">
      <c r="A19" s="17" t="str">
        <f aca="false">IF(Calc!$A$18="","",Calc!A$18)</f>
        <v>4938</v>
      </c>
      <c r="B19" s="17" t="str">
        <f aca="false">IF(Calc!$A$18="","",Calc!B$18)</f>
        <v>和碩</v>
      </c>
      <c r="C19" s="17" t="str">
        <f aca="false">IF(Calc!$A$18="","",Calc!C$18)</f>
        <v>池子</v>
      </c>
      <c r="D19" s="18" t="n">
        <f aca="false">IF(Calc!$A$18="","",Calc!D$18)</f>
        <v>102</v>
      </c>
      <c r="E19" s="19" t="n">
        <f aca="false">IF(Calc!$A$18="","",Calc!AA$18)</f>
        <v>0.0428089252901848</v>
      </c>
      <c r="F19" s="19" t="n">
        <f aca="false">IF(Calc!$A$18="","",Calc!AB$18)</f>
        <v>0.0396882618137586</v>
      </c>
      <c r="G19" s="19" t="n">
        <f aca="false">IF(Calc!$A$18="","",Calc!AG$18)</f>
        <v>0.0821536877888394</v>
      </c>
      <c r="H19" s="19" t="n">
        <f aca="false">IF(Calc!$A$18="","",Calc!AH$18)</f>
        <v>0.0872674361183306</v>
      </c>
      <c r="I19" s="19" t="n">
        <f aca="false">IF(Calc!$A$18="","",Calc!AI$18)</f>
        <v>0.0748730420535528</v>
      </c>
      <c r="J19" s="19" t="n">
        <f aca="false">IF(Calc!$A$18="","",Calc!T$18)</f>
        <v>0.124300662746502</v>
      </c>
      <c r="K19" s="19" t="str">
        <f aca="false">IF(Calc!$A$18="","",Calc!W$18)</f>
        <v>N/M</v>
      </c>
      <c r="L19" s="20" t="str">
        <f aca="false">IF(Calc!$A$18="","",Calc!X$18)</f>
        <v>由負轉正</v>
      </c>
      <c r="M19" s="21" t="n">
        <f aca="false">IF(Calc!$A$18="","",Calc!Y$18)</f>
        <v>14.3012386224339</v>
      </c>
      <c r="N19" s="18" t="n">
        <f aca="false">IF(Calc!$A$18="","",Calc!AJ$18)</f>
        <v>1.47057</v>
      </c>
      <c r="O19" s="22" t="n">
        <f aca="false">IF(Calc!$A$18="","",Calc!J$18)</f>
        <v>17.2297297297297</v>
      </c>
      <c r="P19" s="22" t="n">
        <f aca="false">IF(Calc!$A$18="","",Calc!L$18)</f>
        <v>14.3747571943082</v>
      </c>
      <c r="Q19" s="18" t="n">
        <f aca="false">IF(Calc!$A$18="","",Calc!N$18)</f>
        <v>0.699497574497574</v>
      </c>
      <c r="R19" s="18" t="n">
        <f aca="false">IF(Calc!$A$18="","",Calc!O$18)</f>
        <v>0.50462386806714</v>
      </c>
      <c r="S19" s="19" t="n">
        <f aca="false">IF(Calc!$A$18="","",Calc!Q$18)</f>
        <v>0.0393082043137255</v>
      </c>
      <c r="T19" s="19" t="n">
        <f aca="false">IF(Calc!$A$18="","",Calc!R$18)</f>
        <v>-0.109573083169745</v>
      </c>
      <c r="U19" s="17" t="str">
        <f aca="false">IF(Calc!$A$18="","",Calc!AK$18)</f>
        <v>FY2026Q3E</v>
      </c>
      <c r="V19" s="17" t="str">
        <f aca="false">IF(Calc!$A$18="","",Calc!AL$18)</f>
        <v>consensus</v>
      </c>
      <c r="W19" s="23" t="n">
        <f aca="false">IF(Calc!$A$18="","",Calc!AN$18)</f>
        <v>0</v>
      </c>
    </row>
    <row r="20" customFormat="false" ht="15" hidden="false" customHeight="false" outlineLevel="0" collapsed="false">
      <c r="A20" s="17" t="str">
        <f aca="false">IF(Calc!$A$19="","",Calc!A$19)</f>
        <v>8299</v>
      </c>
      <c r="B20" s="17" t="str">
        <f aca="false">IF(Calc!$A$19="","",Calc!B$19)</f>
        <v>群聯</v>
      </c>
      <c r="C20" s="17" t="str">
        <f aca="false">IF(Calc!$A$19="","",Calc!C$19)</f>
        <v>池子</v>
      </c>
      <c r="D20" s="18" t="n">
        <f aca="false">IF(Calc!$A$19="","",Calc!D$19)</f>
        <v>1890</v>
      </c>
      <c r="E20" s="19" t="str">
        <f aca="false">IF(Calc!$A$19="","",Calc!AA$19)</f>
        <v/>
      </c>
      <c r="F20" s="19" t="str">
        <f aca="false">IF(Calc!$A$19="","",Calc!AB$19)</f>
        <v/>
      </c>
      <c r="G20" s="19" t="str">
        <f aca="false">IF(Calc!$A$19="","",Calc!AG$19)</f>
        <v>N/M</v>
      </c>
      <c r="H20" s="19" t="str">
        <f aca="false">IF(Calc!$A$19="","",Calc!AH$19)</f>
        <v/>
      </c>
      <c r="I20" s="19" t="str">
        <f aca="false">IF(Calc!$A$19="","",Calc!AI$19)</f>
        <v>N/M</v>
      </c>
      <c r="J20" s="19" t="str">
        <f aca="false">IF(Calc!$A$19="","",Calc!T$19)</f>
        <v/>
      </c>
      <c r="K20" s="19" t="str">
        <f aca="false">IF(Calc!$A$19="","",Calc!W$19)</f>
        <v>N/M</v>
      </c>
      <c r="L20" s="20" t="str">
        <f aca="false">IF(Calc!$A$19="","",Calc!X$19)</f>
        <v/>
      </c>
      <c r="M20" s="21" t="str">
        <f aca="false">IF(Calc!$A$19="","",Calc!Y$19)</f>
        <v/>
      </c>
      <c r="N20" s="18" t="n">
        <f aca="false">IF(Calc!$A$19="","",Calc!AJ$19)</f>
        <v>0</v>
      </c>
      <c r="O20" s="22" t="str">
        <f aca="false">IF(Calc!$A$19="","",Calc!J$19)</f>
        <v>N/M</v>
      </c>
      <c r="P20" s="22" t="n">
        <f aca="false">IF(Calc!$A$19="","",Calc!L$19)</f>
        <v>6.12102984841063</v>
      </c>
      <c r="Q20" s="18" t="str">
        <f aca="false">IF(Calc!$A$19="","",Calc!N$19)</f>
        <v>N/M</v>
      </c>
      <c r="R20" s="18" t="str">
        <f aca="false">IF(Calc!$A$19="","",Calc!O$19)</f>
        <v>N/M</v>
      </c>
      <c r="S20" s="19" t="str">
        <f aca="false">IF(Calc!$A$19="","",Calc!Q$19)</f>
        <v>不配息</v>
      </c>
      <c r="T20" s="19" t="str">
        <f aca="false">IF(Calc!$A$19="","",Calc!R$19)</f>
        <v/>
      </c>
      <c r="U20" s="17" t="str">
        <f aca="false">IF(Calc!$A$19="","",Calc!AK$19)</f>
        <v/>
      </c>
      <c r="V20" s="17" t="str">
        <f aca="false">IF(Calc!$A$19="","",Calc!AL$19)</f>
        <v/>
      </c>
      <c r="W20" s="23" t="n">
        <f aca="false">IF(Calc!$A$19="","",Calc!AN$19)</f>
        <v>0</v>
      </c>
    </row>
    <row r="21" customFormat="false" ht="15" hidden="false" customHeight="false" outlineLevel="0" collapsed="false">
      <c r="A21" s="17" t="str">
        <f aca="false">IF(Calc!$A$20="","",Calc!A$20)</f>
        <v>3105</v>
      </c>
      <c r="B21" s="17" t="str">
        <f aca="false">IF(Calc!$A$20="","",Calc!B$20)</f>
        <v>穩懋</v>
      </c>
      <c r="C21" s="17" t="str">
        <f aca="false">IF(Calc!$A$20="","",Calc!C$20)</f>
        <v>池子</v>
      </c>
      <c r="D21" s="18" t="n">
        <f aca="false">IF(Calc!$A$20="","",Calc!D$20)</f>
        <v>501</v>
      </c>
      <c r="E21" s="19" t="n">
        <f aca="false">IF(Calc!$A$20="","",Calc!AA$20)</f>
        <v>0.283508578641305</v>
      </c>
      <c r="F21" s="19" t="n">
        <f aca="false">IF(Calc!$A$20="","",Calc!AB$20)</f>
        <v>0.26605366742513</v>
      </c>
      <c r="G21" s="19" t="n">
        <f aca="false">IF(Calc!$A$20="","",Calc!AG$20)</f>
        <v>0.0898087355197115</v>
      </c>
      <c r="H21" s="19" t="n">
        <f aca="false">IF(Calc!$A$20="","",Calc!AH$20)</f>
        <v>0.0508951709631041</v>
      </c>
      <c r="I21" s="19" t="n">
        <f aca="false">IF(Calc!$A$20="","",Calc!AI$20)</f>
        <v>0.0754540807228892</v>
      </c>
      <c r="J21" s="19" t="n">
        <f aca="false">IF(Calc!$A$20="","",Calc!T$20)</f>
        <v>0.145359319921744</v>
      </c>
      <c r="K21" s="19" t="str">
        <f aca="false">IF(Calc!$A$20="","",Calc!W$20)</f>
        <v>N/M</v>
      </c>
      <c r="L21" s="20" t="str">
        <f aca="false">IF(Calc!$A$20="","",Calc!X$20)</f>
        <v>由負轉正</v>
      </c>
      <c r="M21" s="21" t="n">
        <f aca="false">IF(Calc!$A$20="","",Calc!Y$20)</f>
        <v>8.81428010027765</v>
      </c>
      <c r="N21" s="18" t="n">
        <f aca="false">IF(Calc!$A$20="","",Calc!AJ$20)</f>
        <v>2.11774</v>
      </c>
      <c r="O21" s="22" t="n">
        <f aca="false">IF(Calc!$A$20="","",Calc!J$20)</f>
        <v>58.8719153936545</v>
      </c>
      <c r="P21" s="22" t="n">
        <f aca="false">IF(Calc!$A$20="","",Calc!L$20)</f>
        <v>51.5368746091227</v>
      </c>
      <c r="Q21" s="18" t="str">
        <f aca="false">IF(Calc!$A$20="","",Calc!N$20)</f>
        <v>N/M</v>
      </c>
      <c r="R21" s="18" t="n">
        <f aca="false">IF(Calc!$A$20="","",Calc!O$20)</f>
        <v>1.65402571541021</v>
      </c>
      <c r="S21" s="19" t="n">
        <f aca="false">IF(Calc!$A$20="","",Calc!Q$20)</f>
        <v>0.00399201596806387</v>
      </c>
      <c r="T21" s="19" t="n">
        <f aca="false">IF(Calc!$A$20="","",Calc!R$20)</f>
        <v>1</v>
      </c>
      <c r="U21" s="17" t="str">
        <f aca="false">IF(Calc!$A$20="","",Calc!AK$20)</f>
        <v>FY2026Q3E</v>
      </c>
      <c r="V21" s="17" t="str">
        <f aca="false">IF(Calc!$A$20="","",Calc!AL$20)</f>
        <v>consensus</v>
      </c>
      <c r="W21" s="23" t="n">
        <f aca="false">IF(Calc!$A$20="","",Calc!AN$20)</f>
        <v>0</v>
      </c>
    </row>
    <row r="22" customFormat="false" ht="15" hidden="false" customHeight="false" outlineLevel="0" collapsed="false">
      <c r="A22" s="17" t="str">
        <f aca="false">IF(Calc!$A$21="","",Calc!A$21)</f>
        <v>4979</v>
      </c>
      <c r="B22" s="17" t="str">
        <f aca="false">IF(Calc!$A$21="","",Calc!B$21)</f>
        <v>華星光</v>
      </c>
      <c r="C22" s="17" t="str">
        <f aca="false">IF(Calc!$A$21="","",Calc!C$21)</f>
        <v>池子</v>
      </c>
      <c r="D22" s="18" t="n">
        <f aca="false">IF(Calc!$A$21="","",Calc!D$21)</f>
        <v>520</v>
      </c>
      <c r="E22" s="19" t="n">
        <f aca="false">IF(Calc!$A$21="","",Calc!AA$21)</f>
        <v>0.230280880281092</v>
      </c>
      <c r="F22" s="19" t="n">
        <f aca="false">IF(Calc!$A$21="","",Calc!AB$21)</f>
        <v>0.207512020688297</v>
      </c>
      <c r="G22" s="19" t="n">
        <f aca="false">IF(Calc!$A$21="","",Calc!AG$21)</f>
        <v>0.219846911633873</v>
      </c>
      <c r="H22" s="19" t="n">
        <f aca="false">IF(Calc!$A$21="","",Calc!AH$21)</f>
        <v>0.161032334137756</v>
      </c>
      <c r="I22" s="19" t="n">
        <f aca="false">IF(Calc!$A$21="","",Calc!AI$21)</f>
        <v>0.236298774746526</v>
      </c>
      <c r="J22" s="19" t="n">
        <f aca="false">IF(Calc!$A$21="","",Calc!T$21)</f>
        <v>0.0801271577691418</v>
      </c>
      <c r="K22" s="19" t="n">
        <f aca="false">IF(Calc!$A$21="","",Calc!W$21)</f>
        <v>1.36452747692588</v>
      </c>
      <c r="L22" s="20" t="str">
        <f aca="false">IF(Calc!$A$21="","",Calc!X$21)</f>
        <v>成長且加速</v>
      </c>
      <c r="M22" s="21" t="n">
        <f aca="false">IF(Calc!$A$21="","",Calc!Y$21)</f>
        <v>6.08377358331886</v>
      </c>
      <c r="N22" s="18" t="n">
        <f aca="false">IF(Calc!$A$21="","",Calc!AJ$21)</f>
        <v>2.18</v>
      </c>
      <c r="O22" s="22" t="n">
        <f aca="false">IF(Calc!$A$21="","",Calc!J$21)</f>
        <v>84.5528455284553</v>
      </c>
      <c r="P22" s="22" t="n">
        <f aca="false">IF(Calc!$A$21="","",Calc!L$21)</f>
        <v>40.8592937671279</v>
      </c>
      <c r="Q22" s="18" t="n">
        <f aca="false">IF(Calc!$A$21="","",Calc!N$21)</f>
        <v>1.8913136499786</v>
      </c>
      <c r="R22" s="18" t="n">
        <f aca="false">IF(Calc!$A$21="","",Calc!O$21)</f>
        <v>0.44799730109655</v>
      </c>
      <c r="S22" s="19" t="n">
        <f aca="false">IF(Calc!$A$21="","",Calc!Q$21)</f>
        <v>0.00297044775</v>
      </c>
      <c r="T22" s="19" t="n">
        <f aca="false">IF(Calc!$A$21="","",Calc!R$21)</f>
        <v>0.0801595474889227</v>
      </c>
      <c r="U22" s="17" t="str">
        <f aca="false">IF(Calc!$A$21="","",Calc!AK$21)</f>
        <v>FY2026Q3E</v>
      </c>
      <c r="V22" s="17" t="str">
        <f aca="false">IF(Calc!$A$21="","",Calc!AL$21)</f>
        <v>consensus</v>
      </c>
      <c r="W22" s="23" t="n">
        <f aca="false">IF(Calc!$A$21="","",Calc!AN$21)</f>
        <v>0</v>
      </c>
    </row>
    <row r="23" customFormat="false" ht="15" hidden="false" customHeight="false" outlineLevel="0" collapsed="false">
      <c r="A23" s="17" t="str">
        <f aca="false">IF(Calc!$A$22="","",Calc!A$22)</f>
        <v>3363</v>
      </c>
      <c r="B23" s="17" t="str">
        <f aca="false">IF(Calc!$A$22="","",Calc!B$22)</f>
        <v>上詮</v>
      </c>
      <c r="C23" s="17" t="str">
        <f aca="false">IF(Calc!$A$22="","",Calc!C$22)</f>
        <v>池子</v>
      </c>
      <c r="D23" s="18" t="n">
        <f aca="false">IF(Calc!$A$22="","",Calc!D$22)</f>
        <v>531</v>
      </c>
      <c r="E23" s="19" t="n">
        <f aca="false">IF(Calc!$A$22="","",Calc!AA$22)</f>
        <v>0.103895951972074</v>
      </c>
      <c r="F23" s="19" t="n">
        <f aca="false">IF(Calc!$A$22="","",Calc!AB$22)</f>
        <v>0.166387271176686</v>
      </c>
      <c r="G23" s="19" t="n">
        <f aca="false">IF(Calc!$A$22="","",Calc!AG$22)</f>
        <v>-0.0333504997048567</v>
      </c>
      <c r="H23" s="19" t="n">
        <f aca="false">IF(Calc!$A$22="","",Calc!AH$22)</f>
        <v>0.0197197224365461</v>
      </c>
      <c r="I23" s="19" t="n">
        <f aca="false">IF(Calc!$A$22="","",Calc!AI$22)</f>
        <v>-0.00864655356373243</v>
      </c>
      <c r="J23" s="19" t="n">
        <f aca="false">IF(Calc!$A$22="","",Calc!T$22)</f>
        <v>0.123619979631855</v>
      </c>
      <c r="K23" s="19" t="str">
        <f aca="false">IF(Calc!$A$22="","",Calc!W$22)</f>
        <v>N/M</v>
      </c>
      <c r="L23" s="20" t="str">
        <f aca="false">IF(Calc!$A$22="","",Calc!X$22)</f>
        <v>由負轉正</v>
      </c>
      <c r="M23" s="21" t="n">
        <f aca="false">IF(Calc!$A$22="","",Calc!Y$22)</f>
        <v>-29.1236013153808</v>
      </c>
      <c r="N23" s="18" t="n">
        <f aca="false">IF(Calc!$A$22="","",Calc!AJ$22)</f>
        <v>0.19</v>
      </c>
      <c r="O23" s="22" t="str">
        <f aca="false">IF(Calc!$A$22="","",Calc!J$22)</f>
        <v>N/M</v>
      </c>
      <c r="P23" s="22" t="n">
        <f aca="false">IF(Calc!$A$22="","",Calc!L$22)</f>
        <v>61.873247253876</v>
      </c>
      <c r="Q23" s="18" t="str">
        <f aca="false">IF(Calc!$A$22="","",Calc!N$22)</f>
        <v>N/M</v>
      </c>
      <c r="R23" s="18" t="str">
        <f aca="false">IF(Calc!$A$22="","",Calc!O$22)</f>
        <v>N/M</v>
      </c>
      <c r="S23" s="19" t="str">
        <f aca="false">IF(Calc!$A$22="","",Calc!Q$22)</f>
        <v>不配息</v>
      </c>
      <c r="T23" s="19" t="str">
        <f aca="false">IF(Calc!$A$22="","",Calc!R$22)</f>
        <v/>
      </c>
      <c r="U23" s="17" t="str">
        <f aca="false">IF(Calc!$A$22="","",Calc!AK$22)</f>
        <v>FY2026Q3E</v>
      </c>
      <c r="V23" s="17" t="str">
        <f aca="false">IF(Calc!$A$22="","",Calc!AL$22)</f>
        <v>consensus</v>
      </c>
      <c r="W23" s="23" t="n">
        <f aca="false">IF(Calc!$A$22="","",Calc!AN$22)</f>
        <v>0</v>
      </c>
    </row>
    <row r="24" customFormat="false" ht="15" hidden="false" customHeight="false" outlineLevel="0" collapsed="false">
      <c r="A24" s="17" t="str">
        <f aca="false">IF(Calc!$A$23="","",Calc!A$23)</f>
        <v>2344</v>
      </c>
      <c r="B24" s="17" t="str">
        <f aca="false">IF(Calc!$A$23="","",Calc!B$23)</f>
        <v>華邦電</v>
      </c>
      <c r="C24" s="17" t="str">
        <f aca="false">IF(Calc!$A$23="","",Calc!C$23)</f>
        <v>池子</v>
      </c>
      <c r="D24" s="18" t="n">
        <f aca="false">IF(Calc!$A$23="","",Calc!D$23)</f>
        <v>161.5</v>
      </c>
      <c r="E24" s="19" t="n">
        <f aca="false">IF(Calc!$A$23="","",Calc!AA$23)</f>
        <v>0.555471063982052</v>
      </c>
      <c r="F24" s="19" t="n">
        <f aca="false">IF(Calc!$A$23="","",Calc!AB$23)</f>
        <v>0.41598347249709</v>
      </c>
      <c r="G24" s="19" t="n">
        <f aca="false">IF(Calc!$A$23="","",Calc!AG$23)</f>
        <v>0.322710406766239</v>
      </c>
      <c r="H24" s="19" t="n">
        <f aca="false">IF(Calc!$A$23="","",Calc!AH$23)</f>
        <v>0.110509176651133</v>
      </c>
      <c r="I24" s="19" t="n">
        <f aca="false">IF(Calc!$A$23="","",Calc!AI$23)</f>
        <v>0.693177764655042</v>
      </c>
      <c r="J24" s="19" t="n">
        <f aca="false">IF(Calc!$A$23="","",Calc!T$23)</f>
        <v>0.564404487964677</v>
      </c>
      <c r="K24" s="19" t="n">
        <f aca="false">IF(Calc!$A$23="","",Calc!W$23)</f>
        <v>0.292339540882958</v>
      </c>
      <c r="L24" s="20" t="str">
        <f aca="false">IF(Calc!$A$23="","",Calc!X$23)</f>
        <v>成長且加速</v>
      </c>
      <c r="M24" s="21" t="n">
        <f aca="false">IF(Calc!$A$23="","",Calc!Y$23)</f>
        <v>51.3118555762804</v>
      </c>
      <c r="N24" s="18" t="n">
        <f aca="false">IF(Calc!$A$23="","",Calc!AJ$23)</f>
        <v>8.09903</v>
      </c>
      <c r="O24" s="22" t="n">
        <f aca="false">IF(Calc!$A$23="","",Calc!J$23)</f>
        <v>17.8256070640177</v>
      </c>
      <c r="P24" s="22" t="n">
        <f aca="false">IF(Calc!$A$23="","",Calc!L$23)</f>
        <v>3.44355119728243</v>
      </c>
      <c r="Q24" s="18" t="str">
        <f aca="false">IF(Calc!$A$23="","",Calc!N$23)</f>
        <v>N/M</v>
      </c>
      <c r="R24" s="18" t="n">
        <f aca="false">IF(Calc!$A$23="","",Calc!O$23)</f>
        <v>0.0322621394051615</v>
      </c>
      <c r="S24" s="19" t="n">
        <f aca="false">IF(Calc!$A$23="","",Calc!Q$23)</f>
        <v>0.00309597523219814</v>
      </c>
      <c r="T24" s="19" t="str">
        <f aca="false">IF(Calc!$A$23="","",Calc!R$23)</f>
        <v/>
      </c>
      <c r="U24" s="17" t="str">
        <f aca="false">IF(Calc!$A$23="","",Calc!AK$23)</f>
        <v>FY2026Q3E</v>
      </c>
      <c r="V24" s="17" t="str">
        <f aca="false">IF(Calc!$A$23="","",Calc!AL$23)</f>
        <v>consensus</v>
      </c>
      <c r="W24" s="23" t="n">
        <f aca="false">IF(Calc!$A$23="","",Calc!AN$23)</f>
        <v>0</v>
      </c>
    </row>
    <row r="25" customFormat="false" ht="15" hidden="false" customHeight="false" outlineLevel="0" collapsed="false">
      <c r="A25" s="17" t="str">
        <f aca="false">IF(Calc!$A$24="","",Calc!A$24)</f>
        <v>↑ 藍字＝手動輸入。新增股票就在第 2~21 列往下打一列，其餘分頁全自動延伸。</v>
      </c>
      <c r="B25" s="17" t="str">
        <f aca="false">IF(Calc!$A$24="","",Calc!B$24)</f>
        <v/>
      </c>
      <c r="C25" s="17" t="str">
        <f aca="false">IF(Calc!$A$24="","",Calc!C$24)</f>
        <v/>
      </c>
      <c r="D25" s="18" t="str">
        <f aca="false">IF(Calc!$A$24="","",Calc!D$24)</f>
        <v/>
      </c>
      <c r="E25" s="19" t="str">
        <f aca="false">IF(Calc!$A$24="","",Calc!AA$24)</f>
        <v/>
      </c>
      <c r="F25" s="19" t="str">
        <f aca="false">IF(Calc!$A$24="","",Calc!AB$24)</f>
        <v/>
      </c>
      <c r="G25" s="19" t="str">
        <f aca="false">IF(Calc!$A$24="","",Calc!AG$24)</f>
        <v>N/M</v>
      </c>
      <c r="H25" s="19" t="str">
        <f aca="false">IF(Calc!$A$24="","",Calc!AH$24)</f>
        <v/>
      </c>
      <c r="I25" s="19" t="str">
        <f aca="false">IF(Calc!$A$24="","",Calc!AI$24)</f>
        <v>N/M</v>
      </c>
      <c r="J25" s="19" t="str">
        <f aca="false">IF(Calc!$A$24="","",Calc!T$24)</f>
        <v/>
      </c>
      <c r="K25" s="19" t="str">
        <f aca="false">IF(Calc!$A$24="","",Calc!W$24)</f>
        <v>N/M</v>
      </c>
      <c r="L25" s="20" t="str">
        <f aca="false">IF(Calc!$A$24="","",Calc!X$24)</f>
        <v/>
      </c>
      <c r="M25" s="21" t="str">
        <f aca="false">IF(Calc!$A$24="","",Calc!Y$24)</f>
        <v/>
      </c>
      <c r="N25" s="18" t="n">
        <f aca="false">IF(Calc!$A$24="","",Calc!AJ$24)</f>
        <v>0</v>
      </c>
      <c r="O25" s="22" t="str">
        <f aca="false">IF(Calc!$A$24="","",Calc!J$24)</f>
        <v>N/M</v>
      </c>
      <c r="P25" s="22" t="str">
        <f aca="false">IF(Calc!$A$24="","",Calc!L$24)</f>
        <v>N/M</v>
      </c>
      <c r="Q25" s="18" t="str">
        <f aca="false">IF(Calc!$A$24="","",Calc!N$24)</f>
        <v>N/M</v>
      </c>
      <c r="R25" s="18" t="str">
        <f aca="false">IF(Calc!$A$24="","",Calc!O$24)</f>
        <v>N/M</v>
      </c>
      <c r="S25" s="19" t="str">
        <f aca="false">IF(Calc!$A$24="","",Calc!Q$24)</f>
        <v>不配息</v>
      </c>
      <c r="T25" s="19" t="str">
        <f aca="false">IF(Calc!$A$24="","",Calc!R$24)</f>
        <v/>
      </c>
      <c r="U25" s="17" t="str">
        <f aca="false">IF(Calc!$A$24="","",Calc!AK$24)</f>
        <v/>
      </c>
      <c r="V25" s="17" t="str">
        <f aca="false">IF(Calc!$A$24="","",Calc!AL$24)</f>
        <v/>
      </c>
      <c r="W25" s="23" t="str">
        <f aca="false">IF(Calc!$A$24="","",Calc!AN$24)</f>
        <v/>
      </c>
    </row>
    <row r="26" customFormat="false" ht="15" hidden="false" customHeight="false" outlineLevel="0" collapsed="false">
      <c r="A26" s="17" t="str">
        <f aca="false">IF(Calc!$A$25="","",Calc!A$25)</f>
        <v>3450</v>
      </c>
      <c r="B26" s="17" t="str">
        <f aca="false">IF(Calc!$A$25="","",Calc!B$25)</f>
        <v>聯鈞</v>
      </c>
      <c r="C26" s="17" t="str">
        <f aca="false">IF(Calc!$A$25="","",Calc!C$25)</f>
        <v>池子</v>
      </c>
      <c r="D26" s="18" t="n">
        <f aca="false">IF(Calc!$A$25="","",Calc!D$25)</f>
        <v>457</v>
      </c>
      <c r="E26" s="19" t="n">
        <f aca="false">IF(Calc!$A$25="","",Calc!AA$25)</f>
        <v>0.27318745836427</v>
      </c>
      <c r="F26" s="19" t="n">
        <f aca="false">IF(Calc!$A$25="","",Calc!AB$25)</f>
        <v>0.243785566830673</v>
      </c>
      <c r="G26" s="19" t="n">
        <f aca="false">IF(Calc!$A$25="","",Calc!AG$25)</f>
        <v>0.140180676080204</v>
      </c>
      <c r="H26" s="19" t="n">
        <f aca="false">IF(Calc!$A$25="","",Calc!AH$25)</f>
        <v>0.0882522613134043</v>
      </c>
      <c r="I26" s="19" t="n">
        <f aca="false">IF(Calc!$A$25="","",Calc!AI$25)</f>
        <v>0.3122407783394</v>
      </c>
      <c r="J26" s="19" t="n">
        <f aca="false">IF(Calc!$A$25="","",Calc!T$25)</f>
        <v>0.42635876219104</v>
      </c>
      <c r="K26" s="19" t="str">
        <f aca="false">IF(Calc!$A$25="","",Calc!W$25)</f>
        <v>N/M</v>
      </c>
      <c r="L26" s="20" t="str">
        <f aca="false">IF(Calc!$A$25="","",Calc!X$25)</f>
        <v>由負轉正</v>
      </c>
      <c r="M26" s="21" t="n">
        <f aca="false">IF(Calc!$A$25="","",Calc!Y$25)</f>
        <v>75.5981800898046</v>
      </c>
      <c r="N26" s="18" t="n">
        <f aca="false">IF(Calc!$A$25="","",Calc!AJ$25)</f>
        <v>0</v>
      </c>
      <c r="O26" s="22" t="n">
        <f aca="false">IF(Calc!$A$25="","",Calc!J$25)</f>
        <v>92.8861788617886</v>
      </c>
      <c r="P26" s="22" t="n">
        <f aca="false">IF(Calc!$A$25="","",Calc!L$25)</f>
        <v>38.1787802840434</v>
      </c>
      <c r="Q26" s="18" t="str">
        <f aca="false">IF(Calc!$A$25="","",Calc!N$25)</f>
        <v>N/M</v>
      </c>
      <c r="R26" s="18" t="str">
        <f aca="false">IF(Calc!$A$25="","",Calc!O$25)</f>
        <v>N/M</v>
      </c>
      <c r="S26" s="19" t="n">
        <f aca="false">IF(Calc!$A$25="","",Calc!Q$25)</f>
        <v>0.00218818380743983</v>
      </c>
      <c r="T26" s="19" t="n">
        <f aca="false">IF(Calc!$A$25="","",Calc!R$25)</f>
        <v>1</v>
      </c>
      <c r="U26" s="17" t="str">
        <f aca="false">IF(Calc!$A$25="","",Calc!AK$25)</f>
        <v/>
      </c>
      <c r="V26" s="17" t="str">
        <f aca="false">IF(Calc!$A$25="","",Calc!AL$25)</f>
        <v/>
      </c>
      <c r="W26" s="23" t="n">
        <f aca="false">IF(Calc!$A$25="","",Calc!AN$25)</f>
        <v>0</v>
      </c>
    </row>
    <row r="27" customFormat="false" ht="15" hidden="false" customHeight="false" outlineLevel="0" collapsed="false">
      <c r="A27" s="17" t="str">
        <f aca="false">IF(Calc!$A$26="","",Calc!A$26)</f>
        <v>6830</v>
      </c>
      <c r="B27" s="17" t="str">
        <f aca="false">IF(Calc!$A$26="","",Calc!B$26)</f>
        <v>汎銓</v>
      </c>
      <c r="C27" s="17" t="str">
        <f aca="false">IF(Calc!$A$26="","",Calc!C$26)</f>
        <v>池子</v>
      </c>
      <c r="D27" s="18" t="n">
        <f aca="false">IF(Calc!$A$26="","",Calc!D$26)</f>
        <v>486.5</v>
      </c>
      <c r="E27" s="19" t="str">
        <f aca="false">IF(Calc!$A$26="","",Calc!AA$26)</f>
        <v/>
      </c>
      <c r="F27" s="19" t="str">
        <f aca="false">IF(Calc!$A$26="","",Calc!AB$26)</f>
        <v/>
      </c>
      <c r="G27" s="19" t="str">
        <f aca="false">IF(Calc!$A$26="","",Calc!AG$26)</f>
        <v>N/M</v>
      </c>
      <c r="H27" s="19" t="str">
        <f aca="false">IF(Calc!$A$26="","",Calc!AH$26)</f>
        <v/>
      </c>
      <c r="I27" s="19" t="str">
        <f aca="false">IF(Calc!$A$26="","",Calc!AI$26)</f>
        <v>N/M</v>
      </c>
      <c r="J27" s="19" t="str">
        <f aca="false">IF(Calc!$A$26="","",Calc!T$26)</f>
        <v/>
      </c>
      <c r="K27" s="19" t="str">
        <f aca="false">IF(Calc!$A$26="","",Calc!W$26)</f>
        <v>N/M</v>
      </c>
      <c r="L27" s="20" t="str">
        <f aca="false">IF(Calc!$A$26="","",Calc!X$26)</f>
        <v/>
      </c>
      <c r="M27" s="21" t="str">
        <f aca="false">IF(Calc!$A$26="","",Calc!Y$26)</f>
        <v/>
      </c>
      <c r="N27" s="18" t="n">
        <f aca="false">IF(Calc!$A$26="","",Calc!AJ$26)</f>
        <v>0</v>
      </c>
      <c r="O27" s="22" t="str">
        <f aca="false">IF(Calc!$A$26="","",Calc!J$26)</f>
        <v>N/M</v>
      </c>
      <c r="P27" s="22" t="n">
        <f aca="false">IF(Calc!$A$26="","",Calc!L$26)</f>
        <v>37.4170838811908</v>
      </c>
      <c r="Q27" s="18" t="str">
        <f aca="false">IF(Calc!$A$26="","",Calc!N$26)</f>
        <v>N/M</v>
      </c>
      <c r="R27" s="18" t="n">
        <f aca="false">IF(Calc!$A$26="","",Calc!O$26)</f>
        <v>0.148437060369623</v>
      </c>
      <c r="S27" s="19" t="str">
        <f aca="false">IF(Calc!$A$26="","",Calc!Q$26)</f>
        <v>不配息</v>
      </c>
      <c r="T27" s="19" t="str">
        <f aca="false">IF(Calc!$A$26="","",Calc!R$26)</f>
        <v/>
      </c>
      <c r="U27" s="17" t="str">
        <f aca="false">IF(Calc!$A$26="","",Calc!AK$26)</f>
        <v/>
      </c>
      <c r="V27" s="17" t="str">
        <f aca="false">IF(Calc!$A$26="","",Calc!AL$26)</f>
        <v/>
      </c>
      <c r="W27" s="23" t="n">
        <f aca="false">IF(Calc!$A$26="","",Calc!AN$26)</f>
        <v>0</v>
      </c>
    </row>
    <row r="28" customFormat="false" ht="15" hidden="false" customHeight="false" outlineLevel="0" collapsed="false">
      <c r="A28" s="17" t="str">
        <f aca="false">IF(Calc!$A$27="","",Calc!A$27)</f>
        <v>3443</v>
      </c>
      <c r="B28" s="17" t="str">
        <f aca="false">IF(Calc!$A$27="","",Calc!B$27)</f>
        <v>創意</v>
      </c>
      <c r="C28" s="17" t="str">
        <f aca="false">IF(Calc!$A$27="","",Calc!C$27)</f>
        <v>池子</v>
      </c>
      <c r="D28" s="18" t="n">
        <f aca="false">IF(Calc!$A$27="","",Calc!D$27)</f>
        <v>7480</v>
      </c>
      <c r="E28" s="19" t="n">
        <f aca="false">IF(Calc!$A$27="","",Calc!AA$27)</f>
        <v>0.227680486490901</v>
      </c>
      <c r="F28" s="19" t="n">
        <f aca="false">IF(Calc!$A$27="","",Calc!AB$27)</f>
        <v>0.293191259294149</v>
      </c>
      <c r="G28" s="19" t="n">
        <f aca="false">IF(Calc!$A$27="","",Calc!AG$27)</f>
        <v>0.430835140586038</v>
      </c>
      <c r="H28" s="19" t="n">
        <f aca="false">IF(Calc!$A$27="","",Calc!AH$27)</f>
        <v>0.447017818679983</v>
      </c>
      <c r="I28" s="19" t="n">
        <f aca="false">IF(Calc!$A$27="","",Calc!AI$27)</f>
        <v>0.531975972855065</v>
      </c>
      <c r="J28" s="19" t="n">
        <f aca="false">IF(Calc!$A$27="","",Calc!T$27)</f>
        <v>0.213905067623403</v>
      </c>
      <c r="K28" s="19" t="str">
        <f aca="false">IF(Calc!$A$27="","",Calc!W$27)</f>
        <v>N/M</v>
      </c>
      <c r="L28" s="20" t="str">
        <f aca="false">IF(Calc!$A$27="","",Calc!X$27)</f>
        <v>由負轉正</v>
      </c>
      <c r="M28" s="21" t="n">
        <f aca="false">IF(Calc!$A$27="","",Calc!Y$27)</f>
        <v>34.4758368274746</v>
      </c>
      <c r="N28" s="18" t="n">
        <f aca="false">IF(Calc!$A$27="","",Calc!AJ$27)</f>
        <v>12.35021</v>
      </c>
      <c r="O28" s="22" t="n">
        <f aca="false">IF(Calc!$A$27="","",Calc!J$27)</f>
        <v>191.745706229172</v>
      </c>
      <c r="P28" s="22" t="n">
        <f aca="false">IF(Calc!$A$27="","",Calc!L$27)</f>
        <v>69.8797684695556</v>
      </c>
      <c r="Q28" s="18" t="n">
        <f aca="false">IF(Calc!$A$27="","",Calc!N$27)</f>
        <v>4.33149866034821</v>
      </c>
      <c r="R28" s="18" t="n">
        <f aca="false">IF(Calc!$A$27="","",Calc!O$27)</f>
        <v>0.551885928609454</v>
      </c>
      <c r="S28" s="19" t="n">
        <f aca="false">IF(Calc!$A$27="","",Calc!Q$27)</f>
        <v>0.00267379679144385</v>
      </c>
      <c r="T28" s="19" t="n">
        <f aca="false">IF(Calc!$A$27="","",Calc!R$27)</f>
        <v>0.25</v>
      </c>
      <c r="U28" s="17" t="str">
        <f aca="false">IF(Calc!$A$27="","",Calc!AK$27)</f>
        <v>FY2026Q3E</v>
      </c>
      <c r="V28" s="17" t="str">
        <f aca="false">IF(Calc!$A$27="","",Calc!AL$27)</f>
        <v>consensus</v>
      </c>
      <c r="W28" s="23" t="n">
        <f aca="false">IF(Calc!$A$27="","",Calc!AN$27)</f>
        <v>0</v>
      </c>
    </row>
    <row r="29" customFormat="false" ht="15" hidden="false" customHeight="false" outlineLevel="0" collapsed="false">
      <c r="A29" s="17" t="str">
        <f aca="false">IF(Calc!$A$28="","",Calc!A$28)</f>
        <v/>
      </c>
      <c r="B29" s="17" t="str">
        <f aca="false">IF(Calc!$A$28="","",Calc!B$28)</f>
        <v/>
      </c>
      <c r="C29" s="17" t="str">
        <f aca="false">IF(Calc!$A$28="","",Calc!C$28)</f>
        <v/>
      </c>
      <c r="D29" s="18" t="str">
        <f aca="false">IF(Calc!$A$28="","",Calc!D$28)</f>
        <v/>
      </c>
      <c r="E29" s="19" t="str">
        <f aca="false">IF(Calc!$A$28="","",Calc!AA$28)</f>
        <v/>
      </c>
      <c r="F29" s="19" t="str">
        <f aca="false">IF(Calc!$A$28="","",Calc!AB$28)</f>
        <v/>
      </c>
      <c r="G29" s="19" t="str">
        <f aca="false">IF(Calc!$A$28="","",Calc!AG$28)</f>
        <v/>
      </c>
      <c r="H29" s="19" t="str">
        <f aca="false">IF(Calc!$A$28="","",Calc!AH$28)</f>
        <v/>
      </c>
      <c r="I29" s="19" t="str">
        <f aca="false">IF(Calc!$A$28="","",Calc!AI$28)</f>
        <v/>
      </c>
      <c r="J29" s="19" t="str">
        <f aca="false">IF(Calc!$A$28="","",Calc!T$28)</f>
        <v/>
      </c>
      <c r="K29" s="19" t="str">
        <f aca="false">IF(Calc!$A$28="","",Calc!W$28)</f>
        <v/>
      </c>
      <c r="L29" s="20" t="str">
        <f aca="false">IF(Calc!$A$28="","",Calc!X$28)</f>
        <v/>
      </c>
      <c r="M29" s="21" t="str">
        <f aca="false">IF(Calc!$A$28="","",Calc!Y$28)</f>
        <v/>
      </c>
      <c r="N29" s="18" t="str">
        <f aca="false">IF(Calc!$A$28="","",Calc!AJ$28)</f>
        <v/>
      </c>
      <c r="O29" s="22" t="str">
        <f aca="false">IF(Calc!$A$28="","",Calc!J$28)</f>
        <v/>
      </c>
      <c r="P29" s="22" t="str">
        <f aca="false">IF(Calc!$A$28="","",Calc!L$28)</f>
        <v/>
      </c>
      <c r="Q29" s="18" t="str">
        <f aca="false">IF(Calc!$A$28="","",Calc!N$28)</f>
        <v/>
      </c>
      <c r="R29" s="18" t="str">
        <f aca="false">IF(Calc!$A$28="","",Calc!O$28)</f>
        <v/>
      </c>
      <c r="S29" s="19" t="str">
        <f aca="false">IF(Calc!$A$28="","",Calc!Q$28)</f>
        <v/>
      </c>
      <c r="T29" s="19" t="str">
        <f aca="false">IF(Calc!$A$28="","",Calc!R$28)</f>
        <v/>
      </c>
      <c r="U29" s="17" t="str">
        <f aca="false">IF(Calc!$A$28="","",Calc!AK$28)</f>
        <v/>
      </c>
      <c r="V29" s="17" t="str">
        <f aca="false">IF(Calc!$A$28="","",Calc!AL$28)</f>
        <v/>
      </c>
      <c r="W29" s="23" t="str">
        <f aca="false">IF(Calc!$A$28="","",Calc!AN$28)</f>
        <v/>
      </c>
    </row>
    <row r="30" customFormat="false" ht="15" hidden="false" customHeight="false" outlineLevel="0" collapsed="false">
      <c r="A30" s="17" t="str">
        <f aca="false">IF(Calc!$A$29="","",Calc!A$29)</f>
        <v/>
      </c>
      <c r="B30" s="17" t="str">
        <f aca="false">IF(Calc!$A$29="","",Calc!B$29)</f>
        <v/>
      </c>
      <c r="C30" s="17" t="str">
        <f aca="false">IF(Calc!$A$29="","",Calc!C$29)</f>
        <v/>
      </c>
      <c r="D30" s="18" t="str">
        <f aca="false">IF(Calc!$A$29="","",Calc!D$29)</f>
        <v/>
      </c>
      <c r="E30" s="19" t="str">
        <f aca="false">IF(Calc!$A$29="","",Calc!AA$29)</f>
        <v/>
      </c>
      <c r="F30" s="19" t="str">
        <f aca="false">IF(Calc!$A$29="","",Calc!AB$29)</f>
        <v/>
      </c>
      <c r="G30" s="19" t="str">
        <f aca="false">IF(Calc!$A$29="","",Calc!AG$29)</f>
        <v/>
      </c>
      <c r="H30" s="19" t="str">
        <f aca="false">IF(Calc!$A$29="","",Calc!AH$29)</f>
        <v/>
      </c>
      <c r="I30" s="19" t="str">
        <f aca="false">IF(Calc!$A$29="","",Calc!AI$29)</f>
        <v/>
      </c>
      <c r="J30" s="19" t="str">
        <f aca="false">IF(Calc!$A$29="","",Calc!T$29)</f>
        <v/>
      </c>
      <c r="K30" s="19" t="str">
        <f aca="false">IF(Calc!$A$29="","",Calc!W$29)</f>
        <v/>
      </c>
      <c r="L30" s="20" t="str">
        <f aca="false">IF(Calc!$A$29="","",Calc!X$29)</f>
        <v/>
      </c>
      <c r="M30" s="21" t="str">
        <f aca="false">IF(Calc!$A$29="","",Calc!Y$29)</f>
        <v/>
      </c>
      <c r="N30" s="18" t="str">
        <f aca="false">IF(Calc!$A$29="","",Calc!AJ$29)</f>
        <v/>
      </c>
      <c r="O30" s="22" t="str">
        <f aca="false">IF(Calc!$A$29="","",Calc!J$29)</f>
        <v/>
      </c>
      <c r="P30" s="22" t="str">
        <f aca="false">IF(Calc!$A$29="","",Calc!L$29)</f>
        <v/>
      </c>
      <c r="Q30" s="18" t="str">
        <f aca="false">IF(Calc!$A$29="","",Calc!N$29)</f>
        <v/>
      </c>
      <c r="R30" s="18" t="str">
        <f aca="false">IF(Calc!$A$29="","",Calc!O$29)</f>
        <v/>
      </c>
      <c r="S30" s="19" t="str">
        <f aca="false">IF(Calc!$A$29="","",Calc!Q$29)</f>
        <v/>
      </c>
      <c r="T30" s="19" t="str">
        <f aca="false">IF(Calc!$A$29="","",Calc!R$29)</f>
        <v/>
      </c>
      <c r="U30" s="17" t="str">
        <f aca="false">IF(Calc!$A$29="","",Calc!AK$29)</f>
        <v/>
      </c>
      <c r="V30" s="17" t="str">
        <f aca="false">IF(Calc!$A$29="","",Calc!AL$29)</f>
        <v/>
      </c>
      <c r="W30" s="23" t="str">
        <f aca="false">IF(Calc!$A$29="","",Calc!AN$29)</f>
        <v/>
      </c>
    </row>
    <row r="31" customFormat="false" ht="15" hidden="false" customHeight="false" outlineLevel="0" collapsed="false">
      <c r="A31" s="17" t="str">
        <f aca="false">IF(Calc!$A$30="","",Calc!A$30)</f>
        <v/>
      </c>
      <c r="B31" s="17" t="str">
        <f aca="false">IF(Calc!$A$30="","",Calc!B$30)</f>
        <v/>
      </c>
      <c r="C31" s="17" t="str">
        <f aca="false">IF(Calc!$A$30="","",Calc!C$30)</f>
        <v/>
      </c>
      <c r="D31" s="18" t="str">
        <f aca="false">IF(Calc!$A$30="","",Calc!D$30)</f>
        <v/>
      </c>
      <c r="E31" s="19" t="str">
        <f aca="false">IF(Calc!$A$30="","",Calc!AA$30)</f>
        <v/>
      </c>
      <c r="F31" s="19" t="str">
        <f aca="false">IF(Calc!$A$30="","",Calc!AB$30)</f>
        <v/>
      </c>
      <c r="G31" s="19" t="str">
        <f aca="false">IF(Calc!$A$30="","",Calc!AG$30)</f>
        <v/>
      </c>
      <c r="H31" s="19" t="str">
        <f aca="false">IF(Calc!$A$30="","",Calc!AH$30)</f>
        <v/>
      </c>
      <c r="I31" s="19" t="str">
        <f aca="false">IF(Calc!$A$30="","",Calc!AI$30)</f>
        <v/>
      </c>
      <c r="J31" s="19" t="str">
        <f aca="false">IF(Calc!$A$30="","",Calc!T$30)</f>
        <v/>
      </c>
      <c r="K31" s="19" t="str">
        <f aca="false">IF(Calc!$A$30="","",Calc!W$30)</f>
        <v/>
      </c>
      <c r="L31" s="20" t="str">
        <f aca="false">IF(Calc!$A$30="","",Calc!X$30)</f>
        <v/>
      </c>
      <c r="M31" s="21" t="str">
        <f aca="false">IF(Calc!$A$30="","",Calc!Y$30)</f>
        <v/>
      </c>
      <c r="N31" s="18" t="str">
        <f aca="false">IF(Calc!$A$30="","",Calc!AJ$30)</f>
        <v/>
      </c>
      <c r="O31" s="22" t="str">
        <f aca="false">IF(Calc!$A$30="","",Calc!J$30)</f>
        <v/>
      </c>
      <c r="P31" s="22" t="str">
        <f aca="false">IF(Calc!$A$30="","",Calc!L$30)</f>
        <v/>
      </c>
      <c r="Q31" s="18" t="str">
        <f aca="false">IF(Calc!$A$30="","",Calc!N$30)</f>
        <v/>
      </c>
      <c r="R31" s="18" t="str">
        <f aca="false">IF(Calc!$A$30="","",Calc!O$30)</f>
        <v/>
      </c>
      <c r="S31" s="19" t="str">
        <f aca="false">IF(Calc!$A$30="","",Calc!Q$30)</f>
        <v/>
      </c>
      <c r="T31" s="19" t="str">
        <f aca="false">IF(Calc!$A$30="","",Calc!R$30)</f>
        <v/>
      </c>
      <c r="U31" s="17" t="str">
        <f aca="false">IF(Calc!$A$30="","",Calc!AK$30)</f>
        <v/>
      </c>
      <c r="V31" s="17" t="str">
        <f aca="false">IF(Calc!$A$30="","",Calc!AL$30)</f>
        <v/>
      </c>
      <c r="W31" s="23" t="str">
        <f aca="false">IF(Calc!$A$30="","",Calc!AN$30)</f>
        <v/>
      </c>
    </row>
    <row r="32" customFormat="false" ht="15" hidden="false" customHeight="false" outlineLevel="0" collapsed="false">
      <c r="A32" s="17" t="str">
        <f aca="false">IF(Calc!$A$31="","",Calc!A$31)</f>
        <v/>
      </c>
      <c r="B32" s="17" t="str">
        <f aca="false">IF(Calc!$A$31="","",Calc!B$31)</f>
        <v/>
      </c>
      <c r="C32" s="17" t="str">
        <f aca="false">IF(Calc!$A$31="","",Calc!C$31)</f>
        <v/>
      </c>
      <c r="D32" s="18" t="str">
        <f aca="false">IF(Calc!$A$31="","",Calc!D$31)</f>
        <v/>
      </c>
      <c r="E32" s="19" t="str">
        <f aca="false">IF(Calc!$A$31="","",Calc!AA$31)</f>
        <v/>
      </c>
      <c r="F32" s="19" t="str">
        <f aca="false">IF(Calc!$A$31="","",Calc!AB$31)</f>
        <v/>
      </c>
      <c r="G32" s="19" t="str">
        <f aca="false">IF(Calc!$A$31="","",Calc!AG$31)</f>
        <v/>
      </c>
      <c r="H32" s="19" t="str">
        <f aca="false">IF(Calc!$A$31="","",Calc!AH$31)</f>
        <v/>
      </c>
      <c r="I32" s="19" t="str">
        <f aca="false">IF(Calc!$A$31="","",Calc!AI$31)</f>
        <v/>
      </c>
      <c r="J32" s="19" t="str">
        <f aca="false">IF(Calc!$A$31="","",Calc!T$31)</f>
        <v/>
      </c>
      <c r="K32" s="19" t="str">
        <f aca="false">IF(Calc!$A$31="","",Calc!W$31)</f>
        <v/>
      </c>
      <c r="L32" s="20" t="str">
        <f aca="false">IF(Calc!$A$31="","",Calc!X$31)</f>
        <v/>
      </c>
      <c r="M32" s="21" t="str">
        <f aca="false">IF(Calc!$A$31="","",Calc!Y$31)</f>
        <v/>
      </c>
      <c r="N32" s="18" t="str">
        <f aca="false">IF(Calc!$A$31="","",Calc!AJ$31)</f>
        <v/>
      </c>
      <c r="O32" s="22" t="str">
        <f aca="false">IF(Calc!$A$31="","",Calc!J$31)</f>
        <v/>
      </c>
      <c r="P32" s="22" t="str">
        <f aca="false">IF(Calc!$A$31="","",Calc!L$31)</f>
        <v/>
      </c>
      <c r="Q32" s="18" t="str">
        <f aca="false">IF(Calc!$A$31="","",Calc!N$31)</f>
        <v/>
      </c>
      <c r="R32" s="18" t="str">
        <f aca="false">IF(Calc!$A$31="","",Calc!O$31)</f>
        <v/>
      </c>
      <c r="S32" s="19" t="str">
        <f aca="false">IF(Calc!$A$31="","",Calc!Q$31)</f>
        <v/>
      </c>
      <c r="T32" s="19" t="str">
        <f aca="false">IF(Calc!$A$31="","",Calc!R$31)</f>
        <v/>
      </c>
      <c r="U32" s="17" t="str">
        <f aca="false">IF(Calc!$A$31="","",Calc!AK$31)</f>
        <v/>
      </c>
      <c r="V32" s="17" t="str">
        <f aca="false">IF(Calc!$A$31="","",Calc!AL$31)</f>
        <v/>
      </c>
      <c r="W32" s="23" t="str">
        <f aca="false">IF(Calc!$A$31="","",Calc!AN$31)</f>
        <v/>
      </c>
    </row>
    <row r="33" customFormat="false" ht="15" hidden="false" customHeight="false" outlineLevel="0" collapsed="false">
      <c r="A33" s="17" t="str">
        <f aca="false">IF(Calc!$A$32="","",Calc!A$32)</f>
        <v/>
      </c>
      <c r="B33" s="17" t="str">
        <f aca="false">IF(Calc!$A$32="","",Calc!B$32)</f>
        <v/>
      </c>
      <c r="C33" s="17" t="str">
        <f aca="false">IF(Calc!$A$32="","",Calc!C$32)</f>
        <v/>
      </c>
      <c r="D33" s="18" t="str">
        <f aca="false">IF(Calc!$A$32="","",Calc!D$32)</f>
        <v/>
      </c>
      <c r="E33" s="19" t="str">
        <f aca="false">IF(Calc!$A$32="","",Calc!AA$32)</f>
        <v/>
      </c>
      <c r="F33" s="19" t="str">
        <f aca="false">IF(Calc!$A$32="","",Calc!AB$32)</f>
        <v/>
      </c>
      <c r="G33" s="19" t="str">
        <f aca="false">IF(Calc!$A$32="","",Calc!AG$32)</f>
        <v/>
      </c>
      <c r="H33" s="19" t="str">
        <f aca="false">IF(Calc!$A$32="","",Calc!AH$32)</f>
        <v/>
      </c>
      <c r="I33" s="19" t="str">
        <f aca="false">IF(Calc!$A$32="","",Calc!AI$32)</f>
        <v/>
      </c>
      <c r="J33" s="19" t="str">
        <f aca="false">IF(Calc!$A$32="","",Calc!T$32)</f>
        <v/>
      </c>
      <c r="K33" s="19" t="str">
        <f aca="false">IF(Calc!$A$32="","",Calc!W$32)</f>
        <v/>
      </c>
      <c r="L33" s="20" t="str">
        <f aca="false">IF(Calc!$A$32="","",Calc!X$32)</f>
        <v/>
      </c>
      <c r="M33" s="21" t="str">
        <f aca="false">IF(Calc!$A$32="","",Calc!Y$32)</f>
        <v/>
      </c>
      <c r="N33" s="18" t="str">
        <f aca="false">IF(Calc!$A$32="","",Calc!AJ$32)</f>
        <v/>
      </c>
      <c r="O33" s="22" t="str">
        <f aca="false">IF(Calc!$A$32="","",Calc!J$32)</f>
        <v/>
      </c>
      <c r="P33" s="22" t="str">
        <f aca="false">IF(Calc!$A$32="","",Calc!L$32)</f>
        <v/>
      </c>
      <c r="Q33" s="18" t="str">
        <f aca="false">IF(Calc!$A$32="","",Calc!N$32)</f>
        <v/>
      </c>
      <c r="R33" s="18" t="str">
        <f aca="false">IF(Calc!$A$32="","",Calc!O$32)</f>
        <v/>
      </c>
      <c r="S33" s="19" t="str">
        <f aca="false">IF(Calc!$A$32="","",Calc!Q$32)</f>
        <v/>
      </c>
      <c r="T33" s="19" t="str">
        <f aca="false">IF(Calc!$A$32="","",Calc!R$32)</f>
        <v/>
      </c>
      <c r="U33" s="17" t="str">
        <f aca="false">IF(Calc!$A$32="","",Calc!AK$32)</f>
        <v/>
      </c>
      <c r="V33" s="17" t="str">
        <f aca="false">IF(Calc!$A$32="","",Calc!AL$32)</f>
        <v/>
      </c>
      <c r="W33" s="23" t="str">
        <f aca="false">IF(Calc!$A$32="","",Calc!AN$32)</f>
        <v/>
      </c>
    </row>
    <row r="35" customFormat="false" ht="15" hidden="false" customHeight="false" outlineLevel="0" collapsed="false">
      <c r="A35" s="24" t="s">
        <v>74</v>
      </c>
    </row>
    <row r="36" customFormat="false" ht="15" hidden="false" customHeight="false" outlineLevel="0" collapsed="false">
      <c r="A36" s="25" t="s">
        <v>75</v>
      </c>
    </row>
    <row r="37" customFormat="false" ht="15" hidden="false" customHeight="false" outlineLevel="0" collapsed="false">
      <c r="A37" s="24" t="s">
        <v>76</v>
      </c>
    </row>
  </sheetData>
  <autoFilter ref="A2:W33"/>
  <mergeCells count="7">
    <mergeCell ref="A1:D1"/>
    <mergeCell ref="E1:F1"/>
    <mergeCell ref="G1:I1"/>
    <mergeCell ref="J1:M1"/>
    <mergeCell ref="O1:R1"/>
    <mergeCell ref="S1:T1"/>
    <mergeCell ref="U1:W1"/>
  </mergeCells>
  <conditionalFormatting sqref="M3:M33">
    <cfRule type="colorScale" priority="2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conditionalFormatting sqref="K3:K33">
    <cfRule type="colorScale" priority="3">
      <colorScale>
        <cfvo type="num" val="-0.5"/>
        <cfvo type="num" val="0"/>
        <cfvo type="num" val="0.5"/>
        <color rgb="FFF8696B"/>
        <color rgb="FFFFFFFF"/>
        <color rgb="FF63BE7B"/>
      </colorScale>
    </cfRule>
  </conditionalFormatting>
  <conditionalFormatting sqref="J3:J33">
    <cfRule type="colorScale" priority="4">
      <colorScale>
        <cfvo type="min" val="0"/>
        <cfvo type="max" val="0"/>
        <color rgb="FFFFFFFF"/>
        <color rgb="FF63BE7B"/>
      </colorScale>
    </cfRule>
  </conditionalFormatting>
  <conditionalFormatting sqref="S3:S33">
    <cfRule type="colorScale" priority="5">
      <colorScale>
        <cfvo type="min" val="0"/>
        <cfvo type="max" val="0"/>
        <color rgb="FFFFFFFF"/>
        <color rgb="FF63BE7B"/>
      </colorScale>
    </cfRule>
  </conditionalFormatting>
  <conditionalFormatting sqref="G3:G33">
    <cfRule type="colorScale" priority="6">
      <colorScale>
        <cfvo type="min" val="0"/>
        <cfvo type="max" val="0"/>
        <color rgb="FFFFFFFF"/>
        <color rgb="FF63BE7B"/>
      </colorScale>
    </cfRule>
    <cfRule type="cellIs" priority="7" operator="equal" aboveAverage="0" equalAverage="0" bottom="0" percent="0" rank="0" text="" dxfId="65">
      <formula>"N/M"</formula>
    </cfRule>
  </conditionalFormatting>
  <conditionalFormatting sqref="Q3:Q33">
    <cfRule type="cellIs" priority="8" operator="lessThan" aboveAverage="0" equalAverage="0" bottom="0" percent="0" rank="0" text="" dxfId="66">
      <formula>1.5</formula>
    </cfRule>
  </conditionalFormatting>
  <conditionalFormatting sqref="R3:R33">
    <cfRule type="cellIs" priority="9" operator="lessThan" aboveAverage="0" equalAverage="0" bottom="0" percent="0" rank="0" text="" dxfId="66">
      <formula>1.5</formula>
    </cfRule>
  </conditionalFormatting>
  <conditionalFormatting sqref="L3:L33">
    <cfRule type="cellIs" priority="10" operator="equal" aboveAverage="0" equalAverage="0" bottom="0" percent="0" rank="0" text="" dxfId="66">
      <formula>"成長且加速"</formula>
    </cfRule>
    <cfRule type="cellIs" priority="11" operator="equal" aboveAverage="0" equalAverage="0" bottom="0" percent="0" rank="0" text="" dxfId="67">
      <formula>"成長但減速"</formula>
    </cfRule>
    <cfRule type="cellIs" priority="12" operator="equal" aboveAverage="0" equalAverage="0" bottom="0" percent="0" rank="0" text="" dxfId="67">
      <formula>"衰退但收斂"</formula>
    </cfRule>
    <cfRule type="cellIs" priority="13" operator="equal" aboveAverage="0" equalAverage="0" bottom="0" percent="0" rank="0" text="" dxfId="68">
      <formula>"衰退且惡化"</formula>
    </cfRule>
  </conditionalFormatting>
  <conditionalFormatting sqref="A3:W33">
    <cfRule type="expression" priority="14" aboveAverage="0" equalAverage="0" bottom="0" percent="0" rank="0" text="" dxfId="69">
      <formula>$C3="池子"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2"/>
    <col collapsed="false" customWidth="true" hidden="false" outlineLevel="0" max="3" min="3" style="0" width="3"/>
    <col collapsed="false" customWidth="true" hidden="false" outlineLevel="0" max="4" min="4" style="0" width="18"/>
    <col collapsed="false" customWidth="true" hidden="false" outlineLevel="0" max="5" min="5" style="0" width="12"/>
    <col collapsed="false" customWidth="true" hidden="false" outlineLevel="0" max="6" min="6" style="0" width="3"/>
    <col collapsed="false" customWidth="true" hidden="false" outlineLevel="0" max="7" min="7" style="0" width="18"/>
    <col collapsed="false" customWidth="true" hidden="false" outlineLevel="0" max="12" min="8" style="0" width="12"/>
    <col collapsed="false" customWidth="true" hidden="true" outlineLevel="0" max="26" min="26" style="0" width="13"/>
  </cols>
  <sheetData>
    <row r="1" customFormat="false" ht="17.35" hidden="false" customHeight="false" outlineLevel="0" collapsed="false">
      <c r="A1" s="1" t="s">
        <v>77</v>
      </c>
      <c r="Z1" s="0" t="str">
        <f aca="false">IF(INDEX(Calc!$AM$2:$AM$100,MATCH($B$2,Calc!$A$2:$A$100,0))&lt;Config!$B$7,"⚠ 分析師家數不足，共識預估可信度低　　","")&amp;IF(NOT(ISNUMBER(INDEX(Calc!$AG$2:$AG$100,MATCH($B$2,Calc!$A$2:$A$100,0)))),"⚠ 股東權益為負，ROE 無比較意義　　","")&amp;IF(INDEX(Calc!$P$2:$P$100,MATCH($B$2,Calc!$A$2:$A$100,0))=0,"ℹ 此檔近四季未配息　　","")</f>
        <v/>
      </c>
    </row>
    <row r="2" customFormat="false" ht="16.15" hidden="false" customHeight="false" outlineLevel="0" collapsed="false">
      <c r="A2" s="26" t="s">
        <v>78</v>
      </c>
      <c r="B2" s="27" t="s">
        <v>79</v>
      </c>
      <c r="D2" s="28" t="str">
        <f aca="false">IF($B$2="","",IFERROR(INDEX(Calc!$B$2:$B$100,MATCH($B$2,Calc!$A$2:$A$100,0)),""))</f>
        <v>台積電</v>
      </c>
      <c r="E2" s="28"/>
      <c r="F2" s="28"/>
      <c r="G2" s="29" t="str">
        <f aca="false">IF($B$2="","",IFERROR(INDEX(Calc!$C$2:$C$100,MATCH($B$2,Calc!$A$2:$A$100,0)),""))</f>
        <v>核心</v>
      </c>
    </row>
    <row r="3" customFormat="false" ht="15" hidden="false" customHeight="false" outlineLevel="0" collapsed="false">
      <c r="C3" s="24" t="s">
        <v>80</v>
      </c>
    </row>
    <row r="4" customFormat="false" ht="15" hidden="false" customHeight="false" outlineLevel="0" collapsed="false">
      <c r="A4" s="30" t="s">
        <v>56</v>
      </c>
      <c r="B4" s="31" t="n">
        <f aca="false">IF($B$2="","",IFERROR(INDEX(Calc!$D$2:$D$100,MATCH($B$2,Calc!$A$2:$A$100,0)),""))</f>
        <v>2420</v>
      </c>
      <c r="D4" s="30" t="s">
        <v>81</v>
      </c>
      <c r="E4" s="32" t="n">
        <f aca="false">IF($B$2="","",IFERROR(INDEX(Calc!$AM$2:$AM$100,MATCH($B$2,Calc!$A$2:$A$100,0)),""))</f>
        <v>20</v>
      </c>
      <c r="G4" s="30" t="s">
        <v>82</v>
      </c>
      <c r="H4" s="33" t="n">
        <f aca="false">IF($B$2="","",IFERROR(INDEX(Calc!$AN$2:$AN$100,MATCH($B$2,Calc!$A$2:$A$100,0)),""))</f>
        <v>0</v>
      </c>
      <c r="I4" s="30" t="s">
        <v>83</v>
      </c>
      <c r="J4" s="33" t="n">
        <f aca="false">IF($B$2="","",IFERROR(INDEX(Calc!$AO$2:$AO$100,MATCH($B$2,Calc!$A$2:$A$100,0)),""))</f>
        <v>46311</v>
      </c>
    </row>
    <row r="6" customFormat="false" ht="15" hidden="false" customHeight="false" outlineLevel="0" collapsed="false">
      <c r="A6" s="34" t="s">
        <v>84</v>
      </c>
      <c r="B6" s="34"/>
      <c r="D6" s="34" t="s">
        <v>48</v>
      </c>
      <c r="E6" s="34"/>
      <c r="G6" s="34" t="s">
        <v>85</v>
      </c>
      <c r="H6" s="34"/>
    </row>
    <row r="7" customFormat="false" ht="15" hidden="false" customHeight="false" outlineLevel="0" collapsed="false">
      <c r="A7" s="2" t="s">
        <v>66</v>
      </c>
      <c r="B7" s="35" t="n">
        <f aca="false">IF($B$2="","",IFERROR(INDEX(Calc!$J$2:$J$100,MATCH($B$2,Calc!$A$2:$A$100,0)),""))</f>
        <v>28.0482151135837</v>
      </c>
      <c r="D7" s="5" t="s">
        <v>86</v>
      </c>
      <c r="E7" s="36" t="n">
        <f aca="false">IF($B$2="","",IFERROR(INDEX(Calc!$T$2:$T$100,MATCH($B$2,Calc!$A$2:$A$100,0)),""))</f>
        <v>0.120162592928913</v>
      </c>
      <c r="G7" s="5" t="s">
        <v>87</v>
      </c>
      <c r="H7" s="36" t="n">
        <f aca="false">IF($B$2="","",IFERROR(INDEX(Calc!$AA$2:$AA$100,MATCH($B$2,Calc!$A$2:$A$100,0)),""))</f>
        <v>0.642301687617628</v>
      </c>
    </row>
    <row r="8" customFormat="false" ht="15" hidden="false" customHeight="false" outlineLevel="0" collapsed="false">
      <c r="A8" s="2" t="s">
        <v>67</v>
      </c>
      <c r="B8" s="35" t="n">
        <f aca="false">IF($B$2="","",IFERROR(INDEX(Calc!$L$2:$L$100,MATCH($B$2,Calc!$A$2:$A$100,0)),""))</f>
        <v>17.2469234101156</v>
      </c>
      <c r="D8" s="5" t="s">
        <v>88</v>
      </c>
      <c r="E8" s="36" t="n">
        <f aca="false">IF($B$2="","",IFERROR(INDEX(Calc!$U$2:$U$100,MATCH($B$2,Calc!$A$2:$A$100,0)),""))</f>
        <v>0.0841351925542582</v>
      </c>
      <c r="G8" s="2" t="s">
        <v>89</v>
      </c>
      <c r="H8" s="36" t="n">
        <f aca="false">IF($B$2="","",IFERROR(INDEX(Calc!$AB$2:$AB$100,MATCH($B$2,Calc!$A$2:$A$100,0)),""))</f>
        <v>0.589743565108384</v>
      </c>
    </row>
    <row r="9" customFormat="false" ht="15" hidden="false" customHeight="false" outlineLevel="0" collapsed="false">
      <c r="A9" s="2" t="s">
        <v>68</v>
      </c>
      <c r="B9" s="37" t="n">
        <f aca="false">IF($B$2="","",IFERROR(INDEX(Calc!$N$2:$N$100,MATCH($B$2,Calc!$A$2:$A$100,0)),""))</f>
        <v>0.526991989671637</v>
      </c>
      <c r="D9" s="5" t="s">
        <v>90</v>
      </c>
      <c r="E9" s="38" t="n">
        <f aca="false">IF($B$2="","",IFERROR(INDEX(Calc!$V$2:$V$100,MATCH($B$2,Calc!$A$2:$A$100,0)),""))</f>
        <v>3.6027400374655</v>
      </c>
      <c r="G9" s="5" t="s">
        <v>91</v>
      </c>
      <c r="H9" s="39" t="n">
        <f aca="false">IF($B$2="","",IFERROR(INDEX(Calc!$AC$2:$AC$100,MATCH($B$2,Calc!$A$2:$A$100,0)),""))</f>
        <v>525.581225092437</v>
      </c>
    </row>
    <row r="10" customFormat="false" ht="15" hidden="false" customHeight="false" outlineLevel="0" collapsed="false">
      <c r="A10" s="2" t="s">
        <v>69</v>
      </c>
      <c r="B10" s="37" t="n">
        <f aca="false">IF($B$2="","",IFERROR(INDEX(Calc!$O$2:$O$100,MATCH($B$2,Calc!$A$2:$A$100,0)),""))</f>
        <v>0.511449438602319</v>
      </c>
      <c r="D10" s="5" t="s">
        <v>92</v>
      </c>
      <c r="E10" s="40" t="str">
        <f aca="false">IF($B$2="","",IFERROR(INDEX(Calc!$X$2:$X$100,MATCH($B$2,Calc!$A$2:$A$100,0)),""))</f>
        <v>成長且加速</v>
      </c>
      <c r="G10" s="2" t="s">
        <v>93</v>
      </c>
      <c r="H10" s="39" t="n">
        <f aca="false">IF($B$2="","",IFERROR(INDEX(Calc!$AD$2:$AD$100,MATCH($B$2,Calc!$A$2:$A$100,0)),""))</f>
        <v>910.281759666762</v>
      </c>
    </row>
    <row r="11" customFormat="false" ht="15" hidden="false" customHeight="false" outlineLevel="0" collapsed="false">
      <c r="A11" s="2" t="s">
        <v>94</v>
      </c>
      <c r="B11" s="37" t="n">
        <f aca="false">IF($B$2="","",IFERROR(INDEX(Calc!$F$2:$F$100,MATCH($B$2,Calc!$A$2:$A$100,0)),""))</f>
        <v>86.28</v>
      </c>
      <c r="D11" s="5" t="s">
        <v>95</v>
      </c>
      <c r="E11" s="38" t="n">
        <f aca="false">IF($B$2="","",IFERROR(INDEX(Calc!$Y$2:$Y$100,MATCH($B$2,Calc!$A$2:$A$100,0)),""))</f>
        <v>0.751702573601265</v>
      </c>
      <c r="G11" s="2" t="s">
        <v>58</v>
      </c>
      <c r="H11" s="36" t="n">
        <f aca="false">IF($B$2="","",IFERROR(INDEX(Calc!$AG$2:$AG$100,MATCH($B$2,Calc!$A$2:$A$100,0)),""))</f>
        <v>0.40630775930059</v>
      </c>
    </row>
    <row r="12" customFormat="false" ht="15" hidden="false" customHeight="false" outlineLevel="0" collapsed="false">
      <c r="A12" s="2" t="s">
        <v>96</v>
      </c>
      <c r="B12" s="37" t="n">
        <f aca="false">IF($B$2="","",IFERROR(INDEX(Calc!$H$2:$H$100,MATCH($B$2,Calc!$A$2:$A$100,0)),""))</f>
        <v>140.314880657534</v>
      </c>
      <c r="D12" s="5" t="s">
        <v>97</v>
      </c>
      <c r="E12" s="36" t="n">
        <f aca="false">IF($B$2="","",IFERROR(INDEX(Calc!$S$2:$S$100,MATCH($B$2,Calc!$A$2:$A$100,0)),""))</f>
        <v>0.360453321745512</v>
      </c>
      <c r="G12" s="2" t="s">
        <v>89</v>
      </c>
      <c r="H12" s="36" t="n">
        <f aca="false">IF($B$2="","",IFERROR(INDEX(Calc!$AH$2:$AH$100,MATCH($B$2,Calc!$A$2:$A$100,0)),""))</f>
        <v>0.339841203932941</v>
      </c>
    </row>
    <row r="13" customFormat="false" ht="15" hidden="false" customHeight="false" outlineLevel="0" collapsed="false">
      <c r="A13" s="5" t="s">
        <v>51</v>
      </c>
      <c r="B13" s="36" t="n">
        <f aca="false">IF($B$2="","",IFERROR(INDEX(Calc!$Q$2:$Q$100,MATCH($B$2,Calc!$A$2:$A$100,0)),""))</f>
        <v>0.00909095048760331</v>
      </c>
      <c r="D13" s="2" t="s">
        <v>98</v>
      </c>
      <c r="E13" s="36" t="n">
        <f aca="false">IF($B$2="","",IFERROR(INDEX(Calc!$Z$2:$Z$100,MATCH($B$2,Calc!$A$2:$A$100,0)),""))</f>
        <v>0.774088541666667</v>
      </c>
      <c r="G13" s="2" t="s">
        <v>60</v>
      </c>
      <c r="H13" s="36" t="n">
        <f aca="false">IF($B$2="","",IFERROR(INDEX(Calc!$AI$2:$AI$100,MATCH($B$2,Calc!$A$2:$A$100,0)),""))</f>
        <v>0.44646532752408</v>
      </c>
    </row>
    <row r="14" customFormat="false" ht="15" hidden="false" customHeight="false" outlineLevel="0" collapsed="false">
      <c r="A14" s="5" t="s">
        <v>99</v>
      </c>
      <c r="B14" s="37" t="n">
        <f aca="false">IF($B$2="","",IFERROR(INDEX(Calc!$P$2:$P$100,MATCH($B$2,Calc!$A$2:$A$100,0)),""))</f>
        <v>22.00010018</v>
      </c>
      <c r="D14" s="2" t="s">
        <v>100</v>
      </c>
      <c r="E14" s="36" t="n">
        <f aca="false">IF($B$2="","",IFERROR(INDEX(Calc!$M$2:$M$100,MATCH($B$2,Calc!$A$2:$A$100,0)),""))</f>
        <v>0.337216586985562</v>
      </c>
      <c r="G14" s="5" t="s">
        <v>101</v>
      </c>
      <c r="H14" s="37" t="n">
        <f aca="false">IF($B$2="","",IFERROR(INDEX(Calc!$AE$2:$AE$100,MATCH($B$2,Calc!$A$2:$A$100,0)),""))</f>
        <v>248.04976595641</v>
      </c>
    </row>
    <row r="15" customFormat="false" ht="15" hidden="false" customHeight="false" outlineLevel="0" collapsed="false">
      <c r="D15" s="5" t="s">
        <v>102</v>
      </c>
      <c r="E15" s="37" t="n">
        <f aca="false">IF($B$2="","",IFERROR(INDEX(Calc!$AJ$2:$AJ$100,MATCH($B$2,Calc!$A$2:$A$100,0)),""))</f>
        <v>28.19147</v>
      </c>
    </row>
    <row r="16" customFormat="false" ht="15" hidden="false" customHeight="false" outlineLevel="0" collapsed="false">
      <c r="A16" s="41" t="s">
        <v>103</v>
      </c>
      <c r="B16" s="42" t="str">
        <f aca="false">IF($B$2="","",IF(LEN($Z$1)=0,"✓ 目前沒有觸發任何旗標",$Z$1))</f>
        <v>✓ 目前沒有觸發任何旗標</v>
      </c>
      <c r="C16" s="42"/>
      <c r="D16" s="42"/>
      <c r="E16" s="42"/>
      <c r="F16" s="42"/>
      <c r="G16" s="42"/>
      <c r="H16" s="42"/>
      <c r="I16" s="42"/>
      <c r="J16" s="42"/>
      <c r="K16" s="42"/>
      <c r="L16" s="42"/>
    </row>
  </sheetData>
  <mergeCells count="5">
    <mergeCell ref="D2:F2"/>
    <mergeCell ref="A6:B6"/>
    <mergeCell ref="D6:E6"/>
    <mergeCell ref="G6:H6"/>
    <mergeCell ref="B16:L16"/>
  </mergeCells>
  <dataValidations count="1">
    <dataValidation allowBlank="false" errorStyle="stop" operator="between" showDropDown="false" showErrorMessage="false" showInputMessage="false" sqref="B2" type="list">
      <formula1>Tickers!$A$2:$A$100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3"/>
    <col collapsed="false" customWidth="true" hidden="false" outlineLevel="0" max="5" min="4" style="0" width="10"/>
    <col collapsed="false" customWidth="true" hidden="false" outlineLevel="0" max="6" min="6" style="0" width="13"/>
    <col collapsed="false" customWidth="true" hidden="false" outlineLevel="0" max="10" min="7" style="0" width="10"/>
    <col collapsed="false" customWidth="true" hidden="false" outlineLevel="0" max="11" min="11" style="0" width="11"/>
    <col collapsed="false" customWidth="true" hidden="false" outlineLevel="0" max="12" min="12" style="0" width="10"/>
    <col collapsed="false" customWidth="true" hidden="false" outlineLevel="0" max="14" min="13" style="0" width="9"/>
    <col collapsed="false" customWidth="true" hidden="true" outlineLevel="0" max="26" min="26" style="0" width="13"/>
  </cols>
  <sheetData>
    <row r="1" customFormat="false" ht="17.9" hidden="false" customHeight="false" outlineLevel="0" collapsed="false">
      <c r="A1" s="1" t="s">
        <v>104</v>
      </c>
      <c r="Z1" s="43" t="n">
        <f aca="false">IF(Stock_Card!$B$2="","",IFERROR(SUMIFS(Raw_Q!$C$2:$C$600,Raw_Q!$A$2:$A$600,Stock_Card!$B$2,Raw_Q!$R$2:$R$600,0),""))</f>
        <v>2026</v>
      </c>
    </row>
    <row r="2" customFormat="false" ht="15" hidden="false" customHeight="false" outlineLevel="0" collapsed="false">
      <c r="A2" s="44" t="s">
        <v>105</v>
      </c>
      <c r="B2" s="45" t="str">
        <f aca="false">Stock_Card!$B$2</f>
        <v>2330</v>
      </c>
      <c r="C2" s="24" t="s">
        <v>106</v>
      </c>
    </row>
    <row r="4" customFormat="false" ht="31.5" hidden="false" customHeight="true" outlineLevel="0" collapsed="false">
      <c r="A4" s="16" t="s">
        <v>107</v>
      </c>
      <c r="B4" s="16" t="s">
        <v>108</v>
      </c>
      <c r="C4" s="16" t="s">
        <v>109</v>
      </c>
      <c r="D4" s="16" t="s">
        <v>110</v>
      </c>
      <c r="E4" s="16" t="s">
        <v>46</v>
      </c>
      <c r="F4" s="16" t="s">
        <v>111</v>
      </c>
      <c r="G4" s="15" t="s">
        <v>112</v>
      </c>
      <c r="H4" s="15" t="s">
        <v>113</v>
      </c>
      <c r="I4" s="15" t="s">
        <v>47</v>
      </c>
      <c r="J4" s="16" t="s">
        <v>114</v>
      </c>
      <c r="K4" s="16" t="s">
        <v>115</v>
      </c>
      <c r="L4" s="16" t="s">
        <v>51</v>
      </c>
      <c r="M4" s="15" t="s">
        <v>116</v>
      </c>
      <c r="N4" s="15" t="s">
        <v>68</v>
      </c>
    </row>
    <row r="5" customFormat="false" ht="15" hidden="false" customHeight="false" outlineLevel="0" collapsed="false">
      <c r="A5" s="46" t="n">
        <f aca="false">IF(Stock_Card!$B$2="","",IFERROR($Z$1-5,""))</f>
        <v>2021</v>
      </c>
      <c r="B5" s="47" t="n">
        <f aca="false">IF(Stock_Card!$B$2="","",COUNTIFS(Raw_Q!$A$2:$A$600,Stock_Card!$B$2,Raw_Q!$C$2:$C$600,$A5,Raw_Q!$F$2:$F$600,"N"))</f>
        <v>4</v>
      </c>
      <c r="C5" s="48" t="n">
        <f aca="false">IF($B5&gt;=4,SUMIFS(Raw_Q!$I$2:$I$600,Raw_Q!$A$2:$A$600,Stock_Card!$B$2,Raw_Q!$C$2:$C$600,$A5,Raw_Q!$F$2:$F$600,"N"),"")</f>
        <v>1587415.037</v>
      </c>
      <c r="D5" s="49" t="str">
        <f aca="false">IFERROR(IF(AND(ISNUMBER(C5),ISNUMBER(C4)),C5/C4-1,""),"")</f>
        <v/>
      </c>
      <c r="E5" s="49" t="n">
        <f aca="false">IF($B5&gt;=4,IFERROR(SUMIFS(Raw_Q!$J$2:$J$600,Raw_Q!$A$2:$A$600,Stock_Card!$B$2,Raw_Q!$C$2:$C$600,$A5,Raw_Q!$F$2:$F$600,"N")/C5,""),"")</f>
        <v>0.516271577941466</v>
      </c>
      <c r="F5" s="50" t="str">
        <f aca="false">IFERROR(IF(AND(ISNUMBER(E5),ISNUMBER(E4)),(E5-E4)*10000,""),"")</f>
        <v/>
      </c>
      <c r="G5" s="51" t="n">
        <f aca="false">IF($B5&gt;=4,SUMIFS(Raw_Q!$L$2:$L$600,Raw_Q!$A$2:$A$600,Stock_Card!$B$2,Raw_Q!$C$2:$C$600,$A5,Raw_Q!$F$2:$F$600,"N"),"")</f>
        <v>23.02</v>
      </c>
      <c r="H5" s="49" t="str">
        <f aca="false">IFERROR(IF(AND(ISNUMBER(G5),ISNUMBER(G4)),G5/G4-1,""),"")</f>
        <v/>
      </c>
      <c r="I5" s="49" t="n">
        <f aca="false">IF($B5&gt;=4,IFERROR(IF(MIN(SUMIFS(Raw_Q!$O$2:$O$600,Raw_Q!$A$2:$A$600,Stock_Card!$B$2,Raw_Q!$C$2:$C$600,$A5,Raw_Q!$D$2:$D$600,4,Raw_Q!$F$2:$F$600,"N"),SUMIFS(Raw_Q!$O$2:$O$600,Raw_Q!$A$2:$A$600,Stock_Card!$B$2,Raw_Q!$C$2:$C$600,$A5-1,Raw_Q!$D$2:$D$600,4,Raw_Q!$F$2:$F$600,"N"))&lt;=0,"N/M",SUMPRODUCT((Raw_Q!$A$2:$A$600=Stock_Card!$B$2)*(Raw_Q!$C$2:$C$600=$A5)*(Raw_Q!$F$2:$F$600="N")*Raw_Q!$L$2:$L$600*Raw_Q!$M$2:$M$600)/((SUMIFS(Raw_Q!$O$2:$O$600,Raw_Q!$A$2:$A$600,Stock_Card!$B$2,Raw_Q!$C$2:$C$600,$A5,Raw_Q!$D$2:$D$600,4,Raw_Q!$F$2:$F$600,"N")+SUMIFS(Raw_Q!$O$2:$O$600,Raw_Q!$A$2:$A$600,Stock_Card!$B$2,Raw_Q!$C$2:$C$600,$A5-1,Raw_Q!$D$2:$D$600,4,Raw_Q!$F$2:$F$600,"N"))/2)),"N/M"),"")</f>
        <v>0.29712578746021</v>
      </c>
      <c r="J5" s="51" t="n">
        <f aca="false">IF($B5&gt;=4,SUMIFS(Raw_Q!$P$2:$P$600,Raw_Q!$A$2:$A$600,Stock_Card!$B$2,Raw_Q!$C$2:$C$600,$A5,Raw_Q!$F$2:$F$600,"N"),"")</f>
        <v>10.5</v>
      </c>
      <c r="K5" s="51" t="n">
        <f aca="false">IFERROR(IF(SUMIFS(Raw_Q!$Q$2:$Q$600,Raw_Q!$A$2:$A$600,Stock_Card!$B$2,Raw_Q!$C$2:$C$600,$A5,Raw_Q!$D$2:$D$600,4,Raw_Q!$F$2:$F$600,"N")=0,"",SUMIFS(Raw_Q!$Q$2:$Q$600,Raw_Q!$A$2:$A$600,Stock_Card!$B$2,Raw_Q!$C$2:$C$600,$A5,Raw_Q!$D$2:$D$600,4,Raw_Q!$F$2:$F$600,"N")),"")</f>
        <v>615</v>
      </c>
      <c r="L5" s="49" t="n">
        <f aca="false">IFERROR(IF(OR(NOT(ISNUMBER(K5)),NOT(ISNUMBER(J5)),J5=0),"",J5/K5),"")</f>
        <v>0.0170731707317073</v>
      </c>
      <c r="M5" s="52" t="n">
        <f aca="false">IFERROR(IF(OR(NOT(ISNUMBER(K5)),NOT(ISNUMBER(G5)),G5&lt;=0),"",K5/G5),"")</f>
        <v>26.7158992180712</v>
      </c>
      <c r="N5" s="51" t="str">
        <f aca="false">IFERROR(IF(OR(NOT(ISNUMBER(M5)),NOT(ISNUMBER(H5))),"",IF(H5&lt;Config!$B$6,"N/M",M5/(H5*100))),"")</f>
        <v/>
      </c>
    </row>
    <row r="6" customFormat="false" ht="15" hidden="false" customHeight="false" outlineLevel="0" collapsed="false">
      <c r="A6" s="46" t="n">
        <f aca="false">IF(Stock_Card!$B$2="","",IFERROR($Z$1-4,""))</f>
        <v>2022</v>
      </c>
      <c r="B6" s="47" t="n">
        <f aca="false">IF(Stock_Card!$B$2="","",COUNTIFS(Raw_Q!$A$2:$A$600,Stock_Card!$B$2,Raw_Q!$C$2:$C$600,$A6,Raw_Q!$F$2:$F$600,"N"))</f>
        <v>4</v>
      </c>
      <c r="C6" s="48" t="n">
        <f aca="false">IF($B6&gt;=4,SUMIFS(Raw_Q!$I$2:$I$600,Raw_Q!$A$2:$A$600,Stock_Card!$B$2,Raw_Q!$C$2:$C$600,$A6,Raw_Q!$F$2:$F$600,"N"),"")</f>
        <v>2263891.292</v>
      </c>
      <c r="D6" s="49" t="n">
        <f aca="false">IFERROR(IF(AND(ISNUMBER(C6),ISNUMBER(C5)),C6/C5-1,""),"")</f>
        <v>0.426149582328796</v>
      </c>
      <c r="E6" s="49" t="n">
        <f aca="false">IF($B6&gt;=4,IFERROR(SUMIFS(Raw_Q!$J$2:$J$600,Raw_Q!$A$2:$A$600,Stock_Card!$B$2,Raw_Q!$C$2:$C$600,$A6,Raw_Q!$F$2:$F$600,"N")/C6,""),"")</f>
        <v>0.59559167472605</v>
      </c>
      <c r="F6" s="50" t="n">
        <f aca="false">IFERROR(IF(AND(ISNUMBER(E6),ISNUMBER(E5)),(E6-E5)*10000,""),"")</f>
        <v>793.20096784584</v>
      </c>
      <c r="G6" s="51" t="n">
        <f aca="false">IF($B6&gt;=4,SUMIFS(Raw_Q!$L$2:$L$600,Raw_Q!$A$2:$A$600,Stock_Card!$B$2,Raw_Q!$C$2:$C$600,$A6,Raw_Q!$F$2:$F$600,"N"),"")</f>
        <v>39.2</v>
      </c>
      <c r="H6" s="49" t="n">
        <f aca="false">IFERROR(IF(AND(ISNUMBER(G6),ISNUMBER(G5)),G6/G5-1,""),"")</f>
        <v>0.702867072111208</v>
      </c>
      <c r="I6" s="49" t="n">
        <f aca="false">IF($B6&gt;=4,IFERROR(IF(MIN(SUMIFS(Raw_Q!$O$2:$O$600,Raw_Q!$A$2:$A$600,Stock_Card!$B$2,Raw_Q!$C$2:$C$600,$A6,Raw_Q!$D$2:$D$600,4,Raw_Q!$F$2:$F$600,"N"),SUMIFS(Raw_Q!$O$2:$O$600,Raw_Q!$A$2:$A$600,Stock_Card!$B$2,Raw_Q!$C$2:$C$600,$A6-1,Raw_Q!$D$2:$D$600,4,Raw_Q!$F$2:$F$600,"N"))&lt;=0,"N/M",SUMPRODUCT((Raw_Q!$A$2:$A$600=Stock_Card!$B$2)*(Raw_Q!$C$2:$C$600=$A6)*(Raw_Q!$F$2:$F$600="N")*Raw_Q!$L$2:$L$600*Raw_Q!$M$2:$M$600)/((SUMIFS(Raw_Q!$O$2:$O$600,Raw_Q!$A$2:$A$600,Stock_Card!$B$2,Raw_Q!$C$2:$C$600,$A6,Raw_Q!$D$2:$D$600,4,Raw_Q!$F$2:$F$600,"N")+SUMIFS(Raw_Q!$O$2:$O$600,Raw_Q!$A$2:$A$600,Stock_Card!$B$2,Raw_Q!$C$2:$C$600,$A6-1,Raw_Q!$D$2:$D$600,4,Raw_Q!$F$2:$F$600,"N"))/2)),"N/M"),"")</f>
        <v>0.397533726257739</v>
      </c>
      <c r="J6" s="51" t="n">
        <f aca="false">IF($B6&gt;=4,SUMIFS(Raw_Q!$P$2:$P$600,Raw_Q!$A$2:$A$600,Stock_Card!$B$2,Raw_Q!$C$2:$C$600,$A6,Raw_Q!$F$2:$F$600,"N"),"")</f>
        <v>11</v>
      </c>
      <c r="K6" s="51" t="n">
        <f aca="false">IFERROR(IF(SUMIFS(Raw_Q!$Q$2:$Q$600,Raw_Q!$A$2:$A$600,Stock_Card!$B$2,Raw_Q!$C$2:$C$600,$A6,Raw_Q!$D$2:$D$600,4,Raw_Q!$F$2:$F$600,"N")=0,"",SUMIFS(Raw_Q!$Q$2:$Q$600,Raw_Q!$A$2:$A$600,Stock_Card!$B$2,Raw_Q!$C$2:$C$600,$A6,Raw_Q!$D$2:$D$600,4,Raw_Q!$F$2:$F$600,"N")),"")</f>
        <v>448.5</v>
      </c>
      <c r="L6" s="49" t="n">
        <f aca="false">IFERROR(IF(OR(NOT(ISNUMBER(K6)),NOT(ISNUMBER(J6)),J6=0),"",J6/K6),"")</f>
        <v>0.0245261984392419</v>
      </c>
      <c r="M6" s="52" t="n">
        <f aca="false">IFERROR(IF(OR(NOT(ISNUMBER(K6)),NOT(ISNUMBER(G6)),G6&lt;=0),"",K6/G6),"")</f>
        <v>11.4413265306122</v>
      </c>
      <c r="N6" s="51" t="n">
        <f aca="false">IFERROR(IF(OR(NOT(ISNUMBER(M6)),NOT(ISNUMBER(H6))),"",IF(H6&lt;Config!$B$6,"N/M",M6/(H6*100))),"")</f>
        <v>0.16278080144295</v>
      </c>
    </row>
    <row r="7" customFormat="false" ht="15" hidden="false" customHeight="false" outlineLevel="0" collapsed="false">
      <c r="A7" s="46" t="n">
        <f aca="false">IF(Stock_Card!$B$2="","",IFERROR($Z$1-3,""))</f>
        <v>2023</v>
      </c>
      <c r="B7" s="47" t="n">
        <f aca="false">IF(Stock_Card!$B$2="","",COUNTIFS(Raw_Q!$A$2:$A$600,Stock_Card!$B$2,Raw_Q!$C$2:$C$600,$A7,Raw_Q!$F$2:$F$600,"N"))</f>
        <v>4</v>
      </c>
      <c r="C7" s="48" t="n">
        <f aca="false">IF($B7&gt;=4,SUMIFS(Raw_Q!$I$2:$I$600,Raw_Q!$A$2:$A$600,Stock_Card!$B$2,Raw_Q!$C$2:$C$600,$A7,Raw_Q!$F$2:$F$600,"N"),"")</f>
        <v>2161735.841</v>
      </c>
      <c r="D7" s="49" t="n">
        <f aca="false">IFERROR(IF(AND(ISNUMBER(C7),ISNUMBER(C6)),C7/C6-1,""),"")</f>
        <v>-0.0451238322975094</v>
      </c>
      <c r="E7" s="49" t="n">
        <f aca="false">IF($B7&gt;=4,IFERROR(SUMIFS(Raw_Q!$J$2:$J$600,Raw_Q!$A$2:$A$600,Stock_Card!$B$2,Raw_Q!$C$2:$C$600,$A7,Raw_Q!$F$2:$F$600,"N")/C7,""),"")</f>
        <v>0.543595848166353</v>
      </c>
      <c r="F7" s="50" t="n">
        <f aca="false">IFERROR(IF(AND(ISNUMBER(E7),ISNUMBER(E6)),(E7-E6)*10000,""),"")</f>
        <v>-519.958265596963</v>
      </c>
      <c r="G7" s="51" t="n">
        <f aca="false">IF($B7&gt;=4,SUMIFS(Raw_Q!$L$2:$L$600,Raw_Q!$A$2:$A$600,Stock_Card!$B$2,Raw_Q!$C$2:$C$600,$A7,Raw_Q!$F$2:$F$600,"N"),"")</f>
        <v>32.34</v>
      </c>
      <c r="H7" s="49" t="n">
        <f aca="false">IFERROR(IF(AND(ISNUMBER(G7),ISNUMBER(G6)),G7/G6-1,""),"")</f>
        <v>-0.175</v>
      </c>
      <c r="I7" s="49" t="n">
        <f aca="false">IF($B7&gt;=4,IFERROR(IF(MIN(SUMIFS(Raw_Q!$O$2:$O$600,Raw_Q!$A$2:$A$600,Stock_Card!$B$2,Raw_Q!$C$2:$C$600,$A7,Raw_Q!$D$2:$D$600,4,Raw_Q!$F$2:$F$600,"N"),SUMIFS(Raw_Q!$O$2:$O$600,Raw_Q!$A$2:$A$600,Stock_Card!$B$2,Raw_Q!$C$2:$C$600,$A7-1,Raw_Q!$D$2:$D$600,4,Raw_Q!$F$2:$F$600,"N"))&lt;=0,"N/M",SUMPRODUCT((Raw_Q!$A$2:$A$600=Stock_Card!$B$2)*(Raw_Q!$C$2:$C$600=$A7)*(Raw_Q!$F$2:$F$600="N")*Raw_Q!$L$2:$L$600*Raw_Q!$M$2:$M$600)/((SUMIFS(Raw_Q!$O$2:$O$600,Raw_Q!$A$2:$A$600,Stock_Card!$B$2,Raw_Q!$C$2:$C$600,$A7,Raw_Q!$D$2:$D$600,4,Raw_Q!$F$2:$F$600,"N")+SUMIFS(Raw_Q!$O$2:$O$600,Raw_Q!$A$2:$A$600,Stock_Card!$B$2,Raw_Q!$C$2:$C$600,$A7-1,Raw_Q!$D$2:$D$600,4,Raw_Q!$F$2:$F$600,"N"))/2)),"N/M"),"")</f>
        <v>0.261890162772354</v>
      </c>
      <c r="J7" s="51" t="n">
        <f aca="false">IF($B7&gt;=4,SUMIFS(Raw_Q!$P$2:$P$600,Raw_Q!$A$2:$A$600,Stock_Card!$B$2,Raw_Q!$C$2:$C$600,$A7,Raw_Q!$F$2:$F$600,"N"),"")</f>
        <v>11.49964144</v>
      </c>
      <c r="K7" s="51" t="n">
        <f aca="false">IFERROR(IF(SUMIFS(Raw_Q!$Q$2:$Q$600,Raw_Q!$A$2:$A$600,Stock_Card!$B$2,Raw_Q!$C$2:$C$600,$A7,Raw_Q!$D$2:$D$600,4,Raw_Q!$F$2:$F$600,"N")=0,"",SUMIFS(Raw_Q!$Q$2:$Q$600,Raw_Q!$A$2:$A$600,Stock_Card!$B$2,Raw_Q!$C$2:$C$600,$A7,Raw_Q!$D$2:$D$600,4,Raw_Q!$F$2:$F$600,"N")),"")</f>
        <v>593</v>
      </c>
      <c r="L7" s="49" t="n">
        <f aca="false">IFERROR(IF(OR(NOT(ISNUMBER(K7)),NOT(ISNUMBER(J7)),J7=0),"",J7/K7),"")</f>
        <v>0.0193923127150084</v>
      </c>
      <c r="M7" s="52" t="n">
        <f aca="false">IFERROR(IF(OR(NOT(ISNUMBER(K7)),NOT(ISNUMBER(G7)),G7&lt;=0),"",K7/G7),"")</f>
        <v>18.3364254792826</v>
      </c>
      <c r="N7" s="51" t="str">
        <f aca="false">IFERROR(IF(OR(NOT(ISNUMBER(M7)),NOT(ISNUMBER(H7))),"",IF(H7&lt;Config!$B$6,"N/M",M7/(H7*100))),"")</f>
        <v>N/M</v>
      </c>
    </row>
    <row r="8" customFormat="false" ht="15" hidden="false" customHeight="false" outlineLevel="0" collapsed="false">
      <c r="A8" s="46" t="n">
        <f aca="false">IF(Stock_Card!$B$2="","",IFERROR($Z$1-2,""))</f>
        <v>2024</v>
      </c>
      <c r="B8" s="47" t="n">
        <f aca="false">IF(Stock_Card!$B$2="","",COUNTIFS(Raw_Q!$A$2:$A$600,Stock_Card!$B$2,Raw_Q!$C$2:$C$600,$A8,Raw_Q!$F$2:$F$600,"N"))</f>
        <v>4</v>
      </c>
      <c r="C8" s="48" t="n">
        <f aca="false">IF($B8&gt;=4,SUMIFS(Raw_Q!$I$2:$I$600,Raw_Q!$A$2:$A$600,Stock_Card!$B$2,Raw_Q!$C$2:$C$600,$A8,Raw_Q!$F$2:$F$600,"N"),"")</f>
        <v>2894307.699</v>
      </c>
      <c r="D8" s="49" t="n">
        <f aca="false">IFERROR(IF(AND(ISNUMBER(C8),ISNUMBER(C7)),C8/C7-1,""),"")</f>
        <v>0.338881302750256</v>
      </c>
      <c r="E8" s="49" t="n">
        <f aca="false">IF($B8&gt;=4,IFERROR(SUMIFS(Raw_Q!$J$2:$J$600,Raw_Q!$A$2:$A$600,Stock_Card!$B$2,Raw_Q!$C$2:$C$600,$A8,Raw_Q!$F$2:$F$600,"N")/C8,""),"")</f>
        <v>0.561223523180076</v>
      </c>
      <c r="F8" s="50" t="n">
        <f aca="false">IFERROR(IF(AND(ISNUMBER(E8),ISNUMBER(E7)),(E8-E7)*10000,""),"")</f>
        <v>176.276750137231</v>
      </c>
      <c r="G8" s="51" t="n">
        <f aca="false">IF($B8&gt;=4,SUMIFS(Raw_Q!$L$2:$L$600,Raw_Q!$A$2:$A$600,Stock_Card!$B$2,Raw_Q!$C$2:$C$600,$A8,Raw_Q!$F$2:$F$600,"N"),"")</f>
        <v>45.26</v>
      </c>
      <c r="H8" s="49" t="n">
        <f aca="false">IFERROR(IF(AND(ISNUMBER(G8),ISNUMBER(G7)),G8/G7-1,""),"")</f>
        <v>0.399505256648114</v>
      </c>
      <c r="I8" s="49" t="n">
        <f aca="false">IF($B8&gt;=4,IFERROR(IF(MIN(SUMIFS(Raw_Q!$O$2:$O$600,Raw_Q!$A$2:$A$600,Stock_Card!$B$2,Raw_Q!$C$2:$C$600,$A8,Raw_Q!$D$2:$D$600,4,Raw_Q!$F$2:$F$600,"N"),SUMIFS(Raw_Q!$O$2:$O$600,Raw_Q!$A$2:$A$600,Stock_Card!$B$2,Raw_Q!$C$2:$C$600,$A8-1,Raw_Q!$D$2:$D$600,4,Raw_Q!$F$2:$F$600,"N"))&lt;=0,"N/M",SUMPRODUCT((Raw_Q!$A$2:$A$600=Stock_Card!$B$2)*(Raw_Q!$C$2:$C$600=$A8)*(Raw_Q!$F$2:$F$600="N")*Raw_Q!$L$2:$L$600*Raw_Q!$M$2:$M$600)/((SUMIFS(Raw_Q!$O$2:$O$600,Raw_Q!$A$2:$A$600,Stock_Card!$B$2,Raw_Q!$C$2:$C$600,$A8,Raw_Q!$D$2:$D$600,4,Raw_Q!$F$2:$F$600,"N")+SUMIFS(Raw_Q!$O$2:$O$600,Raw_Q!$A$2:$A$600,Stock_Card!$B$2,Raw_Q!$C$2:$C$600,$A8-1,Raw_Q!$D$2:$D$600,4,Raw_Q!$F$2:$F$600,"N"))/2)),"N/M"),"")</f>
        <v>0.303001046526637</v>
      </c>
      <c r="J8" s="51" t="n">
        <f aca="false">IF($B8&gt;=4,SUMIFS(Raw_Q!$P$2:$P$600,Raw_Q!$A$2:$A$600,Stock_Card!$B$2,Raw_Q!$C$2:$C$600,$A8,Raw_Q!$F$2:$F$600,"N"),"")</f>
        <v>14.99935464</v>
      </c>
      <c r="K8" s="51" t="n">
        <f aca="false">IFERROR(IF(SUMIFS(Raw_Q!$Q$2:$Q$600,Raw_Q!$A$2:$A$600,Stock_Card!$B$2,Raw_Q!$C$2:$C$600,$A8,Raw_Q!$D$2:$D$600,4,Raw_Q!$F$2:$F$600,"N")=0,"",SUMIFS(Raw_Q!$Q$2:$Q$600,Raw_Q!$A$2:$A$600,Stock_Card!$B$2,Raw_Q!$C$2:$C$600,$A8,Raw_Q!$D$2:$D$600,4,Raw_Q!$F$2:$F$600,"N")),"")</f>
        <v>1075</v>
      </c>
      <c r="L8" s="49" t="n">
        <f aca="false">IFERROR(IF(OR(NOT(ISNUMBER(K8)),NOT(ISNUMBER(J8)),J8=0),"",J8/K8),"")</f>
        <v>0.0139528880372093</v>
      </c>
      <c r="M8" s="52" t="n">
        <f aca="false">IFERROR(IF(OR(NOT(ISNUMBER(K8)),NOT(ISNUMBER(G8)),G8&lt;=0),"",K8/G8),"")</f>
        <v>23.7516570923553</v>
      </c>
      <c r="N8" s="51" t="n">
        <f aca="false">IFERROR(IF(OR(NOT(ISNUMBER(M8)),NOT(ISNUMBER(H8))),"",IF(H8&lt;Config!$B$6,"N/M",M8/(H8*100))),"")</f>
        <v>0.594526772729698</v>
      </c>
    </row>
    <row r="9" customFormat="false" ht="15" hidden="false" customHeight="false" outlineLevel="0" collapsed="false">
      <c r="A9" s="46" t="n">
        <f aca="false">IF(Stock_Card!$B$2="","",IFERROR($Z$1-1,""))</f>
        <v>2025</v>
      </c>
      <c r="B9" s="47" t="n">
        <f aca="false">IF(Stock_Card!$B$2="","",COUNTIFS(Raw_Q!$A$2:$A$600,Stock_Card!$B$2,Raw_Q!$C$2:$C$600,$A9,Raw_Q!$F$2:$F$600,"N"))</f>
        <v>4</v>
      </c>
      <c r="C9" s="48" t="n">
        <f aca="false">IF($B9&gt;=4,SUMIFS(Raw_Q!$I$2:$I$600,Raw_Q!$A$2:$A$600,Stock_Card!$B$2,Raw_Q!$C$2:$C$600,$A9,Raw_Q!$F$2:$F$600,"N"),"")</f>
        <v>3809054.272</v>
      </c>
      <c r="D9" s="49" t="n">
        <f aca="false">IFERROR(IF(AND(ISNUMBER(C9),ISNUMBER(C8)),C9/C8-1,""),"")</f>
        <v>0.31605021584818</v>
      </c>
      <c r="E9" s="49" t="n">
        <f aca="false">IF($B9&gt;=4,IFERROR(SUMIFS(Raw_Q!$J$2:$J$600,Raw_Q!$A$2:$A$600,Stock_Card!$B$2,Raw_Q!$C$2:$C$600,$A9,Raw_Q!$F$2:$F$600,"N")/C9,""),"")</f>
        <v>0.598913487730952</v>
      </c>
      <c r="F9" s="50" t="n">
        <f aca="false">IFERROR(IF(AND(ISNUMBER(E9),ISNUMBER(E8)),(E9-E8)*10000,""),"")</f>
        <v>376.899645508751</v>
      </c>
      <c r="G9" s="51" t="n">
        <f aca="false">IF($B9&gt;=4,SUMIFS(Raw_Q!$L$2:$L$600,Raw_Q!$A$2:$A$600,Stock_Card!$B$2,Raw_Q!$C$2:$C$600,$A9,Raw_Q!$F$2:$F$600,"N"),"")</f>
        <v>66.26</v>
      </c>
      <c r="H9" s="49" t="n">
        <f aca="false">IFERROR(IF(AND(ISNUMBER(G9),ISNUMBER(G8)),G9/G8-1,""),"")</f>
        <v>0.463985859478568</v>
      </c>
      <c r="I9" s="49" t="n">
        <f aca="false">IF($B9&gt;=4,IFERROR(IF(MIN(SUMIFS(Raw_Q!$O$2:$O$600,Raw_Q!$A$2:$A$600,Stock_Card!$B$2,Raw_Q!$C$2:$C$600,$A9,Raw_Q!$D$2:$D$600,4,Raw_Q!$F$2:$F$600,"N"),SUMIFS(Raw_Q!$O$2:$O$600,Raw_Q!$A$2:$A$600,Stock_Card!$B$2,Raw_Q!$C$2:$C$600,$A9-1,Raw_Q!$D$2:$D$600,4,Raw_Q!$F$2:$F$600,"N"))&lt;=0,"N/M",SUMPRODUCT((Raw_Q!$A$2:$A$600=Stock_Card!$B$2)*(Raw_Q!$C$2:$C$600=$A9)*(Raw_Q!$F$2:$F$600="N")*Raw_Q!$L$2:$L$600*Raw_Q!$M$2:$M$600)/((SUMIFS(Raw_Q!$O$2:$O$600,Raw_Q!$A$2:$A$600,Stock_Card!$B$2,Raw_Q!$C$2:$C$600,$A9,Raw_Q!$D$2:$D$600,4,Raw_Q!$F$2:$F$600,"N")+SUMIFS(Raw_Q!$O$2:$O$600,Raw_Q!$A$2:$A$600,Stock_Card!$B$2,Raw_Q!$C$2:$C$600,$A9-1,Raw_Q!$D$2:$D$600,4,Raw_Q!$F$2:$F$600,"N"))/2)),"N/M"),"")</f>
        <v>0.353990193178857</v>
      </c>
      <c r="J9" s="51" t="n">
        <f aca="false">IF($B9&gt;=4,SUMIFS(Raw_Q!$P$2:$P$600,Raw_Q!$A$2:$A$600,Stock_Card!$B$2,Raw_Q!$C$2:$C$600,$A9,Raw_Q!$F$2:$F$600,"N"),"")</f>
        <v>19.00006956</v>
      </c>
      <c r="K9" s="51" t="n">
        <f aca="false">IFERROR(IF(SUMIFS(Raw_Q!$Q$2:$Q$600,Raw_Q!$A$2:$A$600,Stock_Card!$B$2,Raw_Q!$C$2:$C$600,$A9,Raw_Q!$D$2:$D$600,4,Raw_Q!$F$2:$F$600,"N")=0,"",SUMIFS(Raw_Q!$Q$2:$Q$600,Raw_Q!$A$2:$A$600,Stock_Card!$B$2,Raw_Q!$C$2:$C$600,$A9,Raw_Q!$D$2:$D$600,4,Raw_Q!$F$2:$F$600,"N")),"")</f>
        <v>1550</v>
      </c>
      <c r="L9" s="49" t="n">
        <f aca="false">IFERROR(IF(OR(NOT(ISNUMBER(K9)),NOT(ISNUMBER(J9)),J9=0),"",J9/K9),"")</f>
        <v>0.0122581093935484</v>
      </c>
      <c r="M9" s="52" t="n">
        <f aca="false">IFERROR(IF(OR(NOT(ISNUMBER(K9)),NOT(ISNUMBER(G9)),G9&lt;=0),"",K9/G9),"")</f>
        <v>23.3926954421974</v>
      </c>
      <c r="N9" s="51" t="n">
        <f aca="false">IFERROR(IF(OR(NOT(ISNUMBER(M9)),NOT(ISNUMBER(H9))),"",IF(H9&lt;Config!$B$6,"N/M",M9/(H9*100))),"")</f>
        <v>0.504168283673264</v>
      </c>
    </row>
    <row r="10" customFormat="false" ht="15" hidden="false" customHeight="false" outlineLevel="0" collapsed="false">
      <c r="A10" s="46" t="n">
        <f aca="false">IF(Stock_Card!$B$2="","",IFERROR($Z$1-0,""))</f>
        <v>2026</v>
      </c>
      <c r="B10" s="47" t="n">
        <f aca="false">IF(Stock_Card!$B$2="","",COUNTIFS(Raw_Q!$A$2:$A$600,Stock_Card!$B$2,Raw_Q!$C$2:$C$600,$A10,Raw_Q!$F$2:$F$600,"N"))</f>
        <v>2</v>
      </c>
      <c r="C10" s="48" t="str">
        <f aca="false">IF($B10&gt;=4,SUMIFS(Raw_Q!$I$2:$I$600,Raw_Q!$A$2:$A$600,Stock_Card!$B$2,Raw_Q!$C$2:$C$600,$A10,Raw_Q!$F$2:$F$600,"N"),"")</f>
        <v/>
      </c>
      <c r="D10" s="49" t="str">
        <f aca="false">IFERROR(IF(AND(ISNUMBER(C10),ISNUMBER(C9)),C10/C9-1,""),"")</f>
        <v/>
      </c>
      <c r="E10" s="49" t="str">
        <f aca="false">IF($B10&gt;=4,IFERROR(SUMIFS(Raw_Q!$J$2:$J$600,Raw_Q!$A$2:$A$600,Stock_Card!$B$2,Raw_Q!$C$2:$C$600,$A10,Raw_Q!$F$2:$F$600,"N")/C10,""),"")</f>
        <v/>
      </c>
      <c r="F10" s="50" t="str">
        <f aca="false">IFERROR(IF(AND(ISNUMBER(E10),ISNUMBER(E9)),(E10-E9)*10000,""),"")</f>
        <v/>
      </c>
      <c r="G10" s="51" t="str">
        <f aca="false">IF($B10&gt;=4,SUMIFS(Raw_Q!$L$2:$L$600,Raw_Q!$A$2:$A$600,Stock_Card!$B$2,Raw_Q!$C$2:$C$600,$A10,Raw_Q!$F$2:$F$600,"N"),"")</f>
        <v/>
      </c>
      <c r="H10" s="49" t="str">
        <f aca="false">IFERROR(IF(AND(ISNUMBER(G10),ISNUMBER(G9)),G10/G9-1,""),"")</f>
        <v/>
      </c>
      <c r="I10" s="49" t="str">
        <f aca="false">IF($B10&gt;=4,IFERROR(IF(MIN(SUMIFS(Raw_Q!$O$2:$O$600,Raw_Q!$A$2:$A$600,Stock_Card!$B$2,Raw_Q!$C$2:$C$600,$A10,Raw_Q!$D$2:$D$600,4,Raw_Q!$F$2:$F$600,"N"),SUMIFS(Raw_Q!$O$2:$O$600,Raw_Q!$A$2:$A$600,Stock_Card!$B$2,Raw_Q!$C$2:$C$600,$A10-1,Raw_Q!$D$2:$D$600,4,Raw_Q!$F$2:$F$600,"N"))&lt;=0,"N/M",SUMPRODUCT((Raw_Q!$A$2:$A$600=Stock_Card!$B$2)*(Raw_Q!$C$2:$C$600=$A10)*(Raw_Q!$F$2:$F$600="N")*Raw_Q!$L$2:$L$600*Raw_Q!$M$2:$M$600)/((SUMIFS(Raw_Q!$O$2:$O$600,Raw_Q!$A$2:$A$600,Stock_Card!$B$2,Raw_Q!$C$2:$C$600,$A10,Raw_Q!$D$2:$D$600,4,Raw_Q!$F$2:$F$600,"N")+SUMIFS(Raw_Q!$O$2:$O$600,Raw_Q!$A$2:$A$600,Stock_Card!$B$2,Raw_Q!$C$2:$C$600,$A10-1,Raw_Q!$D$2:$D$600,4,Raw_Q!$F$2:$F$600,"N"))/2)),"N/M"),"")</f>
        <v/>
      </c>
      <c r="J10" s="51" t="str">
        <f aca="false">IF($B10&gt;=4,SUMIFS(Raw_Q!$P$2:$P$600,Raw_Q!$A$2:$A$600,Stock_Card!$B$2,Raw_Q!$C$2:$C$600,$A10,Raw_Q!$F$2:$F$600,"N"),"")</f>
        <v/>
      </c>
      <c r="K10" s="51" t="str">
        <f aca="false">IFERROR(IF(SUMIFS(Raw_Q!$Q$2:$Q$600,Raw_Q!$A$2:$A$600,Stock_Card!$B$2,Raw_Q!$C$2:$C$600,$A10,Raw_Q!$D$2:$D$600,4,Raw_Q!$F$2:$F$600,"N")=0,"",SUMIFS(Raw_Q!$Q$2:$Q$600,Raw_Q!$A$2:$A$600,Stock_Card!$B$2,Raw_Q!$C$2:$C$600,$A10,Raw_Q!$D$2:$D$600,4,Raw_Q!$F$2:$F$600,"N")),"")</f>
        <v/>
      </c>
      <c r="L10" s="49" t="str">
        <f aca="false">IFERROR(IF(OR(NOT(ISNUMBER(K10)),NOT(ISNUMBER(J10)),J10=0),"",J10/K10),"")</f>
        <v/>
      </c>
      <c r="M10" s="52" t="str">
        <f aca="false">IFERROR(IF(OR(NOT(ISNUMBER(K10)),NOT(ISNUMBER(G10)),G10&lt;=0),"",K10/G10),"")</f>
        <v/>
      </c>
      <c r="N10" s="51" t="str">
        <f aca="false">IFERROR(IF(OR(NOT(ISNUMBER(M10)),NOT(ISNUMBER(H10))),"",IF(H10&lt;Config!$B$6,"N/M",M10/(H10*100))),"")</f>
        <v/>
      </c>
    </row>
    <row r="11" customFormat="false" ht="15" hidden="false" customHeight="false" outlineLevel="0" collapsed="false">
      <c r="A11" s="24" t="s">
        <v>117</v>
      </c>
    </row>
    <row r="12" customFormat="false" ht="15" hidden="false" customHeight="false" outlineLevel="0" collapsed="false">
      <c r="A12" s="53" t="s">
        <v>118</v>
      </c>
      <c r="B12" s="53"/>
      <c r="C12" s="54" t="n">
        <f aca="false">IF(Stock_Card!$B$2="","",IFERROR(INDEX(Calc!$E$2:$E$100,MATCH(Stock_Card!$B$2,Calc!$A$2:$A$100,0)),""))</f>
        <v>4440492.429</v>
      </c>
      <c r="D12" s="55" t="n">
        <f aca="false">IF(Stock_Card!$B$2="","",IFERROR(INDEX(Calc!$S$2:$S$100,MATCH(Stock_Card!$B$2,Calc!$A$2:$A$100,0)),""))</f>
        <v>0.360453321745512</v>
      </c>
      <c r="E12" s="55" t="n">
        <f aca="false">IF(Stock_Card!$B$2="","",IFERROR(INDEX(Calc!$AA$2:$AA$100,MATCH(Stock_Card!$B$2,Calc!$A$2:$A$100,0)),""))</f>
        <v>0.642301687617628</v>
      </c>
      <c r="F12" s="56" t="n">
        <f aca="false">IF(Stock_Card!$B$2="","",IFERROR(INDEX(Calc!$AC$2:$AC$100,MATCH(Stock_Card!$B$2,Calc!$A$2:$A$100,0)),""))</f>
        <v>525.581225092437</v>
      </c>
      <c r="G12" s="57" t="n">
        <f aca="false">IF(Stock_Card!$B$2="","",IFERROR(INDEX(Calc!$F$2:$F$100,MATCH(Stock_Card!$B$2,Calc!$A$2:$A$100,0)),""))</f>
        <v>86.28</v>
      </c>
      <c r="H12" s="55" t="n">
        <f aca="false">IF(Stock_Card!$B$2="","",IFERROR(INDEX(Calc!$I$2:$I$100,MATCH(Stock_Card!$B$2,Calc!$A$2:$A$100,0)),""))</f>
        <v>0.532232285562067</v>
      </c>
      <c r="I12" s="55" t="n">
        <f aca="false">IF(Stock_Card!$B$2="","",IFERROR(INDEX(Calc!$AG$2:$AG$100,MATCH(Stock_Card!$B$2,Calc!$A$2:$A$100,0)),""))</f>
        <v>0.40630775930059</v>
      </c>
      <c r="J12" s="57" t="n">
        <f aca="false">IF(Stock_Card!$B$2="","",IFERROR(INDEX(Calc!$P$2:$P$100,MATCH(Stock_Card!$B$2,Calc!$A$2:$A$100,0)),""))</f>
        <v>22.00010018</v>
      </c>
      <c r="K12" s="57" t="n">
        <f aca="false">IF(Stock_Card!$B$2="","",IFERROR(INDEX(Calc!$D$2:$D$100,MATCH(Stock_Card!$B$2,Calc!$A$2:$A$100,0)),""))</f>
        <v>2420</v>
      </c>
      <c r="L12" s="55" t="n">
        <f aca="false">IF(Stock_Card!$B$2="","",IFERROR(INDEX(Calc!$Q$2:$Q$100,MATCH(Stock_Card!$B$2,Calc!$A$2:$A$100,0)),""))</f>
        <v>0.00909095048760331</v>
      </c>
      <c r="M12" s="58" t="n">
        <f aca="false">IF(Stock_Card!$B$2="","",IFERROR(INDEX(Calc!$J$2:$J$100,MATCH(Stock_Card!$B$2,Calc!$A$2:$A$100,0)),""))</f>
        <v>28.0482151135837</v>
      </c>
      <c r="N12" s="57" t="n">
        <f aca="false">IF(Stock_Card!$B$2="","",IFERROR(INDEX(Calc!$N$2:$N$100,MATCH(Stock_Card!$B$2,Calc!$A$2:$A$100,0)),""))</f>
        <v>0.526991989671637</v>
      </c>
    </row>
    <row r="13" customFormat="false" ht="15" hidden="false" customHeight="false" outlineLevel="0" collapsed="false">
      <c r="A13" s="53" t="s">
        <v>119</v>
      </c>
      <c r="B13" s="53"/>
      <c r="C13" s="59"/>
      <c r="D13" s="59"/>
      <c r="E13" s="59"/>
      <c r="F13" s="59"/>
      <c r="G13" s="57" t="n">
        <f aca="false">IF(Stock_Card!$B$2="","",IFERROR(INDEX(Calc!$H$2:$H$100,MATCH(Stock_Card!$B$2,Calc!$A$2:$A$100,0)),""))</f>
        <v>140.314880657534</v>
      </c>
      <c r="H13" s="55" t="n">
        <f aca="false">IF(Stock_Card!$B$2="","",IFERROR(INDEX(Calc!$M$2:$M$100,MATCH(Stock_Card!$B$2,Calc!$A$2:$A$100,0)),""))</f>
        <v>0.337216586985562</v>
      </c>
      <c r="I13" s="55" t="n">
        <f aca="false">IF(Stock_Card!$B$2="","",IFERROR(INDEX(Calc!$AI$2:$AI$100,MATCH(Stock_Card!$B$2,Calc!$A$2:$A$100,0)),""))</f>
        <v>0.44646532752408</v>
      </c>
      <c r="J13" s="59"/>
      <c r="K13" s="59"/>
      <c r="L13" s="59"/>
      <c r="M13" s="58" t="n">
        <f aca="false">IF(Stock_Card!$B$2="","",IFERROR(INDEX(Calc!$L$2:$L$100,MATCH(Stock_Card!$B$2,Calc!$A$2:$A$100,0)),""))</f>
        <v>17.2469234101156</v>
      </c>
      <c r="N13" s="57" t="n">
        <f aca="false">IF(Stock_Card!$B$2="","",IFERROR(INDEX(Calc!$O$2:$O$100,MATCH(Stock_Card!$B$2,Calc!$A$2:$A$100,0)),""))</f>
        <v>0.511449438602319</v>
      </c>
    </row>
    <row r="15" customFormat="false" ht="15" hidden="false" customHeight="false" outlineLevel="0" collapsed="false">
      <c r="A15" s="41" t="s">
        <v>120</v>
      </c>
    </row>
    <row r="16" customFormat="false" ht="15" hidden="false" customHeight="false" outlineLevel="0" collapsed="false">
      <c r="A16" s="60" t="s">
        <v>121</v>
      </c>
      <c r="B16" s="60"/>
      <c r="C16" s="61" t="n">
        <f aca="false">IF(Stock_Card!$B$2="","",IFERROR(AVERAGE(E5:E9),""))</f>
        <v>0.563119222348979</v>
      </c>
      <c r="D16" s="62" t="s">
        <v>122</v>
      </c>
      <c r="E16" s="62"/>
      <c r="F16" s="62"/>
      <c r="G16" s="62"/>
      <c r="H16" s="62"/>
      <c r="I16" s="62"/>
    </row>
    <row r="17" customFormat="false" ht="15" hidden="false" customHeight="false" outlineLevel="0" collapsed="false">
      <c r="A17" s="63" t="s">
        <v>123</v>
      </c>
      <c r="B17" s="63"/>
      <c r="C17" s="64" t="n">
        <f aca="false">IF(Stock_Card!$B$2="","",IFERROR((E12-AVERAGE(E5:E9))*10000,""))</f>
        <v>791.824652686488</v>
      </c>
      <c r="D17" s="62" t="s">
        <v>124</v>
      </c>
      <c r="E17" s="62"/>
      <c r="F17" s="62"/>
      <c r="G17" s="62"/>
      <c r="H17" s="62"/>
      <c r="I17" s="62"/>
    </row>
    <row r="18" customFormat="false" ht="15" hidden="false" customHeight="false" outlineLevel="0" collapsed="false">
      <c r="A18" s="60" t="s">
        <v>125</v>
      </c>
      <c r="B18" s="60"/>
      <c r="C18" s="61" t="n">
        <f aca="false">IF(Stock_Card!$B$2="","",IFERROR(AVERAGE(I5:I9),""))</f>
        <v>0.322708183239159</v>
      </c>
      <c r="D18" s="65" t="s">
        <v>126</v>
      </c>
      <c r="E18" s="65"/>
      <c r="F18" s="65"/>
      <c r="G18" s="65"/>
      <c r="H18" s="65"/>
      <c r="I18" s="65"/>
    </row>
    <row r="19" customFormat="false" ht="15" hidden="false" customHeight="false" outlineLevel="0" collapsed="false">
      <c r="A19" s="60" t="s">
        <v>127</v>
      </c>
      <c r="B19" s="60"/>
      <c r="C19" s="61" t="n">
        <f aca="false">IF(Stock_Card!$B$2="","",IFERROR(AVERAGE(L5:L9),""))</f>
        <v>0.0174405358633431</v>
      </c>
      <c r="D19" s="62" t="s">
        <v>128</v>
      </c>
      <c r="E19" s="62"/>
      <c r="F19" s="62"/>
      <c r="G19" s="62"/>
      <c r="H19" s="62"/>
      <c r="I19" s="62"/>
    </row>
    <row r="22" customFormat="false" ht="15" hidden="false" customHeight="false" outlineLevel="0" collapsed="false">
      <c r="A22" s="25" t="s">
        <v>129</v>
      </c>
    </row>
    <row r="23" customFormat="false" ht="15" hidden="false" customHeight="false" outlineLevel="0" collapsed="false">
      <c r="A23" s="25" t="s">
        <v>130</v>
      </c>
    </row>
    <row r="24" customFormat="false" ht="15" hidden="false" customHeight="false" outlineLevel="0" collapsed="false">
      <c r="A24" s="24" t="s">
        <v>131</v>
      </c>
    </row>
  </sheetData>
  <mergeCells count="10">
    <mergeCell ref="A12:B12"/>
    <mergeCell ref="A13:B13"/>
    <mergeCell ref="A16:B16"/>
    <mergeCell ref="D16:I16"/>
    <mergeCell ref="A17:B17"/>
    <mergeCell ref="D17:I17"/>
    <mergeCell ref="A18:B18"/>
    <mergeCell ref="D18:I18"/>
    <mergeCell ref="A19:B19"/>
    <mergeCell ref="D19:I19"/>
  </mergeCells>
  <conditionalFormatting sqref="F5:F10">
    <cfRule type="colorScale" priority="2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D5:D10"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L5:L10">
    <cfRule type="colorScale" priority="4">
      <colorScale>
        <cfvo type="min" val="0"/>
        <cfvo type="max" val="0"/>
        <color rgb="FFFFFFFF"/>
        <color rgb="FF63BE7B"/>
      </colorScale>
    </cfRule>
  </conditionalFormatting>
  <conditionalFormatting sqref="M5:M10">
    <cfRule type="colorScale" priority="5">
      <colorScale>
        <cfvo type="min" val="0"/>
        <cfvo type="max" val="0"/>
        <color rgb="FF63BE7B"/>
        <color rgb="FFF8696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2"/>
    <col collapsed="false" customWidth="true" hidden="false" outlineLevel="0" max="3" min="3" style="0" width="13"/>
    <col collapsed="false" customWidth="true" hidden="false" outlineLevel="0" max="4" min="4" style="0" width="10"/>
    <col collapsed="false" customWidth="true" hidden="false" outlineLevel="0" max="6" min="5" style="0" width="11"/>
    <col collapsed="false" customWidth="true" hidden="false" outlineLevel="0" max="8" min="7" style="0" width="13"/>
    <col collapsed="false" customWidth="true" hidden="false" outlineLevel="0" max="10" min="9" style="0" width="10"/>
    <col collapsed="false" customWidth="true" hidden="false" outlineLevel="0" max="11" min="11" style="0" width="12"/>
    <col collapsed="false" customWidth="true" hidden="false" outlineLevel="0" max="14" min="12" style="0" width="10"/>
    <col collapsed="false" customWidth="true" hidden="false" outlineLevel="0" max="15" min="15" style="0" width="9"/>
    <col collapsed="false" customWidth="true" hidden="true" outlineLevel="0" max="26" min="26" style="0" width="13"/>
  </cols>
  <sheetData>
    <row r="1" customFormat="false" ht="17.9" hidden="false" customHeight="false" outlineLevel="0" collapsed="false">
      <c r="A1" s="1" t="s">
        <v>132</v>
      </c>
      <c r="Z1" s="43" t="n">
        <f aca="false">IF(Stock_Card!$B$2="","",IFERROR(SUMIFS(Raw_Q!$C$2:$C$600,Raw_Q!$A$2:$A$600,Stock_Card!$B$2,Raw_Q!$R$2:$R$600,0),""))</f>
        <v>2026</v>
      </c>
    </row>
    <row r="2" customFormat="false" ht="15" hidden="false" customHeight="false" outlineLevel="0" collapsed="false">
      <c r="A2" s="44" t="s">
        <v>105</v>
      </c>
      <c r="B2" s="45" t="str">
        <f aca="false">Stock_Card!$B$2</f>
        <v>2330</v>
      </c>
      <c r="C2" s="24" t="s">
        <v>133</v>
      </c>
    </row>
    <row r="4" customFormat="false" ht="31.5" hidden="false" customHeight="true" outlineLevel="0" collapsed="false">
      <c r="A4" s="16" t="s">
        <v>134</v>
      </c>
      <c r="B4" s="16" t="s">
        <v>135</v>
      </c>
      <c r="C4" s="16" t="s">
        <v>109</v>
      </c>
      <c r="D4" s="16" t="s">
        <v>61</v>
      </c>
      <c r="E4" s="16" t="s">
        <v>136</v>
      </c>
      <c r="F4" s="16" t="s">
        <v>137</v>
      </c>
      <c r="G4" s="16" t="s">
        <v>63</v>
      </c>
      <c r="H4" s="16" t="s">
        <v>138</v>
      </c>
      <c r="I4" s="16" t="s">
        <v>110</v>
      </c>
      <c r="J4" s="16" t="s">
        <v>46</v>
      </c>
      <c r="K4" s="15" t="s">
        <v>139</v>
      </c>
      <c r="L4" s="15" t="s">
        <v>112</v>
      </c>
      <c r="M4" s="15" t="s">
        <v>113</v>
      </c>
      <c r="N4" s="16" t="s">
        <v>114</v>
      </c>
      <c r="O4" s="16" t="s">
        <v>140</v>
      </c>
    </row>
    <row r="5" customFormat="false" ht="15" hidden="false" customHeight="false" outlineLevel="0" collapsed="false">
      <c r="A5" s="66" t="str">
        <f aca="false">IF(Stock_Card!$B$2="","",IFERROR(INDEX(Raw_Q!$B$2:$B$600,MATCH(Stock_Card!$B$2&amp;"|"&amp;12,Raw_Q!$S$2:$S$600,0)),""))</f>
        <v>FY2023Q3</v>
      </c>
      <c r="B5" s="67" t="n">
        <f aca="false">IF(Stock_Card!$B$2="","",IFERROR(IF(SUMIFS(Raw_Q!$E$2:$E$600,Raw_Q!$A$2:$A$600,Stock_Card!$B$2,Raw_Q!$R$2:$R$600,12)=0,"",SUMIFS(Raw_Q!$E$2:$E$600,Raw_Q!$A$2:$A$600,Stock_Card!$B$2,Raw_Q!$R$2:$R$600,12)),""))</f>
        <v>45199</v>
      </c>
      <c r="C5" s="48" t="n">
        <f aca="false">IF(Stock_Card!$B$2="","",IFERROR(SUMIFS(Raw_Q!$I$2:$I$600,Raw_Q!$A$2:$A$600,Stock_Card!$B$2,Raw_Q!$R$2:$R$600,12),""))</f>
        <v>546732.758</v>
      </c>
      <c r="D5" s="49" t="n">
        <f aca="false">IF(Stock_Card!$B$2="","",IFERROR((SUMIFS(Raw_Q!$I$2:$I$600,Raw_Q!$A$2:$A$600,Stock_Card!$B$2,Raw_Q!$R$2:$R$600,12)/SUMIFS(Raw_Q!$I$2:$I$600,Raw_Q!$A$2:$A$600,Stock_Card!$B$2,Raw_Q!$R$2:$R$600,13)-1),""))</f>
        <v>0.137033799516711</v>
      </c>
      <c r="E5" s="49" t="n">
        <f aca="false">IF(Stock_Card!$B$2="","",IFERROR((SUMIFS(Raw_Q!$I$2:$I$600,Raw_Q!$A$2:$A$600,Stock_Card!$B$2,Raw_Q!$R$2:$R$600,13)/SUMIFS(Raw_Q!$I$2:$I$600,Raw_Q!$A$2:$A$600,Stock_Card!$B$2,Raw_Q!$R$2:$R$600,14)-1),""))</f>
        <v>-0.0546400262572045</v>
      </c>
      <c r="F5" s="68" t="n">
        <f aca="false">IF(Stock_Card!$B$2="","",IFERROR(((SUMIFS(Raw_Q!$I$2:$I$600,Raw_Q!$A$2:$A$600,Stock_Card!$B$2,Raw_Q!$R$2:$R$600,12)/SUMIFS(Raw_Q!$I$2:$I$600,Raw_Q!$A$2:$A$600,Stock_Card!$B$2,Raw_Q!$R$2:$R$600,13)-1)-(SUMIFS(Raw_Q!$I$2:$I$600,Raw_Q!$A$2:$A$600,Stock_Card!$B$2,Raw_Q!$R$2:$R$600,13)/SUMIFS(Raw_Q!$I$2:$I$600,Raw_Q!$A$2:$A$600,Stock_Card!$B$2,Raw_Q!$R$2:$R$600,14)-1))*100,""))</f>
        <v>19.1673825773916</v>
      </c>
      <c r="G5" s="69" t="str">
        <f aca="false">IF(Stock_Card!$B$2="","",IFERROR(IF(NOT(ISNUMBER(D5)),"",IF(D5&gt;0,IF(F5&gt;0,"成長且加速","成長但減速"),IF(F5&gt;0,"衰退但收斂","衰退且惡化"))),""))</f>
        <v>成長且加速</v>
      </c>
      <c r="H5" s="68" t="n">
        <f aca="false">IF(Stock_Card!$B$2="","",IFERROR(((SUMIFS(Raw_Q!$I$2:$I$600,Raw_Q!$A$2:$A$600,Stock_Card!$B$2,Raw_Q!$R$2:$R$600,12)/SUMIFS(Raw_Q!$I$2:$I$600,Raw_Q!$A$2:$A$600,Stock_Card!$B$2,Raw_Q!$R$2:$R$600,13)-1)-(SUMIFS(Raw_Q!$I$2:$I$600,Raw_Q!$A$2:$A$600,Stock_Card!$B$2,Raw_Q!$R$2:$R$600,16)/SUMIFS(Raw_Q!$I$2:$I$600,Raw_Q!$A$2:$A$600,Stock_Card!$B$2,Raw_Q!$R$2:$R$600,17)-1))*100,""))</f>
        <v>-1.08708986766537</v>
      </c>
      <c r="I5" s="49" t="n">
        <f aca="false">IF(Stock_Card!$B$2="","",IFERROR((SUMIFS(Raw_Q!$I$2:$I$600,Raw_Q!$A$2:$A$600,Stock_Card!$B$2,Raw_Q!$R$2:$R$600,12)/SUMIFS(Raw_Q!$I$2:$I$600,Raw_Q!$A$2:$A$600,Stock_Card!$B$2,Raw_Q!$R$2:$R$600,16)-1),""))</f>
        <v>-0.108310806509864</v>
      </c>
      <c r="J5" s="49" t="n">
        <f aca="false">IF(Stock_Card!$B$2="","",IFERROR(SUMIFS(Raw_Q!$J$2:$J$600,Raw_Q!$A$2:$A$600,Stock_Card!$B$2,Raw_Q!$R$2:$R$600,12)/SUMIFS(Raw_Q!$I$2:$I$600,Raw_Q!$A$2:$A$600,Stock_Card!$B$2,Raw_Q!$R$2:$R$600,12),""))</f>
        <v>0.542573057237591</v>
      </c>
      <c r="K5" s="50" t="n">
        <f aca="false">IF(Stock_Card!$B$2="","",IFERROR((SUMIFS(Raw_Q!$J$2:$J$600,Raw_Q!$A$2:$A$600,Stock_Card!$B$2,Raw_Q!$R$2:$R$600,12)/SUMIFS(Raw_Q!$I$2:$I$600,Raw_Q!$A$2:$A$600,Stock_Card!$B$2,Raw_Q!$R$2:$R$600,12)-SUMIFS(Raw_Q!$J$2:$J$600,Raw_Q!$A$2:$A$600,Stock_Card!$B$2,Raw_Q!$R$2:$R$600,16)/SUMIFS(Raw_Q!$I$2:$I$600,Raw_Q!$A$2:$A$600,Stock_Card!$B$2,Raw_Q!$R$2:$R$600,16))*10000,""))</f>
        <v>-616.887092594154</v>
      </c>
      <c r="L5" s="51" t="n">
        <f aca="false">IF(Stock_Card!$B$2="","",IFERROR(SUMIFS(Raw_Q!$L$2:$L$600,Raw_Q!$A$2:$A$600,Stock_Card!$B$2,Raw_Q!$R$2:$R$600,12),""))</f>
        <v>8.14</v>
      </c>
      <c r="M5" s="49" t="n">
        <f aca="false">IF(Stock_Card!$B$2="","",IFERROR((SUMIFS(Raw_Q!$L$2:$L$600,Raw_Q!$A$2:$A$600,Stock_Card!$B$2,Raw_Q!$R$2:$R$600,12)/SUMIFS(Raw_Q!$L$2:$L$600,Raw_Q!$A$2:$A$600,Stock_Card!$B$2,Raw_Q!$R$2:$R$600,16)-1),""))</f>
        <v>-0.248384118190212</v>
      </c>
      <c r="N5" s="51" t="n">
        <f aca="false">IF(Stock_Card!$B$2="","",IFERROR(SUMIFS(Raw_Q!$P$2:$P$600,Raw_Q!$A$2:$A$600,Stock_Card!$B$2,Raw_Q!$R$2:$R$600,12),""))</f>
        <v>3</v>
      </c>
      <c r="O5" s="66" t="str">
        <f aca="false">IF(Stock_Card!$B$2="","",IF(12=0,"預估","實際"))</f>
        <v>實際</v>
      </c>
    </row>
    <row r="6" customFormat="false" ht="15" hidden="false" customHeight="false" outlineLevel="0" collapsed="false">
      <c r="A6" s="66" t="str">
        <f aca="false">IF(Stock_Card!$B$2="","",IFERROR(INDEX(Raw_Q!$B$2:$B$600,MATCH(Stock_Card!$B$2&amp;"|"&amp;11,Raw_Q!$S$2:$S$600,0)),""))</f>
        <v>FY2023Q4</v>
      </c>
      <c r="B6" s="67" t="n">
        <f aca="false">IF(Stock_Card!$B$2="","",IFERROR(IF(SUMIFS(Raw_Q!$E$2:$E$600,Raw_Q!$A$2:$A$600,Stock_Card!$B$2,Raw_Q!$R$2:$R$600,11)=0,"",SUMIFS(Raw_Q!$E$2:$E$600,Raw_Q!$A$2:$A$600,Stock_Card!$B$2,Raw_Q!$R$2:$R$600,11)),""))</f>
        <v>45291</v>
      </c>
      <c r="C6" s="48" t="n">
        <f aca="false">IF(Stock_Card!$B$2="","",IFERROR(SUMIFS(Raw_Q!$I$2:$I$600,Raw_Q!$A$2:$A$600,Stock_Card!$B$2,Raw_Q!$R$2:$R$600,11),""))</f>
        <v>625528.856</v>
      </c>
      <c r="D6" s="49" t="n">
        <f aca="false">IF(Stock_Card!$B$2="","",IFERROR((SUMIFS(Raw_Q!$I$2:$I$600,Raw_Q!$A$2:$A$600,Stock_Card!$B$2,Raw_Q!$R$2:$R$600,11)/SUMIFS(Raw_Q!$I$2:$I$600,Raw_Q!$A$2:$A$600,Stock_Card!$B$2,Raw_Q!$R$2:$R$600,12)-1),""))</f>
        <v>0.144121779511152</v>
      </c>
      <c r="E6" s="49" t="n">
        <f aca="false">IF(Stock_Card!$B$2="","",IFERROR((SUMIFS(Raw_Q!$I$2:$I$600,Raw_Q!$A$2:$A$600,Stock_Card!$B$2,Raw_Q!$R$2:$R$600,12)/SUMIFS(Raw_Q!$I$2:$I$600,Raw_Q!$A$2:$A$600,Stock_Card!$B$2,Raw_Q!$R$2:$R$600,13)-1),""))</f>
        <v>0.137033799516711</v>
      </c>
      <c r="F6" s="68" t="n">
        <f aca="false">IF(Stock_Card!$B$2="","",IFERROR(((SUMIFS(Raw_Q!$I$2:$I$600,Raw_Q!$A$2:$A$600,Stock_Card!$B$2,Raw_Q!$R$2:$R$600,11)/SUMIFS(Raw_Q!$I$2:$I$600,Raw_Q!$A$2:$A$600,Stock_Card!$B$2,Raw_Q!$R$2:$R$600,12)-1)-(SUMIFS(Raw_Q!$I$2:$I$600,Raw_Q!$A$2:$A$600,Stock_Card!$B$2,Raw_Q!$R$2:$R$600,12)/SUMIFS(Raw_Q!$I$2:$I$600,Raw_Q!$A$2:$A$600,Stock_Card!$B$2,Raw_Q!$R$2:$R$600,13)-1))*100,""))</f>
        <v>0.708797999444077</v>
      </c>
      <c r="G6" s="69" t="str">
        <f aca="false">IF(Stock_Card!$B$2="","",IFERROR(IF(NOT(ISNUMBER(D6)),"",IF(D6&gt;0,IF(F6&gt;0,"成長且加速","成長但減速"),IF(F6&gt;0,"衰退但收斂","衰退且惡化"))),""))</f>
        <v>成長且加速</v>
      </c>
      <c r="H6" s="68" t="n">
        <f aca="false">IF(Stock_Card!$B$2="","",IFERROR(((SUMIFS(Raw_Q!$I$2:$I$600,Raw_Q!$A$2:$A$600,Stock_Card!$B$2,Raw_Q!$R$2:$R$600,11)/SUMIFS(Raw_Q!$I$2:$I$600,Raw_Q!$A$2:$A$600,Stock_Card!$B$2,Raw_Q!$R$2:$R$600,12)-1)-(SUMIFS(Raw_Q!$I$2:$I$600,Raw_Q!$A$2:$A$600,Stock_Card!$B$2,Raw_Q!$R$2:$R$600,15)/SUMIFS(Raw_Q!$I$2:$I$600,Raw_Q!$A$2:$A$600,Stock_Card!$B$2,Raw_Q!$R$2:$R$600,16)-1))*100,""))</f>
        <v>12.3915840288285</v>
      </c>
      <c r="I6" s="49" t="n">
        <f aca="false">IF(Stock_Card!$B$2="","",IFERROR((SUMIFS(Raw_Q!$I$2:$I$600,Raw_Q!$A$2:$A$600,Stock_Card!$B$2,Raw_Q!$R$2:$R$600,11)/SUMIFS(Raw_Q!$I$2:$I$600,Raw_Q!$A$2:$A$600,Stock_Card!$B$2,Raw_Q!$R$2:$R$600,15)-1),""))</f>
        <v>-4.81510240180061E-006</v>
      </c>
      <c r="J6" s="49" t="n">
        <f aca="false">IF(Stock_Card!$B$2="","",IFERROR(SUMIFS(Raw_Q!$J$2:$J$600,Raw_Q!$A$2:$A$600,Stock_Card!$B$2,Raw_Q!$R$2:$R$600,11)/SUMIFS(Raw_Q!$I$2:$I$600,Raw_Q!$A$2:$A$600,Stock_Card!$B$2,Raw_Q!$R$2:$R$600,11),""))</f>
        <v>0.530379888661763</v>
      </c>
      <c r="K6" s="50" t="n">
        <f aca="false">IF(Stock_Card!$B$2="","",IFERROR((SUMIFS(Raw_Q!$J$2:$J$600,Raw_Q!$A$2:$A$600,Stock_Card!$B$2,Raw_Q!$R$2:$R$600,11)/SUMIFS(Raw_Q!$I$2:$I$600,Raw_Q!$A$2:$A$600,Stock_Card!$B$2,Raw_Q!$R$2:$R$600,11)-SUMIFS(Raw_Q!$J$2:$J$600,Raw_Q!$A$2:$A$600,Stock_Card!$B$2,Raw_Q!$R$2:$R$600,15)/SUMIFS(Raw_Q!$I$2:$I$600,Raw_Q!$A$2:$A$600,Stock_Card!$B$2,Raw_Q!$R$2:$R$600,15))*10000,""))</f>
        <v>-917.865410747952</v>
      </c>
      <c r="L6" s="51" t="n">
        <f aca="false">IF(Stock_Card!$B$2="","",IFERROR(SUMIFS(Raw_Q!$L$2:$L$600,Raw_Q!$A$2:$A$600,Stock_Card!$B$2,Raw_Q!$R$2:$R$600,11),""))</f>
        <v>9.21</v>
      </c>
      <c r="M6" s="49" t="n">
        <f aca="false">IF(Stock_Card!$B$2="","",IFERROR((SUMIFS(Raw_Q!$L$2:$L$600,Raw_Q!$A$2:$A$600,Stock_Card!$B$2,Raw_Q!$R$2:$R$600,11)/SUMIFS(Raw_Q!$L$2:$L$600,Raw_Q!$A$2:$A$600,Stock_Card!$B$2,Raw_Q!$R$2:$R$600,15)-1),""))</f>
        <v>-0.192813321647677</v>
      </c>
      <c r="N6" s="51" t="n">
        <f aca="false">IF(Stock_Card!$B$2="","",IFERROR(SUMIFS(Raw_Q!$P$2:$P$600,Raw_Q!$A$2:$A$600,Stock_Card!$B$2,Raw_Q!$R$2:$R$600,11),""))</f>
        <v>3</v>
      </c>
      <c r="O6" s="66" t="str">
        <f aca="false">IF(Stock_Card!$B$2="","",IF(11=0,"預估","實際"))</f>
        <v>實際</v>
      </c>
    </row>
    <row r="7" customFormat="false" ht="15" hidden="false" customHeight="false" outlineLevel="0" collapsed="false">
      <c r="A7" s="66" t="str">
        <f aca="false">IF(Stock_Card!$B$2="","",IFERROR(INDEX(Raw_Q!$B$2:$B$600,MATCH(Stock_Card!$B$2&amp;"|"&amp;10,Raw_Q!$S$2:$S$600,0)),""))</f>
        <v>FY2024Q1</v>
      </c>
      <c r="B7" s="67" t="n">
        <f aca="false">IF(Stock_Card!$B$2="","",IFERROR(IF(SUMIFS(Raw_Q!$E$2:$E$600,Raw_Q!$A$2:$A$600,Stock_Card!$B$2,Raw_Q!$R$2:$R$600,10)=0,"",SUMIFS(Raw_Q!$E$2:$E$600,Raw_Q!$A$2:$A$600,Stock_Card!$B$2,Raw_Q!$R$2:$R$600,10)),""))</f>
        <v>45382</v>
      </c>
      <c r="C7" s="48" t="n">
        <f aca="false">IF(Stock_Card!$B$2="","",IFERROR(SUMIFS(Raw_Q!$I$2:$I$600,Raw_Q!$A$2:$A$600,Stock_Card!$B$2,Raw_Q!$R$2:$R$600,10),""))</f>
        <v>592644.201</v>
      </c>
      <c r="D7" s="49" t="n">
        <f aca="false">IF(Stock_Card!$B$2="","",IFERROR((SUMIFS(Raw_Q!$I$2:$I$600,Raw_Q!$A$2:$A$600,Stock_Card!$B$2,Raw_Q!$R$2:$R$600,10)/SUMIFS(Raw_Q!$I$2:$I$600,Raw_Q!$A$2:$A$600,Stock_Card!$B$2,Raw_Q!$R$2:$R$600,11)-1),""))</f>
        <v>-0.0525709640483796</v>
      </c>
      <c r="E7" s="49" t="n">
        <f aca="false">IF(Stock_Card!$B$2="","",IFERROR((SUMIFS(Raw_Q!$I$2:$I$600,Raw_Q!$A$2:$A$600,Stock_Card!$B$2,Raw_Q!$R$2:$R$600,11)/SUMIFS(Raw_Q!$I$2:$I$600,Raw_Q!$A$2:$A$600,Stock_Card!$B$2,Raw_Q!$R$2:$R$600,12)-1),""))</f>
        <v>0.144121779511152</v>
      </c>
      <c r="F7" s="68" t="n">
        <f aca="false">IF(Stock_Card!$B$2="","",IFERROR(((SUMIFS(Raw_Q!$I$2:$I$600,Raw_Q!$A$2:$A$600,Stock_Card!$B$2,Raw_Q!$R$2:$R$600,10)/SUMIFS(Raw_Q!$I$2:$I$600,Raw_Q!$A$2:$A$600,Stock_Card!$B$2,Raw_Q!$R$2:$R$600,11)-1)-(SUMIFS(Raw_Q!$I$2:$I$600,Raw_Q!$A$2:$A$600,Stock_Card!$B$2,Raw_Q!$R$2:$R$600,11)/SUMIFS(Raw_Q!$I$2:$I$600,Raw_Q!$A$2:$A$600,Stock_Card!$B$2,Raw_Q!$R$2:$R$600,12)-1))*100,""))</f>
        <v>-19.6692743559532</v>
      </c>
      <c r="G7" s="69" t="str">
        <f aca="false">IF(Stock_Card!$B$2="","",IFERROR(IF(NOT(ISNUMBER(D7)),"",IF(D7&gt;0,IF(F7&gt;0,"成長且加速","成長但減速"),IF(F7&gt;0,"衰退但收斂","衰退且惡化"))),""))</f>
        <v>衰退且惡化</v>
      </c>
      <c r="H7" s="68" t="n">
        <f aca="false">IF(Stock_Card!$B$2="","",IFERROR(((SUMIFS(Raw_Q!$I$2:$I$600,Raw_Q!$A$2:$A$600,Stock_Card!$B$2,Raw_Q!$R$2:$R$600,10)/SUMIFS(Raw_Q!$I$2:$I$600,Raw_Q!$A$2:$A$600,Stock_Card!$B$2,Raw_Q!$R$2:$R$600,11)-1)-(SUMIFS(Raw_Q!$I$2:$I$600,Raw_Q!$A$2:$A$600,Stock_Card!$B$2,Raw_Q!$R$2:$R$600,14)/SUMIFS(Raw_Q!$I$2:$I$600,Raw_Q!$A$2:$A$600,Stock_Card!$B$2,Raw_Q!$R$2:$R$600,15)-1))*100,""))</f>
        <v>13.4308235845558</v>
      </c>
      <c r="I7" s="49" t="n">
        <f aca="false">IF(Stock_Card!$B$2="","",IFERROR((SUMIFS(Raw_Q!$I$2:$I$600,Raw_Q!$A$2:$A$600,Stock_Card!$B$2,Raw_Q!$R$2:$R$600,10)/SUMIFS(Raw_Q!$I$2:$I$600,Raw_Q!$A$2:$A$600,Stock_Card!$B$2,Raw_Q!$R$2:$R$600,14)-1),""))</f>
        <v>0.165170628841634</v>
      </c>
      <c r="J7" s="49" t="n">
        <f aca="false">IF(Stock_Card!$B$2="","",IFERROR(SUMIFS(Raw_Q!$J$2:$J$600,Raw_Q!$A$2:$A$600,Stock_Card!$B$2,Raw_Q!$R$2:$R$600,10)/SUMIFS(Raw_Q!$I$2:$I$600,Raw_Q!$A$2:$A$600,Stock_Card!$B$2,Raw_Q!$R$2:$R$600,10),""))</f>
        <v>0.530681424823391</v>
      </c>
      <c r="K7" s="50" t="n">
        <f aca="false">IF(Stock_Card!$B$2="","",IFERROR((SUMIFS(Raw_Q!$J$2:$J$600,Raw_Q!$A$2:$A$600,Stock_Card!$B$2,Raw_Q!$R$2:$R$600,10)/SUMIFS(Raw_Q!$I$2:$I$600,Raw_Q!$A$2:$A$600,Stock_Card!$B$2,Raw_Q!$R$2:$R$600,10)-SUMIFS(Raw_Q!$J$2:$J$600,Raw_Q!$A$2:$A$600,Stock_Card!$B$2,Raw_Q!$R$2:$R$600,14)/SUMIFS(Raw_Q!$I$2:$I$600,Raw_Q!$A$2:$A$600,Stock_Card!$B$2,Raw_Q!$R$2:$R$600,14))*10000,""))</f>
        <v>-325.93878211279</v>
      </c>
      <c r="L7" s="51" t="n">
        <f aca="false">IF(Stock_Card!$B$2="","",IFERROR(SUMIFS(Raw_Q!$L$2:$L$600,Raw_Q!$A$2:$A$600,Stock_Card!$B$2,Raw_Q!$R$2:$R$600,10),""))</f>
        <v>8.7</v>
      </c>
      <c r="M7" s="49" t="n">
        <f aca="false">IF(Stock_Card!$B$2="","",IFERROR((SUMIFS(Raw_Q!$L$2:$L$600,Raw_Q!$A$2:$A$600,Stock_Card!$B$2,Raw_Q!$R$2:$R$600,10)/SUMIFS(Raw_Q!$L$2:$L$600,Raw_Q!$A$2:$A$600,Stock_Card!$B$2,Raw_Q!$R$2:$R$600,14)-1),""))</f>
        <v>0.0902255639097742</v>
      </c>
      <c r="N7" s="51" t="n">
        <f aca="false">IF(Stock_Card!$B$2="","",IFERROR(SUMIFS(Raw_Q!$P$2:$P$600,Raw_Q!$A$2:$A$600,Stock_Card!$B$2,Raw_Q!$R$2:$R$600,10),""))</f>
        <v>3.49978969</v>
      </c>
      <c r="O7" s="66" t="str">
        <f aca="false">IF(Stock_Card!$B$2="","",IF(10=0,"預估","實際"))</f>
        <v>實際</v>
      </c>
    </row>
    <row r="8" customFormat="false" ht="15" hidden="false" customHeight="false" outlineLevel="0" collapsed="false">
      <c r="A8" s="66" t="str">
        <f aca="false">IF(Stock_Card!$B$2="","",IFERROR(INDEX(Raw_Q!$B$2:$B$600,MATCH(Stock_Card!$B$2&amp;"|"&amp;9,Raw_Q!$S$2:$S$600,0)),""))</f>
        <v>FY2024Q2</v>
      </c>
      <c r="B8" s="67" t="n">
        <f aca="false">IF(Stock_Card!$B$2="","",IFERROR(IF(SUMIFS(Raw_Q!$E$2:$E$600,Raw_Q!$A$2:$A$600,Stock_Card!$B$2,Raw_Q!$R$2:$R$600,9)=0,"",SUMIFS(Raw_Q!$E$2:$E$600,Raw_Q!$A$2:$A$600,Stock_Card!$B$2,Raw_Q!$R$2:$R$600,9)),""))</f>
        <v>45473</v>
      </c>
      <c r="C8" s="48" t="n">
        <f aca="false">IF(Stock_Card!$B$2="","",IFERROR(SUMIFS(Raw_Q!$I$2:$I$600,Raw_Q!$A$2:$A$600,Stock_Card!$B$2,Raw_Q!$R$2:$R$600,9),""))</f>
        <v>673510.177</v>
      </c>
      <c r="D8" s="49" t="n">
        <f aca="false">IF(Stock_Card!$B$2="","",IFERROR((SUMIFS(Raw_Q!$I$2:$I$600,Raw_Q!$A$2:$A$600,Stock_Card!$B$2,Raw_Q!$R$2:$R$600,9)/SUMIFS(Raw_Q!$I$2:$I$600,Raw_Q!$A$2:$A$600,Stock_Card!$B$2,Raw_Q!$R$2:$R$600,10)-1),""))</f>
        <v>0.136449451228158</v>
      </c>
      <c r="E8" s="49" t="n">
        <f aca="false">IF(Stock_Card!$B$2="","",IFERROR((SUMIFS(Raw_Q!$I$2:$I$600,Raw_Q!$A$2:$A$600,Stock_Card!$B$2,Raw_Q!$R$2:$R$600,10)/SUMIFS(Raw_Q!$I$2:$I$600,Raw_Q!$A$2:$A$600,Stock_Card!$B$2,Raw_Q!$R$2:$R$600,11)-1),""))</f>
        <v>-0.0525709640483796</v>
      </c>
      <c r="F8" s="68" t="n">
        <f aca="false">IF(Stock_Card!$B$2="","",IFERROR(((SUMIFS(Raw_Q!$I$2:$I$600,Raw_Q!$A$2:$A$600,Stock_Card!$B$2,Raw_Q!$R$2:$R$600,9)/SUMIFS(Raw_Q!$I$2:$I$600,Raw_Q!$A$2:$A$600,Stock_Card!$B$2,Raw_Q!$R$2:$R$600,10)-1)-(SUMIFS(Raw_Q!$I$2:$I$600,Raw_Q!$A$2:$A$600,Stock_Card!$B$2,Raw_Q!$R$2:$R$600,10)/SUMIFS(Raw_Q!$I$2:$I$600,Raw_Q!$A$2:$A$600,Stock_Card!$B$2,Raw_Q!$R$2:$R$600,11)-1))*100,""))</f>
        <v>18.9020415276537</v>
      </c>
      <c r="G8" s="69" t="str">
        <f aca="false">IF(Stock_Card!$B$2="","",IFERROR(IF(NOT(ISNUMBER(D8)),"",IF(D8&gt;0,IF(F8&gt;0,"成長且加速","成長但減速"),IF(F8&gt;0,"衰退但收斂","衰退且惡化"))),""))</f>
        <v>成長且加速</v>
      </c>
      <c r="H8" s="68" t="n">
        <f aca="false">IF(Stock_Card!$B$2="","",IFERROR(((SUMIFS(Raw_Q!$I$2:$I$600,Raw_Q!$A$2:$A$600,Stock_Card!$B$2,Raw_Q!$R$2:$R$600,9)/SUMIFS(Raw_Q!$I$2:$I$600,Raw_Q!$A$2:$A$600,Stock_Card!$B$2,Raw_Q!$R$2:$R$600,10)-1)-(SUMIFS(Raw_Q!$I$2:$I$600,Raw_Q!$A$2:$A$600,Stock_Card!$B$2,Raw_Q!$R$2:$R$600,13)/SUMIFS(Raw_Q!$I$2:$I$600,Raw_Q!$A$2:$A$600,Stock_Card!$B$2,Raw_Q!$R$2:$R$600,14)-1))*100,""))</f>
        <v>19.1089477485362</v>
      </c>
      <c r="I8" s="49" t="n">
        <f aca="false">IF(Stock_Card!$B$2="","",IFERROR((SUMIFS(Raw_Q!$I$2:$I$600,Raw_Q!$A$2:$A$600,Stock_Card!$B$2,Raw_Q!$R$2:$R$600,9)/SUMIFS(Raw_Q!$I$2:$I$600,Raw_Q!$A$2:$A$600,Stock_Card!$B$2,Raw_Q!$R$2:$R$600,13)-1),""))</f>
        <v>0.400691332944573</v>
      </c>
      <c r="J8" s="49" t="n">
        <f aca="false">IF(Stock_Card!$B$2="","",IFERROR(SUMIFS(Raw_Q!$J$2:$J$600,Raw_Q!$A$2:$A$600,Stock_Card!$B$2,Raw_Q!$R$2:$R$600,9)/SUMIFS(Raw_Q!$I$2:$I$600,Raw_Q!$A$2:$A$600,Stock_Card!$B$2,Raw_Q!$R$2:$R$600,9),""))</f>
        <v>0.531728383964716</v>
      </c>
      <c r="K8" s="50" t="n">
        <f aca="false">IF(Stock_Card!$B$2="","",IFERROR((SUMIFS(Raw_Q!$J$2:$J$600,Raw_Q!$A$2:$A$600,Stock_Card!$B$2,Raw_Q!$R$2:$R$600,9)/SUMIFS(Raw_Q!$I$2:$I$600,Raw_Q!$A$2:$A$600,Stock_Card!$B$2,Raw_Q!$R$2:$R$600,9)-SUMIFS(Raw_Q!$J$2:$J$600,Raw_Q!$A$2:$A$600,Stock_Card!$B$2,Raw_Q!$R$2:$R$600,13)/SUMIFS(Raw_Q!$I$2:$I$600,Raw_Q!$A$2:$A$600,Stock_Card!$B$2,Raw_Q!$R$2:$R$600,13))*10000,""))</f>
        <v>-94.0623132767293</v>
      </c>
      <c r="L8" s="51" t="n">
        <f aca="false">IF(Stock_Card!$B$2="","",IFERROR(SUMIFS(Raw_Q!$L$2:$L$600,Raw_Q!$A$2:$A$600,Stock_Card!$B$2,Raw_Q!$R$2:$R$600,9),""))</f>
        <v>9.56</v>
      </c>
      <c r="M8" s="49" t="n">
        <f aca="false">IF(Stock_Card!$B$2="","",IFERROR((SUMIFS(Raw_Q!$L$2:$L$600,Raw_Q!$A$2:$A$600,Stock_Card!$B$2,Raw_Q!$R$2:$R$600,9)/SUMIFS(Raw_Q!$L$2:$L$600,Raw_Q!$A$2:$A$600,Stock_Card!$B$2,Raw_Q!$R$2:$R$600,13)-1),""))</f>
        <v>0.36376604850214</v>
      </c>
      <c r="N8" s="51" t="n">
        <f aca="false">IF(Stock_Card!$B$2="","",IFERROR(SUMIFS(Raw_Q!$P$2:$P$600,Raw_Q!$A$2:$A$600,Stock_Card!$B$2,Raw_Q!$R$2:$R$600,9),""))</f>
        <v>3.49978969</v>
      </c>
      <c r="O8" s="66" t="str">
        <f aca="false">IF(Stock_Card!$B$2="","",IF(9=0,"預估","實際"))</f>
        <v>實際</v>
      </c>
    </row>
    <row r="9" customFormat="false" ht="15" hidden="false" customHeight="false" outlineLevel="0" collapsed="false">
      <c r="A9" s="66" t="str">
        <f aca="false">IF(Stock_Card!$B$2="","",IFERROR(INDEX(Raw_Q!$B$2:$B$600,MATCH(Stock_Card!$B$2&amp;"|"&amp;8,Raw_Q!$S$2:$S$600,0)),""))</f>
        <v>FY2024Q3</v>
      </c>
      <c r="B9" s="67" t="n">
        <f aca="false">IF(Stock_Card!$B$2="","",IFERROR(IF(SUMIFS(Raw_Q!$E$2:$E$600,Raw_Q!$A$2:$A$600,Stock_Card!$B$2,Raw_Q!$R$2:$R$600,8)=0,"",SUMIFS(Raw_Q!$E$2:$E$600,Raw_Q!$A$2:$A$600,Stock_Card!$B$2,Raw_Q!$R$2:$R$600,8)),""))</f>
        <v>45565</v>
      </c>
      <c r="C9" s="48" t="n">
        <f aca="false">IF(Stock_Card!$B$2="","",IFERROR(SUMIFS(Raw_Q!$I$2:$I$600,Raw_Q!$A$2:$A$600,Stock_Card!$B$2,Raw_Q!$R$2:$R$600,8),""))</f>
        <v>759692.143</v>
      </c>
      <c r="D9" s="49" t="n">
        <f aca="false">IF(Stock_Card!$B$2="","",IFERROR((SUMIFS(Raw_Q!$I$2:$I$600,Raw_Q!$A$2:$A$600,Stock_Card!$B$2,Raw_Q!$R$2:$R$600,8)/SUMIFS(Raw_Q!$I$2:$I$600,Raw_Q!$A$2:$A$600,Stock_Card!$B$2,Raw_Q!$R$2:$R$600,9)-1),""))</f>
        <v>0.127959411666025</v>
      </c>
      <c r="E9" s="49" t="n">
        <f aca="false">IF(Stock_Card!$B$2="","",IFERROR((SUMIFS(Raw_Q!$I$2:$I$600,Raw_Q!$A$2:$A$600,Stock_Card!$B$2,Raw_Q!$R$2:$R$600,9)/SUMIFS(Raw_Q!$I$2:$I$600,Raw_Q!$A$2:$A$600,Stock_Card!$B$2,Raw_Q!$R$2:$R$600,10)-1),""))</f>
        <v>0.136449451228158</v>
      </c>
      <c r="F9" s="68" t="n">
        <f aca="false">IF(Stock_Card!$B$2="","",IFERROR(((SUMIFS(Raw_Q!$I$2:$I$600,Raw_Q!$A$2:$A$600,Stock_Card!$B$2,Raw_Q!$R$2:$R$600,8)/SUMIFS(Raw_Q!$I$2:$I$600,Raw_Q!$A$2:$A$600,Stock_Card!$B$2,Raw_Q!$R$2:$R$600,9)-1)-(SUMIFS(Raw_Q!$I$2:$I$600,Raw_Q!$A$2:$A$600,Stock_Card!$B$2,Raw_Q!$R$2:$R$600,9)/SUMIFS(Raw_Q!$I$2:$I$600,Raw_Q!$A$2:$A$600,Stock_Card!$B$2,Raw_Q!$R$2:$R$600,10)-1))*100,""))</f>
        <v>-0.849003956213323</v>
      </c>
      <c r="G9" s="69" t="str">
        <f aca="false">IF(Stock_Card!$B$2="","",IFERROR(IF(NOT(ISNUMBER(D9)),"",IF(D9&gt;0,IF(F9&gt;0,"成長且加速","成長但減速"),IF(F9&gt;0,"衰退但收斂","衰退且惡化"))),""))</f>
        <v>成長但減速</v>
      </c>
      <c r="H9" s="68" t="n">
        <f aca="false">IF(Stock_Card!$B$2="","",IFERROR(((SUMIFS(Raw_Q!$I$2:$I$600,Raw_Q!$A$2:$A$600,Stock_Card!$B$2,Raw_Q!$R$2:$R$600,8)/SUMIFS(Raw_Q!$I$2:$I$600,Raw_Q!$A$2:$A$600,Stock_Card!$B$2,Raw_Q!$R$2:$R$600,9)-1)-(SUMIFS(Raw_Q!$I$2:$I$600,Raw_Q!$A$2:$A$600,Stock_Card!$B$2,Raw_Q!$R$2:$R$600,12)/SUMIFS(Raw_Q!$I$2:$I$600,Raw_Q!$A$2:$A$600,Stock_Card!$B$2,Raw_Q!$R$2:$R$600,13)-1))*100,""))</f>
        <v>-0.907438785068671</v>
      </c>
      <c r="I9" s="49" t="n">
        <f aca="false">IF(Stock_Card!$B$2="","",IFERROR((SUMIFS(Raw_Q!$I$2:$I$600,Raw_Q!$A$2:$A$600,Stock_Card!$B$2,Raw_Q!$R$2:$R$600,8)/SUMIFS(Raw_Q!$I$2:$I$600,Raw_Q!$A$2:$A$600,Stock_Card!$B$2,Raw_Q!$R$2:$R$600,12)-1),""))</f>
        <v>0.389512758992209</v>
      </c>
      <c r="J9" s="49" t="n">
        <f aca="false">IF(Stock_Card!$B$2="","",IFERROR(SUMIFS(Raw_Q!$J$2:$J$600,Raw_Q!$A$2:$A$600,Stock_Card!$B$2,Raw_Q!$R$2:$R$600,8)/SUMIFS(Raw_Q!$I$2:$I$600,Raw_Q!$A$2:$A$600,Stock_Card!$B$2,Raw_Q!$R$2:$R$600,8),""))</f>
        <v>0.578320665875308</v>
      </c>
      <c r="K9" s="50" t="n">
        <f aca="false">IF(Stock_Card!$B$2="","",IFERROR((SUMIFS(Raw_Q!$J$2:$J$600,Raw_Q!$A$2:$A$600,Stock_Card!$B$2,Raw_Q!$R$2:$R$600,8)/SUMIFS(Raw_Q!$I$2:$I$600,Raw_Q!$A$2:$A$600,Stock_Card!$B$2,Raw_Q!$R$2:$R$600,8)-SUMIFS(Raw_Q!$J$2:$J$600,Raw_Q!$A$2:$A$600,Stock_Card!$B$2,Raw_Q!$R$2:$R$600,12)/SUMIFS(Raw_Q!$I$2:$I$600,Raw_Q!$A$2:$A$600,Stock_Card!$B$2,Raw_Q!$R$2:$R$600,12))*10000,""))</f>
        <v>357.476086377174</v>
      </c>
      <c r="L9" s="51" t="n">
        <f aca="false">IF(Stock_Card!$B$2="","",IFERROR(SUMIFS(Raw_Q!$L$2:$L$600,Raw_Q!$A$2:$A$600,Stock_Card!$B$2,Raw_Q!$R$2:$R$600,8),""))</f>
        <v>12.55</v>
      </c>
      <c r="M9" s="49" t="n">
        <f aca="false">IF(Stock_Card!$B$2="","",IFERROR((SUMIFS(Raw_Q!$L$2:$L$600,Raw_Q!$A$2:$A$600,Stock_Card!$B$2,Raw_Q!$R$2:$R$600,8)/SUMIFS(Raw_Q!$L$2:$L$600,Raw_Q!$A$2:$A$600,Stock_Card!$B$2,Raw_Q!$R$2:$R$600,12)-1),""))</f>
        <v>0.541769041769042</v>
      </c>
      <c r="N9" s="51" t="n">
        <f aca="false">IF(Stock_Card!$B$2="","",IFERROR(SUMIFS(Raw_Q!$P$2:$P$600,Raw_Q!$A$2:$A$600,Stock_Card!$B$2,Raw_Q!$R$2:$R$600,8),""))</f>
        <v>4.0001382</v>
      </c>
      <c r="O9" s="66" t="str">
        <f aca="false">IF(Stock_Card!$B$2="","",IF(8=0,"預估","實際"))</f>
        <v>實際</v>
      </c>
    </row>
    <row r="10" customFormat="false" ht="15" hidden="false" customHeight="false" outlineLevel="0" collapsed="false">
      <c r="A10" s="66" t="str">
        <f aca="false">IF(Stock_Card!$B$2="","",IFERROR(INDEX(Raw_Q!$B$2:$B$600,MATCH(Stock_Card!$B$2&amp;"|"&amp;7,Raw_Q!$S$2:$S$600,0)),""))</f>
        <v>FY2024Q4</v>
      </c>
      <c r="B10" s="67" t="n">
        <f aca="false">IF(Stock_Card!$B$2="","",IFERROR(IF(SUMIFS(Raw_Q!$E$2:$E$600,Raw_Q!$A$2:$A$600,Stock_Card!$B$2,Raw_Q!$R$2:$R$600,7)=0,"",SUMIFS(Raw_Q!$E$2:$E$600,Raw_Q!$A$2:$A$600,Stock_Card!$B$2,Raw_Q!$R$2:$R$600,7)),""))</f>
        <v>45657</v>
      </c>
      <c r="C10" s="48" t="n">
        <f aca="false">IF(Stock_Card!$B$2="","",IFERROR(SUMIFS(Raw_Q!$I$2:$I$600,Raw_Q!$A$2:$A$600,Stock_Card!$B$2,Raw_Q!$R$2:$R$600,7),""))</f>
        <v>868461.178</v>
      </c>
      <c r="D10" s="49" t="n">
        <f aca="false">IF(Stock_Card!$B$2="","",IFERROR((SUMIFS(Raw_Q!$I$2:$I$600,Raw_Q!$A$2:$A$600,Stock_Card!$B$2,Raw_Q!$R$2:$R$600,7)/SUMIFS(Raw_Q!$I$2:$I$600,Raw_Q!$A$2:$A$600,Stock_Card!$B$2,Raw_Q!$R$2:$R$600,8)-1),""))</f>
        <v>0.143175147988861</v>
      </c>
      <c r="E10" s="49" t="n">
        <f aca="false">IF(Stock_Card!$B$2="","",IFERROR((SUMIFS(Raw_Q!$I$2:$I$600,Raw_Q!$A$2:$A$600,Stock_Card!$B$2,Raw_Q!$R$2:$R$600,8)/SUMIFS(Raw_Q!$I$2:$I$600,Raw_Q!$A$2:$A$600,Stock_Card!$B$2,Raw_Q!$R$2:$R$600,9)-1),""))</f>
        <v>0.127959411666025</v>
      </c>
      <c r="F10" s="68" t="n">
        <f aca="false">IF(Stock_Card!$B$2="","",IFERROR(((SUMIFS(Raw_Q!$I$2:$I$600,Raw_Q!$A$2:$A$600,Stock_Card!$B$2,Raw_Q!$R$2:$R$600,7)/SUMIFS(Raw_Q!$I$2:$I$600,Raw_Q!$A$2:$A$600,Stock_Card!$B$2,Raw_Q!$R$2:$R$600,8)-1)-(SUMIFS(Raw_Q!$I$2:$I$600,Raw_Q!$A$2:$A$600,Stock_Card!$B$2,Raw_Q!$R$2:$R$600,8)/SUMIFS(Raw_Q!$I$2:$I$600,Raw_Q!$A$2:$A$600,Stock_Card!$B$2,Raw_Q!$R$2:$R$600,9)-1))*100,""))</f>
        <v>1.52157363228365</v>
      </c>
      <c r="G10" s="69" t="str">
        <f aca="false">IF(Stock_Card!$B$2="","",IFERROR(IF(NOT(ISNUMBER(D10)),"",IF(D10&gt;0,IF(F10&gt;0,"成長且加速","成長但減速"),IF(F10&gt;0,"衰退但收斂","衰退且惡化"))),""))</f>
        <v>成長且加速</v>
      </c>
      <c r="H10" s="68" t="n">
        <f aca="false">IF(Stock_Card!$B$2="","",IFERROR(((SUMIFS(Raw_Q!$I$2:$I$600,Raw_Q!$A$2:$A$600,Stock_Card!$B$2,Raw_Q!$R$2:$R$600,7)/SUMIFS(Raw_Q!$I$2:$I$600,Raw_Q!$A$2:$A$600,Stock_Card!$B$2,Raw_Q!$R$2:$R$600,8)-1)-(SUMIFS(Raw_Q!$I$2:$I$600,Raw_Q!$A$2:$A$600,Stock_Card!$B$2,Raw_Q!$R$2:$R$600,11)/SUMIFS(Raw_Q!$I$2:$I$600,Raw_Q!$A$2:$A$600,Stock_Card!$B$2,Raw_Q!$R$2:$R$600,12)-1))*100,""))</f>
        <v>-0.0946631522291019</v>
      </c>
      <c r="I10" s="49" t="n">
        <f aca="false">IF(Stock_Card!$B$2="","",IFERROR((SUMIFS(Raw_Q!$I$2:$I$600,Raw_Q!$A$2:$A$600,Stock_Card!$B$2,Raw_Q!$R$2:$R$600,7)/SUMIFS(Raw_Q!$I$2:$I$600,Raw_Q!$A$2:$A$600,Stock_Card!$B$2,Raw_Q!$R$2:$R$600,11)-1),""))</f>
        <v>0.388363094155963</v>
      </c>
      <c r="J10" s="49" t="n">
        <f aca="false">IF(Stock_Card!$B$2="","",IFERROR(SUMIFS(Raw_Q!$J$2:$J$600,Raw_Q!$A$2:$A$600,Stock_Card!$B$2,Raw_Q!$R$2:$R$600,7)/SUMIFS(Raw_Q!$I$2:$I$600,Raw_Q!$A$2:$A$600,Stock_Card!$B$2,Raw_Q!$R$2:$R$600,7),""))</f>
        <v>0.589983943991564</v>
      </c>
      <c r="K10" s="50" t="n">
        <f aca="false">IF(Stock_Card!$B$2="","",IFERROR((SUMIFS(Raw_Q!$J$2:$J$600,Raw_Q!$A$2:$A$600,Stock_Card!$B$2,Raw_Q!$R$2:$R$600,7)/SUMIFS(Raw_Q!$I$2:$I$600,Raw_Q!$A$2:$A$600,Stock_Card!$B$2,Raw_Q!$R$2:$R$600,7)-SUMIFS(Raw_Q!$J$2:$J$600,Raw_Q!$A$2:$A$600,Stock_Card!$B$2,Raw_Q!$R$2:$R$600,11)/SUMIFS(Raw_Q!$I$2:$I$600,Raw_Q!$A$2:$A$600,Stock_Card!$B$2,Raw_Q!$R$2:$R$600,11))*10000,""))</f>
        <v>596.040553298014</v>
      </c>
      <c r="L10" s="51" t="n">
        <f aca="false">IF(Stock_Card!$B$2="","",IFERROR(SUMIFS(Raw_Q!$L$2:$L$600,Raw_Q!$A$2:$A$600,Stock_Card!$B$2,Raw_Q!$R$2:$R$600,7),""))</f>
        <v>14.45</v>
      </c>
      <c r="M10" s="49" t="n">
        <f aca="false">IF(Stock_Card!$B$2="","",IFERROR((SUMIFS(Raw_Q!$L$2:$L$600,Raw_Q!$A$2:$A$600,Stock_Card!$B$2,Raw_Q!$R$2:$R$600,7)/SUMIFS(Raw_Q!$L$2:$L$600,Raw_Q!$A$2:$A$600,Stock_Card!$B$2,Raw_Q!$R$2:$R$600,11)-1),""))</f>
        <v>0.568946796959826</v>
      </c>
      <c r="N10" s="51" t="n">
        <f aca="false">IF(Stock_Card!$B$2="","",IFERROR(SUMIFS(Raw_Q!$P$2:$P$600,Raw_Q!$A$2:$A$600,Stock_Card!$B$2,Raw_Q!$R$2:$R$600,7),""))</f>
        <v>3.99963706</v>
      </c>
      <c r="O10" s="66" t="str">
        <f aca="false">IF(Stock_Card!$B$2="","",IF(7=0,"預估","實際"))</f>
        <v>實際</v>
      </c>
    </row>
    <row r="11" customFormat="false" ht="15" hidden="false" customHeight="false" outlineLevel="0" collapsed="false">
      <c r="A11" s="66" t="str">
        <f aca="false">IF(Stock_Card!$B$2="","",IFERROR(INDEX(Raw_Q!$B$2:$B$600,MATCH(Stock_Card!$B$2&amp;"|"&amp;6,Raw_Q!$S$2:$S$600,0)),""))</f>
        <v>FY2025Q1</v>
      </c>
      <c r="B11" s="67" t="n">
        <f aca="false">IF(Stock_Card!$B$2="","",IFERROR(IF(SUMIFS(Raw_Q!$E$2:$E$600,Raw_Q!$A$2:$A$600,Stock_Card!$B$2,Raw_Q!$R$2:$R$600,6)=0,"",SUMIFS(Raw_Q!$E$2:$E$600,Raw_Q!$A$2:$A$600,Stock_Card!$B$2,Raw_Q!$R$2:$R$600,6)),""))</f>
        <v>45747</v>
      </c>
      <c r="C11" s="48" t="n">
        <f aca="false">IF(Stock_Card!$B$2="","",IFERROR(SUMIFS(Raw_Q!$I$2:$I$600,Raw_Q!$A$2:$A$600,Stock_Card!$B$2,Raw_Q!$R$2:$R$600,6),""))</f>
        <v>839253.664</v>
      </c>
      <c r="D11" s="49" t="n">
        <f aca="false">IF(Stock_Card!$B$2="","",IFERROR((SUMIFS(Raw_Q!$I$2:$I$600,Raw_Q!$A$2:$A$600,Stock_Card!$B$2,Raw_Q!$R$2:$R$600,6)/SUMIFS(Raw_Q!$I$2:$I$600,Raw_Q!$A$2:$A$600,Stock_Card!$B$2,Raw_Q!$R$2:$R$600,7)-1),""))</f>
        <v>-0.0336313409740003</v>
      </c>
      <c r="E11" s="49" t="n">
        <f aca="false">IF(Stock_Card!$B$2="","",IFERROR((SUMIFS(Raw_Q!$I$2:$I$600,Raw_Q!$A$2:$A$600,Stock_Card!$B$2,Raw_Q!$R$2:$R$600,7)/SUMIFS(Raw_Q!$I$2:$I$600,Raw_Q!$A$2:$A$600,Stock_Card!$B$2,Raw_Q!$R$2:$R$600,8)-1),""))</f>
        <v>0.143175147988861</v>
      </c>
      <c r="F11" s="68" t="n">
        <f aca="false">IF(Stock_Card!$B$2="","",IFERROR(((SUMIFS(Raw_Q!$I$2:$I$600,Raw_Q!$A$2:$A$600,Stock_Card!$B$2,Raw_Q!$R$2:$R$600,6)/SUMIFS(Raw_Q!$I$2:$I$600,Raw_Q!$A$2:$A$600,Stock_Card!$B$2,Raw_Q!$R$2:$R$600,7)-1)-(SUMIFS(Raw_Q!$I$2:$I$600,Raw_Q!$A$2:$A$600,Stock_Card!$B$2,Raw_Q!$R$2:$R$600,7)/SUMIFS(Raw_Q!$I$2:$I$600,Raw_Q!$A$2:$A$600,Stock_Card!$B$2,Raw_Q!$R$2:$R$600,8)-1))*100,""))</f>
        <v>-17.6806488962861</v>
      </c>
      <c r="G11" s="69" t="str">
        <f aca="false">IF(Stock_Card!$B$2="","",IFERROR(IF(NOT(ISNUMBER(D11)),"",IF(D11&gt;0,IF(F11&gt;0,"成長且加速","成長但減速"),IF(F11&gt;0,"衰退但收斂","衰退且惡化"))),""))</f>
        <v>衰退且惡化</v>
      </c>
      <c r="H11" s="68" t="n">
        <f aca="false">IF(Stock_Card!$B$2="","",IFERROR(((SUMIFS(Raw_Q!$I$2:$I$600,Raw_Q!$A$2:$A$600,Stock_Card!$B$2,Raw_Q!$R$2:$R$600,6)/SUMIFS(Raw_Q!$I$2:$I$600,Raw_Q!$A$2:$A$600,Stock_Card!$B$2,Raw_Q!$R$2:$R$600,7)-1)-(SUMIFS(Raw_Q!$I$2:$I$600,Raw_Q!$A$2:$A$600,Stock_Card!$B$2,Raw_Q!$R$2:$R$600,10)/SUMIFS(Raw_Q!$I$2:$I$600,Raw_Q!$A$2:$A$600,Stock_Card!$B$2,Raw_Q!$R$2:$R$600,11)-1))*100,""))</f>
        <v>1.89396230743792</v>
      </c>
      <c r="I11" s="49" t="n">
        <f aca="false">IF(Stock_Card!$B$2="","",IFERROR((SUMIFS(Raw_Q!$I$2:$I$600,Raw_Q!$A$2:$A$600,Stock_Card!$B$2,Raw_Q!$R$2:$R$600,6)/SUMIFS(Raw_Q!$I$2:$I$600,Raw_Q!$A$2:$A$600,Stock_Card!$B$2,Raw_Q!$R$2:$R$600,10)-1),""))</f>
        <v>0.416117229501078</v>
      </c>
      <c r="J11" s="49" t="n">
        <f aca="false">IF(Stock_Card!$B$2="","",IFERROR(SUMIFS(Raw_Q!$J$2:$J$600,Raw_Q!$A$2:$A$600,Stock_Card!$B$2,Raw_Q!$R$2:$R$600,6)/SUMIFS(Raw_Q!$I$2:$I$600,Raw_Q!$A$2:$A$600,Stock_Card!$B$2,Raw_Q!$R$2:$R$600,6),""))</f>
        <v>0.587897434547274</v>
      </c>
      <c r="K11" s="50" t="n">
        <f aca="false">IF(Stock_Card!$B$2="","",IFERROR((SUMIFS(Raw_Q!$J$2:$J$600,Raw_Q!$A$2:$A$600,Stock_Card!$B$2,Raw_Q!$R$2:$R$600,6)/SUMIFS(Raw_Q!$I$2:$I$600,Raw_Q!$A$2:$A$600,Stock_Card!$B$2,Raw_Q!$R$2:$R$600,6)-SUMIFS(Raw_Q!$J$2:$J$600,Raw_Q!$A$2:$A$600,Stock_Card!$B$2,Raw_Q!$R$2:$R$600,10)/SUMIFS(Raw_Q!$I$2:$I$600,Raw_Q!$A$2:$A$600,Stock_Card!$B$2,Raw_Q!$R$2:$R$600,10))*10000,""))</f>
        <v>572.160097238834</v>
      </c>
      <c r="L11" s="51" t="n">
        <f aca="false">IF(Stock_Card!$B$2="","",IFERROR(SUMIFS(Raw_Q!$L$2:$L$600,Raw_Q!$A$2:$A$600,Stock_Card!$B$2,Raw_Q!$R$2:$R$600,6),""))</f>
        <v>13.95</v>
      </c>
      <c r="M11" s="49" t="n">
        <f aca="false">IF(Stock_Card!$B$2="","",IFERROR((SUMIFS(Raw_Q!$L$2:$L$600,Raw_Q!$A$2:$A$600,Stock_Card!$B$2,Raw_Q!$R$2:$R$600,6)/SUMIFS(Raw_Q!$L$2:$L$600,Raw_Q!$A$2:$A$600,Stock_Card!$B$2,Raw_Q!$R$2:$R$600,10)-1),""))</f>
        <v>0.603448275862069</v>
      </c>
      <c r="N11" s="51" t="n">
        <f aca="false">IF(Stock_Card!$B$2="","",IFERROR(SUMIFS(Raw_Q!$P$2:$P$600,Raw_Q!$A$2:$A$600,Stock_Card!$B$2,Raw_Q!$R$2:$R$600,6),""))</f>
        <v>4.50002042</v>
      </c>
      <c r="O11" s="66" t="str">
        <f aca="false">IF(Stock_Card!$B$2="","",IF(6=0,"預估","實際"))</f>
        <v>實際</v>
      </c>
    </row>
    <row r="12" customFormat="false" ht="15" hidden="false" customHeight="false" outlineLevel="0" collapsed="false">
      <c r="A12" s="66" t="str">
        <f aca="false">IF(Stock_Card!$B$2="","",IFERROR(INDEX(Raw_Q!$B$2:$B$600,MATCH(Stock_Card!$B$2&amp;"|"&amp;5,Raw_Q!$S$2:$S$600,0)),""))</f>
        <v>FY2025Q2</v>
      </c>
      <c r="B12" s="67" t="n">
        <f aca="false">IF(Stock_Card!$B$2="","",IFERROR(IF(SUMIFS(Raw_Q!$E$2:$E$600,Raw_Q!$A$2:$A$600,Stock_Card!$B$2,Raw_Q!$R$2:$R$600,5)=0,"",SUMIFS(Raw_Q!$E$2:$E$600,Raw_Q!$A$2:$A$600,Stock_Card!$B$2,Raw_Q!$R$2:$R$600,5)),""))</f>
        <v>45838</v>
      </c>
      <c r="C12" s="48" t="n">
        <f aca="false">IF(Stock_Card!$B$2="","",IFERROR(SUMIFS(Raw_Q!$I$2:$I$600,Raw_Q!$A$2:$A$600,Stock_Card!$B$2,Raw_Q!$R$2:$R$600,5),""))</f>
        <v>933791.869</v>
      </c>
      <c r="D12" s="49" t="n">
        <f aca="false">IF(Stock_Card!$B$2="","",IFERROR((SUMIFS(Raw_Q!$I$2:$I$600,Raw_Q!$A$2:$A$600,Stock_Card!$B$2,Raw_Q!$R$2:$R$600,5)/SUMIFS(Raw_Q!$I$2:$I$600,Raw_Q!$A$2:$A$600,Stock_Card!$B$2,Raw_Q!$R$2:$R$600,6)-1),""))</f>
        <v>0.112645567192901</v>
      </c>
      <c r="E12" s="49" t="n">
        <f aca="false">IF(Stock_Card!$B$2="","",IFERROR((SUMIFS(Raw_Q!$I$2:$I$600,Raw_Q!$A$2:$A$600,Stock_Card!$B$2,Raw_Q!$R$2:$R$600,6)/SUMIFS(Raw_Q!$I$2:$I$600,Raw_Q!$A$2:$A$600,Stock_Card!$B$2,Raw_Q!$R$2:$R$600,7)-1),""))</f>
        <v>-0.0336313409740003</v>
      </c>
      <c r="F12" s="68" t="n">
        <f aca="false">IF(Stock_Card!$B$2="","",IFERROR(((SUMIFS(Raw_Q!$I$2:$I$600,Raw_Q!$A$2:$A$600,Stock_Card!$B$2,Raw_Q!$R$2:$R$600,5)/SUMIFS(Raw_Q!$I$2:$I$600,Raw_Q!$A$2:$A$600,Stock_Card!$B$2,Raw_Q!$R$2:$R$600,6)-1)-(SUMIFS(Raw_Q!$I$2:$I$600,Raw_Q!$A$2:$A$600,Stock_Card!$B$2,Raw_Q!$R$2:$R$600,6)/SUMIFS(Raw_Q!$I$2:$I$600,Raw_Q!$A$2:$A$600,Stock_Card!$B$2,Raw_Q!$R$2:$R$600,7)-1))*100,""))</f>
        <v>14.6276908166901</v>
      </c>
      <c r="G12" s="69" t="str">
        <f aca="false">IF(Stock_Card!$B$2="","",IFERROR(IF(NOT(ISNUMBER(D12)),"",IF(D12&gt;0,IF(F12&gt;0,"成長且加速","成長但減速"),IF(F12&gt;0,"衰退但收斂","衰退且惡化"))),""))</f>
        <v>成長且加速</v>
      </c>
      <c r="H12" s="68" t="n">
        <f aca="false">IF(Stock_Card!$B$2="","",IFERROR(((SUMIFS(Raw_Q!$I$2:$I$600,Raw_Q!$A$2:$A$600,Stock_Card!$B$2,Raw_Q!$R$2:$R$600,5)/SUMIFS(Raw_Q!$I$2:$I$600,Raw_Q!$A$2:$A$600,Stock_Card!$B$2,Raw_Q!$R$2:$R$600,6)-1)-(SUMIFS(Raw_Q!$I$2:$I$600,Raw_Q!$A$2:$A$600,Stock_Card!$B$2,Raw_Q!$R$2:$R$600,9)/SUMIFS(Raw_Q!$I$2:$I$600,Raw_Q!$A$2:$A$600,Stock_Card!$B$2,Raw_Q!$R$2:$R$600,10)-1))*100,""))</f>
        <v>-2.38038840352572</v>
      </c>
      <c r="I12" s="49" t="n">
        <f aca="false">IF(Stock_Card!$B$2="","",IFERROR((SUMIFS(Raw_Q!$I$2:$I$600,Raw_Q!$A$2:$A$600,Stock_Card!$B$2,Raw_Q!$R$2:$R$600,5)/SUMIFS(Raw_Q!$I$2:$I$600,Raw_Q!$A$2:$A$600,Stock_Card!$B$2,Raw_Q!$R$2:$R$600,9)-1),""))</f>
        <v>0.386455469996558</v>
      </c>
      <c r="J12" s="49" t="n">
        <f aca="false">IF(Stock_Card!$B$2="","",IFERROR(SUMIFS(Raw_Q!$J$2:$J$600,Raw_Q!$A$2:$A$600,Stock_Card!$B$2,Raw_Q!$R$2:$R$600,5)/SUMIFS(Raw_Q!$I$2:$I$600,Raw_Q!$A$2:$A$600,Stock_Card!$B$2,Raw_Q!$R$2:$R$600,5),""))</f>
        <v>0.586179057851702</v>
      </c>
      <c r="K12" s="50" t="n">
        <f aca="false">IF(Stock_Card!$B$2="","",IFERROR((SUMIFS(Raw_Q!$J$2:$J$600,Raw_Q!$A$2:$A$600,Stock_Card!$B$2,Raw_Q!$R$2:$R$600,5)/SUMIFS(Raw_Q!$I$2:$I$600,Raw_Q!$A$2:$A$600,Stock_Card!$B$2,Raw_Q!$R$2:$R$600,5)-SUMIFS(Raw_Q!$J$2:$J$600,Raw_Q!$A$2:$A$600,Stock_Card!$B$2,Raw_Q!$R$2:$R$600,9)/SUMIFS(Raw_Q!$I$2:$I$600,Raw_Q!$A$2:$A$600,Stock_Card!$B$2,Raw_Q!$R$2:$R$600,9))*10000,""))</f>
        <v>544.506738869859</v>
      </c>
      <c r="L12" s="51" t="n">
        <f aca="false">IF(Stock_Card!$B$2="","",IFERROR(SUMIFS(Raw_Q!$L$2:$L$600,Raw_Q!$A$2:$A$600,Stock_Card!$B$2,Raw_Q!$R$2:$R$600,5),""))</f>
        <v>15.36</v>
      </c>
      <c r="M12" s="49" t="n">
        <f aca="false">IF(Stock_Card!$B$2="","",IFERROR((SUMIFS(Raw_Q!$L$2:$L$600,Raw_Q!$A$2:$A$600,Stock_Card!$B$2,Raw_Q!$R$2:$R$600,5)/SUMIFS(Raw_Q!$L$2:$L$600,Raw_Q!$A$2:$A$600,Stock_Card!$B$2,Raw_Q!$R$2:$R$600,9)-1),""))</f>
        <v>0.606694560669456</v>
      </c>
      <c r="N12" s="51" t="n">
        <f aca="false">IF(Stock_Card!$B$2="","",IFERROR(SUMIFS(Raw_Q!$P$2:$P$600,Raw_Q!$A$2:$A$600,Stock_Card!$B$2,Raw_Q!$R$2:$R$600,5),""))</f>
        <v>4.50002042</v>
      </c>
      <c r="O12" s="66" t="str">
        <f aca="false">IF(Stock_Card!$B$2="","",IF(5=0,"預估","實際"))</f>
        <v>實際</v>
      </c>
    </row>
    <row r="13" customFormat="false" ht="15" hidden="false" customHeight="false" outlineLevel="0" collapsed="false">
      <c r="A13" s="66" t="str">
        <f aca="false">IF(Stock_Card!$B$2="","",IFERROR(INDEX(Raw_Q!$B$2:$B$600,MATCH(Stock_Card!$B$2&amp;"|"&amp;4,Raw_Q!$S$2:$S$600,0)),""))</f>
        <v>FY2025Q3</v>
      </c>
      <c r="B13" s="67" t="n">
        <f aca="false">IF(Stock_Card!$B$2="","",IFERROR(IF(SUMIFS(Raw_Q!$E$2:$E$600,Raw_Q!$A$2:$A$600,Stock_Card!$B$2,Raw_Q!$R$2:$R$600,4)=0,"",SUMIFS(Raw_Q!$E$2:$E$600,Raw_Q!$A$2:$A$600,Stock_Card!$B$2,Raw_Q!$R$2:$R$600,4)),""))</f>
        <v>45930</v>
      </c>
      <c r="C13" s="48" t="n">
        <f aca="false">IF(Stock_Card!$B$2="","",IFERROR(SUMIFS(Raw_Q!$I$2:$I$600,Raw_Q!$A$2:$A$600,Stock_Card!$B$2,Raw_Q!$R$2:$R$600,4),""))</f>
        <v>989918.318</v>
      </c>
      <c r="D13" s="49" t="n">
        <f aca="false">IF(Stock_Card!$B$2="","",IFERROR((SUMIFS(Raw_Q!$I$2:$I$600,Raw_Q!$A$2:$A$600,Stock_Card!$B$2,Raw_Q!$R$2:$R$600,4)/SUMIFS(Raw_Q!$I$2:$I$600,Raw_Q!$A$2:$A$600,Stock_Card!$B$2,Raw_Q!$R$2:$R$600,5)-1),""))</f>
        <v>0.0601059517257374</v>
      </c>
      <c r="E13" s="49" t="n">
        <f aca="false">IF(Stock_Card!$B$2="","",IFERROR((SUMIFS(Raw_Q!$I$2:$I$600,Raw_Q!$A$2:$A$600,Stock_Card!$B$2,Raw_Q!$R$2:$R$600,5)/SUMIFS(Raw_Q!$I$2:$I$600,Raw_Q!$A$2:$A$600,Stock_Card!$B$2,Raw_Q!$R$2:$R$600,6)-1),""))</f>
        <v>0.112645567192901</v>
      </c>
      <c r="F13" s="68" t="n">
        <f aca="false">IF(Stock_Card!$B$2="","",IFERROR(((SUMIFS(Raw_Q!$I$2:$I$600,Raw_Q!$A$2:$A$600,Stock_Card!$B$2,Raw_Q!$R$2:$R$600,4)/SUMIFS(Raw_Q!$I$2:$I$600,Raw_Q!$A$2:$A$600,Stock_Card!$B$2,Raw_Q!$R$2:$R$600,5)-1)-(SUMIFS(Raw_Q!$I$2:$I$600,Raw_Q!$A$2:$A$600,Stock_Card!$B$2,Raw_Q!$R$2:$R$600,5)/SUMIFS(Raw_Q!$I$2:$I$600,Raw_Q!$A$2:$A$600,Stock_Card!$B$2,Raw_Q!$R$2:$R$600,6)-1))*100,""))</f>
        <v>-5.25396154671631</v>
      </c>
      <c r="G13" s="69" t="str">
        <f aca="false">IF(Stock_Card!$B$2="","",IFERROR(IF(NOT(ISNUMBER(D13)),"",IF(D13&gt;0,IF(F13&gt;0,"成長且加速","成長但減速"),IF(F13&gt;0,"衰退但收斂","衰退且惡化"))),""))</f>
        <v>成長但減速</v>
      </c>
      <c r="H13" s="68" t="n">
        <f aca="false">IF(Stock_Card!$B$2="","",IFERROR(((SUMIFS(Raw_Q!$I$2:$I$600,Raw_Q!$A$2:$A$600,Stock_Card!$B$2,Raw_Q!$R$2:$R$600,4)/SUMIFS(Raw_Q!$I$2:$I$600,Raw_Q!$A$2:$A$600,Stock_Card!$B$2,Raw_Q!$R$2:$R$600,5)-1)-(SUMIFS(Raw_Q!$I$2:$I$600,Raw_Q!$A$2:$A$600,Stock_Card!$B$2,Raw_Q!$R$2:$R$600,8)/SUMIFS(Raw_Q!$I$2:$I$600,Raw_Q!$A$2:$A$600,Stock_Card!$B$2,Raw_Q!$R$2:$R$600,9)-1))*100,""))</f>
        <v>-6.78534599402871</v>
      </c>
      <c r="I13" s="49" t="n">
        <f aca="false">IF(Stock_Card!$B$2="","",IFERROR((SUMIFS(Raw_Q!$I$2:$I$600,Raw_Q!$A$2:$A$600,Stock_Card!$B$2,Raw_Q!$R$2:$R$600,4)/SUMIFS(Raw_Q!$I$2:$I$600,Raw_Q!$A$2:$A$600,Stock_Card!$B$2,Raw_Q!$R$2:$R$600,8)-1),""))</f>
        <v>0.303051936394714</v>
      </c>
      <c r="J13" s="49" t="n">
        <f aca="false">IF(Stock_Card!$B$2="","",IFERROR(SUMIFS(Raw_Q!$J$2:$J$600,Raw_Q!$A$2:$A$600,Stock_Card!$B$2,Raw_Q!$R$2:$R$600,4)/SUMIFS(Raw_Q!$I$2:$I$600,Raw_Q!$A$2:$A$600,Stock_Card!$B$2,Raw_Q!$R$2:$R$600,4),""))</f>
        <v>0.594536759547064</v>
      </c>
      <c r="K13" s="50" t="n">
        <f aca="false">IF(Stock_Card!$B$2="","",IFERROR((SUMIFS(Raw_Q!$J$2:$J$600,Raw_Q!$A$2:$A$600,Stock_Card!$B$2,Raw_Q!$R$2:$R$600,4)/SUMIFS(Raw_Q!$I$2:$I$600,Raw_Q!$A$2:$A$600,Stock_Card!$B$2,Raw_Q!$R$2:$R$600,4)-SUMIFS(Raw_Q!$J$2:$J$600,Raw_Q!$A$2:$A$600,Stock_Card!$B$2,Raw_Q!$R$2:$R$600,8)/SUMIFS(Raw_Q!$I$2:$I$600,Raw_Q!$A$2:$A$600,Stock_Card!$B$2,Raw_Q!$R$2:$R$600,8))*10000,""))</f>
        <v>162.160936717556</v>
      </c>
      <c r="L13" s="51" t="n">
        <f aca="false">IF(Stock_Card!$B$2="","",IFERROR(SUMIFS(Raw_Q!$L$2:$L$600,Raw_Q!$A$2:$A$600,Stock_Card!$B$2,Raw_Q!$R$2:$R$600,4),""))</f>
        <v>17.44</v>
      </c>
      <c r="M13" s="49" t="n">
        <f aca="false">IF(Stock_Card!$B$2="","",IFERROR((SUMIFS(Raw_Q!$L$2:$L$600,Raw_Q!$A$2:$A$600,Stock_Card!$B$2,Raw_Q!$R$2:$R$600,4)/SUMIFS(Raw_Q!$L$2:$L$600,Raw_Q!$A$2:$A$600,Stock_Card!$B$2,Raw_Q!$R$2:$R$600,8)-1),""))</f>
        <v>0.389641434262948</v>
      </c>
      <c r="N13" s="51" t="n">
        <f aca="false">IF(Stock_Card!$B$2="","",IFERROR(SUMIFS(Raw_Q!$P$2:$P$600,Raw_Q!$A$2:$A$600,Stock_Card!$B$2,Raw_Q!$R$2:$R$600,4),""))</f>
        <v>5.00001754</v>
      </c>
      <c r="O13" s="66" t="str">
        <f aca="false">IF(Stock_Card!$B$2="","",IF(4=0,"預估","實際"))</f>
        <v>實際</v>
      </c>
    </row>
    <row r="14" customFormat="false" ht="15" hidden="false" customHeight="false" outlineLevel="0" collapsed="false">
      <c r="A14" s="66" t="str">
        <f aca="false">IF(Stock_Card!$B$2="","",IFERROR(INDEX(Raw_Q!$B$2:$B$600,MATCH(Stock_Card!$B$2&amp;"|"&amp;3,Raw_Q!$S$2:$S$600,0)),""))</f>
        <v>FY2025Q4</v>
      </c>
      <c r="B14" s="67" t="n">
        <f aca="false">IF(Stock_Card!$B$2="","",IFERROR(IF(SUMIFS(Raw_Q!$E$2:$E$600,Raw_Q!$A$2:$A$600,Stock_Card!$B$2,Raw_Q!$R$2:$R$600,3)=0,"",SUMIFS(Raw_Q!$E$2:$E$600,Raw_Q!$A$2:$A$600,Stock_Card!$B$2,Raw_Q!$R$2:$R$600,3)),""))</f>
        <v>46022</v>
      </c>
      <c r="C14" s="48" t="n">
        <f aca="false">IF(Stock_Card!$B$2="","",IFERROR(SUMIFS(Raw_Q!$I$2:$I$600,Raw_Q!$A$2:$A$600,Stock_Card!$B$2,Raw_Q!$R$2:$R$600,3),""))</f>
        <v>1046090.421</v>
      </c>
      <c r="D14" s="49" t="n">
        <f aca="false">IF(Stock_Card!$B$2="","",IFERROR((SUMIFS(Raw_Q!$I$2:$I$600,Raw_Q!$A$2:$A$600,Stock_Card!$B$2,Raw_Q!$R$2:$R$600,3)/SUMIFS(Raw_Q!$I$2:$I$600,Raw_Q!$A$2:$A$600,Stock_Card!$B$2,Raw_Q!$R$2:$R$600,4)-1),""))</f>
        <v>0.056744179775851</v>
      </c>
      <c r="E14" s="49" t="n">
        <f aca="false">IF(Stock_Card!$B$2="","",IFERROR((SUMIFS(Raw_Q!$I$2:$I$600,Raw_Q!$A$2:$A$600,Stock_Card!$B$2,Raw_Q!$R$2:$R$600,4)/SUMIFS(Raw_Q!$I$2:$I$600,Raw_Q!$A$2:$A$600,Stock_Card!$B$2,Raw_Q!$R$2:$R$600,5)-1),""))</f>
        <v>0.0601059517257374</v>
      </c>
      <c r="F14" s="68" t="n">
        <f aca="false">IF(Stock_Card!$B$2="","",IFERROR(((SUMIFS(Raw_Q!$I$2:$I$600,Raw_Q!$A$2:$A$600,Stock_Card!$B$2,Raw_Q!$R$2:$R$600,3)/SUMIFS(Raw_Q!$I$2:$I$600,Raw_Q!$A$2:$A$600,Stock_Card!$B$2,Raw_Q!$R$2:$R$600,4)-1)-(SUMIFS(Raw_Q!$I$2:$I$600,Raw_Q!$A$2:$A$600,Stock_Card!$B$2,Raw_Q!$R$2:$R$600,4)/SUMIFS(Raw_Q!$I$2:$I$600,Raw_Q!$A$2:$A$600,Stock_Card!$B$2,Raw_Q!$R$2:$R$600,5)-1))*100,""))</f>
        <v>-0.336177194988641</v>
      </c>
      <c r="G14" s="69" t="str">
        <f aca="false">IF(Stock_Card!$B$2="","",IFERROR(IF(NOT(ISNUMBER(D14)),"",IF(D14&gt;0,IF(F14&gt;0,"成長且加速","成長但減速"),IF(F14&gt;0,"衰退但收斂","衰退且惡化"))),""))</f>
        <v>成長但減速</v>
      </c>
      <c r="H14" s="68" t="n">
        <f aca="false">IF(Stock_Card!$B$2="","",IFERROR(((SUMIFS(Raw_Q!$I$2:$I$600,Raw_Q!$A$2:$A$600,Stock_Card!$B$2,Raw_Q!$R$2:$R$600,3)/SUMIFS(Raw_Q!$I$2:$I$600,Raw_Q!$A$2:$A$600,Stock_Card!$B$2,Raw_Q!$R$2:$R$600,4)-1)-(SUMIFS(Raw_Q!$I$2:$I$600,Raw_Q!$A$2:$A$600,Stock_Card!$B$2,Raw_Q!$R$2:$R$600,7)/SUMIFS(Raw_Q!$I$2:$I$600,Raw_Q!$A$2:$A$600,Stock_Card!$B$2,Raw_Q!$R$2:$R$600,8)-1))*100,""))</f>
        <v>-8.643096821301</v>
      </c>
      <c r="I14" s="49" t="n">
        <f aca="false">IF(Stock_Card!$B$2="","",IFERROR((SUMIFS(Raw_Q!$I$2:$I$600,Raw_Q!$A$2:$A$600,Stock_Card!$B$2,Raw_Q!$R$2:$R$600,3)/SUMIFS(Raw_Q!$I$2:$I$600,Raw_Q!$A$2:$A$600,Stock_Card!$B$2,Raw_Q!$R$2:$R$600,7)-1),""))</f>
        <v>0.204533314211081</v>
      </c>
      <c r="J14" s="49" t="n">
        <f aca="false">IF(Stock_Card!$B$2="","",IFERROR(SUMIFS(Raw_Q!$J$2:$J$600,Raw_Q!$A$2:$A$600,Stock_Card!$B$2,Raw_Q!$R$2:$R$600,3)/SUMIFS(Raw_Q!$I$2:$I$600,Raw_Q!$A$2:$A$600,Stock_Card!$B$2,Raw_Q!$R$2:$R$600,3),""))</f>
        <v>0.623260497287356</v>
      </c>
      <c r="K14" s="50" t="n">
        <f aca="false">IF(Stock_Card!$B$2="","",IFERROR((SUMIFS(Raw_Q!$J$2:$J$600,Raw_Q!$A$2:$A$600,Stock_Card!$B$2,Raw_Q!$R$2:$R$600,3)/SUMIFS(Raw_Q!$I$2:$I$600,Raw_Q!$A$2:$A$600,Stock_Card!$B$2,Raw_Q!$R$2:$R$600,3)-SUMIFS(Raw_Q!$J$2:$J$600,Raw_Q!$A$2:$A$600,Stock_Card!$B$2,Raw_Q!$R$2:$R$600,7)/SUMIFS(Raw_Q!$I$2:$I$600,Raw_Q!$A$2:$A$600,Stock_Card!$B$2,Raw_Q!$R$2:$R$600,7))*10000,""))</f>
        <v>332.76553295792</v>
      </c>
      <c r="L14" s="51" t="n">
        <f aca="false">IF(Stock_Card!$B$2="","",IFERROR(SUMIFS(Raw_Q!$L$2:$L$600,Raw_Q!$A$2:$A$600,Stock_Card!$B$2,Raw_Q!$R$2:$R$600,3),""))</f>
        <v>19.51</v>
      </c>
      <c r="M14" s="49" t="n">
        <f aca="false">IF(Stock_Card!$B$2="","",IFERROR((SUMIFS(Raw_Q!$L$2:$L$600,Raw_Q!$A$2:$A$600,Stock_Card!$B$2,Raw_Q!$R$2:$R$600,3)/SUMIFS(Raw_Q!$L$2:$L$600,Raw_Q!$A$2:$A$600,Stock_Card!$B$2,Raw_Q!$R$2:$R$600,7)-1),""))</f>
        <v>0.350173010380623</v>
      </c>
      <c r="N14" s="51" t="n">
        <f aca="false">IF(Stock_Card!$B$2="","",IFERROR(SUMIFS(Raw_Q!$P$2:$P$600,Raw_Q!$A$2:$A$600,Stock_Card!$B$2,Raw_Q!$R$2:$R$600,3),""))</f>
        <v>5.00001118</v>
      </c>
      <c r="O14" s="66" t="str">
        <f aca="false">IF(Stock_Card!$B$2="","",IF(3=0,"預估","實際"))</f>
        <v>實際</v>
      </c>
    </row>
    <row r="15" customFormat="false" ht="15" hidden="false" customHeight="false" outlineLevel="0" collapsed="false">
      <c r="A15" s="66" t="str">
        <f aca="false">IF(Stock_Card!$B$2="","",IFERROR(INDEX(Raw_Q!$B$2:$B$600,MATCH(Stock_Card!$B$2&amp;"|"&amp;2,Raw_Q!$S$2:$S$600,0)),""))</f>
        <v>FY2026Q1</v>
      </c>
      <c r="B15" s="67" t="n">
        <f aca="false">IF(Stock_Card!$B$2="","",IFERROR(IF(SUMIFS(Raw_Q!$E$2:$E$600,Raw_Q!$A$2:$A$600,Stock_Card!$B$2,Raw_Q!$R$2:$R$600,2)=0,"",SUMIFS(Raw_Q!$E$2:$E$600,Raw_Q!$A$2:$A$600,Stock_Card!$B$2,Raw_Q!$R$2:$R$600,2)),""))</f>
        <v>46112</v>
      </c>
      <c r="C15" s="48" t="n">
        <f aca="false">IF(Stock_Card!$B$2="","",IFERROR(SUMIFS(Raw_Q!$I$2:$I$600,Raw_Q!$A$2:$A$600,Stock_Card!$B$2,Raw_Q!$R$2:$R$600,2),""))</f>
        <v>1134103.44</v>
      </c>
      <c r="D15" s="49" t="n">
        <f aca="false">IF(Stock_Card!$B$2="","",IFERROR((SUMIFS(Raw_Q!$I$2:$I$600,Raw_Q!$A$2:$A$600,Stock_Card!$B$2,Raw_Q!$R$2:$R$600,2)/SUMIFS(Raw_Q!$I$2:$I$600,Raw_Q!$A$2:$A$600,Stock_Card!$B$2,Raw_Q!$R$2:$R$600,3)-1),""))</f>
        <v>0.0841351925542582</v>
      </c>
      <c r="E15" s="49" t="n">
        <f aca="false">IF(Stock_Card!$B$2="","",IFERROR((SUMIFS(Raw_Q!$I$2:$I$600,Raw_Q!$A$2:$A$600,Stock_Card!$B$2,Raw_Q!$R$2:$R$600,3)/SUMIFS(Raw_Q!$I$2:$I$600,Raw_Q!$A$2:$A$600,Stock_Card!$B$2,Raw_Q!$R$2:$R$600,4)-1),""))</f>
        <v>0.056744179775851</v>
      </c>
      <c r="F15" s="68" t="n">
        <f aca="false">IF(Stock_Card!$B$2="","",IFERROR(((SUMIFS(Raw_Q!$I$2:$I$600,Raw_Q!$A$2:$A$600,Stock_Card!$B$2,Raw_Q!$R$2:$R$600,2)/SUMIFS(Raw_Q!$I$2:$I$600,Raw_Q!$A$2:$A$600,Stock_Card!$B$2,Raw_Q!$R$2:$R$600,3)-1)-(SUMIFS(Raw_Q!$I$2:$I$600,Raw_Q!$A$2:$A$600,Stock_Card!$B$2,Raw_Q!$R$2:$R$600,3)/SUMIFS(Raw_Q!$I$2:$I$600,Raw_Q!$A$2:$A$600,Stock_Card!$B$2,Raw_Q!$R$2:$R$600,4)-1))*100,""))</f>
        <v>2.73910127784072</v>
      </c>
      <c r="G15" s="69" t="str">
        <f aca="false">IF(Stock_Card!$B$2="","",IFERROR(IF(NOT(ISNUMBER(D15)),"",IF(D15&gt;0,IF(F15&gt;0,"成長且加速","成長但減速"),IF(F15&gt;0,"衰退但收斂","衰退且惡化"))),""))</f>
        <v>成長且加速</v>
      </c>
      <c r="H15" s="68" t="n">
        <f aca="false">IF(Stock_Card!$B$2="","",IFERROR(((SUMIFS(Raw_Q!$I$2:$I$600,Raw_Q!$A$2:$A$600,Stock_Card!$B$2,Raw_Q!$R$2:$R$600,2)/SUMIFS(Raw_Q!$I$2:$I$600,Raw_Q!$A$2:$A$600,Stock_Card!$B$2,Raw_Q!$R$2:$R$600,3)-1)-(SUMIFS(Raw_Q!$I$2:$I$600,Raw_Q!$A$2:$A$600,Stock_Card!$B$2,Raw_Q!$R$2:$R$600,6)/SUMIFS(Raw_Q!$I$2:$I$600,Raw_Q!$A$2:$A$600,Stock_Card!$B$2,Raw_Q!$R$2:$R$600,7)-1))*100,""))</f>
        <v>11.7766533528259</v>
      </c>
      <c r="I15" s="49" t="n">
        <f aca="false">IF(Stock_Card!$B$2="","",IFERROR((SUMIFS(Raw_Q!$I$2:$I$600,Raw_Q!$A$2:$A$600,Stock_Card!$B$2,Raw_Q!$R$2:$R$600,2)/SUMIFS(Raw_Q!$I$2:$I$600,Raw_Q!$A$2:$A$600,Stock_Card!$B$2,Raw_Q!$R$2:$R$600,6)-1),""))</f>
        <v>0.351323787607557</v>
      </c>
      <c r="J15" s="49" t="n">
        <f aca="false">IF(Stock_Card!$B$2="","",IFERROR(SUMIFS(Raw_Q!$J$2:$J$600,Raw_Q!$A$2:$A$600,Stock_Card!$B$2,Raw_Q!$R$2:$R$600,2)/SUMIFS(Raw_Q!$I$2:$I$600,Raw_Q!$A$2:$A$600,Stock_Card!$B$2,Raw_Q!$R$2:$R$600,2),""))</f>
        <v>0.662457580588945</v>
      </c>
      <c r="K15" s="50" t="n">
        <f aca="false">IF(Stock_Card!$B$2="","",IFERROR((SUMIFS(Raw_Q!$J$2:$J$600,Raw_Q!$A$2:$A$600,Stock_Card!$B$2,Raw_Q!$R$2:$R$600,2)/SUMIFS(Raw_Q!$I$2:$I$600,Raw_Q!$A$2:$A$600,Stock_Card!$B$2,Raw_Q!$R$2:$R$600,2)-SUMIFS(Raw_Q!$J$2:$J$600,Raw_Q!$A$2:$A$600,Stock_Card!$B$2,Raw_Q!$R$2:$R$600,6)/SUMIFS(Raw_Q!$I$2:$I$600,Raw_Q!$A$2:$A$600,Stock_Card!$B$2,Raw_Q!$R$2:$R$600,6))*10000,""))</f>
        <v>745.60146041671</v>
      </c>
      <c r="L15" s="51" t="n">
        <f aca="false">IF(Stock_Card!$B$2="","",IFERROR(SUMIFS(Raw_Q!$L$2:$L$600,Raw_Q!$A$2:$A$600,Stock_Card!$B$2,Raw_Q!$R$2:$R$600,2),""))</f>
        <v>22.08</v>
      </c>
      <c r="M15" s="49" t="n">
        <f aca="false">IF(Stock_Card!$B$2="","",IFERROR((SUMIFS(Raw_Q!$L$2:$L$600,Raw_Q!$A$2:$A$600,Stock_Card!$B$2,Raw_Q!$R$2:$R$600,2)/SUMIFS(Raw_Q!$L$2:$L$600,Raw_Q!$A$2:$A$600,Stock_Card!$B$2,Raw_Q!$R$2:$R$600,6)-1),""))</f>
        <v>0.582795698924731</v>
      </c>
      <c r="N15" s="51" t="n">
        <f aca="false">IF(Stock_Card!$B$2="","",IFERROR(SUMIFS(Raw_Q!$P$2:$P$600,Raw_Q!$A$2:$A$600,Stock_Card!$B$2,Raw_Q!$R$2:$R$600,2),""))</f>
        <v>6.00003573</v>
      </c>
      <c r="O15" s="66" t="str">
        <f aca="false">IF(Stock_Card!$B$2="","",IF(2=0,"預估","實際"))</f>
        <v>實際</v>
      </c>
    </row>
    <row r="16" customFormat="false" ht="15" hidden="false" customHeight="false" outlineLevel="0" collapsed="false">
      <c r="A16" s="66" t="str">
        <f aca="false">IF(Stock_Card!$B$2="","",IFERROR(INDEX(Raw_Q!$B$2:$B$600,MATCH(Stock_Card!$B$2&amp;"|"&amp;1,Raw_Q!$S$2:$S$600,0)),""))</f>
        <v>FY2026Q2</v>
      </c>
      <c r="B16" s="67" t="n">
        <f aca="false">IF(Stock_Card!$B$2="","",IFERROR(IF(SUMIFS(Raw_Q!$E$2:$E$600,Raw_Q!$A$2:$A$600,Stock_Card!$B$2,Raw_Q!$R$2:$R$600,1)=0,"",SUMIFS(Raw_Q!$E$2:$E$600,Raw_Q!$A$2:$A$600,Stock_Card!$B$2,Raw_Q!$R$2:$R$600,1)),""))</f>
        <v>46203</v>
      </c>
      <c r="C16" s="48" t="n">
        <f aca="false">IF(Stock_Card!$B$2="","",IFERROR(SUMIFS(Raw_Q!$I$2:$I$600,Raw_Q!$A$2:$A$600,Stock_Card!$B$2,Raw_Q!$R$2:$R$600,1),""))</f>
        <v>1270380.25</v>
      </c>
      <c r="D16" s="49" t="n">
        <f aca="false">IF(Stock_Card!$B$2="","",IFERROR((SUMIFS(Raw_Q!$I$2:$I$600,Raw_Q!$A$2:$A$600,Stock_Card!$B$2,Raw_Q!$R$2:$R$600,1)/SUMIFS(Raw_Q!$I$2:$I$600,Raw_Q!$A$2:$A$600,Stock_Card!$B$2,Raw_Q!$R$2:$R$600,2)-1),""))</f>
        <v>0.120162592928913</v>
      </c>
      <c r="E16" s="49" t="n">
        <f aca="false">IF(Stock_Card!$B$2="","",IFERROR((SUMIFS(Raw_Q!$I$2:$I$600,Raw_Q!$A$2:$A$600,Stock_Card!$B$2,Raw_Q!$R$2:$R$600,2)/SUMIFS(Raw_Q!$I$2:$I$600,Raw_Q!$A$2:$A$600,Stock_Card!$B$2,Raw_Q!$R$2:$R$600,3)-1),""))</f>
        <v>0.0841351925542582</v>
      </c>
      <c r="F16" s="68" t="n">
        <f aca="false">IF(Stock_Card!$B$2="","",IFERROR(((SUMIFS(Raw_Q!$I$2:$I$600,Raw_Q!$A$2:$A$600,Stock_Card!$B$2,Raw_Q!$R$2:$R$600,1)/SUMIFS(Raw_Q!$I$2:$I$600,Raw_Q!$A$2:$A$600,Stock_Card!$B$2,Raw_Q!$R$2:$R$600,2)-1)-(SUMIFS(Raw_Q!$I$2:$I$600,Raw_Q!$A$2:$A$600,Stock_Card!$B$2,Raw_Q!$R$2:$R$600,2)/SUMIFS(Raw_Q!$I$2:$I$600,Raw_Q!$A$2:$A$600,Stock_Card!$B$2,Raw_Q!$R$2:$R$600,3)-1))*100,""))</f>
        <v>3.6027400374655</v>
      </c>
      <c r="G16" s="69" t="str">
        <f aca="false">IF(Stock_Card!$B$2="","",IFERROR(IF(NOT(ISNUMBER(D16)),"",IF(D16&gt;0,IF(F16&gt;0,"成長且加速","成長但減速"),IF(F16&gt;0,"衰退但收斂","衰退且惡化"))),""))</f>
        <v>成長且加速</v>
      </c>
      <c r="H16" s="68" t="n">
        <f aca="false">IF(Stock_Card!$B$2="","",IFERROR(((SUMIFS(Raw_Q!$I$2:$I$600,Raw_Q!$A$2:$A$600,Stock_Card!$B$2,Raw_Q!$R$2:$R$600,1)/SUMIFS(Raw_Q!$I$2:$I$600,Raw_Q!$A$2:$A$600,Stock_Card!$B$2,Raw_Q!$R$2:$R$600,2)-1)-(SUMIFS(Raw_Q!$I$2:$I$600,Raw_Q!$A$2:$A$600,Stock_Card!$B$2,Raw_Q!$R$2:$R$600,5)/SUMIFS(Raw_Q!$I$2:$I$600,Raw_Q!$A$2:$A$600,Stock_Card!$B$2,Raw_Q!$R$2:$R$600,6)-1))*100,""))</f>
        <v>0.751702573601265</v>
      </c>
      <c r="I16" s="49" t="n">
        <f aca="false">IF(Stock_Card!$B$2="","",IFERROR((SUMIFS(Raw_Q!$I$2:$I$600,Raw_Q!$A$2:$A$600,Stock_Card!$B$2,Raw_Q!$R$2:$R$600,1)/SUMIFS(Raw_Q!$I$2:$I$600,Raw_Q!$A$2:$A$600,Stock_Card!$B$2,Raw_Q!$R$2:$R$600,5)-1),""))</f>
        <v>0.360453321745512</v>
      </c>
      <c r="J16" s="49" t="n">
        <f aca="false">IF(Stock_Card!$B$2="","",IFERROR(SUMIFS(Raw_Q!$J$2:$J$600,Raw_Q!$A$2:$A$600,Stock_Card!$B$2,Raw_Q!$R$2:$R$600,1)/SUMIFS(Raw_Q!$I$2:$I$600,Raw_Q!$A$2:$A$600,Stock_Card!$B$2,Raw_Q!$R$2:$R$600,1),""))</f>
        <v>0.677207233818378</v>
      </c>
      <c r="K16" s="50" t="n">
        <f aca="false">IF(Stock_Card!$B$2="","",IFERROR((SUMIFS(Raw_Q!$J$2:$J$600,Raw_Q!$A$2:$A$600,Stock_Card!$B$2,Raw_Q!$R$2:$R$600,1)/SUMIFS(Raw_Q!$I$2:$I$600,Raw_Q!$A$2:$A$600,Stock_Card!$B$2,Raw_Q!$R$2:$R$600,1)-SUMIFS(Raw_Q!$J$2:$J$600,Raw_Q!$A$2:$A$600,Stock_Card!$B$2,Raw_Q!$R$2:$R$600,5)/SUMIFS(Raw_Q!$I$2:$I$600,Raw_Q!$A$2:$A$600,Stock_Card!$B$2,Raw_Q!$R$2:$R$600,5))*10000,""))</f>
        <v>910.281759666762</v>
      </c>
      <c r="L16" s="51" t="n">
        <f aca="false">IF(Stock_Card!$B$2="","",IFERROR(SUMIFS(Raw_Q!$L$2:$L$600,Raw_Q!$A$2:$A$600,Stock_Card!$B$2,Raw_Q!$R$2:$R$600,1),""))</f>
        <v>27.25</v>
      </c>
      <c r="M16" s="49" t="n">
        <f aca="false">IF(Stock_Card!$B$2="","",IFERROR((SUMIFS(Raw_Q!$L$2:$L$600,Raw_Q!$A$2:$A$600,Stock_Card!$B$2,Raw_Q!$R$2:$R$600,1)/SUMIFS(Raw_Q!$L$2:$L$600,Raw_Q!$A$2:$A$600,Stock_Card!$B$2,Raw_Q!$R$2:$R$600,5)-1),""))</f>
        <v>0.774088541666667</v>
      </c>
      <c r="N16" s="51" t="n">
        <f aca="false">IF(Stock_Card!$B$2="","",IFERROR(SUMIFS(Raw_Q!$P$2:$P$600,Raw_Q!$A$2:$A$600,Stock_Card!$B$2,Raw_Q!$R$2:$R$600,1),""))</f>
        <v>6.00003573</v>
      </c>
      <c r="O16" s="66" t="str">
        <f aca="false">IF(Stock_Card!$B$2="","",IF(1=0,"預估","實際"))</f>
        <v>實際</v>
      </c>
    </row>
    <row r="17" customFormat="false" ht="15" hidden="false" customHeight="false" outlineLevel="0" collapsed="false">
      <c r="A17" s="66" t="str">
        <f aca="false">IF(Stock_Card!$B$2="","",IFERROR(INDEX(Raw_Q!$B$2:$B$600,MATCH(Stock_Card!$B$2&amp;"|"&amp;0,Raw_Q!$S$2:$S$600,0)),""))</f>
        <v>FY2026Q3E</v>
      </c>
      <c r="B17" s="67" t="n">
        <f aca="false">IF(Stock_Card!$B$2="","",IFERROR(IF(SUMIFS(Raw_Q!$E$2:$E$600,Raw_Q!$A$2:$A$600,Stock_Card!$B$2,Raw_Q!$R$2:$R$600,0)=0,"",SUMIFS(Raw_Q!$E$2:$E$600,Raw_Q!$A$2:$A$600,Stock_Card!$B$2,Raw_Q!$R$2:$R$600,0)),""))</f>
        <v>46295</v>
      </c>
      <c r="C17" s="48" t="n">
        <f aca="false">IF(Stock_Card!$B$2="","",IFERROR(SUMIFS(Raw_Q!$I$2:$I$600,Raw_Q!$A$2:$A$600,Stock_Card!$B$2,Raw_Q!$R$2:$R$600,0),""))</f>
        <v>0</v>
      </c>
      <c r="D17" s="49" t="n">
        <f aca="false">IF(Stock_Card!$B$2="","",IFERROR((SUMIFS(Raw_Q!$I$2:$I$600,Raw_Q!$A$2:$A$600,Stock_Card!$B$2,Raw_Q!$R$2:$R$600,0)/SUMIFS(Raw_Q!$I$2:$I$600,Raw_Q!$A$2:$A$600,Stock_Card!$B$2,Raw_Q!$R$2:$R$600,1)-1),""))</f>
        <v>-1</v>
      </c>
      <c r="E17" s="49" t="n">
        <f aca="false">IF(Stock_Card!$B$2="","",IFERROR((SUMIFS(Raw_Q!$I$2:$I$600,Raw_Q!$A$2:$A$600,Stock_Card!$B$2,Raw_Q!$R$2:$R$600,1)/SUMIFS(Raw_Q!$I$2:$I$600,Raw_Q!$A$2:$A$600,Stock_Card!$B$2,Raw_Q!$R$2:$R$600,2)-1),""))</f>
        <v>0.120162592928913</v>
      </c>
      <c r="F17" s="68" t="n">
        <f aca="false">IF(Stock_Card!$B$2="","",IFERROR(((SUMIFS(Raw_Q!$I$2:$I$600,Raw_Q!$A$2:$A$600,Stock_Card!$B$2,Raw_Q!$R$2:$R$600,0)/SUMIFS(Raw_Q!$I$2:$I$600,Raw_Q!$A$2:$A$600,Stock_Card!$B$2,Raw_Q!$R$2:$R$600,1)-1)-(SUMIFS(Raw_Q!$I$2:$I$600,Raw_Q!$A$2:$A$600,Stock_Card!$B$2,Raw_Q!$R$2:$R$600,1)/SUMIFS(Raw_Q!$I$2:$I$600,Raw_Q!$A$2:$A$600,Stock_Card!$B$2,Raw_Q!$R$2:$R$600,2)-1))*100,""))</f>
        <v>-112.016259292891</v>
      </c>
      <c r="G17" s="69" t="str">
        <f aca="false">IF(Stock_Card!$B$2="","",IFERROR(IF(NOT(ISNUMBER(D17)),"",IF(D17&gt;0,IF(F17&gt;0,"成長且加速","成長但減速"),IF(F17&gt;0,"衰退但收斂","衰退且惡化"))),""))</f>
        <v>衰退且惡化</v>
      </c>
      <c r="H17" s="68" t="n">
        <f aca="false">IF(Stock_Card!$B$2="","",IFERROR(((SUMIFS(Raw_Q!$I$2:$I$600,Raw_Q!$A$2:$A$600,Stock_Card!$B$2,Raw_Q!$R$2:$R$600,0)/SUMIFS(Raw_Q!$I$2:$I$600,Raw_Q!$A$2:$A$600,Stock_Card!$B$2,Raw_Q!$R$2:$R$600,1)-1)-(SUMIFS(Raw_Q!$I$2:$I$600,Raw_Q!$A$2:$A$600,Stock_Card!$B$2,Raw_Q!$R$2:$R$600,4)/SUMIFS(Raw_Q!$I$2:$I$600,Raw_Q!$A$2:$A$600,Stock_Card!$B$2,Raw_Q!$R$2:$R$600,5)-1))*100,""))</f>
        <v>-106.010595172574</v>
      </c>
      <c r="I17" s="49" t="n">
        <f aca="false">IF(Stock_Card!$B$2="","",IFERROR((SUMIFS(Raw_Q!$I$2:$I$600,Raw_Q!$A$2:$A$600,Stock_Card!$B$2,Raw_Q!$R$2:$R$600,0)/SUMIFS(Raw_Q!$I$2:$I$600,Raw_Q!$A$2:$A$600,Stock_Card!$B$2,Raw_Q!$R$2:$R$600,4)-1),""))</f>
        <v>-1</v>
      </c>
      <c r="J17" s="49" t="str">
        <f aca="false">IF(Stock_Card!$B$2="","",IFERROR(SUMIFS(Raw_Q!$J$2:$J$600,Raw_Q!$A$2:$A$600,Stock_Card!$B$2,Raw_Q!$R$2:$R$600,0)/SUMIFS(Raw_Q!$I$2:$I$600,Raw_Q!$A$2:$A$600,Stock_Card!$B$2,Raw_Q!$R$2:$R$600,0),""))</f>
        <v/>
      </c>
      <c r="K17" s="50" t="str">
        <f aca="false">IF(Stock_Card!$B$2="","",IFERROR((SUMIFS(Raw_Q!$J$2:$J$600,Raw_Q!$A$2:$A$600,Stock_Card!$B$2,Raw_Q!$R$2:$R$600,0)/SUMIFS(Raw_Q!$I$2:$I$600,Raw_Q!$A$2:$A$600,Stock_Card!$B$2,Raw_Q!$R$2:$R$600,0)-SUMIFS(Raw_Q!$J$2:$J$600,Raw_Q!$A$2:$A$600,Stock_Card!$B$2,Raw_Q!$R$2:$R$600,4)/SUMIFS(Raw_Q!$I$2:$I$600,Raw_Q!$A$2:$A$600,Stock_Card!$B$2,Raw_Q!$R$2:$R$600,4))*10000,""))</f>
        <v/>
      </c>
      <c r="L17" s="51" t="n">
        <f aca="false">IF(Stock_Card!$B$2="","",IFERROR(SUMIFS(Raw_Q!$L$2:$L$600,Raw_Q!$A$2:$A$600,Stock_Card!$B$2,Raw_Q!$R$2:$R$600,0),""))</f>
        <v>28.19147</v>
      </c>
      <c r="M17" s="49" t="n">
        <f aca="false">IF(Stock_Card!$B$2="","",IFERROR((SUMIFS(Raw_Q!$L$2:$L$600,Raw_Q!$A$2:$A$600,Stock_Card!$B$2,Raw_Q!$R$2:$R$600,0)/SUMIFS(Raw_Q!$L$2:$L$600,Raw_Q!$A$2:$A$600,Stock_Card!$B$2,Raw_Q!$R$2:$R$600,4)-1),""))</f>
        <v>0.616483371559633</v>
      </c>
      <c r="N17" s="51" t="n">
        <f aca="false">IF(Stock_Card!$B$2="","",IFERROR(SUMIFS(Raw_Q!$P$2:$P$600,Raw_Q!$A$2:$A$600,Stock_Card!$B$2,Raw_Q!$R$2:$R$600,0),""))</f>
        <v>0</v>
      </c>
      <c r="O17" s="66" t="str">
        <f aca="false">IF(Stock_Card!$B$2="","",IF(0=0,"預估","實際"))</f>
        <v>預估</v>
      </c>
    </row>
    <row r="18" customFormat="false" ht="15" hidden="false" customHeight="false" outlineLevel="0" collapsed="false">
      <c r="A18" s="24" t="s">
        <v>141</v>
      </c>
    </row>
    <row r="19" customFormat="false" ht="15" hidden="false" customHeight="false" outlineLevel="0" collapsed="false">
      <c r="A19" s="24" t="s">
        <v>142</v>
      </c>
    </row>
    <row r="21" customFormat="false" ht="15" hidden="false" customHeight="false" outlineLevel="0" collapsed="false">
      <c r="A21" s="24" t="s">
        <v>143</v>
      </c>
    </row>
    <row r="22" customFormat="false" ht="15" hidden="false" customHeight="false" outlineLevel="0" collapsed="false">
      <c r="A22" s="70" t="s">
        <v>144</v>
      </c>
    </row>
    <row r="23" customFormat="false" ht="31.5" hidden="false" customHeight="true" outlineLevel="0" collapsed="false">
      <c r="A23" s="16" t="s">
        <v>107</v>
      </c>
      <c r="B23" s="15" t="s">
        <v>145</v>
      </c>
      <c r="C23" s="15" t="s">
        <v>146</v>
      </c>
      <c r="D23" s="15" t="s">
        <v>147</v>
      </c>
      <c r="E23" s="15" t="s">
        <v>148</v>
      </c>
      <c r="F23" s="15" t="s">
        <v>149</v>
      </c>
      <c r="G23" s="15" t="s">
        <v>150</v>
      </c>
    </row>
    <row r="24" customFormat="false" ht="15" hidden="false" customHeight="false" outlineLevel="0" collapsed="false">
      <c r="A24" s="46" t="n">
        <f aca="false">IF(Stock_Card!$B$2="","",IFERROR($Z$1-4,""))</f>
        <v>2022</v>
      </c>
      <c r="B24" s="71" t="n">
        <f aca="false">IF(Stock_Card!$B$2="","",IF(COUNTIFS(Raw_Q!$A$2:$A$600,Stock_Card!$B$2,Raw_Q!$C$2:$C$600,$A24,Raw_Q!$D$2:$D$600,1)=0,"",SUMIFS(Raw_Q!$L$2:$L$600,Raw_Q!$A$2:$A$600,Stock_Card!$B$2,Raw_Q!$C$2:$C$600,$A24,Raw_Q!$D$2:$D$600,1)))</f>
        <v>7.82</v>
      </c>
      <c r="C24" s="71" t="n">
        <f aca="false">IF(Stock_Card!$B$2="","",IF(COUNTIFS(Raw_Q!$A$2:$A$600,Stock_Card!$B$2,Raw_Q!$C$2:$C$600,$A24,Raw_Q!$D$2:$D$600,2)=0,"",SUMIFS(Raw_Q!$L$2:$L$600,Raw_Q!$A$2:$A$600,Stock_Card!$B$2,Raw_Q!$C$2:$C$600,$A24,Raw_Q!$D$2:$D$600,2)))</f>
        <v>9.14</v>
      </c>
      <c r="D24" s="71" t="n">
        <f aca="false">IF(Stock_Card!$B$2="","",IF(COUNTIFS(Raw_Q!$A$2:$A$600,Stock_Card!$B$2,Raw_Q!$C$2:$C$600,$A24,Raw_Q!$D$2:$D$600,3)=0,"",SUMIFS(Raw_Q!$L$2:$L$600,Raw_Q!$A$2:$A$600,Stock_Card!$B$2,Raw_Q!$C$2:$C$600,$A24,Raw_Q!$D$2:$D$600,3)))</f>
        <v>10.83</v>
      </c>
      <c r="E24" s="71" t="n">
        <f aca="false">IF(Stock_Card!$B$2="","",IF(COUNTIFS(Raw_Q!$A$2:$A$600,Stock_Card!$B$2,Raw_Q!$C$2:$C$600,$A24,Raw_Q!$D$2:$D$600,4)=0,"",SUMIFS(Raw_Q!$L$2:$L$600,Raw_Q!$A$2:$A$600,Stock_Card!$B$2,Raw_Q!$C$2:$C$600,$A24,Raw_Q!$D$2:$D$600,4)))</f>
        <v>11.41</v>
      </c>
      <c r="F24" s="72" t="n">
        <f aca="false">IF(Stock_Card!$B$2="","",IF(COUNTIFS(Raw_Q!$A$2:$A$600,Stock_Card!$B$2,Raw_Q!$C$2:$C$600,$A24)&lt;4,"未滿4季",SUM(B24:E24)))</f>
        <v>39.2</v>
      </c>
    </row>
    <row r="25" customFormat="false" ht="15" hidden="false" customHeight="false" outlineLevel="0" collapsed="false">
      <c r="A25" s="46" t="n">
        <f aca="false">IF(Stock_Card!$B$2="","",IFERROR($Z$1-3,""))</f>
        <v>2023</v>
      </c>
      <c r="B25" s="71" t="n">
        <f aca="false">IF(Stock_Card!$B$2="","",IF(COUNTIFS(Raw_Q!$A$2:$A$600,Stock_Card!$B$2,Raw_Q!$C$2:$C$600,$A25,Raw_Q!$D$2:$D$600,1)=0,"",SUMIFS(Raw_Q!$L$2:$L$600,Raw_Q!$A$2:$A$600,Stock_Card!$B$2,Raw_Q!$C$2:$C$600,$A25,Raw_Q!$D$2:$D$600,1)))</f>
        <v>7.98</v>
      </c>
      <c r="C25" s="71" t="n">
        <f aca="false">IF(Stock_Card!$B$2="","",IF(COUNTIFS(Raw_Q!$A$2:$A$600,Stock_Card!$B$2,Raw_Q!$C$2:$C$600,$A25,Raw_Q!$D$2:$D$600,2)=0,"",SUMIFS(Raw_Q!$L$2:$L$600,Raw_Q!$A$2:$A$600,Stock_Card!$B$2,Raw_Q!$C$2:$C$600,$A25,Raw_Q!$D$2:$D$600,2)))</f>
        <v>7.01</v>
      </c>
      <c r="D25" s="71" t="n">
        <f aca="false">IF(Stock_Card!$B$2="","",IF(COUNTIFS(Raw_Q!$A$2:$A$600,Stock_Card!$B$2,Raw_Q!$C$2:$C$600,$A25,Raw_Q!$D$2:$D$600,3)=0,"",SUMIFS(Raw_Q!$L$2:$L$600,Raw_Q!$A$2:$A$600,Stock_Card!$B$2,Raw_Q!$C$2:$C$600,$A25,Raw_Q!$D$2:$D$600,3)))</f>
        <v>8.14</v>
      </c>
      <c r="E25" s="71" t="n">
        <f aca="false">IF(Stock_Card!$B$2="","",IF(COUNTIFS(Raw_Q!$A$2:$A$600,Stock_Card!$B$2,Raw_Q!$C$2:$C$600,$A25,Raw_Q!$D$2:$D$600,4)=0,"",SUMIFS(Raw_Q!$L$2:$L$600,Raw_Q!$A$2:$A$600,Stock_Card!$B$2,Raw_Q!$C$2:$C$600,$A25,Raw_Q!$D$2:$D$600,4)))</f>
        <v>9.21</v>
      </c>
      <c r="F25" s="72" t="n">
        <f aca="false">IF(Stock_Card!$B$2="","",IF(COUNTIFS(Raw_Q!$A$2:$A$600,Stock_Card!$B$2,Raw_Q!$C$2:$C$600,$A25)&lt;4,"未滿4季",SUM(B25:E25)))</f>
        <v>32.34</v>
      </c>
      <c r="G25" s="49" t="n">
        <f aca="false">IFERROR(IF(OR(NOT(ISNUMBER(F25)),NOT(ISNUMBER(F24))),"",F25/F24-1),"")</f>
        <v>-0.175</v>
      </c>
    </row>
    <row r="26" customFormat="false" ht="15" hidden="false" customHeight="false" outlineLevel="0" collapsed="false">
      <c r="A26" s="46" t="n">
        <f aca="false">IF(Stock_Card!$B$2="","",IFERROR($Z$1-2,""))</f>
        <v>2024</v>
      </c>
      <c r="B26" s="71" t="n">
        <f aca="false">IF(Stock_Card!$B$2="","",IF(COUNTIFS(Raw_Q!$A$2:$A$600,Stock_Card!$B$2,Raw_Q!$C$2:$C$600,$A26,Raw_Q!$D$2:$D$600,1)=0,"",SUMIFS(Raw_Q!$L$2:$L$600,Raw_Q!$A$2:$A$600,Stock_Card!$B$2,Raw_Q!$C$2:$C$600,$A26,Raw_Q!$D$2:$D$600,1)))</f>
        <v>8.7</v>
      </c>
      <c r="C26" s="71" t="n">
        <f aca="false">IF(Stock_Card!$B$2="","",IF(COUNTIFS(Raw_Q!$A$2:$A$600,Stock_Card!$B$2,Raw_Q!$C$2:$C$600,$A26,Raw_Q!$D$2:$D$600,2)=0,"",SUMIFS(Raw_Q!$L$2:$L$600,Raw_Q!$A$2:$A$600,Stock_Card!$B$2,Raw_Q!$C$2:$C$600,$A26,Raw_Q!$D$2:$D$600,2)))</f>
        <v>9.56</v>
      </c>
      <c r="D26" s="71" t="n">
        <f aca="false">IF(Stock_Card!$B$2="","",IF(COUNTIFS(Raw_Q!$A$2:$A$600,Stock_Card!$B$2,Raw_Q!$C$2:$C$600,$A26,Raw_Q!$D$2:$D$600,3)=0,"",SUMIFS(Raw_Q!$L$2:$L$600,Raw_Q!$A$2:$A$600,Stock_Card!$B$2,Raw_Q!$C$2:$C$600,$A26,Raw_Q!$D$2:$D$600,3)))</f>
        <v>12.55</v>
      </c>
      <c r="E26" s="71" t="n">
        <f aca="false">IF(Stock_Card!$B$2="","",IF(COUNTIFS(Raw_Q!$A$2:$A$600,Stock_Card!$B$2,Raw_Q!$C$2:$C$600,$A26,Raw_Q!$D$2:$D$600,4)=0,"",SUMIFS(Raw_Q!$L$2:$L$600,Raw_Q!$A$2:$A$600,Stock_Card!$B$2,Raw_Q!$C$2:$C$600,$A26,Raw_Q!$D$2:$D$600,4)))</f>
        <v>14.45</v>
      </c>
      <c r="F26" s="72" t="n">
        <f aca="false">IF(Stock_Card!$B$2="","",IF(COUNTIFS(Raw_Q!$A$2:$A$600,Stock_Card!$B$2,Raw_Q!$C$2:$C$600,$A26)&lt;4,"未滿4季",SUM(B26:E26)))</f>
        <v>45.26</v>
      </c>
      <c r="G26" s="49" t="n">
        <f aca="false">IFERROR(IF(OR(NOT(ISNUMBER(F26)),NOT(ISNUMBER(F25))),"",F26/F25-1),"")</f>
        <v>0.399505256648114</v>
      </c>
    </row>
    <row r="27" customFormat="false" ht="15" hidden="false" customHeight="false" outlineLevel="0" collapsed="false">
      <c r="A27" s="46" t="n">
        <f aca="false">IF(Stock_Card!$B$2="","",IFERROR($Z$1-1,""))</f>
        <v>2025</v>
      </c>
      <c r="B27" s="71" t="n">
        <f aca="false">IF(Stock_Card!$B$2="","",IF(COUNTIFS(Raw_Q!$A$2:$A$600,Stock_Card!$B$2,Raw_Q!$C$2:$C$600,$A27,Raw_Q!$D$2:$D$600,1)=0,"",SUMIFS(Raw_Q!$L$2:$L$600,Raw_Q!$A$2:$A$600,Stock_Card!$B$2,Raw_Q!$C$2:$C$600,$A27,Raw_Q!$D$2:$D$600,1)))</f>
        <v>13.95</v>
      </c>
      <c r="C27" s="71" t="n">
        <f aca="false">IF(Stock_Card!$B$2="","",IF(COUNTIFS(Raw_Q!$A$2:$A$600,Stock_Card!$B$2,Raw_Q!$C$2:$C$600,$A27,Raw_Q!$D$2:$D$600,2)=0,"",SUMIFS(Raw_Q!$L$2:$L$600,Raw_Q!$A$2:$A$600,Stock_Card!$B$2,Raw_Q!$C$2:$C$600,$A27,Raw_Q!$D$2:$D$600,2)))</f>
        <v>15.36</v>
      </c>
      <c r="D27" s="71" t="n">
        <f aca="false">IF(Stock_Card!$B$2="","",IF(COUNTIFS(Raw_Q!$A$2:$A$600,Stock_Card!$B$2,Raw_Q!$C$2:$C$600,$A27,Raw_Q!$D$2:$D$600,3)=0,"",SUMIFS(Raw_Q!$L$2:$L$600,Raw_Q!$A$2:$A$600,Stock_Card!$B$2,Raw_Q!$C$2:$C$600,$A27,Raw_Q!$D$2:$D$600,3)))</f>
        <v>17.44</v>
      </c>
      <c r="E27" s="71" t="n">
        <f aca="false">IF(Stock_Card!$B$2="","",IF(COUNTIFS(Raw_Q!$A$2:$A$600,Stock_Card!$B$2,Raw_Q!$C$2:$C$600,$A27,Raw_Q!$D$2:$D$600,4)=0,"",SUMIFS(Raw_Q!$L$2:$L$600,Raw_Q!$A$2:$A$600,Stock_Card!$B$2,Raw_Q!$C$2:$C$600,$A27,Raw_Q!$D$2:$D$600,4)))</f>
        <v>19.51</v>
      </c>
      <c r="F27" s="72" t="n">
        <f aca="false">IF(Stock_Card!$B$2="","",IF(COUNTIFS(Raw_Q!$A$2:$A$600,Stock_Card!$B$2,Raw_Q!$C$2:$C$600,$A27)&lt;4,"未滿4季",SUM(B27:E27)))</f>
        <v>66.26</v>
      </c>
      <c r="G27" s="49" t="n">
        <f aca="false">IFERROR(IF(OR(NOT(ISNUMBER(F27)),NOT(ISNUMBER(F26))),"",F27/F26-1),"")</f>
        <v>0.463985859478568</v>
      </c>
    </row>
    <row r="28" customFormat="false" ht="15" hidden="false" customHeight="false" outlineLevel="0" collapsed="false">
      <c r="A28" s="46" t="n">
        <f aca="false">IF(Stock_Card!$B$2="","",IFERROR($Z$1-0,""))</f>
        <v>2026</v>
      </c>
      <c r="B28" s="71" t="n">
        <f aca="false">IF(Stock_Card!$B$2="","",IF(COUNTIFS(Raw_Q!$A$2:$A$600,Stock_Card!$B$2,Raw_Q!$C$2:$C$600,$A28,Raw_Q!$D$2:$D$600,1)=0,"",SUMIFS(Raw_Q!$L$2:$L$600,Raw_Q!$A$2:$A$600,Stock_Card!$B$2,Raw_Q!$C$2:$C$600,$A28,Raw_Q!$D$2:$D$600,1)))</f>
        <v>22.08</v>
      </c>
      <c r="C28" s="71" t="n">
        <f aca="false">IF(Stock_Card!$B$2="","",IF(COUNTIFS(Raw_Q!$A$2:$A$600,Stock_Card!$B$2,Raw_Q!$C$2:$C$600,$A28,Raw_Q!$D$2:$D$600,2)=0,"",SUMIFS(Raw_Q!$L$2:$L$600,Raw_Q!$A$2:$A$600,Stock_Card!$B$2,Raw_Q!$C$2:$C$600,$A28,Raw_Q!$D$2:$D$600,2)))</f>
        <v>27.25</v>
      </c>
      <c r="D28" s="71" t="n">
        <f aca="false">IF(Stock_Card!$B$2="","",IF(COUNTIFS(Raw_Q!$A$2:$A$600,Stock_Card!$B$2,Raw_Q!$C$2:$C$600,$A28,Raw_Q!$D$2:$D$600,3)=0,"",SUMIFS(Raw_Q!$L$2:$L$600,Raw_Q!$A$2:$A$600,Stock_Card!$B$2,Raw_Q!$C$2:$C$600,$A28,Raw_Q!$D$2:$D$600,3)))</f>
        <v>28.19147</v>
      </c>
      <c r="E28" s="71" t="str">
        <f aca="false">IF(Stock_Card!$B$2="","",IF(COUNTIFS(Raw_Q!$A$2:$A$600,Stock_Card!$B$2,Raw_Q!$C$2:$C$600,$A28,Raw_Q!$D$2:$D$600,4)=0,"",SUMIFS(Raw_Q!$L$2:$L$600,Raw_Q!$A$2:$A$600,Stock_Card!$B$2,Raw_Q!$C$2:$C$600,$A28,Raw_Q!$D$2:$D$600,4)))</f>
        <v/>
      </c>
      <c r="F28" s="72" t="str">
        <f aca="false">IF(Stock_Card!$B$2="","",IF(COUNTIFS(Raw_Q!$A$2:$A$600,Stock_Card!$B$2,Raw_Q!$C$2:$C$600,$A28)&lt;4,"未滿4季",SUM(B28:E28)))</f>
        <v>未滿4季</v>
      </c>
      <c r="G28" s="49" t="str">
        <f aca="false">IFERROR(IF(OR(NOT(ISNUMBER(F28)),NOT(ISNUMBER(F27))),"",F28/F27-1),"")</f>
        <v/>
      </c>
    </row>
    <row r="30" customFormat="false" ht="15" hidden="false" customHeight="false" outlineLevel="0" collapsed="false">
      <c r="A30" s="24" t="s">
        <v>151</v>
      </c>
    </row>
    <row r="31" customFormat="false" ht="15" hidden="false" customHeight="false" outlineLevel="0" collapsed="false">
      <c r="A31" s="41" t="s">
        <v>152</v>
      </c>
    </row>
    <row r="32" customFormat="false" ht="31.5" hidden="false" customHeight="true" outlineLevel="0" collapsed="false">
      <c r="A32" s="16" t="s">
        <v>107</v>
      </c>
      <c r="B32" s="15" t="s">
        <v>145</v>
      </c>
      <c r="C32" s="15" t="s">
        <v>146</v>
      </c>
      <c r="D32" s="15" t="s">
        <v>147</v>
      </c>
      <c r="E32" s="15" t="s">
        <v>148</v>
      </c>
    </row>
    <row r="33" customFormat="false" ht="15" hidden="false" customHeight="false" outlineLevel="0" collapsed="false">
      <c r="A33" s="46" t="n">
        <f aca="false">IF(Stock_Card!$B$2="","",IFERROR($Z$1-4,""))</f>
        <v>2022</v>
      </c>
      <c r="B33" s="61" t="n">
        <f aca="false">IF(Stock_Card!$B$2="","",IF(COUNTIFS(Raw_Q!$A$2:$A$600,Stock_Card!$B$2,Raw_Q!$C$2:$C$600,$A33,Raw_Q!$D$2:$D$600,1)=0,"",IFERROR(SUMIFS(Raw_Q!$I$2:$I$600,Raw_Q!$A$2:$A$600,Stock_Card!$B$2,Raw_Q!$C$2:$C$600,$A33,Raw_Q!$D$2:$D$600,1)/SUMIFS(Raw_Q!$I$2:$I$600,Raw_Q!$A$2:$A$600,Stock_Card!$B$2,Raw_Q!$C$2:$C$600,$A33-1,Raw_Q!$D$2:$D$600,1)-1,"")))</f>
        <v>0.355027624358176</v>
      </c>
      <c r="C33" s="61" t="n">
        <f aca="false">IF(Stock_Card!$B$2="","",IF(COUNTIFS(Raw_Q!$A$2:$A$600,Stock_Card!$B$2,Raw_Q!$C$2:$C$600,$A33,Raw_Q!$D$2:$D$600,2)=0,"",IFERROR(SUMIFS(Raw_Q!$I$2:$I$600,Raw_Q!$A$2:$A$600,Stock_Card!$B$2,Raw_Q!$C$2:$C$600,$A33,Raw_Q!$D$2:$D$600,2)/SUMIFS(Raw_Q!$I$2:$I$600,Raw_Q!$A$2:$A$600,Stock_Card!$B$2,Raw_Q!$C$2:$C$600,$A33-1,Raw_Q!$D$2:$D$600,2)-1,"")))</f>
        <v>0.435302457088232</v>
      </c>
      <c r="D33" s="61" t="n">
        <f aca="false">IF(Stock_Card!$B$2="","",IF(COUNTIFS(Raw_Q!$A$2:$A$600,Stock_Card!$B$2,Raw_Q!$C$2:$C$600,$A33,Raw_Q!$D$2:$D$600,3)=0,"",IFERROR(SUMIFS(Raw_Q!$I$2:$I$600,Raw_Q!$A$2:$A$600,Stock_Card!$B$2,Raw_Q!$C$2:$C$600,$A33,Raw_Q!$D$2:$D$600,3)/SUMIFS(Raw_Q!$I$2:$I$600,Raw_Q!$A$2:$A$600,Stock_Card!$B$2,Raw_Q!$C$2:$C$600,$A33-1,Raw_Q!$D$2:$D$600,3)-1,"")))</f>
        <v>0.478626817952676</v>
      </c>
      <c r="E33" s="61" t="n">
        <f aca="false">IF(Stock_Card!$B$2="","",IF(COUNTIFS(Raw_Q!$A$2:$A$600,Stock_Card!$B$2,Raw_Q!$C$2:$C$600,$A33,Raw_Q!$D$2:$D$600,4)=0,"",IFERROR(SUMIFS(Raw_Q!$I$2:$I$600,Raw_Q!$A$2:$A$600,Stock_Card!$B$2,Raw_Q!$C$2:$C$600,$A33,Raw_Q!$D$2:$D$600,4)/SUMIFS(Raw_Q!$I$2:$I$600,Raw_Q!$A$2:$A$600,Stock_Card!$B$2,Raw_Q!$C$2:$C$600,$A33-1,Raw_Q!$D$2:$D$600,4)-1,"")))</f>
        <v>0.427537960043233</v>
      </c>
    </row>
    <row r="34" customFormat="false" ht="15" hidden="false" customHeight="false" outlineLevel="0" collapsed="false">
      <c r="A34" s="46" t="n">
        <f aca="false">IF(Stock_Card!$B$2="","",IFERROR($Z$1-3,""))</f>
        <v>2023</v>
      </c>
      <c r="B34" s="61" t="n">
        <f aca="false">IF(Stock_Card!$B$2="","",IF(COUNTIFS(Raw_Q!$A$2:$A$600,Stock_Card!$B$2,Raw_Q!$C$2:$C$600,$A34,Raw_Q!$D$2:$D$600,1)=0,"",IFERROR(SUMIFS(Raw_Q!$I$2:$I$600,Raw_Q!$A$2:$A$600,Stock_Card!$B$2,Raw_Q!$C$2:$C$600,$A34,Raw_Q!$D$2:$D$600,1)/SUMIFS(Raw_Q!$I$2:$I$600,Raw_Q!$A$2:$A$600,Stock_Card!$B$2,Raw_Q!$C$2:$C$600,$A34-1,Raw_Q!$D$2:$D$600,1)-1,"")))</f>
        <v>0.0357523164246352</v>
      </c>
      <c r="C34" s="61" t="n">
        <f aca="false">IF(Stock_Card!$B$2="","",IF(COUNTIFS(Raw_Q!$A$2:$A$600,Stock_Card!$B$2,Raw_Q!$C$2:$C$600,$A34,Raw_Q!$D$2:$D$600,2)=0,"",IFERROR(SUMIFS(Raw_Q!$I$2:$I$600,Raw_Q!$A$2:$A$600,Stock_Card!$B$2,Raw_Q!$C$2:$C$600,$A34,Raw_Q!$D$2:$D$600,2)/SUMIFS(Raw_Q!$I$2:$I$600,Raw_Q!$A$2:$A$600,Stock_Card!$B$2,Raw_Q!$C$2:$C$600,$A34-1,Raw_Q!$D$2:$D$600,2)-1,"")))</f>
        <v>-0.0997855868746879</v>
      </c>
      <c r="D34" s="61" t="n">
        <f aca="false">IF(Stock_Card!$B$2="","",IF(COUNTIFS(Raw_Q!$A$2:$A$600,Stock_Card!$B$2,Raw_Q!$C$2:$C$600,$A34,Raw_Q!$D$2:$D$600,3)=0,"",IFERROR(SUMIFS(Raw_Q!$I$2:$I$600,Raw_Q!$A$2:$A$600,Stock_Card!$B$2,Raw_Q!$C$2:$C$600,$A34,Raw_Q!$D$2:$D$600,3)/SUMIFS(Raw_Q!$I$2:$I$600,Raw_Q!$A$2:$A$600,Stock_Card!$B$2,Raw_Q!$C$2:$C$600,$A34-1,Raw_Q!$D$2:$D$600,3)-1,"")))</f>
        <v>-0.108310806509864</v>
      </c>
      <c r="E34" s="61" t="n">
        <f aca="false">IF(Stock_Card!$B$2="","",IF(COUNTIFS(Raw_Q!$A$2:$A$600,Stock_Card!$B$2,Raw_Q!$C$2:$C$600,$A34,Raw_Q!$D$2:$D$600,4)=0,"",IFERROR(SUMIFS(Raw_Q!$I$2:$I$600,Raw_Q!$A$2:$A$600,Stock_Card!$B$2,Raw_Q!$C$2:$C$600,$A34,Raw_Q!$D$2:$D$600,4)/SUMIFS(Raw_Q!$I$2:$I$600,Raw_Q!$A$2:$A$600,Stock_Card!$B$2,Raw_Q!$C$2:$C$600,$A34-1,Raw_Q!$D$2:$D$600,4)-1,"")))</f>
        <v>-4.81510240180061E-006</v>
      </c>
    </row>
    <row r="35" customFormat="false" ht="15" hidden="false" customHeight="false" outlineLevel="0" collapsed="false">
      <c r="A35" s="46" t="n">
        <f aca="false">IF(Stock_Card!$B$2="","",IFERROR($Z$1-2,""))</f>
        <v>2024</v>
      </c>
      <c r="B35" s="61" t="n">
        <f aca="false">IF(Stock_Card!$B$2="","",IF(COUNTIFS(Raw_Q!$A$2:$A$600,Stock_Card!$B$2,Raw_Q!$C$2:$C$600,$A35,Raw_Q!$D$2:$D$600,1)=0,"",IFERROR(SUMIFS(Raw_Q!$I$2:$I$600,Raw_Q!$A$2:$A$600,Stock_Card!$B$2,Raw_Q!$C$2:$C$600,$A35,Raw_Q!$D$2:$D$600,1)/SUMIFS(Raw_Q!$I$2:$I$600,Raw_Q!$A$2:$A$600,Stock_Card!$B$2,Raw_Q!$C$2:$C$600,$A35-1,Raw_Q!$D$2:$D$600,1)-1,"")))</f>
        <v>0.165170628841634</v>
      </c>
      <c r="C35" s="61" t="n">
        <f aca="false">IF(Stock_Card!$B$2="","",IF(COUNTIFS(Raw_Q!$A$2:$A$600,Stock_Card!$B$2,Raw_Q!$C$2:$C$600,$A35,Raw_Q!$D$2:$D$600,2)=0,"",IFERROR(SUMIFS(Raw_Q!$I$2:$I$600,Raw_Q!$A$2:$A$600,Stock_Card!$B$2,Raw_Q!$C$2:$C$600,$A35,Raw_Q!$D$2:$D$600,2)/SUMIFS(Raw_Q!$I$2:$I$600,Raw_Q!$A$2:$A$600,Stock_Card!$B$2,Raw_Q!$C$2:$C$600,$A35-1,Raw_Q!$D$2:$D$600,2)-1,"")))</f>
        <v>0.400691332944573</v>
      </c>
      <c r="D35" s="61" t="n">
        <f aca="false">IF(Stock_Card!$B$2="","",IF(COUNTIFS(Raw_Q!$A$2:$A$600,Stock_Card!$B$2,Raw_Q!$C$2:$C$600,$A35,Raw_Q!$D$2:$D$600,3)=0,"",IFERROR(SUMIFS(Raw_Q!$I$2:$I$600,Raw_Q!$A$2:$A$600,Stock_Card!$B$2,Raw_Q!$C$2:$C$600,$A35,Raw_Q!$D$2:$D$600,3)/SUMIFS(Raw_Q!$I$2:$I$600,Raw_Q!$A$2:$A$600,Stock_Card!$B$2,Raw_Q!$C$2:$C$600,$A35-1,Raw_Q!$D$2:$D$600,3)-1,"")))</f>
        <v>0.389512758992209</v>
      </c>
      <c r="E35" s="61" t="n">
        <f aca="false">IF(Stock_Card!$B$2="","",IF(COUNTIFS(Raw_Q!$A$2:$A$600,Stock_Card!$B$2,Raw_Q!$C$2:$C$600,$A35,Raw_Q!$D$2:$D$600,4)=0,"",IFERROR(SUMIFS(Raw_Q!$I$2:$I$600,Raw_Q!$A$2:$A$600,Stock_Card!$B$2,Raw_Q!$C$2:$C$600,$A35,Raw_Q!$D$2:$D$600,4)/SUMIFS(Raw_Q!$I$2:$I$600,Raw_Q!$A$2:$A$600,Stock_Card!$B$2,Raw_Q!$C$2:$C$600,$A35-1,Raw_Q!$D$2:$D$600,4)-1,"")))</f>
        <v>0.388363094155963</v>
      </c>
    </row>
    <row r="36" customFormat="false" ht="15" hidden="false" customHeight="false" outlineLevel="0" collapsed="false">
      <c r="A36" s="46" t="n">
        <f aca="false">IF(Stock_Card!$B$2="","",IFERROR($Z$1-1,""))</f>
        <v>2025</v>
      </c>
      <c r="B36" s="61" t="n">
        <f aca="false">IF(Stock_Card!$B$2="","",IF(COUNTIFS(Raw_Q!$A$2:$A$600,Stock_Card!$B$2,Raw_Q!$C$2:$C$600,$A36,Raw_Q!$D$2:$D$600,1)=0,"",IFERROR(SUMIFS(Raw_Q!$I$2:$I$600,Raw_Q!$A$2:$A$600,Stock_Card!$B$2,Raw_Q!$C$2:$C$600,$A36,Raw_Q!$D$2:$D$600,1)/SUMIFS(Raw_Q!$I$2:$I$600,Raw_Q!$A$2:$A$600,Stock_Card!$B$2,Raw_Q!$C$2:$C$600,$A36-1,Raw_Q!$D$2:$D$600,1)-1,"")))</f>
        <v>0.416117229501078</v>
      </c>
      <c r="C36" s="61" t="n">
        <f aca="false">IF(Stock_Card!$B$2="","",IF(COUNTIFS(Raw_Q!$A$2:$A$600,Stock_Card!$B$2,Raw_Q!$C$2:$C$600,$A36,Raw_Q!$D$2:$D$600,2)=0,"",IFERROR(SUMIFS(Raw_Q!$I$2:$I$600,Raw_Q!$A$2:$A$600,Stock_Card!$B$2,Raw_Q!$C$2:$C$600,$A36,Raw_Q!$D$2:$D$600,2)/SUMIFS(Raw_Q!$I$2:$I$600,Raw_Q!$A$2:$A$600,Stock_Card!$B$2,Raw_Q!$C$2:$C$600,$A36-1,Raw_Q!$D$2:$D$600,2)-1,"")))</f>
        <v>0.386455469996558</v>
      </c>
      <c r="D36" s="61" t="n">
        <f aca="false">IF(Stock_Card!$B$2="","",IF(COUNTIFS(Raw_Q!$A$2:$A$600,Stock_Card!$B$2,Raw_Q!$C$2:$C$600,$A36,Raw_Q!$D$2:$D$600,3)=0,"",IFERROR(SUMIFS(Raw_Q!$I$2:$I$600,Raw_Q!$A$2:$A$600,Stock_Card!$B$2,Raw_Q!$C$2:$C$600,$A36,Raw_Q!$D$2:$D$600,3)/SUMIFS(Raw_Q!$I$2:$I$600,Raw_Q!$A$2:$A$600,Stock_Card!$B$2,Raw_Q!$C$2:$C$600,$A36-1,Raw_Q!$D$2:$D$600,3)-1,"")))</f>
        <v>0.303051936394714</v>
      </c>
      <c r="E36" s="61" t="n">
        <f aca="false">IF(Stock_Card!$B$2="","",IF(COUNTIFS(Raw_Q!$A$2:$A$600,Stock_Card!$B$2,Raw_Q!$C$2:$C$600,$A36,Raw_Q!$D$2:$D$600,4)=0,"",IFERROR(SUMIFS(Raw_Q!$I$2:$I$600,Raw_Q!$A$2:$A$600,Stock_Card!$B$2,Raw_Q!$C$2:$C$600,$A36,Raw_Q!$D$2:$D$600,4)/SUMIFS(Raw_Q!$I$2:$I$600,Raw_Q!$A$2:$A$600,Stock_Card!$B$2,Raw_Q!$C$2:$C$600,$A36-1,Raw_Q!$D$2:$D$600,4)-1,"")))</f>
        <v>0.204533314211081</v>
      </c>
    </row>
    <row r="37" customFormat="false" ht="15" hidden="false" customHeight="false" outlineLevel="0" collapsed="false">
      <c r="A37" s="46" t="n">
        <f aca="false">IF(Stock_Card!$B$2="","",IFERROR($Z$1-0,""))</f>
        <v>2026</v>
      </c>
      <c r="B37" s="61" t="n">
        <f aca="false">IF(Stock_Card!$B$2="","",IF(COUNTIFS(Raw_Q!$A$2:$A$600,Stock_Card!$B$2,Raw_Q!$C$2:$C$600,$A37,Raw_Q!$D$2:$D$600,1)=0,"",IFERROR(SUMIFS(Raw_Q!$I$2:$I$600,Raw_Q!$A$2:$A$600,Stock_Card!$B$2,Raw_Q!$C$2:$C$600,$A37,Raw_Q!$D$2:$D$600,1)/SUMIFS(Raw_Q!$I$2:$I$600,Raw_Q!$A$2:$A$600,Stock_Card!$B$2,Raw_Q!$C$2:$C$600,$A37-1,Raw_Q!$D$2:$D$600,1)-1,"")))</f>
        <v>0.351323787607557</v>
      </c>
      <c r="C37" s="61" t="n">
        <f aca="false">IF(Stock_Card!$B$2="","",IF(COUNTIFS(Raw_Q!$A$2:$A$600,Stock_Card!$B$2,Raw_Q!$C$2:$C$600,$A37,Raw_Q!$D$2:$D$600,2)=0,"",IFERROR(SUMIFS(Raw_Q!$I$2:$I$600,Raw_Q!$A$2:$A$600,Stock_Card!$B$2,Raw_Q!$C$2:$C$600,$A37,Raw_Q!$D$2:$D$600,2)/SUMIFS(Raw_Q!$I$2:$I$600,Raw_Q!$A$2:$A$600,Stock_Card!$B$2,Raw_Q!$C$2:$C$600,$A37-1,Raw_Q!$D$2:$D$600,2)-1,"")))</f>
        <v>0.360453321745512</v>
      </c>
      <c r="D37" s="61" t="n">
        <f aca="false">IF(Stock_Card!$B$2="","",IF(COUNTIFS(Raw_Q!$A$2:$A$600,Stock_Card!$B$2,Raw_Q!$C$2:$C$600,$A37,Raw_Q!$D$2:$D$600,3)=0,"",IFERROR(SUMIFS(Raw_Q!$I$2:$I$600,Raw_Q!$A$2:$A$600,Stock_Card!$B$2,Raw_Q!$C$2:$C$600,$A37,Raw_Q!$D$2:$D$600,3)/SUMIFS(Raw_Q!$I$2:$I$600,Raw_Q!$A$2:$A$600,Stock_Card!$B$2,Raw_Q!$C$2:$C$600,$A37-1,Raw_Q!$D$2:$D$600,3)-1,"")))</f>
        <v>-1</v>
      </c>
      <c r="E37" s="61" t="str">
        <f aca="false">IF(Stock_Card!$B$2="","",IF(COUNTIFS(Raw_Q!$A$2:$A$600,Stock_Card!$B$2,Raw_Q!$C$2:$C$600,$A37,Raw_Q!$D$2:$D$600,4)=0,"",IFERROR(SUMIFS(Raw_Q!$I$2:$I$600,Raw_Q!$A$2:$A$600,Stock_Card!$B$2,Raw_Q!$C$2:$C$600,$A37,Raw_Q!$D$2:$D$600,4)/SUMIFS(Raw_Q!$I$2:$I$600,Raw_Q!$A$2:$A$600,Stock_Card!$B$2,Raw_Q!$C$2:$C$600,$A37-1,Raw_Q!$D$2:$D$600,4)-1,"")))</f>
        <v/>
      </c>
    </row>
  </sheetData>
  <conditionalFormatting sqref="C5:C17">
    <cfRule type="dataBar" priority="2">
      <dataBar showValue="1" minLength="10" maxLength="90">
        <cfvo type="min" val="0"/>
        <cfvo type="max" val="0"/>
        <color rgb="FF638EC6"/>
      </dataBar>
      <extLst>
        <ext xmlns:x14="http://schemas.microsoft.com/office/spreadsheetml/2009/9/main" uri="{B025F937-C7B1-47D3-B67F-A62EFF666E3E}">
          <x14:id>{5914FB7D-8C5A-4897-9FBE-24792A7EF777}</x14:id>
        </ext>
      </extLst>
    </cfRule>
  </conditionalFormatting>
  <conditionalFormatting sqref="D5:D17">
    <cfRule type="colorScale" priority="3">
      <colorScale>
        <cfvo type="min" val="0"/>
        <cfvo type="max" val="0"/>
        <color rgb="FFFFFFFF"/>
        <color rgb="FF63BE7B"/>
      </colorScale>
    </cfRule>
  </conditionalFormatting>
  <conditionalFormatting sqref="G5:G17">
    <cfRule type="cellIs" priority="4" operator="equal" aboveAverage="0" equalAverage="0" bottom="0" percent="0" rank="0" text="" dxfId="66">
      <formula>"成長且加速"</formula>
    </cfRule>
    <cfRule type="cellIs" priority="5" operator="equal" aboveAverage="0" equalAverage="0" bottom="0" percent="0" rank="0" text="" dxfId="67">
      <formula>"成長但減速"</formula>
    </cfRule>
    <cfRule type="cellIs" priority="6" operator="equal" aboveAverage="0" equalAverage="0" bottom="0" percent="0" rank="0" text="" dxfId="67">
      <formula>"衰退但收斂"</formula>
    </cfRule>
    <cfRule type="cellIs" priority="7" operator="equal" aboveAverage="0" equalAverage="0" bottom="0" percent="0" rank="0" text="" dxfId="68">
      <formula>"衰退且惡化"</formula>
    </cfRule>
  </conditionalFormatting>
  <conditionalFormatting sqref="H5:H17">
    <cfRule type="colorScale" priority="8">
      <colorScale>
        <cfvo type="num" val="-8"/>
        <cfvo type="num" val="0"/>
        <cfvo type="num" val="8"/>
        <color rgb="FFF8696B"/>
        <color rgb="FFFFFFFF"/>
        <color rgb="FF63BE7B"/>
      </colorScale>
    </cfRule>
  </conditionalFormatting>
  <conditionalFormatting sqref="F5:F17">
    <cfRule type="colorScale" priority="9">
      <colorScale>
        <cfvo type="num" val="-30"/>
        <cfvo type="num" val="0"/>
        <cfvo type="num" val="30"/>
        <color rgb="FFF8696B"/>
        <color rgb="FFFFFFFF"/>
        <color rgb="FF63BE7B"/>
      </colorScale>
    </cfRule>
  </conditionalFormatting>
  <conditionalFormatting sqref="K5:K17">
    <cfRule type="colorScale" priority="10">
      <colorScale>
        <cfvo type="num" val="-200"/>
        <cfvo type="num" val="0"/>
        <cfvo type="num" val="200"/>
        <color rgb="FFF8696B"/>
        <color rgb="FFFFFFFF"/>
        <color rgb="FF63BE7B"/>
      </colorScale>
    </cfRule>
  </conditionalFormatting>
  <conditionalFormatting sqref="A5:O17">
    <cfRule type="expression" priority="11" aboveAverage="0" equalAverage="0" bottom="0" percent="0" rank="0" text="" dxfId="70">
      <formula>$O5="預估"</formula>
    </cfRule>
  </conditionalFormatting>
  <conditionalFormatting sqref="B24:B28">
    <cfRule type="expression" priority="12" aboveAverage="0" equalAverage="0" bottom="0" percent="0" rank="0" text="" dxfId="70">
      <formula>COUNTIFS(Raw_Q!$A$2:$A$600,Stock_Card!$B$2,Raw_Q!$C$2:$C$600,$A24,Raw_Q!$D$2:$D$600,1,Raw_Q!$F$2:$F$600,"Y")&gt;0</formula>
    </cfRule>
  </conditionalFormatting>
  <conditionalFormatting sqref="C24:C28">
    <cfRule type="expression" priority="13" aboveAverage="0" equalAverage="0" bottom="0" percent="0" rank="0" text="" dxfId="70">
      <formula>COUNTIFS(Raw_Q!$A$2:$A$600,Stock_Card!$B$2,Raw_Q!$C$2:$C$600,$A24,Raw_Q!$D$2:$D$600,2,Raw_Q!$F$2:$F$600,"Y")&gt;0</formula>
    </cfRule>
  </conditionalFormatting>
  <conditionalFormatting sqref="D24:D28">
    <cfRule type="expression" priority="14" aboveAverage="0" equalAverage="0" bottom="0" percent="0" rank="0" text="" dxfId="70">
      <formula>COUNTIFS(Raw_Q!$A$2:$A$600,Stock_Card!$B$2,Raw_Q!$C$2:$C$600,$A24,Raw_Q!$D$2:$D$600,3,Raw_Q!$F$2:$F$600,"Y")&gt;0</formula>
    </cfRule>
  </conditionalFormatting>
  <conditionalFormatting sqref="E24:E28">
    <cfRule type="expression" priority="15" aboveAverage="0" equalAverage="0" bottom="0" percent="0" rank="0" text="" dxfId="70">
      <formula>COUNTIFS(Raw_Q!$A$2:$A$600,Stock_Card!$B$2,Raw_Q!$C$2:$C$600,$A24,Raw_Q!$D$2:$D$600,4,Raw_Q!$F$2:$F$600,"Y")&gt;0</formula>
    </cfRule>
  </conditionalFormatting>
  <conditionalFormatting sqref="B33:B37">
    <cfRule type="expression" priority="16" aboveAverage="0" equalAverage="0" bottom="0" percent="0" rank="0" text="" dxfId="70">
      <formula>COUNTIFS(Raw_Q!$A$2:$A$600,Stock_Card!$B$2,Raw_Q!$C$2:$C$600,$A33,Raw_Q!$D$2:$D$600,1,Raw_Q!$F$2:$F$600,"Y")&gt;0</formula>
    </cfRule>
  </conditionalFormatting>
  <conditionalFormatting sqref="C33:C37">
    <cfRule type="expression" priority="17" aboveAverage="0" equalAverage="0" bottom="0" percent="0" rank="0" text="" dxfId="70">
      <formula>COUNTIFS(Raw_Q!$A$2:$A$600,Stock_Card!$B$2,Raw_Q!$C$2:$C$600,$A33,Raw_Q!$D$2:$D$600,2,Raw_Q!$F$2:$F$600,"Y")&gt;0</formula>
    </cfRule>
  </conditionalFormatting>
  <conditionalFormatting sqref="D33:D37">
    <cfRule type="expression" priority="18" aboveAverage="0" equalAverage="0" bottom="0" percent="0" rank="0" text="" dxfId="70">
      <formula>COUNTIFS(Raw_Q!$A$2:$A$600,Stock_Card!$B$2,Raw_Q!$C$2:$C$600,$A33,Raw_Q!$D$2:$D$600,3,Raw_Q!$F$2:$F$600,"Y")&gt;0</formula>
    </cfRule>
  </conditionalFormatting>
  <conditionalFormatting sqref="E33:E37">
    <cfRule type="expression" priority="19" aboveAverage="0" equalAverage="0" bottom="0" percent="0" rank="0" text="" dxfId="70">
      <formula>COUNTIFS(Raw_Q!$A$2:$A$600,Stock_Card!$B$2,Raw_Q!$C$2:$C$600,$A33,Raw_Q!$D$2:$D$600,4,Raw_Q!$F$2:$F$600,"Y")&gt;0</formula>
    </cfRule>
  </conditionalFormatting>
  <conditionalFormatting sqref="B33:E37">
    <cfRule type="colorScale" priority="20">
      <colorScale>
        <cfvo type="min" val="0"/>
        <cfvo type="max" val="0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14FB7D-8C5A-4897-9FBE-24792A7EF777}">
            <x14:dataBar minLength="10" maxLength="90" axisPosition="none" gradient="true">
              <x14:cfvo type="min"/>
              <x14:cfvo type="max"/>
              <x14:negativeFillColor rgb="FF638EC6"/>
              <x14:axisColor rgb="FF000000"/>
            </x14:dataBar>
          </x14:cfRule>
          <xm:sqref>C5:C17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4"/>
    <col collapsed="false" customWidth="true" hidden="false" outlineLevel="0" max="3" min="3" style="0" width="10"/>
    <col collapsed="false" customWidth="true" hidden="false" outlineLevel="0" max="5" min="4" style="0" width="13"/>
    <col collapsed="false" customWidth="true" hidden="false" outlineLevel="0" max="6" min="6" style="0" width="10"/>
    <col collapsed="false" customWidth="true" hidden="false" outlineLevel="0" max="9" min="7" style="0" width="13"/>
    <col collapsed="false" customWidth="true" hidden="false" outlineLevel="0" max="10" min="10" style="0" width="14"/>
    <col collapsed="false" customWidth="true" hidden="false" outlineLevel="0" max="11" min="11" style="0" width="11"/>
  </cols>
  <sheetData>
    <row r="1" customFormat="false" ht="17.9" hidden="false" customHeight="false" outlineLevel="0" collapsed="false">
      <c r="A1" s="1" t="s">
        <v>153</v>
      </c>
    </row>
    <row r="2" customFormat="false" ht="15" hidden="false" customHeight="false" outlineLevel="0" collapsed="false">
      <c r="A2" s="44" t="s">
        <v>105</v>
      </c>
      <c r="B2" s="45" t="str">
        <f aca="false">Stock_Card!$B$2</f>
        <v>2330</v>
      </c>
      <c r="C2" s="24" t="s">
        <v>154</v>
      </c>
    </row>
    <row r="4" customFormat="false" ht="31.5" hidden="false" customHeight="true" outlineLevel="0" collapsed="false">
      <c r="A4" s="16" t="s">
        <v>155</v>
      </c>
      <c r="B4" s="16" t="s">
        <v>156</v>
      </c>
      <c r="C4" s="16" t="s">
        <v>157</v>
      </c>
      <c r="D4" s="16" t="s">
        <v>158</v>
      </c>
      <c r="E4" s="16" t="s">
        <v>159</v>
      </c>
      <c r="F4" s="16" t="s">
        <v>160</v>
      </c>
      <c r="G4" s="16" t="s">
        <v>161</v>
      </c>
      <c r="H4" s="16" t="s">
        <v>162</v>
      </c>
      <c r="I4" s="16" t="s">
        <v>63</v>
      </c>
      <c r="J4" s="16" t="s">
        <v>163</v>
      </c>
      <c r="K4" s="16" t="s">
        <v>164</v>
      </c>
    </row>
    <row r="5" customFormat="false" ht="15" hidden="false" customHeight="false" outlineLevel="0" collapsed="false">
      <c r="A5" s="73" t="str">
        <f aca="false">IF(Stock_Card!$B$2="","",IFERROR(INDEX(Raw_M!$B$2:$B$2000,MATCH(Stock_Card!$B$2&amp;"|1",Raw_M!$G$2:$G$2000,0)),""))</f>
        <v>2026-10</v>
      </c>
      <c r="B5" s="48" t="n">
        <f aca="false">IF(Stock_Card!$B$2="","",IFERROR(SUMIFS(Raw_M!$E$2:$E$2000,Raw_M!$A$2:$A$2000,Stock_Card!$B$2,Raw_M!$F$2:$F$2000,1),""))</f>
        <v>511857.399</v>
      </c>
      <c r="C5" s="49" t="n">
        <f aca="false">IF(Stock_Card!$B$2="","",IFERROR((SUMIFS(Raw_M!$E$2:$E$2000,Raw_M!$A$2:$A$2000,Stock_Card!$B$2,Raw_M!$F$2:$F$2000,1)/SUMIFS(Raw_M!$E$2:$E$2000,Raw_M!$A$2:$A$2000,Stock_Card!$B$2,Raw_M!$F$2:$F$2000,2)-1),""))</f>
        <v>-0.00572631592589734</v>
      </c>
      <c r="D5" s="68" t="n">
        <f aca="false">IF(Stock_Card!$B$2="","",IFERROR(((SUMIFS(Raw_M!$E$2:$E$2000,Raw_M!$A$2:$A$2000,Stock_Card!$B$2,Raw_M!$F$2:$F$2000,1)/SUMIFS(Raw_M!$E$2:$E$2000,Raw_M!$A$2:$A$2000,Stock_Card!$B$2,Raw_M!$F$2:$F$2000,2)-1)-(SUMIFS(Raw_M!$E$2:$E$2000,Raw_M!$A$2:$A$2000,Stock_Card!$B$2,Raw_M!$F$2:$F$2000,2)/SUMIFS(Raw_M!$E$2:$E$2000,Raw_M!$A$2:$A$2000,Stock_Card!$B$2,Raw_M!$F$2:$F$2000,3)-1))*100,""))</f>
        <v>-10.6724505867708</v>
      </c>
      <c r="E5" s="49" t="n">
        <f aca="false">IF(Stock_Card!$B$2="","",IFERROR(IF(OR(NOT(ISNUMBER((SUMIFS(Raw_M!$E$2:$E$2000,Raw_M!$A$2:$A$2000,Stock_Card!$B$2,Raw_M!$F$2:$F$2000,2)/SUMIFS(Raw_M!$E$2:$E$2000,Raw_M!$A$2:$A$2000,Stock_Card!$B$2,Raw_M!$F$2:$F$2000,3)-1))),(SUMIFS(Raw_M!$E$2:$E$2000,Raw_M!$A$2:$A$2000,Stock_Card!$B$2,Raw_M!$F$2:$F$2000,2)/SUMIFS(Raw_M!$E$2:$E$2000,Raw_M!$A$2:$A$2000,Stock_Card!$B$2,Raw_M!$F$2:$F$2000,3)-1)&lt;=0,ABS((SUMIFS(Raw_M!$E$2:$E$2000,Raw_M!$A$2:$A$2000,Stock_Card!$B$2,Raw_M!$F$2:$F$2000,2)/SUMIFS(Raw_M!$E$2:$E$2000,Raw_M!$A$2:$A$2000,Stock_Card!$B$2,Raw_M!$F$2:$F$2000,3)-1))&lt;Config!$B$9),"N/M",((SUMIFS(Raw_M!$E$2:$E$2000,Raw_M!$A$2:$A$2000,Stock_Card!$B$2,Raw_M!$F$2:$F$2000,1)/SUMIFS(Raw_M!$E$2:$E$2000,Raw_M!$A$2:$A$2000,Stock_Card!$B$2,Raw_M!$F$2:$F$2000,2)-1)-(SUMIFS(Raw_M!$E$2:$E$2000,Raw_M!$A$2:$A$2000,Stock_Card!$B$2,Raw_M!$F$2:$F$2000,2)/SUMIFS(Raw_M!$E$2:$E$2000,Raw_M!$A$2:$A$2000,Stock_Card!$B$2,Raw_M!$F$2:$F$2000,3)-1))/ABS((SUMIFS(Raw_M!$E$2:$E$2000,Raw_M!$A$2:$A$2000,Stock_Card!$B$2,Raw_M!$F$2:$F$2000,2)/SUMIFS(Raw_M!$E$2:$E$2000,Raw_M!$A$2:$A$2000,Stock_Card!$B$2,Raw_M!$F$2:$F$2000,3)-1))),"N/M"))</f>
        <v>-1.05669721337775</v>
      </c>
      <c r="F5" s="49" t="n">
        <f aca="false">IF(Stock_Card!$B$2="","",IFERROR((SUMIFS(Raw_M!$E$2:$E$2000,Raw_M!$A$2:$A$2000,Stock_Card!$B$2,Raw_M!$F$2:$F$2000,1)/SUMIFS(Raw_M!$E$2:$E$2000,Raw_M!$A$2:$A$2000,Stock_Card!$B$2,Raw_M!$F$2:$F$2000,13)-1),""))</f>
        <v>0.546486120710523</v>
      </c>
      <c r="G5" s="68" t="n">
        <f aca="false">IF(Stock_Card!$B$2="","",IFERROR(((SUMIFS(Raw_M!$E$2:$E$2000,Raw_M!$A$2:$A$2000,Stock_Card!$B$2,Raw_M!$F$2:$F$2000,1)/SUMIFS(Raw_M!$E$2:$E$2000,Raw_M!$A$2:$A$2000,Stock_Card!$B$2,Raw_M!$F$2:$F$2000,13)-1)-(SUMIFS(Raw_M!$E$2:$E$2000,Raw_M!$A$2:$A$2000,Stock_Card!$B$2,Raw_M!$F$2:$F$2000,2)/SUMIFS(Raw_M!$E$2:$E$2000,Raw_M!$A$2:$A$2000,Stock_Card!$B$2,Raw_M!$F$2:$F$2000,14)-1))*100,""))</f>
        <v>1.32855835633936</v>
      </c>
      <c r="H5" s="49" t="n">
        <f aca="false">IF(Stock_Card!$B$2="","",IFERROR(IF(OR(NOT(ISNUMBER((SUMIFS(Raw_M!$E$2:$E$2000,Raw_M!$A$2:$A$2000,Stock_Card!$B$2,Raw_M!$F$2:$F$2000,2)/SUMIFS(Raw_M!$E$2:$E$2000,Raw_M!$A$2:$A$2000,Stock_Card!$B$2,Raw_M!$F$2:$F$2000,14)-1))),(SUMIFS(Raw_M!$E$2:$E$2000,Raw_M!$A$2:$A$2000,Stock_Card!$B$2,Raw_M!$F$2:$F$2000,2)/SUMIFS(Raw_M!$E$2:$E$2000,Raw_M!$A$2:$A$2000,Stock_Card!$B$2,Raw_M!$F$2:$F$2000,14)-1)&lt;=0,ABS((SUMIFS(Raw_M!$E$2:$E$2000,Raw_M!$A$2:$A$2000,Stock_Card!$B$2,Raw_M!$F$2:$F$2000,2)/SUMIFS(Raw_M!$E$2:$E$2000,Raw_M!$A$2:$A$2000,Stock_Card!$B$2,Raw_M!$F$2:$F$2000,14)-1))&lt;Config!$B$9),"N/M",((SUMIFS(Raw_M!$E$2:$E$2000,Raw_M!$A$2:$A$2000,Stock_Card!$B$2,Raw_M!$F$2:$F$2000,1)/SUMIFS(Raw_M!$E$2:$E$2000,Raw_M!$A$2:$A$2000,Stock_Card!$B$2,Raw_M!$F$2:$F$2000,13)-1)-(SUMIFS(Raw_M!$E$2:$E$2000,Raw_M!$A$2:$A$2000,Stock_Card!$B$2,Raw_M!$F$2:$F$2000,2)/SUMIFS(Raw_M!$E$2:$E$2000,Raw_M!$A$2:$A$2000,Stock_Card!$B$2,Raw_M!$F$2:$F$2000,14)-1))/ABS((SUMIFS(Raw_M!$E$2:$E$2000,Raw_M!$A$2:$A$2000,Stock_Card!$B$2,Raw_M!$F$2:$F$2000,2)/SUMIFS(Raw_M!$E$2:$E$2000,Raw_M!$A$2:$A$2000,Stock_Card!$B$2,Raw_M!$F$2:$F$2000,14)-1))),"N/M"))</f>
        <v>0.0249166732548276</v>
      </c>
      <c r="I5" s="69" t="str">
        <f aca="false">IF(Stock_Card!$B$2="","",IFERROR(IF(AND((SUMIFS(Raw_M!$E$2:$E$2000,Raw_M!$A$2:$A$2000,Stock_Card!$B$2,Raw_M!$F$2:$F$2000,2)/SUMIFS(Raw_M!$E$2:$E$2000,Raw_M!$A$2:$A$2000,Stock_Card!$B$2,Raw_M!$F$2:$F$2000,14)-1)&gt;0,(SUMIFS(Raw_M!$E$2:$E$2000,Raw_M!$A$2:$A$2000,Stock_Card!$B$2,Raw_M!$F$2:$F$2000,1)/SUMIFS(Raw_M!$E$2:$E$2000,Raw_M!$A$2:$A$2000,Stock_Card!$B$2,Raw_M!$F$2:$F$2000,13)-1)&lt;=0),"由正轉負",IF(AND((SUMIFS(Raw_M!$E$2:$E$2000,Raw_M!$A$2:$A$2000,Stock_Card!$B$2,Raw_M!$F$2:$F$2000,2)/SUMIFS(Raw_M!$E$2:$E$2000,Raw_M!$A$2:$A$2000,Stock_Card!$B$2,Raw_M!$F$2:$F$2000,14)-1)&lt;=0,(SUMIFS(Raw_M!$E$2:$E$2000,Raw_M!$A$2:$A$2000,Stock_Card!$B$2,Raw_M!$F$2:$F$2000,1)/SUMIFS(Raw_M!$E$2:$E$2000,Raw_M!$A$2:$A$2000,Stock_Card!$B$2,Raw_M!$F$2:$F$2000,13)-1)&gt;0),"由負轉正",IF((SUMIFS(Raw_M!$E$2:$E$2000,Raw_M!$A$2:$A$2000,Stock_Card!$B$2,Raw_M!$F$2:$F$2000,1)/SUMIFS(Raw_M!$E$2:$E$2000,Raw_M!$A$2:$A$2000,Stock_Card!$B$2,Raw_M!$F$2:$F$2000,13)-1)&gt;0,IF(((SUMIFS(Raw_M!$E$2:$E$2000,Raw_M!$A$2:$A$2000,Stock_Card!$B$2,Raw_M!$F$2:$F$2000,1)/SUMIFS(Raw_M!$E$2:$E$2000,Raw_M!$A$2:$A$2000,Stock_Card!$B$2,Raw_M!$F$2:$F$2000,13)-1)-(SUMIFS(Raw_M!$E$2:$E$2000,Raw_M!$A$2:$A$2000,Stock_Card!$B$2,Raw_M!$F$2:$F$2000,2)/SUMIFS(Raw_M!$E$2:$E$2000,Raw_M!$A$2:$A$2000,Stock_Card!$B$2,Raw_M!$F$2:$F$2000,14)-1))*100&gt;0,"成長且加速","成長但減速"),IF(((SUMIFS(Raw_M!$E$2:$E$2000,Raw_M!$A$2:$A$2000,Stock_Card!$B$2,Raw_M!$F$2:$F$2000,1)/SUMIFS(Raw_M!$E$2:$E$2000,Raw_M!$A$2:$A$2000,Stock_Card!$B$2,Raw_M!$F$2:$F$2000,13)-1)-(SUMIFS(Raw_M!$E$2:$E$2000,Raw_M!$A$2:$A$2000,Stock_Card!$B$2,Raw_M!$F$2:$F$2000,2)/SUMIFS(Raw_M!$E$2:$E$2000,Raw_M!$A$2:$A$2000,Stock_Card!$B$2,Raw_M!$F$2:$F$2000,14)-1))*100&gt;0,"衰退但收斂","衰退且惡化")))),""))</f>
        <v>成長且加速</v>
      </c>
      <c r="J5" s="48" t="n">
        <f aca="false">IF(Stock_Card!$B$2="","",IFERROR(SUMIFS(Raw_M!$E$2:$E$2000,Raw_M!$A$2:$A$2000,Stock_Card!$B$2,Raw_M!$C$2:$C$2000,"&gt;="&amp;((INT(SUMIFS(Raw_M!$C$2:$C$2000,Raw_M!$A$2:$A$2000,Stock_Card!$B$2,Raw_M!$F$2:$F$2000,1)/100)-0)*100+1),Raw_M!$C$2:$C$2000,"&lt;="&amp;((INT(SUMIFS(Raw_M!$C$2:$C$2000,Raw_M!$A$2:$A$2000,Stock_Card!$B$2,Raw_M!$F$2:$F$2000,1)/100)-0)*100+MOD(SUMIFS(Raw_M!$C$2:$C$2000,Raw_M!$A$2:$A$2000,Stock_Card!$B$2,Raw_M!$F$2:$F$2000,1),100))),""))</f>
        <v>4233730.542</v>
      </c>
      <c r="K5" s="49" t="n">
        <f aca="false">IF(Stock_Card!$B$2="","",IFERROR(IF(OR(COUNTIFS(Raw_M!$A$2:$A$2000,Stock_Card!$B$2,Raw_M!$C$2:$C$2000,"&gt;="&amp;((INT(SUMIFS(Raw_M!$C$2:$C$2000,Raw_M!$A$2:$A$2000,Stock_Card!$B$2,Raw_M!$F$2:$F$2000,1)/100)-0)*100+1),Raw_M!$C$2:$C$2000,"&lt;="&amp;((INT(SUMIFS(Raw_M!$C$2:$C$2000,Raw_M!$A$2:$A$2000,Stock_Card!$B$2,Raw_M!$F$2:$F$2000,1)/100)-0)*100+MOD(SUMIFS(Raw_M!$C$2:$C$2000,Raw_M!$A$2:$A$2000,Stock_Card!$B$2,Raw_M!$F$2:$F$2000,1),100)))&lt;&gt;MOD(SUMIFS(Raw_M!$C$2:$C$2000,Raw_M!$A$2:$A$2000,Stock_Card!$B$2,Raw_M!$F$2:$F$2000,1),100),COUNTIFS(Raw_M!$A$2:$A$2000,Stock_Card!$B$2,Raw_M!$C$2:$C$2000,"&gt;="&amp;((INT(SUMIFS(Raw_M!$C$2:$C$2000,Raw_M!$A$2:$A$2000,Stock_Card!$B$2,Raw_M!$F$2:$F$2000,1)/100)-1)*100+1),Raw_M!$C$2:$C$2000,"&lt;="&amp;((INT(SUMIFS(Raw_M!$C$2:$C$2000,Raw_M!$A$2:$A$2000,Stock_Card!$B$2,Raw_M!$F$2:$F$2000,1)/100)-1)*100+MOD(SUMIFS(Raw_M!$C$2:$C$2000,Raw_M!$A$2:$A$2000,Stock_Card!$B$2,Raw_M!$F$2:$F$2000,1),100)))&lt;&gt;MOD(SUMIFS(Raw_M!$C$2:$C$2000,Raw_M!$A$2:$A$2000,Stock_Card!$B$2,Raw_M!$F$2:$F$2000,1),100)),"N/M",SUMIFS(Raw_M!$E$2:$E$2000,Raw_M!$A$2:$A$2000,Stock_Card!$B$2,Raw_M!$C$2:$C$2000,"&gt;="&amp;((INT(SUMIFS(Raw_M!$C$2:$C$2000,Raw_M!$A$2:$A$2000,Stock_Card!$B$2,Raw_M!$F$2:$F$2000,1)/100)-0)*100+1),Raw_M!$C$2:$C$2000,"&lt;="&amp;((INT(SUMIFS(Raw_M!$C$2:$C$2000,Raw_M!$A$2:$A$2000,Stock_Card!$B$2,Raw_M!$F$2:$F$2000,1)/100)-0)*100+MOD(SUMIFS(Raw_M!$C$2:$C$2000,Raw_M!$A$2:$A$2000,Stock_Card!$B$2,Raw_M!$F$2:$F$2000,1),100)))/SUMIFS(Raw_M!$E$2:$E$2000,Raw_M!$A$2:$A$2000,Stock_Card!$B$2,Raw_M!$C$2:$C$2000,"&gt;="&amp;((INT(SUMIFS(Raw_M!$C$2:$C$2000,Raw_M!$A$2:$A$2000,Stock_Card!$B$2,Raw_M!$F$2:$F$2000,1)/100)-1)*100+1),Raw_M!$C$2:$C$2000,"&lt;="&amp;((INT(SUMIFS(Raw_M!$C$2:$C$2000,Raw_M!$A$2:$A$2000,Stock_Card!$B$2,Raw_M!$F$2:$F$2000,1)/100)-1)*100+MOD(SUMIFS(Raw_M!$C$2:$C$2000,Raw_M!$A$2:$A$2000,Stock_Card!$B$2,Raw_M!$F$2:$F$2000,1),100)))-1),"N/M"))</f>
        <v>0.392158433525024</v>
      </c>
    </row>
    <row r="6" customFormat="false" ht="15" hidden="false" customHeight="false" outlineLevel="0" collapsed="false">
      <c r="A6" s="73" t="str">
        <f aca="false">IF(Stock_Card!$B$2="","",IFERROR(INDEX(Raw_M!$B$2:$B$2000,MATCH(Stock_Card!$B$2&amp;"|2",Raw_M!$G$2:$G$2000,0)),""))</f>
        <v>2026-09</v>
      </c>
      <c r="B6" s="48" t="n">
        <f aca="false">IF(Stock_Card!$B$2="","",IFERROR(SUMIFS(Raw_M!$E$2:$E$2000,Raw_M!$A$2:$A$2000,Stock_Card!$B$2,Raw_M!$F$2:$F$2000,2),""))</f>
        <v>514805.337</v>
      </c>
      <c r="C6" s="49" t="n">
        <f aca="false">IF(Stock_Card!$B$2="","",IFERROR((SUMIFS(Raw_M!$E$2:$E$2000,Raw_M!$A$2:$A$2000,Stock_Card!$B$2,Raw_M!$F$2:$F$2000,2)/SUMIFS(Raw_M!$E$2:$E$2000,Raw_M!$A$2:$A$2000,Stock_Card!$B$2,Raw_M!$F$2:$F$2000,3)-1),""))</f>
        <v>0.100998189941811</v>
      </c>
      <c r="D6" s="68" t="n">
        <f aca="false">IF(Stock_Card!$B$2="","",IFERROR(((SUMIFS(Raw_M!$E$2:$E$2000,Raw_M!$A$2:$A$2000,Stock_Card!$B$2,Raw_M!$F$2:$F$2000,2)/SUMIFS(Raw_M!$E$2:$E$2000,Raw_M!$A$2:$A$2000,Stock_Card!$B$2,Raw_M!$F$2:$F$2000,3)-1)-(SUMIFS(Raw_M!$E$2:$E$2000,Raw_M!$A$2:$A$2000,Stock_Card!$B$2,Raw_M!$F$2:$F$2000,3)/SUMIFS(Raw_M!$E$2:$E$2000,Raw_M!$A$2:$A$2000,Stock_Card!$B$2,Raw_M!$F$2:$F$2000,4)-1))*100,""))</f>
        <v>4.47485722863077</v>
      </c>
      <c r="E6" s="49" t="n">
        <f aca="false">IF(Stock_Card!$B$2="","",IFERROR(IF(OR(NOT(ISNUMBER((SUMIFS(Raw_M!$E$2:$E$2000,Raw_M!$A$2:$A$2000,Stock_Card!$B$2,Raw_M!$F$2:$F$2000,3)/SUMIFS(Raw_M!$E$2:$E$2000,Raw_M!$A$2:$A$2000,Stock_Card!$B$2,Raw_M!$F$2:$F$2000,4)-1))),(SUMIFS(Raw_M!$E$2:$E$2000,Raw_M!$A$2:$A$2000,Stock_Card!$B$2,Raw_M!$F$2:$F$2000,3)/SUMIFS(Raw_M!$E$2:$E$2000,Raw_M!$A$2:$A$2000,Stock_Card!$B$2,Raw_M!$F$2:$F$2000,4)-1)&lt;=0,ABS((SUMIFS(Raw_M!$E$2:$E$2000,Raw_M!$A$2:$A$2000,Stock_Card!$B$2,Raw_M!$F$2:$F$2000,3)/SUMIFS(Raw_M!$E$2:$E$2000,Raw_M!$A$2:$A$2000,Stock_Card!$B$2,Raw_M!$F$2:$F$2000,4)-1))&lt;Config!$B$9),"N/M",((SUMIFS(Raw_M!$E$2:$E$2000,Raw_M!$A$2:$A$2000,Stock_Card!$B$2,Raw_M!$F$2:$F$2000,2)/SUMIFS(Raw_M!$E$2:$E$2000,Raw_M!$A$2:$A$2000,Stock_Card!$B$2,Raw_M!$F$2:$F$2000,3)-1)-(SUMIFS(Raw_M!$E$2:$E$2000,Raw_M!$A$2:$A$2000,Stock_Card!$B$2,Raw_M!$F$2:$F$2000,3)/SUMIFS(Raw_M!$E$2:$E$2000,Raw_M!$A$2:$A$2000,Stock_Card!$B$2,Raw_M!$F$2:$F$2000,4)-1))/ABS((SUMIFS(Raw_M!$E$2:$E$2000,Raw_M!$A$2:$A$2000,Stock_Card!$B$2,Raw_M!$F$2:$F$2000,3)/SUMIFS(Raw_M!$E$2:$E$2000,Raw_M!$A$2:$A$2000,Stock_Card!$B$2,Raw_M!$F$2:$F$2000,4)-1))),"N/M"))</f>
        <v>0.795535581421498</v>
      </c>
      <c r="F6" s="49" t="n">
        <f aca="false">IF(Stock_Card!$B$2="","",IFERROR((SUMIFS(Raw_M!$E$2:$E$2000,Raw_M!$A$2:$A$2000,Stock_Card!$B$2,Raw_M!$F$2:$F$2000,2)/SUMIFS(Raw_M!$E$2:$E$2000,Raw_M!$A$2:$A$2000,Stock_Card!$B$2,Raw_M!$F$2:$F$2000,14)-1),""))</f>
        <v>0.53320053714713</v>
      </c>
      <c r="G6" s="68" t="n">
        <f aca="false">IF(Stock_Card!$B$2="","",IFERROR(((SUMIFS(Raw_M!$E$2:$E$2000,Raw_M!$A$2:$A$2000,Stock_Card!$B$2,Raw_M!$F$2:$F$2000,2)/SUMIFS(Raw_M!$E$2:$E$2000,Raw_M!$A$2:$A$2000,Stock_Card!$B$2,Raw_M!$F$2:$F$2000,14)-1)-(SUMIFS(Raw_M!$E$2:$E$2000,Raw_M!$A$2:$A$2000,Stock_Card!$B$2,Raw_M!$F$2:$F$2000,3)/SUMIFS(Raw_M!$E$2:$E$2000,Raw_M!$A$2:$A$2000,Stock_Card!$B$2,Raw_M!$F$2:$F$2000,15)-1))*100,""))</f>
        <v>8.63250244554317</v>
      </c>
      <c r="H6" s="49" t="n">
        <f aca="false">IF(Stock_Card!$B$2="","",IFERROR(IF(OR(NOT(ISNUMBER((SUMIFS(Raw_M!$E$2:$E$2000,Raw_M!$A$2:$A$2000,Stock_Card!$B$2,Raw_M!$F$2:$F$2000,3)/SUMIFS(Raw_M!$E$2:$E$2000,Raw_M!$A$2:$A$2000,Stock_Card!$B$2,Raw_M!$F$2:$F$2000,15)-1))),(SUMIFS(Raw_M!$E$2:$E$2000,Raw_M!$A$2:$A$2000,Stock_Card!$B$2,Raw_M!$F$2:$F$2000,3)/SUMIFS(Raw_M!$E$2:$E$2000,Raw_M!$A$2:$A$2000,Stock_Card!$B$2,Raw_M!$F$2:$F$2000,15)-1)&lt;=0,ABS((SUMIFS(Raw_M!$E$2:$E$2000,Raw_M!$A$2:$A$2000,Stock_Card!$B$2,Raw_M!$F$2:$F$2000,3)/SUMIFS(Raw_M!$E$2:$E$2000,Raw_M!$A$2:$A$2000,Stock_Card!$B$2,Raw_M!$F$2:$F$2000,15)-1))&lt;Config!$B$9),"N/M",((SUMIFS(Raw_M!$E$2:$E$2000,Raw_M!$A$2:$A$2000,Stock_Card!$B$2,Raw_M!$F$2:$F$2000,2)/SUMIFS(Raw_M!$E$2:$E$2000,Raw_M!$A$2:$A$2000,Stock_Card!$B$2,Raw_M!$F$2:$F$2000,14)-1)-(SUMIFS(Raw_M!$E$2:$E$2000,Raw_M!$A$2:$A$2000,Stock_Card!$B$2,Raw_M!$F$2:$F$2000,3)/SUMIFS(Raw_M!$E$2:$E$2000,Raw_M!$A$2:$A$2000,Stock_Card!$B$2,Raw_M!$F$2:$F$2000,15)-1))/ABS((SUMIFS(Raw_M!$E$2:$E$2000,Raw_M!$A$2:$A$2000,Stock_Card!$B$2,Raw_M!$F$2:$F$2000,3)/SUMIFS(Raw_M!$E$2:$E$2000,Raw_M!$A$2:$A$2000,Stock_Card!$B$2,Raw_M!$F$2:$F$2000,15)-1))),"N/M"))</f>
        <v>0.193174658274435</v>
      </c>
      <c r="I6" s="69" t="str">
        <f aca="false">IF(Stock_Card!$B$2="","",IFERROR(IF(AND((SUMIFS(Raw_M!$E$2:$E$2000,Raw_M!$A$2:$A$2000,Stock_Card!$B$2,Raw_M!$F$2:$F$2000,3)/SUMIFS(Raw_M!$E$2:$E$2000,Raw_M!$A$2:$A$2000,Stock_Card!$B$2,Raw_M!$F$2:$F$2000,15)-1)&gt;0,(SUMIFS(Raw_M!$E$2:$E$2000,Raw_M!$A$2:$A$2000,Stock_Card!$B$2,Raw_M!$F$2:$F$2000,2)/SUMIFS(Raw_M!$E$2:$E$2000,Raw_M!$A$2:$A$2000,Stock_Card!$B$2,Raw_M!$F$2:$F$2000,14)-1)&lt;=0),"由正轉負",IF(AND((SUMIFS(Raw_M!$E$2:$E$2000,Raw_M!$A$2:$A$2000,Stock_Card!$B$2,Raw_M!$F$2:$F$2000,3)/SUMIFS(Raw_M!$E$2:$E$2000,Raw_M!$A$2:$A$2000,Stock_Card!$B$2,Raw_M!$F$2:$F$2000,15)-1)&lt;=0,(SUMIFS(Raw_M!$E$2:$E$2000,Raw_M!$A$2:$A$2000,Stock_Card!$B$2,Raw_M!$F$2:$F$2000,2)/SUMIFS(Raw_M!$E$2:$E$2000,Raw_M!$A$2:$A$2000,Stock_Card!$B$2,Raw_M!$F$2:$F$2000,14)-1)&gt;0),"由負轉正",IF((SUMIFS(Raw_M!$E$2:$E$2000,Raw_M!$A$2:$A$2000,Stock_Card!$B$2,Raw_M!$F$2:$F$2000,2)/SUMIFS(Raw_M!$E$2:$E$2000,Raw_M!$A$2:$A$2000,Stock_Card!$B$2,Raw_M!$F$2:$F$2000,14)-1)&gt;0,IF(((SUMIFS(Raw_M!$E$2:$E$2000,Raw_M!$A$2:$A$2000,Stock_Card!$B$2,Raw_M!$F$2:$F$2000,2)/SUMIFS(Raw_M!$E$2:$E$2000,Raw_M!$A$2:$A$2000,Stock_Card!$B$2,Raw_M!$F$2:$F$2000,14)-1)-(SUMIFS(Raw_M!$E$2:$E$2000,Raw_M!$A$2:$A$2000,Stock_Card!$B$2,Raw_M!$F$2:$F$2000,3)/SUMIFS(Raw_M!$E$2:$E$2000,Raw_M!$A$2:$A$2000,Stock_Card!$B$2,Raw_M!$F$2:$F$2000,15)-1))*100&gt;0,"成長且加速","成長但減速"),IF(((SUMIFS(Raw_M!$E$2:$E$2000,Raw_M!$A$2:$A$2000,Stock_Card!$B$2,Raw_M!$F$2:$F$2000,2)/SUMIFS(Raw_M!$E$2:$E$2000,Raw_M!$A$2:$A$2000,Stock_Card!$B$2,Raw_M!$F$2:$F$2000,14)-1)-(SUMIFS(Raw_M!$E$2:$E$2000,Raw_M!$A$2:$A$2000,Stock_Card!$B$2,Raw_M!$F$2:$F$2000,3)/SUMIFS(Raw_M!$E$2:$E$2000,Raw_M!$A$2:$A$2000,Stock_Card!$B$2,Raw_M!$F$2:$F$2000,15)-1))*100&gt;0,"衰退但收斂","衰退且惡化")))),""))</f>
        <v>成長且加速</v>
      </c>
      <c r="J6" s="48" t="n">
        <f aca="false">IF(Stock_Card!$B$2="","",IFERROR(SUMIFS(Raw_M!$E$2:$E$2000,Raw_M!$A$2:$A$2000,Stock_Card!$B$2,Raw_M!$C$2:$C$2000,"&gt;="&amp;((INT(SUMIFS(Raw_M!$C$2:$C$2000,Raw_M!$A$2:$A$2000,Stock_Card!$B$2,Raw_M!$F$2:$F$2000,2)/100)-0)*100+1),Raw_M!$C$2:$C$2000,"&lt;="&amp;((INT(SUMIFS(Raw_M!$C$2:$C$2000,Raw_M!$A$2:$A$2000,Stock_Card!$B$2,Raw_M!$F$2:$F$2000,2)/100)-0)*100+MOD(SUMIFS(Raw_M!$C$2:$C$2000,Raw_M!$A$2:$A$2000,Stock_Card!$B$2,Raw_M!$F$2:$F$2000,2),100))),""))</f>
        <v>3721873.143</v>
      </c>
      <c r="K6" s="49" t="n">
        <f aca="false">IF(Stock_Card!$B$2="","",IFERROR(IF(OR(COUNTIFS(Raw_M!$A$2:$A$2000,Stock_Card!$B$2,Raw_M!$C$2:$C$2000,"&gt;="&amp;((INT(SUMIFS(Raw_M!$C$2:$C$2000,Raw_M!$A$2:$A$2000,Stock_Card!$B$2,Raw_M!$F$2:$F$2000,2)/100)-0)*100+1),Raw_M!$C$2:$C$2000,"&lt;="&amp;((INT(SUMIFS(Raw_M!$C$2:$C$2000,Raw_M!$A$2:$A$2000,Stock_Card!$B$2,Raw_M!$F$2:$F$2000,2)/100)-0)*100+MOD(SUMIFS(Raw_M!$C$2:$C$2000,Raw_M!$A$2:$A$2000,Stock_Card!$B$2,Raw_M!$F$2:$F$2000,2),100)))&lt;&gt;MOD(SUMIFS(Raw_M!$C$2:$C$2000,Raw_M!$A$2:$A$2000,Stock_Card!$B$2,Raw_M!$F$2:$F$2000,2),100),COUNTIFS(Raw_M!$A$2:$A$2000,Stock_Card!$B$2,Raw_M!$C$2:$C$2000,"&gt;="&amp;((INT(SUMIFS(Raw_M!$C$2:$C$2000,Raw_M!$A$2:$A$2000,Stock_Card!$B$2,Raw_M!$F$2:$F$2000,2)/100)-1)*100+1),Raw_M!$C$2:$C$2000,"&lt;="&amp;((INT(SUMIFS(Raw_M!$C$2:$C$2000,Raw_M!$A$2:$A$2000,Stock_Card!$B$2,Raw_M!$F$2:$F$2000,2)/100)-1)*100+MOD(SUMIFS(Raw_M!$C$2:$C$2000,Raw_M!$A$2:$A$2000,Stock_Card!$B$2,Raw_M!$F$2:$F$2000,2),100)))&lt;&gt;MOD(SUMIFS(Raw_M!$C$2:$C$2000,Raw_M!$A$2:$A$2000,Stock_Card!$B$2,Raw_M!$F$2:$F$2000,2),100)),"N/M",SUMIFS(Raw_M!$E$2:$E$2000,Raw_M!$A$2:$A$2000,Stock_Card!$B$2,Raw_M!$C$2:$C$2000,"&gt;="&amp;((INT(SUMIFS(Raw_M!$C$2:$C$2000,Raw_M!$A$2:$A$2000,Stock_Card!$B$2,Raw_M!$F$2:$F$2000,2)/100)-0)*100+1),Raw_M!$C$2:$C$2000,"&lt;="&amp;((INT(SUMIFS(Raw_M!$C$2:$C$2000,Raw_M!$A$2:$A$2000,Stock_Card!$B$2,Raw_M!$F$2:$F$2000,2)/100)-0)*100+MOD(SUMIFS(Raw_M!$C$2:$C$2000,Raw_M!$A$2:$A$2000,Stock_Card!$B$2,Raw_M!$F$2:$F$2000,2),100)))/SUMIFS(Raw_M!$E$2:$E$2000,Raw_M!$A$2:$A$2000,Stock_Card!$B$2,Raw_M!$C$2:$C$2000,"&gt;="&amp;((INT(SUMIFS(Raw_M!$C$2:$C$2000,Raw_M!$A$2:$A$2000,Stock_Card!$B$2,Raw_M!$F$2:$F$2000,2)/100)-1)*100+1),Raw_M!$C$2:$C$2000,"&lt;="&amp;((INT(SUMIFS(Raw_M!$C$2:$C$2000,Raw_M!$A$2:$A$2000,Stock_Card!$B$2,Raw_M!$F$2:$F$2000,2)/100)-1)*100+MOD(SUMIFS(Raw_M!$C$2:$C$2000,Raw_M!$A$2:$A$2000,Stock_Card!$B$2,Raw_M!$F$2:$F$2000,2),100)))-1),"N/M"))</f>
        <v>0.373310917867224</v>
      </c>
    </row>
    <row r="7" customFormat="false" ht="15" hidden="false" customHeight="false" outlineLevel="0" collapsed="false">
      <c r="A7" s="73" t="str">
        <f aca="false">IF(Stock_Card!$B$2="","",IFERROR(INDEX(Raw_M!$B$2:$B$2000,MATCH(Stock_Card!$B$2&amp;"|3",Raw_M!$G$2:$G$2000,0)),""))</f>
        <v>2026-08</v>
      </c>
      <c r="B7" s="48" t="n">
        <f aca="false">IF(Stock_Card!$B$2="","",IFERROR(SUMIFS(Raw_M!$E$2:$E$2000,Raw_M!$A$2:$A$2000,Stock_Card!$B$2,Raw_M!$F$2:$F$2000,3),""))</f>
        <v>467580.548</v>
      </c>
      <c r="C7" s="49" t="n">
        <f aca="false">IF(Stock_Card!$B$2="","",IFERROR((SUMIFS(Raw_M!$E$2:$E$2000,Raw_M!$A$2:$A$2000,Stock_Card!$B$2,Raw_M!$F$2:$F$2000,3)/SUMIFS(Raw_M!$E$2:$E$2000,Raw_M!$A$2:$A$2000,Stock_Card!$B$2,Raw_M!$F$2:$F$2000,4)-1),""))</f>
        <v>0.0562496176555032</v>
      </c>
      <c r="D7" s="68" t="n">
        <f aca="false">IF(Stock_Card!$B$2="","",IFERROR(((SUMIFS(Raw_M!$E$2:$E$2000,Raw_M!$A$2:$A$2000,Stock_Card!$B$2,Raw_M!$F$2:$F$2000,3)/SUMIFS(Raw_M!$E$2:$E$2000,Raw_M!$A$2:$A$2000,Stock_Card!$B$2,Raw_M!$F$2:$F$2000,4)-1)-(SUMIFS(Raw_M!$E$2:$E$2000,Raw_M!$A$2:$A$2000,Stock_Card!$B$2,Raw_M!$F$2:$F$2000,4)/SUMIFS(Raw_M!$E$2:$E$2000,Raw_M!$A$2:$A$2000,Stock_Card!$B$2,Raw_M!$F$2:$F$2000,5)-1))*100,""))</f>
        <v>-0.539627466830406</v>
      </c>
      <c r="E7" s="49" t="n">
        <f aca="false">IF(Stock_Card!$B$2="","",IFERROR(IF(OR(NOT(ISNUMBER((SUMIFS(Raw_M!$E$2:$E$2000,Raw_M!$A$2:$A$2000,Stock_Card!$B$2,Raw_M!$F$2:$F$2000,4)/SUMIFS(Raw_M!$E$2:$E$2000,Raw_M!$A$2:$A$2000,Stock_Card!$B$2,Raw_M!$F$2:$F$2000,5)-1))),(SUMIFS(Raw_M!$E$2:$E$2000,Raw_M!$A$2:$A$2000,Stock_Card!$B$2,Raw_M!$F$2:$F$2000,4)/SUMIFS(Raw_M!$E$2:$E$2000,Raw_M!$A$2:$A$2000,Stock_Card!$B$2,Raw_M!$F$2:$F$2000,5)-1)&lt;=0,ABS((SUMIFS(Raw_M!$E$2:$E$2000,Raw_M!$A$2:$A$2000,Stock_Card!$B$2,Raw_M!$F$2:$F$2000,4)/SUMIFS(Raw_M!$E$2:$E$2000,Raw_M!$A$2:$A$2000,Stock_Card!$B$2,Raw_M!$F$2:$F$2000,5)-1))&lt;Config!$B$9),"N/M",((SUMIFS(Raw_M!$E$2:$E$2000,Raw_M!$A$2:$A$2000,Stock_Card!$B$2,Raw_M!$F$2:$F$2000,3)/SUMIFS(Raw_M!$E$2:$E$2000,Raw_M!$A$2:$A$2000,Stock_Card!$B$2,Raw_M!$F$2:$F$2000,4)-1)-(SUMIFS(Raw_M!$E$2:$E$2000,Raw_M!$A$2:$A$2000,Stock_Card!$B$2,Raw_M!$F$2:$F$2000,4)/SUMIFS(Raw_M!$E$2:$E$2000,Raw_M!$A$2:$A$2000,Stock_Card!$B$2,Raw_M!$F$2:$F$2000,5)-1))/ABS((SUMIFS(Raw_M!$E$2:$E$2000,Raw_M!$A$2:$A$2000,Stock_Card!$B$2,Raw_M!$F$2:$F$2000,4)/SUMIFS(Raw_M!$E$2:$E$2000,Raw_M!$A$2:$A$2000,Stock_Card!$B$2,Raw_M!$F$2:$F$2000,5)-1))),"N/M"))</f>
        <v>-0.0875366462368499</v>
      </c>
      <c r="F7" s="49" t="n">
        <f aca="false">IF(Stock_Card!$B$2="","",IFERROR((SUMIFS(Raw_M!$E$2:$E$2000,Raw_M!$A$2:$A$2000,Stock_Card!$B$2,Raw_M!$F$2:$F$2000,3)/SUMIFS(Raw_M!$E$2:$E$2000,Raw_M!$A$2:$A$2000,Stock_Card!$B$2,Raw_M!$F$2:$F$2000,15)-1),""))</f>
        <v>0.446875512691698</v>
      </c>
      <c r="G7" s="68" t="n">
        <f aca="false">IF(Stock_Card!$B$2="","",IFERROR(((SUMIFS(Raw_M!$E$2:$E$2000,Raw_M!$A$2:$A$2000,Stock_Card!$B$2,Raw_M!$F$2:$F$2000,3)/SUMIFS(Raw_M!$E$2:$E$2000,Raw_M!$A$2:$A$2000,Stock_Card!$B$2,Raw_M!$F$2:$F$2000,15)-1)-(SUMIFS(Raw_M!$E$2:$E$2000,Raw_M!$A$2:$A$2000,Stock_Card!$B$2,Raw_M!$F$2:$F$2000,4)/SUMIFS(Raw_M!$E$2:$E$2000,Raw_M!$A$2:$A$2000,Stock_Card!$B$2,Raw_M!$F$2:$F$2000,16)-1))*100,""))</f>
        <v>-23.1793042157428</v>
      </c>
      <c r="H7" s="49" t="n">
        <f aca="false">IF(Stock_Card!$B$2="","",IFERROR(IF(OR(NOT(ISNUMBER((SUMIFS(Raw_M!$E$2:$E$2000,Raw_M!$A$2:$A$2000,Stock_Card!$B$2,Raw_M!$F$2:$F$2000,4)/SUMIFS(Raw_M!$E$2:$E$2000,Raw_M!$A$2:$A$2000,Stock_Card!$B$2,Raw_M!$F$2:$F$2000,16)-1))),(SUMIFS(Raw_M!$E$2:$E$2000,Raw_M!$A$2:$A$2000,Stock_Card!$B$2,Raw_M!$F$2:$F$2000,4)/SUMIFS(Raw_M!$E$2:$E$2000,Raw_M!$A$2:$A$2000,Stock_Card!$B$2,Raw_M!$F$2:$F$2000,16)-1)&lt;=0,ABS((SUMIFS(Raw_M!$E$2:$E$2000,Raw_M!$A$2:$A$2000,Stock_Card!$B$2,Raw_M!$F$2:$F$2000,4)/SUMIFS(Raw_M!$E$2:$E$2000,Raw_M!$A$2:$A$2000,Stock_Card!$B$2,Raw_M!$F$2:$F$2000,16)-1))&lt;Config!$B$9),"N/M",((SUMIFS(Raw_M!$E$2:$E$2000,Raw_M!$A$2:$A$2000,Stock_Card!$B$2,Raw_M!$F$2:$F$2000,3)/SUMIFS(Raw_M!$E$2:$E$2000,Raw_M!$A$2:$A$2000,Stock_Card!$B$2,Raw_M!$F$2:$F$2000,15)-1)-(SUMIFS(Raw_M!$E$2:$E$2000,Raw_M!$A$2:$A$2000,Stock_Card!$B$2,Raw_M!$F$2:$F$2000,4)/SUMIFS(Raw_M!$E$2:$E$2000,Raw_M!$A$2:$A$2000,Stock_Card!$B$2,Raw_M!$F$2:$F$2000,16)-1))/ABS((SUMIFS(Raw_M!$E$2:$E$2000,Raw_M!$A$2:$A$2000,Stock_Card!$B$2,Raw_M!$F$2:$F$2000,4)/SUMIFS(Raw_M!$E$2:$E$2000,Raw_M!$A$2:$A$2000,Stock_Card!$B$2,Raw_M!$F$2:$F$2000,16)-1))),"N/M"))</f>
        <v>-0.341540860411542</v>
      </c>
      <c r="I7" s="69" t="str">
        <f aca="false">IF(Stock_Card!$B$2="","",IFERROR(IF(AND((SUMIFS(Raw_M!$E$2:$E$2000,Raw_M!$A$2:$A$2000,Stock_Card!$B$2,Raw_M!$F$2:$F$2000,4)/SUMIFS(Raw_M!$E$2:$E$2000,Raw_M!$A$2:$A$2000,Stock_Card!$B$2,Raw_M!$F$2:$F$2000,16)-1)&gt;0,(SUMIFS(Raw_M!$E$2:$E$2000,Raw_M!$A$2:$A$2000,Stock_Card!$B$2,Raw_M!$F$2:$F$2000,3)/SUMIFS(Raw_M!$E$2:$E$2000,Raw_M!$A$2:$A$2000,Stock_Card!$B$2,Raw_M!$F$2:$F$2000,15)-1)&lt;=0),"由正轉負",IF(AND((SUMIFS(Raw_M!$E$2:$E$2000,Raw_M!$A$2:$A$2000,Stock_Card!$B$2,Raw_M!$F$2:$F$2000,4)/SUMIFS(Raw_M!$E$2:$E$2000,Raw_M!$A$2:$A$2000,Stock_Card!$B$2,Raw_M!$F$2:$F$2000,16)-1)&lt;=0,(SUMIFS(Raw_M!$E$2:$E$2000,Raw_M!$A$2:$A$2000,Stock_Card!$B$2,Raw_M!$F$2:$F$2000,3)/SUMIFS(Raw_M!$E$2:$E$2000,Raw_M!$A$2:$A$2000,Stock_Card!$B$2,Raw_M!$F$2:$F$2000,15)-1)&gt;0),"由負轉正",IF((SUMIFS(Raw_M!$E$2:$E$2000,Raw_M!$A$2:$A$2000,Stock_Card!$B$2,Raw_M!$F$2:$F$2000,3)/SUMIFS(Raw_M!$E$2:$E$2000,Raw_M!$A$2:$A$2000,Stock_Card!$B$2,Raw_M!$F$2:$F$2000,15)-1)&gt;0,IF(((SUMIFS(Raw_M!$E$2:$E$2000,Raw_M!$A$2:$A$2000,Stock_Card!$B$2,Raw_M!$F$2:$F$2000,3)/SUMIFS(Raw_M!$E$2:$E$2000,Raw_M!$A$2:$A$2000,Stock_Card!$B$2,Raw_M!$F$2:$F$2000,15)-1)-(SUMIFS(Raw_M!$E$2:$E$2000,Raw_M!$A$2:$A$2000,Stock_Card!$B$2,Raw_M!$F$2:$F$2000,4)/SUMIFS(Raw_M!$E$2:$E$2000,Raw_M!$A$2:$A$2000,Stock_Card!$B$2,Raw_M!$F$2:$F$2000,16)-1))*100&gt;0,"成長且加速","成長但減速"),IF(((SUMIFS(Raw_M!$E$2:$E$2000,Raw_M!$A$2:$A$2000,Stock_Card!$B$2,Raw_M!$F$2:$F$2000,3)/SUMIFS(Raw_M!$E$2:$E$2000,Raw_M!$A$2:$A$2000,Stock_Card!$B$2,Raw_M!$F$2:$F$2000,15)-1)-(SUMIFS(Raw_M!$E$2:$E$2000,Raw_M!$A$2:$A$2000,Stock_Card!$B$2,Raw_M!$F$2:$F$2000,4)/SUMIFS(Raw_M!$E$2:$E$2000,Raw_M!$A$2:$A$2000,Stock_Card!$B$2,Raw_M!$F$2:$F$2000,16)-1))*100&gt;0,"衰退但收斂","衰退且惡化")))),""))</f>
        <v>成長但減速</v>
      </c>
      <c r="J7" s="48" t="n">
        <f aca="false">IF(Stock_Card!$B$2="","",IFERROR(SUMIFS(Raw_M!$E$2:$E$2000,Raw_M!$A$2:$A$2000,Stock_Card!$B$2,Raw_M!$C$2:$C$2000,"&gt;="&amp;((INT(SUMIFS(Raw_M!$C$2:$C$2000,Raw_M!$A$2:$A$2000,Stock_Card!$B$2,Raw_M!$F$2:$F$2000,3)/100)-0)*100+1),Raw_M!$C$2:$C$2000,"&lt;="&amp;((INT(SUMIFS(Raw_M!$C$2:$C$2000,Raw_M!$A$2:$A$2000,Stock_Card!$B$2,Raw_M!$F$2:$F$2000,3)/100)-0)*100+MOD(SUMIFS(Raw_M!$C$2:$C$2000,Raw_M!$A$2:$A$2000,Stock_Card!$B$2,Raw_M!$F$2:$F$2000,3),100))),""))</f>
        <v>3207067.806</v>
      </c>
      <c r="K7" s="49" t="n">
        <f aca="false">IF(Stock_Card!$B$2="","",IFERROR(IF(OR(COUNTIFS(Raw_M!$A$2:$A$2000,Stock_Card!$B$2,Raw_M!$C$2:$C$2000,"&gt;="&amp;((INT(SUMIFS(Raw_M!$C$2:$C$2000,Raw_M!$A$2:$A$2000,Stock_Card!$B$2,Raw_M!$F$2:$F$2000,3)/100)-0)*100+1),Raw_M!$C$2:$C$2000,"&lt;="&amp;((INT(SUMIFS(Raw_M!$C$2:$C$2000,Raw_M!$A$2:$A$2000,Stock_Card!$B$2,Raw_M!$F$2:$F$2000,3)/100)-0)*100+MOD(SUMIFS(Raw_M!$C$2:$C$2000,Raw_M!$A$2:$A$2000,Stock_Card!$B$2,Raw_M!$F$2:$F$2000,3),100)))&lt;&gt;MOD(SUMIFS(Raw_M!$C$2:$C$2000,Raw_M!$A$2:$A$2000,Stock_Card!$B$2,Raw_M!$F$2:$F$2000,3),100),COUNTIFS(Raw_M!$A$2:$A$2000,Stock_Card!$B$2,Raw_M!$C$2:$C$2000,"&gt;="&amp;((INT(SUMIFS(Raw_M!$C$2:$C$2000,Raw_M!$A$2:$A$2000,Stock_Card!$B$2,Raw_M!$F$2:$F$2000,3)/100)-1)*100+1),Raw_M!$C$2:$C$2000,"&lt;="&amp;((INT(SUMIFS(Raw_M!$C$2:$C$2000,Raw_M!$A$2:$A$2000,Stock_Card!$B$2,Raw_M!$F$2:$F$2000,3)/100)-1)*100+MOD(SUMIFS(Raw_M!$C$2:$C$2000,Raw_M!$A$2:$A$2000,Stock_Card!$B$2,Raw_M!$F$2:$F$2000,3),100)))&lt;&gt;MOD(SUMIFS(Raw_M!$C$2:$C$2000,Raw_M!$A$2:$A$2000,Stock_Card!$B$2,Raw_M!$F$2:$F$2000,3),100)),"N/M",SUMIFS(Raw_M!$E$2:$E$2000,Raw_M!$A$2:$A$2000,Stock_Card!$B$2,Raw_M!$C$2:$C$2000,"&gt;="&amp;((INT(SUMIFS(Raw_M!$C$2:$C$2000,Raw_M!$A$2:$A$2000,Stock_Card!$B$2,Raw_M!$F$2:$F$2000,3)/100)-0)*100+1),Raw_M!$C$2:$C$2000,"&lt;="&amp;((INT(SUMIFS(Raw_M!$C$2:$C$2000,Raw_M!$A$2:$A$2000,Stock_Card!$B$2,Raw_M!$F$2:$F$2000,3)/100)-0)*100+MOD(SUMIFS(Raw_M!$C$2:$C$2000,Raw_M!$A$2:$A$2000,Stock_Card!$B$2,Raw_M!$F$2:$F$2000,3),100)))/SUMIFS(Raw_M!$E$2:$E$2000,Raw_M!$A$2:$A$2000,Stock_Card!$B$2,Raw_M!$C$2:$C$2000,"&gt;="&amp;((INT(SUMIFS(Raw_M!$C$2:$C$2000,Raw_M!$A$2:$A$2000,Stock_Card!$B$2,Raw_M!$F$2:$F$2000,3)/100)-1)*100+1),Raw_M!$C$2:$C$2000,"&lt;="&amp;((INT(SUMIFS(Raw_M!$C$2:$C$2000,Raw_M!$A$2:$A$2000,Stock_Card!$B$2,Raw_M!$F$2:$F$2000,3)/100)-1)*100+MOD(SUMIFS(Raw_M!$C$2:$C$2000,Raw_M!$A$2:$A$2000,Stock_Card!$B$2,Raw_M!$F$2:$F$2000,3),100)))-1),"N/M"))</f>
        <v>0.350700158149915</v>
      </c>
    </row>
    <row r="8" customFormat="false" ht="15" hidden="false" customHeight="false" outlineLevel="0" collapsed="false">
      <c r="A8" s="73" t="str">
        <f aca="false">IF(Stock_Card!$B$2="","",IFERROR(INDEX(Raw_M!$B$2:$B$2000,MATCH(Stock_Card!$B$2&amp;"|4",Raw_M!$G$2:$G$2000,0)),""))</f>
        <v>2026-07</v>
      </c>
      <c r="B8" s="48" t="n">
        <f aca="false">IF(Stock_Card!$B$2="","",IFERROR(SUMIFS(Raw_M!$E$2:$E$2000,Raw_M!$A$2:$A$2000,Stock_Card!$B$2,Raw_M!$F$2:$F$2000,4),""))</f>
        <v>442679.969</v>
      </c>
      <c r="C8" s="49" t="n">
        <f aca="false">IF(Stock_Card!$B$2="","",IFERROR((SUMIFS(Raw_M!$E$2:$E$2000,Raw_M!$A$2:$A$2000,Stock_Card!$B$2,Raw_M!$F$2:$F$2000,4)/SUMIFS(Raw_M!$E$2:$E$2000,Raw_M!$A$2:$A$2000,Stock_Card!$B$2,Raw_M!$F$2:$F$2000,5)-1),""))</f>
        <v>0.0616458923238072</v>
      </c>
      <c r="D8" s="68" t="n">
        <f aca="false">IF(Stock_Card!$B$2="","",IFERROR(((SUMIFS(Raw_M!$E$2:$E$2000,Raw_M!$A$2:$A$2000,Stock_Card!$B$2,Raw_M!$F$2:$F$2000,4)/SUMIFS(Raw_M!$E$2:$E$2000,Raw_M!$A$2:$A$2000,Stock_Card!$B$2,Raw_M!$F$2:$F$2000,5)-1)-(SUMIFS(Raw_M!$E$2:$E$2000,Raw_M!$A$2:$A$2000,Stock_Card!$B$2,Raw_M!$F$2:$F$2000,5)/SUMIFS(Raw_M!$E$2:$E$2000,Raw_M!$A$2:$A$2000,Stock_Card!$B$2,Raw_M!$F$2:$F$2000,6)-1))*100,""))</f>
        <v>4.64287927939948</v>
      </c>
      <c r="E8" s="49" t="str">
        <f aca="false">IF(Stock_Card!$B$2="","",IFERROR(IF(OR(NOT(ISNUMBER((SUMIFS(Raw_M!$E$2:$E$2000,Raw_M!$A$2:$A$2000,Stock_Card!$B$2,Raw_M!$F$2:$F$2000,5)/SUMIFS(Raw_M!$E$2:$E$2000,Raw_M!$A$2:$A$2000,Stock_Card!$B$2,Raw_M!$F$2:$F$2000,6)-1))),(SUMIFS(Raw_M!$E$2:$E$2000,Raw_M!$A$2:$A$2000,Stock_Card!$B$2,Raw_M!$F$2:$F$2000,5)/SUMIFS(Raw_M!$E$2:$E$2000,Raw_M!$A$2:$A$2000,Stock_Card!$B$2,Raw_M!$F$2:$F$2000,6)-1)&lt;=0,ABS((SUMIFS(Raw_M!$E$2:$E$2000,Raw_M!$A$2:$A$2000,Stock_Card!$B$2,Raw_M!$F$2:$F$2000,5)/SUMIFS(Raw_M!$E$2:$E$2000,Raw_M!$A$2:$A$2000,Stock_Card!$B$2,Raw_M!$F$2:$F$2000,6)-1))&lt;Config!$B$9),"N/M",((SUMIFS(Raw_M!$E$2:$E$2000,Raw_M!$A$2:$A$2000,Stock_Card!$B$2,Raw_M!$F$2:$F$2000,4)/SUMIFS(Raw_M!$E$2:$E$2000,Raw_M!$A$2:$A$2000,Stock_Card!$B$2,Raw_M!$F$2:$F$2000,5)-1)-(SUMIFS(Raw_M!$E$2:$E$2000,Raw_M!$A$2:$A$2000,Stock_Card!$B$2,Raw_M!$F$2:$F$2000,5)/SUMIFS(Raw_M!$E$2:$E$2000,Raw_M!$A$2:$A$2000,Stock_Card!$B$2,Raw_M!$F$2:$F$2000,6)-1))/ABS((SUMIFS(Raw_M!$E$2:$E$2000,Raw_M!$A$2:$A$2000,Stock_Card!$B$2,Raw_M!$F$2:$F$2000,5)/SUMIFS(Raw_M!$E$2:$E$2000,Raw_M!$A$2:$A$2000,Stock_Card!$B$2,Raw_M!$F$2:$F$2000,6)-1))),"N/M"))</f>
        <v>N/M</v>
      </c>
      <c r="F8" s="49" t="n">
        <f aca="false">IF(Stock_Card!$B$2="","",IFERROR((SUMIFS(Raw_M!$E$2:$E$2000,Raw_M!$A$2:$A$2000,Stock_Card!$B$2,Raw_M!$F$2:$F$2000,4)/SUMIFS(Raw_M!$E$2:$E$2000,Raw_M!$A$2:$A$2000,Stock_Card!$B$2,Raw_M!$F$2:$F$2000,16)-1),""))</f>
        <v>0.678668554849126</v>
      </c>
      <c r="G8" s="68" t="n">
        <f aca="false">IF(Stock_Card!$B$2="","",IFERROR(((SUMIFS(Raw_M!$E$2:$E$2000,Raw_M!$A$2:$A$2000,Stock_Card!$B$2,Raw_M!$F$2:$F$2000,4)/SUMIFS(Raw_M!$E$2:$E$2000,Raw_M!$A$2:$A$2000,Stock_Card!$B$2,Raw_M!$F$2:$F$2000,16)-1)-(SUMIFS(Raw_M!$E$2:$E$2000,Raw_M!$A$2:$A$2000,Stock_Card!$B$2,Raw_M!$F$2:$F$2000,5)/SUMIFS(Raw_M!$E$2:$E$2000,Raw_M!$A$2:$A$2000,Stock_Card!$B$2,Raw_M!$F$2:$F$2000,17)-1))*100,""))</f>
        <v>37.7718752821956</v>
      </c>
      <c r="H8" s="49" t="n">
        <f aca="false">IF(Stock_Card!$B$2="","",IFERROR(IF(OR(NOT(ISNUMBER((SUMIFS(Raw_M!$E$2:$E$2000,Raw_M!$A$2:$A$2000,Stock_Card!$B$2,Raw_M!$F$2:$F$2000,5)/SUMIFS(Raw_M!$E$2:$E$2000,Raw_M!$A$2:$A$2000,Stock_Card!$B$2,Raw_M!$F$2:$F$2000,17)-1))),(SUMIFS(Raw_M!$E$2:$E$2000,Raw_M!$A$2:$A$2000,Stock_Card!$B$2,Raw_M!$F$2:$F$2000,5)/SUMIFS(Raw_M!$E$2:$E$2000,Raw_M!$A$2:$A$2000,Stock_Card!$B$2,Raw_M!$F$2:$F$2000,17)-1)&lt;=0,ABS((SUMIFS(Raw_M!$E$2:$E$2000,Raw_M!$A$2:$A$2000,Stock_Card!$B$2,Raw_M!$F$2:$F$2000,5)/SUMIFS(Raw_M!$E$2:$E$2000,Raw_M!$A$2:$A$2000,Stock_Card!$B$2,Raw_M!$F$2:$F$2000,17)-1))&lt;Config!$B$9),"N/M",((SUMIFS(Raw_M!$E$2:$E$2000,Raw_M!$A$2:$A$2000,Stock_Card!$B$2,Raw_M!$F$2:$F$2000,4)/SUMIFS(Raw_M!$E$2:$E$2000,Raw_M!$A$2:$A$2000,Stock_Card!$B$2,Raw_M!$F$2:$F$2000,16)-1)-(SUMIFS(Raw_M!$E$2:$E$2000,Raw_M!$A$2:$A$2000,Stock_Card!$B$2,Raw_M!$F$2:$F$2000,5)/SUMIFS(Raw_M!$E$2:$E$2000,Raw_M!$A$2:$A$2000,Stock_Card!$B$2,Raw_M!$F$2:$F$2000,17)-1))/ABS((SUMIFS(Raw_M!$E$2:$E$2000,Raw_M!$A$2:$A$2000,Stock_Card!$B$2,Raw_M!$F$2:$F$2000,5)/SUMIFS(Raw_M!$E$2:$E$2000,Raw_M!$A$2:$A$2000,Stock_Card!$B$2,Raw_M!$F$2:$F$2000,17)-1))),"N/M"))</f>
        <v>1.25508888950143</v>
      </c>
      <c r="I8" s="69" t="str">
        <f aca="false">IF(Stock_Card!$B$2="","",IFERROR(IF(AND((SUMIFS(Raw_M!$E$2:$E$2000,Raw_M!$A$2:$A$2000,Stock_Card!$B$2,Raw_M!$F$2:$F$2000,5)/SUMIFS(Raw_M!$E$2:$E$2000,Raw_M!$A$2:$A$2000,Stock_Card!$B$2,Raw_M!$F$2:$F$2000,17)-1)&gt;0,(SUMIFS(Raw_M!$E$2:$E$2000,Raw_M!$A$2:$A$2000,Stock_Card!$B$2,Raw_M!$F$2:$F$2000,4)/SUMIFS(Raw_M!$E$2:$E$2000,Raw_M!$A$2:$A$2000,Stock_Card!$B$2,Raw_M!$F$2:$F$2000,16)-1)&lt;=0),"由正轉負",IF(AND((SUMIFS(Raw_M!$E$2:$E$2000,Raw_M!$A$2:$A$2000,Stock_Card!$B$2,Raw_M!$F$2:$F$2000,5)/SUMIFS(Raw_M!$E$2:$E$2000,Raw_M!$A$2:$A$2000,Stock_Card!$B$2,Raw_M!$F$2:$F$2000,17)-1)&lt;=0,(SUMIFS(Raw_M!$E$2:$E$2000,Raw_M!$A$2:$A$2000,Stock_Card!$B$2,Raw_M!$F$2:$F$2000,4)/SUMIFS(Raw_M!$E$2:$E$2000,Raw_M!$A$2:$A$2000,Stock_Card!$B$2,Raw_M!$F$2:$F$2000,16)-1)&gt;0),"由負轉正",IF((SUMIFS(Raw_M!$E$2:$E$2000,Raw_M!$A$2:$A$2000,Stock_Card!$B$2,Raw_M!$F$2:$F$2000,4)/SUMIFS(Raw_M!$E$2:$E$2000,Raw_M!$A$2:$A$2000,Stock_Card!$B$2,Raw_M!$F$2:$F$2000,16)-1)&gt;0,IF(((SUMIFS(Raw_M!$E$2:$E$2000,Raw_M!$A$2:$A$2000,Stock_Card!$B$2,Raw_M!$F$2:$F$2000,4)/SUMIFS(Raw_M!$E$2:$E$2000,Raw_M!$A$2:$A$2000,Stock_Card!$B$2,Raw_M!$F$2:$F$2000,16)-1)-(SUMIFS(Raw_M!$E$2:$E$2000,Raw_M!$A$2:$A$2000,Stock_Card!$B$2,Raw_M!$F$2:$F$2000,5)/SUMIFS(Raw_M!$E$2:$E$2000,Raw_M!$A$2:$A$2000,Stock_Card!$B$2,Raw_M!$F$2:$F$2000,17)-1))*100&gt;0,"成長且加速","成長但減速"),IF(((SUMIFS(Raw_M!$E$2:$E$2000,Raw_M!$A$2:$A$2000,Stock_Card!$B$2,Raw_M!$F$2:$F$2000,4)/SUMIFS(Raw_M!$E$2:$E$2000,Raw_M!$A$2:$A$2000,Stock_Card!$B$2,Raw_M!$F$2:$F$2000,16)-1)-(SUMIFS(Raw_M!$E$2:$E$2000,Raw_M!$A$2:$A$2000,Stock_Card!$B$2,Raw_M!$F$2:$F$2000,5)/SUMIFS(Raw_M!$E$2:$E$2000,Raw_M!$A$2:$A$2000,Stock_Card!$B$2,Raw_M!$F$2:$F$2000,17)-1))*100&gt;0,"衰退但收斂","衰退且惡化")))),""))</f>
        <v>成長且加速</v>
      </c>
      <c r="J8" s="48" t="n">
        <f aca="false">IF(Stock_Card!$B$2="","",IFERROR(SUMIFS(Raw_M!$E$2:$E$2000,Raw_M!$A$2:$A$2000,Stock_Card!$B$2,Raw_M!$C$2:$C$2000,"&gt;="&amp;((INT(SUMIFS(Raw_M!$C$2:$C$2000,Raw_M!$A$2:$A$2000,Stock_Card!$B$2,Raw_M!$F$2:$F$2000,4)/100)-0)*100+1),Raw_M!$C$2:$C$2000,"&lt;="&amp;((INT(SUMIFS(Raw_M!$C$2:$C$2000,Raw_M!$A$2:$A$2000,Stock_Card!$B$2,Raw_M!$F$2:$F$2000,4)/100)-0)*100+MOD(SUMIFS(Raw_M!$C$2:$C$2000,Raw_M!$A$2:$A$2000,Stock_Card!$B$2,Raw_M!$F$2:$F$2000,4),100))),""))</f>
        <v>2739487.258</v>
      </c>
      <c r="K8" s="49" t="n">
        <f aca="false">IF(Stock_Card!$B$2="","",IFERROR(IF(OR(COUNTIFS(Raw_M!$A$2:$A$2000,Stock_Card!$B$2,Raw_M!$C$2:$C$2000,"&gt;="&amp;((INT(SUMIFS(Raw_M!$C$2:$C$2000,Raw_M!$A$2:$A$2000,Stock_Card!$B$2,Raw_M!$F$2:$F$2000,4)/100)-0)*100+1),Raw_M!$C$2:$C$2000,"&lt;="&amp;((INT(SUMIFS(Raw_M!$C$2:$C$2000,Raw_M!$A$2:$A$2000,Stock_Card!$B$2,Raw_M!$F$2:$F$2000,4)/100)-0)*100+MOD(SUMIFS(Raw_M!$C$2:$C$2000,Raw_M!$A$2:$A$2000,Stock_Card!$B$2,Raw_M!$F$2:$F$2000,4),100)))&lt;&gt;MOD(SUMIFS(Raw_M!$C$2:$C$2000,Raw_M!$A$2:$A$2000,Stock_Card!$B$2,Raw_M!$F$2:$F$2000,4),100),COUNTIFS(Raw_M!$A$2:$A$2000,Stock_Card!$B$2,Raw_M!$C$2:$C$2000,"&gt;="&amp;((INT(SUMIFS(Raw_M!$C$2:$C$2000,Raw_M!$A$2:$A$2000,Stock_Card!$B$2,Raw_M!$F$2:$F$2000,4)/100)-1)*100+1),Raw_M!$C$2:$C$2000,"&lt;="&amp;((INT(SUMIFS(Raw_M!$C$2:$C$2000,Raw_M!$A$2:$A$2000,Stock_Card!$B$2,Raw_M!$F$2:$F$2000,4)/100)-1)*100+MOD(SUMIFS(Raw_M!$C$2:$C$2000,Raw_M!$A$2:$A$2000,Stock_Card!$B$2,Raw_M!$F$2:$F$2000,4),100)))&lt;&gt;MOD(SUMIFS(Raw_M!$C$2:$C$2000,Raw_M!$A$2:$A$2000,Stock_Card!$B$2,Raw_M!$F$2:$F$2000,4),100)),"N/M",SUMIFS(Raw_M!$E$2:$E$2000,Raw_M!$A$2:$A$2000,Stock_Card!$B$2,Raw_M!$C$2:$C$2000,"&gt;="&amp;((INT(SUMIFS(Raw_M!$C$2:$C$2000,Raw_M!$A$2:$A$2000,Stock_Card!$B$2,Raw_M!$F$2:$F$2000,4)/100)-0)*100+1),Raw_M!$C$2:$C$2000,"&lt;="&amp;((INT(SUMIFS(Raw_M!$C$2:$C$2000,Raw_M!$A$2:$A$2000,Stock_Card!$B$2,Raw_M!$F$2:$F$2000,4)/100)-0)*100+MOD(SUMIFS(Raw_M!$C$2:$C$2000,Raw_M!$A$2:$A$2000,Stock_Card!$B$2,Raw_M!$F$2:$F$2000,4),100)))/SUMIFS(Raw_M!$E$2:$E$2000,Raw_M!$A$2:$A$2000,Stock_Card!$B$2,Raw_M!$C$2:$C$2000,"&gt;="&amp;((INT(SUMIFS(Raw_M!$C$2:$C$2000,Raw_M!$A$2:$A$2000,Stock_Card!$B$2,Raw_M!$F$2:$F$2000,4)/100)-1)*100+1),Raw_M!$C$2:$C$2000,"&lt;="&amp;((INT(SUMIFS(Raw_M!$C$2:$C$2000,Raw_M!$A$2:$A$2000,Stock_Card!$B$2,Raw_M!$F$2:$F$2000,4)/100)-1)*100+MOD(SUMIFS(Raw_M!$C$2:$C$2000,Raw_M!$A$2:$A$2000,Stock_Card!$B$2,Raw_M!$F$2:$F$2000,4),100)))-1),"N/M"))</f>
        <v>0.335547834860914</v>
      </c>
    </row>
    <row r="9" customFormat="false" ht="15" hidden="false" customHeight="false" outlineLevel="0" collapsed="false">
      <c r="A9" s="73" t="str">
        <f aca="false">IF(Stock_Card!$B$2="","",IFERROR(INDEX(Raw_M!$B$2:$B$2000,MATCH(Stock_Card!$B$2&amp;"|5",Raw_M!$G$2:$G$2000,0)),""))</f>
        <v>2026-06</v>
      </c>
      <c r="B9" s="48" t="n">
        <f aca="false">IF(Stock_Card!$B$2="","",IFERROR(SUMIFS(Raw_M!$E$2:$E$2000,Raw_M!$A$2:$A$2000,Stock_Card!$B$2,Raw_M!$F$2:$F$2000,5),""))</f>
        <v>416975.163</v>
      </c>
      <c r="C9" s="49" t="n">
        <f aca="false">IF(Stock_Card!$B$2="","",IFERROR((SUMIFS(Raw_M!$E$2:$E$2000,Raw_M!$A$2:$A$2000,Stock_Card!$B$2,Raw_M!$F$2:$F$2000,5)/SUMIFS(Raw_M!$E$2:$E$2000,Raw_M!$A$2:$A$2000,Stock_Card!$B$2,Raw_M!$F$2:$F$2000,6)-1),""))</f>
        <v>0.0152170995298124</v>
      </c>
      <c r="D9" s="68" t="n">
        <f aca="false">IF(Stock_Card!$B$2="","",IFERROR(((SUMIFS(Raw_M!$E$2:$E$2000,Raw_M!$A$2:$A$2000,Stock_Card!$B$2,Raw_M!$F$2:$F$2000,5)/SUMIFS(Raw_M!$E$2:$E$2000,Raw_M!$A$2:$A$2000,Stock_Card!$B$2,Raw_M!$F$2:$F$2000,6)-1)-(SUMIFS(Raw_M!$E$2:$E$2000,Raw_M!$A$2:$A$2000,Stock_Card!$B$2,Raw_M!$F$2:$F$2000,6)/SUMIFS(Raw_M!$E$2:$E$2000,Raw_M!$A$2:$A$2000,Stock_Card!$B$2,Raw_M!$F$2:$F$2000,7)-1))*100,""))</f>
        <v>2.59749759776264</v>
      </c>
      <c r="E9" s="49" t="str">
        <f aca="false">IF(Stock_Card!$B$2="","",IFERROR(IF(OR(NOT(ISNUMBER((SUMIFS(Raw_M!$E$2:$E$2000,Raw_M!$A$2:$A$2000,Stock_Card!$B$2,Raw_M!$F$2:$F$2000,6)/SUMIFS(Raw_M!$E$2:$E$2000,Raw_M!$A$2:$A$2000,Stock_Card!$B$2,Raw_M!$F$2:$F$2000,7)-1))),(SUMIFS(Raw_M!$E$2:$E$2000,Raw_M!$A$2:$A$2000,Stock_Card!$B$2,Raw_M!$F$2:$F$2000,6)/SUMIFS(Raw_M!$E$2:$E$2000,Raw_M!$A$2:$A$2000,Stock_Card!$B$2,Raw_M!$F$2:$F$2000,7)-1)&lt;=0,ABS((SUMIFS(Raw_M!$E$2:$E$2000,Raw_M!$A$2:$A$2000,Stock_Card!$B$2,Raw_M!$F$2:$F$2000,6)/SUMIFS(Raw_M!$E$2:$E$2000,Raw_M!$A$2:$A$2000,Stock_Card!$B$2,Raw_M!$F$2:$F$2000,7)-1))&lt;Config!$B$9),"N/M",((SUMIFS(Raw_M!$E$2:$E$2000,Raw_M!$A$2:$A$2000,Stock_Card!$B$2,Raw_M!$F$2:$F$2000,5)/SUMIFS(Raw_M!$E$2:$E$2000,Raw_M!$A$2:$A$2000,Stock_Card!$B$2,Raw_M!$F$2:$F$2000,6)-1)-(SUMIFS(Raw_M!$E$2:$E$2000,Raw_M!$A$2:$A$2000,Stock_Card!$B$2,Raw_M!$F$2:$F$2000,6)/SUMIFS(Raw_M!$E$2:$E$2000,Raw_M!$A$2:$A$2000,Stock_Card!$B$2,Raw_M!$F$2:$F$2000,7)-1))/ABS((SUMIFS(Raw_M!$E$2:$E$2000,Raw_M!$A$2:$A$2000,Stock_Card!$B$2,Raw_M!$F$2:$F$2000,6)/SUMIFS(Raw_M!$E$2:$E$2000,Raw_M!$A$2:$A$2000,Stock_Card!$B$2,Raw_M!$F$2:$F$2000,7)-1))),"N/M"))</f>
        <v>N/M</v>
      </c>
      <c r="F9" s="49" t="n">
        <f aca="false">IF(Stock_Card!$B$2="","",IFERROR((SUMIFS(Raw_M!$E$2:$E$2000,Raw_M!$A$2:$A$2000,Stock_Card!$B$2,Raw_M!$F$2:$F$2000,5)/SUMIFS(Raw_M!$E$2:$E$2000,Raw_M!$A$2:$A$2000,Stock_Card!$B$2,Raw_M!$F$2:$F$2000,17)-1),""))</f>
        <v>0.30094980202717</v>
      </c>
      <c r="G9" s="68" t="n">
        <f aca="false">IF(Stock_Card!$B$2="","",IFERROR(((SUMIFS(Raw_M!$E$2:$E$2000,Raw_M!$A$2:$A$2000,Stock_Card!$B$2,Raw_M!$F$2:$F$2000,5)/SUMIFS(Raw_M!$E$2:$E$2000,Raw_M!$A$2:$A$2000,Stock_Card!$B$2,Raw_M!$F$2:$F$2000,17)-1)-(SUMIFS(Raw_M!$E$2:$E$2000,Raw_M!$A$2:$A$2000,Stock_Card!$B$2,Raw_M!$F$2:$F$2000,6)/SUMIFS(Raw_M!$E$2:$E$2000,Raw_M!$A$2:$A$2000,Stock_Card!$B$2,Raw_M!$F$2:$F$2000,18)-1))*100,""))</f>
        <v>12.5995677360804</v>
      </c>
      <c r="H9" s="49" t="n">
        <f aca="false">IF(Stock_Card!$B$2="","",IFERROR(IF(OR(NOT(ISNUMBER((SUMIFS(Raw_M!$E$2:$E$2000,Raw_M!$A$2:$A$2000,Stock_Card!$B$2,Raw_M!$F$2:$F$2000,6)/SUMIFS(Raw_M!$E$2:$E$2000,Raw_M!$A$2:$A$2000,Stock_Card!$B$2,Raw_M!$F$2:$F$2000,18)-1))),(SUMIFS(Raw_M!$E$2:$E$2000,Raw_M!$A$2:$A$2000,Stock_Card!$B$2,Raw_M!$F$2:$F$2000,6)/SUMIFS(Raw_M!$E$2:$E$2000,Raw_M!$A$2:$A$2000,Stock_Card!$B$2,Raw_M!$F$2:$F$2000,18)-1)&lt;=0,ABS((SUMIFS(Raw_M!$E$2:$E$2000,Raw_M!$A$2:$A$2000,Stock_Card!$B$2,Raw_M!$F$2:$F$2000,6)/SUMIFS(Raw_M!$E$2:$E$2000,Raw_M!$A$2:$A$2000,Stock_Card!$B$2,Raw_M!$F$2:$F$2000,18)-1))&lt;Config!$B$9),"N/M",((SUMIFS(Raw_M!$E$2:$E$2000,Raw_M!$A$2:$A$2000,Stock_Card!$B$2,Raw_M!$F$2:$F$2000,5)/SUMIFS(Raw_M!$E$2:$E$2000,Raw_M!$A$2:$A$2000,Stock_Card!$B$2,Raw_M!$F$2:$F$2000,17)-1)-(SUMIFS(Raw_M!$E$2:$E$2000,Raw_M!$A$2:$A$2000,Stock_Card!$B$2,Raw_M!$F$2:$F$2000,6)/SUMIFS(Raw_M!$E$2:$E$2000,Raw_M!$A$2:$A$2000,Stock_Card!$B$2,Raw_M!$F$2:$F$2000,18)-1))/ABS((SUMIFS(Raw_M!$E$2:$E$2000,Raw_M!$A$2:$A$2000,Stock_Card!$B$2,Raw_M!$F$2:$F$2000,6)/SUMIFS(Raw_M!$E$2:$E$2000,Raw_M!$A$2:$A$2000,Stock_Card!$B$2,Raw_M!$F$2:$F$2000,18)-1))),"N/M"))</f>
        <v>0.720164086448807</v>
      </c>
      <c r="I9" s="69" t="str">
        <f aca="false">IF(Stock_Card!$B$2="","",IFERROR(IF(AND((SUMIFS(Raw_M!$E$2:$E$2000,Raw_M!$A$2:$A$2000,Stock_Card!$B$2,Raw_M!$F$2:$F$2000,6)/SUMIFS(Raw_M!$E$2:$E$2000,Raw_M!$A$2:$A$2000,Stock_Card!$B$2,Raw_M!$F$2:$F$2000,18)-1)&gt;0,(SUMIFS(Raw_M!$E$2:$E$2000,Raw_M!$A$2:$A$2000,Stock_Card!$B$2,Raw_M!$F$2:$F$2000,5)/SUMIFS(Raw_M!$E$2:$E$2000,Raw_M!$A$2:$A$2000,Stock_Card!$B$2,Raw_M!$F$2:$F$2000,17)-1)&lt;=0),"由正轉負",IF(AND((SUMIFS(Raw_M!$E$2:$E$2000,Raw_M!$A$2:$A$2000,Stock_Card!$B$2,Raw_M!$F$2:$F$2000,6)/SUMIFS(Raw_M!$E$2:$E$2000,Raw_M!$A$2:$A$2000,Stock_Card!$B$2,Raw_M!$F$2:$F$2000,18)-1)&lt;=0,(SUMIFS(Raw_M!$E$2:$E$2000,Raw_M!$A$2:$A$2000,Stock_Card!$B$2,Raw_M!$F$2:$F$2000,5)/SUMIFS(Raw_M!$E$2:$E$2000,Raw_M!$A$2:$A$2000,Stock_Card!$B$2,Raw_M!$F$2:$F$2000,17)-1)&gt;0),"由負轉正",IF((SUMIFS(Raw_M!$E$2:$E$2000,Raw_M!$A$2:$A$2000,Stock_Card!$B$2,Raw_M!$F$2:$F$2000,5)/SUMIFS(Raw_M!$E$2:$E$2000,Raw_M!$A$2:$A$2000,Stock_Card!$B$2,Raw_M!$F$2:$F$2000,17)-1)&gt;0,IF(((SUMIFS(Raw_M!$E$2:$E$2000,Raw_M!$A$2:$A$2000,Stock_Card!$B$2,Raw_M!$F$2:$F$2000,5)/SUMIFS(Raw_M!$E$2:$E$2000,Raw_M!$A$2:$A$2000,Stock_Card!$B$2,Raw_M!$F$2:$F$2000,17)-1)-(SUMIFS(Raw_M!$E$2:$E$2000,Raw_M!$A$2:$A$2000,Stock_Card!$B$2,Raw_M!$F$2:$F$2000,6)/SUMIFS(Raw_M!$E$2:$E$2000,Raw_M!$A$2:$A$2000,Stock_Card!$B$2,Raw_M!$F$2:$F$2000,18)-1))*100&gt;0,"成長且加速","成長但減速"),IF(((SUMIFS(Raw_M!$E$2:$E$2000,Raw_M!$A$2:$A$2000,Stock_Card!$B$2,Raw_M!$F$2:$F$2000,5)/SUMIFS(Raw_M!$E$2:$E$2000,Raw_M!$A$2:$A$2000,Stock_Card!$B$2,Raw_M!$F$2:$F$2000,17)-1)-(SUMIFS(Raw_M!$E$2:$E$2000,Raw_M!$A$2:$A$2000,Stock_Card!$B$2,Raw_M!$F$2:$F$2000,6)/SUMIFS(Raw_M!$E$2:$E$2000,Raw_M!$A$2:$A$2000,Stock_Card!$B$2,Raw_M!$F$2:$F$2000,18)-1))*100&gt;0,"衰退但收斂","衰退且惡化")))),""))</f>
        <v>成長且加速</v>
      </c>
      <c r="J9" s="48" t="n">
        <f aca="false">IF(Stock_Card!$B$2="","",IFERROR(SUMIFS(Raw_M!$E$2:$E$2000,Raw_M!$A$2:$A$2000,Stock_Card!$B$2,Raw_M!$C$2:$C$2000,"&gt;="&amp;((INT(SUMIFS(Raw_M!$C$2:$C$2000,Raw_M!$A$2:$A$2000,Stock_Card!$B$2,Raw_M!$F$2:$F$2000,5)/100)-0)*100+1),Raw_M!$C$2:$C$2000,"&lt;="&amp;((INT(SUMIFS(Raw_M!$C$2:$C$2000,Raw_M!$A$2:$A$2000,Stock_Card!$B$2,Raw_M!$F$2:$F$2000,5)/100)-0)*100+MOD(SUMIFS(Raw_M!$C$2:$C$2000,Raw_M!$A$2:$A$2000,Stock_Card!$B$2,Raw_M!$F$2:$F$2000,5),100))),""))</f>
        <v>2296807.289</v>
      </c>
      <c r="K9" s="49" t="n">
        <f aca="false">IF(Stock_Card!$B$2="","",IFERROR(IF(OR(COUNTIFS(Raw_M!$A$2:$A$2000,Stock_Card!$B$2,Raw_M!$C$2:$C$2000,"&gt;="&amp;((INT(SUMIFS(Raw_M!$C$2:$C$2000,Raw_M!$A$2:$A$2000,Stock_Card!$B$2,Raw_M!$F$2:$F$2000,5)/100)-0)*100+1),Raw_M!$C$2:$C$2000,"&lt;="&amp;((INT(SUMIFS(Raw_M!$C$2:$C$2000,Raw_M!$A$2:$A$2000,Stock_Card!$B$2,Raw_M!$F$2:$F$2000,5)/100)-0)*100+MOD(SUMIFS(Raw_M!$C$2:$C$2000,Raw_M!$A$2:$A$2000,Stock_Card!$B$2,Raw_M!$F$2:$F$2000,5),100)))&lt;&gt;MOD(SUMIFS(Raw_M!$C$2:$C$2000,Raw_M!$A$2:$A$2000,Stock_Card!$B$2,Raw_M!$F$2:$F$2000,5),100),COUNTIFS(Raw_M!$A$2:$A$2000,Stock_Card!$B$2,Raw_M!$C$2:$C$2000,"&gt;="&amp;((INT(SUMIFS(Raw_M!$C$2:$C$2000,Raw_M!$A$2:$A$2000,Stock_Card!$B$2,Raw_M!$F$2:$F$2000,5)/100)-1)*100+1),Raw_M!$C$2:$C$2000,"&lt;="&amp;((INT(SUMIFS(Raw_M!$C$2:$C$2000,Raw_M!$A$2:$A$2000,Stock_Card!$B$2,Raw_M!$F$2:$F$2000,5)/100)-1)*100+MOD(SUMIFS(Raw_M!$C$2:$C$2000,Raw_M!$A$2:$A$2000,Stock_Card!$B$2,Raw_M!$F$2:$F$2000,5),100)))&lt;&gt;MOD(SUMIFS(Raw_M!$C$2:$C$2000,Raw_M!$A$2:$A$2000,Stock_Card!$B$2,Raw_M!$F$2:$F$2000,5),100)),"N/M",SUMIFS(Raw_M!$E$2:$E$2000,Raw_M!$A$2:$A$2000,Stock_Card!$B$2,Raw_M!$C$2:$C$2000,"&gt;="&amp;((INT(SUMIFS(Raw_M!$C$2:$C$2000,Raw_M!$A$2:$A$2000,Stock_Card!$B$2,Raw_M!$F$2:$F$2000,5)/100)-0)*100+1),Raw_M!$C$2:$C$2000,"&lt;="&amp;((INT(SUMIFS(Raw_M!$C$2:$C$2000,Raw_M!$A$2:$A$2000,Stock_Card!$B$2,Raw_M!$F$2:$F$2000,5)/100)-0)*100+MOD(SUMIFS(Raw_M!$C$2:$C$2000,Raw_M!$A$2:$A$2000,Stock_Card!$B$2,Raw_M!$F$2:$F$2000,5),100)))/SUMIFS(Raw_M!$E$2:$E$2000,Raw_M!$A$2:$A$2000,Stock_Card!$B$2,Raw_M!$C$2:$C$2000,"&gt;="&amp;((INT(SUMIFS(Raw_M!$C$2:$C$2000,Raw_M!$A$2:$A$2000,Stock_Card!$B$2,Raw_M!$F$2:$F$2000,5)/100)-1)*100+1),Raw_M!$C$2:$C$2000,"&lt;="&amp;((INT(SUMIFS(Raw_M!$C$2:$C$2000,Raw_M!$A$2:$A$2000,Stock_Card!$B$2,Raw_M!$F$2:$F$2000,5)/100)-1)*100+MOD(SUMIFS(Raw_M!$C$2:$C$2000,Raw_M!$A$2:$A$2000,Stock_Card!$B$2,Raw_M!$F$2:$F$2000,5),100)))-1),"N/M"))</f>
        <v>0.284927397653404</v>
      </c>
    </row>
    <row r="10" customFormat="false" ht="15" hidden="false" customHeight="false" outlineLevel="0" collapsed="false">
      <c r="A10" s="73" t="str">
        <f aca="false">IF(Stock_Card!$B$2="","",IFERROR(INDEX(Raw_M!$B$2:$B$2000,MATCH(Stock_Card!$B$2&amp;"|6",Raw_M!$G$2:$G$2000,0)),""))</f>
        <v>2026-05</v>
      </c>
      <c r="B10" s="48" t="n">
        <f aca="false">IF(Stock_Card!$B$2="","",IFERROR(SUMIFS(Raw_M!$E$2:$E$2000,Raw_M!$A$2:$A$2000,Stock_Card!$B$2,Raw_M!$F$2:$F$2000,6),""))</f>
        <v>410725.118</v>
      </c>
      <c r="C10" s="49" t="n">
        <f aca="false">IF(Stock_Card!$B$2="","",IFERROR((SUMIFS(Raw_M!$E$2:$E$2000,Raw_M!$A$2:$A$2000,Stock_Card!$B$2,Raw_M!$F$2:$F$2000,6)/SUMIFS(Raw_M!$E$2:$E$2000,Raw_M!$A$2:$A$2000,Stock_Card!$B$2,Raw_M!$F$2:$F$2000,7)-1),""))</f>
        <v>-0.010757876447814</v>
      </c>
      <c r="D10" s="68" t="n">
        <f aca="false">IF(Stock_Card!$B$2="","",IFERROR(((SUMIFS(Raw_M!$E$2:$E$2000,Raw_M!$A$2:$A$2000,Stock_Card!$B$2,Raw_M!$F$2:$F$2000,6)/SUMIFS(Raw_M!$E$2:$E$2000,Raw_M!$A$2:$A$2000,Stock_Card!$B$2,Raw_M!$F$2:$F$2000,7)-1)-(SUMIFS(Raw_M!$E$2:$E$2000,Raw_M!$A$2:$A$2000,Stock_Card!$B$2,Raw_M!$F$2:$F$2000,7)/SUMIFS(Raw_M!$E$2:$E$2000,Raw_M!$A$2:$A$2000,Stock_Card!$B$2,Raw_M!$F$2:$F$2000,8)-1))*100,""))</f>
        <v>-31.7803541510043</v>
      </c>
      <c r="E10" s="49" t="n">
        <f aca="false">IF(Stock_Card!$B$2="","",IFERROR(IF(OR(NOT(ISNUMBER((SUMIFS(Raw_M!$E$2:$E$2000,Raw_M!$A$2:$A$2000,Stock_Card!$B$2,Raw_M!$F$2:$F$2000,7)/SUMIFS(Raw_M!$E$2:$E$2000,Raw_M!$A$2:$A$2000,Stock_Card!$B$2,Raw_M!$F$2:$F$2000,8)-1))),(SUMIFS(Raw_M!$E$2:$E$2000,Raw_M!$A$2:$A$2000,Stock_Card!$B$2,Raw_M!$F$2:$F$2000,7)/SUMIFS(Raw_M!$E$2:$E$2000,Raw_M!$A$2:$A$2000,Stock_Card!$B$2,Raw_M!$F$2:$F$2000,8)-1)&lt;=0,ABS((SUMIFS(Raw_M!$E$2:$E$2000,Raw_M!$A$2:$A$2000,Stock_Card!$B$2,Raw_M!$F$2:$F$2000,7)/SUMIFS(Raw_M!$E$2:$E$2000,Raw_M!$A$2:$A$2000,Stock_Card!$B$2,Raw_M!$F$2:$F$2000,8)-1))&lt;Config!$B$9),"N/M",((SUMIFS(Raw_M!$E$2:$E$2000,Raw_M!$A$2:$A$2000,Stock_Card!$B$2,Raw_M!$F$2:$F$2000,6)/SUMIFS(Raw_M!$E$2:$E$2000,Raw_M!$A$2:$A$2000,Stock_Card!$B$2,Raw_M!$F$2:$F$2000,7)-1)-(SUMIFS(Raw_M!$E$2:$E$2000,Raw_M!$A$2:$A$2000,Stock_Card!$B$2,Raw_M!$F$2:$F$2000,7)/SUMIFS(Raw_M!$E$2:$E$2000,Raw_M!$A$2:$A$2000,Stock_Card!$B$2,Raw_M!$F$2:$F$2000,8)-1))/ABS((SUMIFS(Raw_M!$E$2:$E$2000,Raw_M!$A$2:$A$2000,Stock_Card!$B$2,Raw_M!$F$2:$F$2000,7)/SUMIFS(Raw_M!$E$2:$E$2000,Raw_M!$A$2:$A$2000,Stock_Card!$B$2,Raw_M!$F$2:$F$2000,8)-1))),"N/M"))</f>
        <v>-1.03503673124854</v>
      </c>
      <c r="F10" s="49" t="n">
        <f aca="false">IF(Stock_Card!$B$2="","",IFERROR((SUMIFS(Raw_M!$E$2:$E$2000,Raw_M!$A$2:$A$2000,Stock_Card!$B$2,Raw_M!$F$2:$F$2000,6)/SUMIFS(Raw_M!$E$2:$E$2000,Raw_M!$A$2:$A$2000,Stock_Card!$B$2,Raw_M!$F$2:$F$2000,18)-1),""))</f>
        <v>0.174954124666366</v>
      </c>
      <c r="G10" s="68" t="n">
        <f aca="false">IF(Stock_Card!$B$2="","",IFERROR(((SUMIFS(Raw_M!$E$2:$E$2000,Raw_M!$A$2:$A$2000,Stock_Card!$B$2,Raw_M!$F$2:$F$2000,6)/SUMIFS(Raw_M!$E$2:$E$2000,Raw_M!$A$2:$A$2000,Stock_Card!$B$2,Raw_M!$F$2:$F$2000,18)-1)-(SUMIFS(Raw_M!$E$2:$E$2000,Raw_M!$A$2:$A$2000,Stock_Card!$B$2,Raw_M!$F$2:$F$2000,7)/SUMIFS(Raw_M!$E$2:$E$2000,Raw_M!$A$2:$A$2000,Stock_Card!$B$2,Raw_M!$F$2:$F$2000,19)-1))*100,""))</f>
        <v>-27.6984264075739</v>
      </c>
      <c r="H10" s="49" t="n">
        <f aca="false">IF(Stock_Card!$B$2="","",IFERROR(IF(OR(NOT(ISNUMBER((SUMIFS(Raw_M!$E$2:$E$2000,Raw_M!$A$2:$A$2000,Stock_Card!$B$2,Raw_M!$F$2:$F$2000,7)/SUMIFS(Raw_M!$E$2:$E$2000,Raw_M!$A$2:$A$2000,Stock_Card!$B$2,Raw_M!$F$2:$F$2000,19)-1))),(SUMIFS(Raw_M!$E$2:$E$2000,Raw_M!$A$2:$A$2000,Stock_Card!$B$2,Raw_M!$F$2:$F$2000,7)/SUMIFS(Raw_M!$E$2:$E$2000,Raw_M!$A$2:$A$2000,Stock_Card!$B$2,Raw_M!$F$2:$F$2000,19)-1)&lt;=0,ABS((SUMIFS(Raw_M!$E$2:$E$2000,Raw_M!$A$2:$A$2000,Stock_Card!$B$2,Raw_M!$F$2:$F$2000,7)/SUMIFS(Raw_M!$E$2:$E$2000,Raw_M!$A$2:$A$2000,Stock_Card!$B$2,Raw_M!$F$2:$F$2000,19)-1))&lt;Config!$B$9),"N/M",((SUMIFS(Raw_M!$E$2:$E$2000,Raw_M!$A$2:$A$2000,Stock_Card!$B$2,Raw_M!$F$2:$F$2000,6)/SUMIFS(Raw_M!$E$2:$E$2000,Raw_M!$A$2:$A$2000,Stock_Card!$B$2,Raw_M!$F$2:$F$2000,18)-1)-(SUMIFS(Raw_M!$E$2:$E$2000,Raw_M!$A$2:$A$2000,Stock_Card!$B$2,Raw_M!$F$2:$F$2000,7)/SUMIFS(Raw_M!$E$2:$E$2000,Raw_M!$A$2:$A$2000,Stock_Card!$B$2,Raw_M!$F$2:$F$2000,19)-1))/ABS((SUMIFS(Raw_M!$E$2:$E$2000,Raw_M!$A$2:$A$2000,Stock_Card!$B$2,Raw_M!$F$2:$F$2000,7)/SUMIFS(Raw_M!$E$2:$E$2000,Raw_M!$A$2:$A$2000,Stock_Card!$B$2,Raw_M!$F$2:$F$2000,19)-1))),"N/M"))</f>
        <v>-0.612880584998939</v>
      </c>
      <c r="I10" s="69" t="str">
        <f aca="false">IF(Stock_Card!$B$2="","",IFERROR(IF(AND((SUMIFS(Raw_M!$E$2:$E$2000,Raw_M!$A$2:$A$2000,Stock_Card!$B$2,Raw_M!$F$2:$F$2000,7)/SUMIFS(Raw_M!$E$2:$E$2000,Raw_M!$A$2:$A$2000,Stock_Card!$B$2,Raw_M!$F$2:$F$2000,19)-1)&gt;0,(SUMIFS(Raw_M!$E$2:$E$2000,Raw_M!$A$2:$A$2000,Stock_Card!$B$2,Raw_M!$F$2:$F$2000,6)/SUMIFS(Raw_M!$E$2:$E$2000,Raw_M!$A$2:$A$2000,Stock_Card!$B$2,Raw_M!$F$2:$F$2000,18)-1)&lt;=0),"由正轉負",IF(AND((SUMIFS(Raw_M!$E$2:$E$2000,Raw_M!$A$2:$A$2000,Stock_Card!$B$2,Raw_M!$F$2:$F$2000,7)/SUMIFS(Raw_M!$E$2:$E$2000,Raw_M!$A$2:$A$2000,Stock_Card!$B$2,Raw_M!$F$2:$F$2000,19)-1)&lt;=0,(SUMIFS(Raw_M!$E$2:$E$2000,Raw_M!$A$2:$A$2000,Stock_Card!$B$2,Raw_M!$F$2:$F$2000,6)/SUMIFS(Raw_M!$E$2:$E$2000,Raw_M!$A$2:$A$2000,Stock_Card!$B$2,Raw_M!$F$2:$F$2000,18)-1)&gt;0),"由負轉正",IF((SUMIFS(Raw_M!$E$2:$E$2000,Raw_M!$A$2:$A$2000,Stock_Card!$B$2,Raw_M!$F$2:$F$2000,6)/SUMIFS(Raw_M!$E$2:$E$2000,Raw_M!$A$2:$A$2000,Stock_Card!$B$2,Raw_M!$F$2:$F$2000,18)-1)&gt;0,IF(((SUMIFS(Raw_M!$E$2:$E$2000,Raw_M!$A$2:$A$2000,Stock_Card!$B$2,Raw_M!$F$2:$F$2000,6)/SUMIFS(Raw_M!$E$2:$E$2000,Raw_M!$A$2:$A$2000,Stock_Card!$B$2,Raw_M!$F$2:$F$2000,18)-1)-(SUMIFS(Raw_M!$E$2:$E$2000,Raw_M!$A$2:$A$2000,Stock_Card!$B$2,Raw_M!$F$2:$F$2000,7)/SUMIFS(Raw_M!$E$2:$E$2000,Raw_M!$A$2:$A$2000,Stock_Card!$B$2,Raw_M!$F$2:$F$2000,19)-1))*100&gt;0,"成長且加速","成長但減速"),IF(((SUMIFS(Raw_M!$E$2:$E$2000,Raw_M!$A$2:$A$2000,Stock_Card!$B$2,Raw_M!$F$2:$F$2000,6)/SUMIFS(Raw_M!$E$2:$E$2000,Raw_M!$A$2:$A$2000,Stock_Card!$B$2,Raw_M!$F$2:$F$2000,18)-1)-(SUMIFS(Raw_M!$E$2:$E$2000,Raw_M!$A$2:$A$2000,Stock_Card!$B$2,Raw_M!$F$2:$F$2000,7)/SUMIFS(Raw_M!$E$2:$E$2000,Raw_M!$A$2:$A$2000,Stock_Card!$B$2,Raw_M!$F$2:$F$2000,19)-1))*100&gt;0,"衰退但收斂","衰退且惡化")))),""))</f>
        <v>成長但減速</v>
      </c>
      <c r="J10" s="48" t="n">
        <f aca="false">IF(Stock_Card!$B$2="","",IFERROR(SUMIFS(Raw_M!$E$2:$E$2000,Raw_M!$A$2:$A$2000,Stock_Card!$B$2,Raw_M!$C$2:$C$2000,"&gt;="&amp;((INT(SUMIFS(Raw_M!$C$2:$C$2000,Raw_M!$A$2:$A$2000,Stock_Card!$B$2,Raw_M!$F$2:$F$2000,6)/100)-0)*100+1),Raw_M!$C$2:$C$2000,"&lt;="&amp;((INT(SUMIFS(Raw_M!$C$2:$C$2000,Raw_M!$A$2:$A$2000,Stock_Card!$B$2,Raw_M!$F$2:$F$2000,6)/100)-0)*100+MOD(SUMIFS(Raw_M!$C$2:$C$2000,Raw_M!$A$2:$A$2000,Stock_Card!$B$2,Raw_M!$F$2:$F$2000,6),100))),""))</f>
        <v>1879832.126</v>
      </c>
      <c r="K10" s="49" t="n">
        <f aca="false">IF(Stock_Card!$B$2="","",IFERROR(IF(OR(COUNTIFS(Raw_M!$A$2:$A$2000,Stock_Card!$B$2,Raw_M!$C$2:$C$2000,"&gt;="&amp;((INT(SUMIFS(Raw_M!$C$2:$C$2000,Raw_M!$A$2:$A$2000,Stock_Card!$B$2,Raw_M!$F$2:$F$2000,6)/100)-0)*100+1),Raw_M!$C$2:$C$2000,"&lt;="&amp;((INT(SUMIFS(Raw_M!$C$2:$C$2000,Raw_M!$A$2:$A$2000,Stock_Card!$B$2,Raw_M!$F$2:$F$2000,6)/100)-0)*100+MOD(SUMIFS(Raw_M!$C$2:$C$2000,Raw_M!$A$2:$A$2000,Stock_Card!$B$2,Raw_M!$F$2:$F$2000,6),100)))&lt;&gt;MOD(SUMIFS(Raw_M!$C$2:$C$2000,Raw_M!$A$2:$A$2000,Stock_Card!$B$2,Raw_M!$F$2:$F$2000,6),100),COUNTIFS(Raw_M!$A$2:$A$2000,Stock_Card!$B$2,Raw_M!$C$2:$C$2000,"&gt;="&amp;((INT(SUMIFS(Raw_M!$C$2:$C$2000,Raw_M!$A$2:$A$2000,Stock_Card!$B$2,Raw_M!$F$2:$F$2000,6)/100)-1)*100+1),Raw_M!$C$2:$C$2000,"&lt;="&amp;((INT(SUMIFS(Raw_M!$C$2:$C$2000,Raw_M!$A$2:$A$2000,Stock_Card!$B$2,Raw_M!$F$2:$F$2000,6)/100)-1)*100+MOD(SUMIFS(Raw_M!$C$2:$C$2000,Raw_M!$A$2:$A$2000,Stock_Card!$B$2,Raw_M!$F$2:$F$2000,6),100)))&lt;&gt;MOD(SUMIFS(Raw_M!$C$2:$C$2000,Raw_M!$A$2:$A$2000,Stock_Card!$B$2,Raw_M!$F$2:$F$2000,6),100)),"N/M",SUMIFS(Raw_M!$E$2:$E$2000,Raw_M!$A$2:$A$2000,Stock_Card!$B$2,Raw_M!$C$2:$C$2000,"&gt;="&amp;((INT(SUMIFS(Raw_M!$C$2:$C$2000,Raw_M!$A$2:$A$2000,Stock_Card!$B$2,Raw_M!$F$2:$F$2000,6)/100)-0)*100+1),Raw_M!$C$2:$C$2000,"&lt;="&amp;((INT(SUMIFS(Raw_M!$C$2:$C$2000,Raw_M!$A$2:$A$2000,Stock_Card!$B$2,Raw_M!$F$2:$F$2000,6)/100)-0)*100+MOD(SUMIFS(Raw_M!$C$2:$C$2000,Raw_M!$A$2:$A$2000,Stock_Card!$B$2,Raw_M!$F$2:$F$2000,6),100)))/SUMIFS(Raw_M!$E$2:$E$2000,Raw_M!$A$2:$A$2000,Stock_Card!$B$2,Raw_M!$C$2:$C$2000,"&gt;="&amp;((INT(SUMIFS(Raw_M!$C$2:$C$2000,Raw_M!$A$2:$A$2000,Stock_Card!$B$2,Raw_M!$F$2:$F$2000,6)/100)-1)*100+1),Raw_M!$C$2:$C$2000,"&lt;="&amp;((INT(SUMIFS(Raw_M!$C$2:$C$2000,Raw_M!$A$2:$A$2000,Stock_Card!$B$2,Raw_M!$F$2:$F$2000,6)/100)-1)*100+MOD(SUMIFS(Raw_M!$C$2:$C$2000,Raw_M!$A$2:$A$2000,Stock_Card!$B$2,Raw_M!$F$2:$F$2000,6),100)))-1),"N/M"))</f>
        <v>0.28142672062703</v>
      </c>
    </row>
    <row r="11" customFormat="false" ht="15" hidden="false" customHeight="false" outlineLevel="0" collapsed="false">
      <c r="A11" s="73" t="str">
        <f aca="false">IF(Stock_Card!$B$2="","",IFERROR(INDEX(Raw_M!$B$2:$B$2000,MATCH(Stock_Card!$B$2&amp;"|7",Raw_M!$G$2:$G$2000,0)),""))</f>
        <v>2026-04</v>
      </c>
      <c r="B11" s="48" t="n">
        <f aca="false">IF(Stock_Card!$B$2="","",IFERROR(SUMIFS(Raw_M!$E$2:$E$2000,Raw_M!$A$2:$A$2000,Stock_Card!$B$2,Raw_M!$F$2:$F$2000,7),""))</f>
        <v>415191.699</v>
      </c>
      <c r="C11" s="49" t="n">
        <f aca="false">IF(Stock_Card!$B$2="","",IFERROR((SUMIFS(Raw_M!$E$2:$E$2000,Raw_M!$A$2:$A$2000,Stock_Card!$B$2,Raw_M!$F$2:$F$2000,7)/SUMIFS(Raw_M!$E$2:$E$2000,Raw_M!$A$2:$A$2000,Stock_Card!$B$2,Raw_M!$F$2:$F$2000,8)-1),""))</f>
        <v>0.307045665062229</v>
      </c>
      <c r="D11" s="68" t="n">
        <f aca="false">IF(Stock_Card!$B$2="","",IFERROR(((SUMIFS(Raw_M!$E$2:$E$2000,Raw_M!$A$2:$A$2000,Stock_Card!$B$2,Raw_M!$F$2:$F$2000,7)/SUMIFS(Raw_M!$E$2:$E$2000,Raw_M!$A$2:$A$2000,Stock_Card!$B$2,Raw_M!$F$2:$F$2000,8)-1)-(SUMIFS(Raw_M!$E$2:$E$2000,Raw_M!$A$2:$A$2000,Stock_Card!$B$2,Raw_M!$F$2:$F$2000,8)/SUMIFS(Raw_M!$E$2:$E$2000,Raw_M!$A$2:$A$2000,Stock_Card!$B$2,Raw_M!$F$2:$F$2000,9)-1))*100,""))</f>
        <v>51.538821115425</v>
      </c>
      <c r="E11" s="49" t="str">
        <f aca="false">IF(Stock_Card!$B$2="","",IFERROR(IF(OR(NOT(ISNUMBER((SUMIFS(Raw_M!$E$2:$E$2000,Raw_M!$A$2:$A$2000,Stock_Card!$B$2,Raw_M!$F$2:$F$2000,8)/SUMIFS(Raw_M!$E$2:$E$2000,Raw_M!$A$2:$A$2000,Stock_Card!$B$2,Raw_M!$F$2:$F$2000,9)-1))),(SUMIFS(Raw_M!$E$2:$E$2000,Raw_M!$A$2:$A$2000,Stock_Card!$B$2,Raw_M!$F$2:$F$2000,8)/SUMIFS(Raw_M!$E$2:$E$2000,Raw_M!$A$2:$A$2000,Stock_Card!$B$2,Raw_M!$F$2:$F$2000,9)-1)&lt;=0,ABS((SUMIFS(Raw_M!$E$2:$E$2000,Raw_M!$A$2:$A$2000,Stock_Card!$B$2,Raw_M!$F$2:$F$2000,8)/SUMIFS(Raw_M!$E$2:$E$2000,Raw_M!$A$2:$A$2000,Stock_Card!$B$2,Raw_M!$F$2:$F$2000,9)-1))&lt;Config!$B$9),"N/M",((SUMIFS(Raw_M!$E$2:$E$2000,Raw_M!$A$2:$A$2000,Stock_Card!$B$2,Raw_M!$F$2:$F$2000,7)/SUMIFS(Raw_M!$E$2:$E$2000,Raw_M!$A$2:$A$2000,Stock_Card!$B$2,Raw_M!$F$2:$F$2000,8)-1)-(SUMIFS(Raw_M!$E$2:$E$2000,Raw_M!$A$2:$A$2000,Stock_Card!$B$2,Raw_M!$F$2:$F$2000,8)/SUMIFS(Raw_M!$E$2:$E$2000,Raw_M!$A$2:$A$2000,Stock_Card!$B$2,Raw_M!$F$2:$F$2000,9)-1))/ABS((SUMIFS(Raw_M!$E$2:$E$2000,Raw_M!$A$2:$A$2000,Stock_Card!$B$2,Raw_M!$F$2:$F$2000,8)/SUMIFS(Raw_M!$E$2:$E$2000,Raw_M!$A$2:$A$2000,Stock_Card!$B$2,Raw_M!$F$2:$F$2000,9)-1))),"N/M"))</f>
        <v>N/M</v>
      </c>
      <c r="F11" s="49" t="n">
        <f aca="false">IF(Stock_Card!$B$2="","",IFERROR((SUMIFS(Raw_M!$E$2:$E$2000,Raw_M!$A$2:$A$2000,Stock_Card!$B$2,Raw_M!$F$2:$F$2000,7)/SUMIFS(Raw_M!$E$2:$E$2000,Raw_M!$A$2:$A$2000,Stock_Card!$B$2,Raw_M!$F$2:$F$2000,19)-1),""))</f>
        <v>0.451938388742105</v>
      </c>
      <c r="G11" s="68" t="n">
        <f aca="false">IF(Stock_Card!$B$2="","",IFERROR(((SUMIFS(Raw_M!$E$2:$E$2000,Raw_M!$A$2:$A$2000,Stock_Card!$B$2,Raw_M!$F$2:$F$2000,7)/SUMIFS(Raw_M!$E$2:$E$2000,Raw_M!$A$2:$A$2000,Stock_Card!$B$2,Raw_M!$F$2:$F$2000,19)-1)-(SUMIFS(Raw_M!$E$2:$E$2000,Raw_M!$A$2:$A$2000,Stock_Card!$B$2,Raw_M!$F$2:$F$2000,8)/SUMIFS(Raw_M!$E$2:$E$2000,Raw_M!$A$2:$A$2000,Stock_Card!$B$2,Raw_M!$F$2:$F$2000,20)-1))*100,""))</f>
        <v>23.0223516449861</v>
      </c>
      <c r="H11" s="49" t="n">
        <f aca="false">IF(Stock_Card!$B$2="","",IFERROR(IF(OR(NOT(ISNUMBER((SUMIFS(Raw_M!$E$2:$E$2000,Raw_M!$A$2:$A$2000,Stock_Card!$B$2,Raw_M!$F$2:$F$2000,8)/SUMIFS(Raw_M!$E$2:$E$2000,Raw_M!$A$2:$A$2000,Stock_Card!$B$2,Raw_M!$F$2:$F$2000,20)-1))),(SUMIFS(Raw_M!$E$2:$E$2000,Raw_M!$A$2:$A$2000,Stock_Card!$B$2,Raw_M!$F$2:$F$2000,8)/SUMIFS(Raw_M!$E$2:$E$2000,Raw_M!$A$2:$A$2000,Stock_Card!$B$2,Raw_M!$F$2:$F$2000,20)-1)&lt;=0,ABS((SUMIFS(Raw_M!$E$2:$E$2000,Raw_M!$A$2:$A$2000,Stock_Card!$B$2,Raw_M!$F$2:$F$2000,8)/SUMIFS(Raw_M!$E$2:$E$2000,Raw_M!$A$2:$A$2000,Stock_Card!$B$2,Raw_M!$F$2:$F$2000,20)-1))&lt;Config!$B$9),"N/M",((SUMIFS(Raw_M!$E$2:$E$2000,Raw_M!$A$2:$A$2000,Stock_Card!$B$2,Raw_M!$F$2:$F$2000,7)/SUMIFS(Raw_M!$E$2:$E$2000,Raw_M!$A$2:$A$2000,Stock_Card!$B$2,Raw_M!$F$2:$F$2000,19)-1)-(SUMIFS(Raw_M!$E$2:$E$2000,Raw_M!$A$2:$A$2000,Stock_Card!$B$2,Raw_M!$F$2:$F$2000,8)/SUMIFS(Raw_M!$E$2:$E$2000,Raw_M!$A$2:$A$2000,Stock_Card!$B$2,Raw_M!$F$2:$F$2000,20)-1))/ABS((SUMIFS(Raw_M!$E$2:$E$2000,Raw_M!$A$2:$A$2000,Stock_Card!$B$2,Raw_M!$F$2:$F$2000,8)/SUMIFS(Raw_M!$E$2:$E$2000,Raw_M!$A$2:$A$2000,Stock_Card!$B$2,Raw_M!$F$2:$F$2000,20)-1))),"N/M"))</f>
        <v>1.03837651515954</v>
      </c>
      <c r="I11" s="69" t="str">
        <f aca="false">IF(Stock_Card!$B$2="","",IFERROR(IF(AND((SUMIFS(Raw_M!$E$2:$E$2000,Raw_M!$A$2:$A$2000,Stock_Card!$B$2,Raw_M!$F$2:$F$2000,8)/SUMIFS(Raw_M!$E$2:$E$2000,Raw_M!$A$2:$A$2000,Stock_Card!$B$2,Raw_M!$F$2:$F$2000,20)-1)&gt;0,(SUMIFS(Raw_M!$E$2:$E$2000,Raw_M!$A$2:$A$2000,Stock_Card!$B$2,Raw_M!$F$2:$F$2000,7)/SUMIFS(Raw_M!$E$2:$E$2000,Raw_M!$A$2:$A$2000,Stock_Card!$B$2,Raw_M!$F$2:$F$2000,19)-1)&lt;=0),"由正轉負",IF(AND((SUMIFS(Raw_M!$E$2:$E$2000,Raw_M!$A$2:$A$2000,Stock_Card!$B$2,Raw_M!$F$2:$F$2000,8)/SUMIFS(Raw_M!$E$2:$E$2000,Raw_M!$A$2:$A$2000,Stock_Card!$B$2,Raw_M!$F$2:$F$2000,20)-1)&lt;=0,(SUMIFS(Raw_M!$E$2:$E$2000,Raw_M!$A$2:$A$2000,Stock_Card!$B$2,Raw_M!$F$2:$F$2000,7)/SUMIFS(Raw_M!$E$2:$E$2000,Raw_M!$A$2:$A$2000,Stock_Card!$B$2,Raw_M!$F$2:$F$2000,19)-1)&gt;0),"由負轉正",IF((SUMIFS(Raw_M!$E$2:$E$2000,Raw_M!$A$2:$A$2000,Stock_Card!$B$2,Raw_M!$F$2:$F$2000,7)/SUMIFS(Raw_M!$E$2:$E$2000,Raw_M!$A$2:$A$2000,Stock_Card!$B$2,Raw_M!$F$2:$F$2000,19)-1)&gt;0,IF(((SUMIFS(Raw_M!$E$2:$E$2000,Raw_M!$A$2:$A$2000,Stock_Card!$B$2,Raw_M!$F$2:$F$2000,7)/SUMIFS(Raw_M!$E$2:$E$2000,Raw_M!$A$2:$A$2000,Stock_Card!$B$2,Raw_M!$F$2:$F$2000,19)-1)-(SUMIFS(Raw_M!$E$2:$E$2000,Raw_M!$A$2:$A$2000,Stock_Card!$B$2,Raw_M!$F$2:$F$2000,8)/SUMIFS(Raw_M!$E$2:$E$2000,Raw_M!$A$2:$A$2000,Stock_Card!$B$2,Raw_M!$F$2:$F$2000,20)-1))*100&gt;0,"成長且加速","成長但減速"),IF(((SUMIFS(Raw_M!$E$2:$E$2000,Raw_M!$A$2:$A$2000,Stock_Card!$B$2,Raw_M!$F$2:$F$2000,7)/SUMIFS(Raw_M!$E$2:$E$2000,Raw_M!$A$2:$A$2000,Stock_Card!$B$2,Raw_M!$F$2:$F$2000,19)-1)-(SUMIFS(Raw_M!$E$2:$E$2000,Raw_M!$A$2:$A$2000,Stock_Card!$B$2,Raw_M!$F$2:$F$2000,8)/SUMIFS(Raw_M!$E$2:$E$2000,Raw_M!$A$2:$A$2000,Stock_Card!$B$2,Raw_M!$F$2:$F$2000,20)-1))*100&gt;0,"衰退但收斂","衰退且惡化")))),""))</f>
        <v>成長且加速</v>
      </c>
      <c r="J11" s="48" t="n">
        <f aca="false">IF(Stock_Card!$B$2="","",IFERROR(SUMIFS(Raw_M!$E$2:$E$2000,Raw_M!$A$2:$A$2000,Stock_Card!$B$2,Raw_M!$C$2:$C$2000,"&gt;="&amp;((INT(SUMIFS(Raw_M!$C$2:$C$2000,Raw_M!$A$2:$A$2000,Stock_Card!$B$2,Raw_M!$F$2:$F$2000,7)/100)-0)*100+1),Raw_M!$C$2:$C$2000,"&lt;="&amp;((INT(SUMIFS(Raw_M!$C$2:$C$2000,Raw_M!$A$2:$A$2000,Stock_Card!$B$2,Raw_M!$F$2:$F$2000,7)/100)-0)*100+MOD(SUMIFS(Raw_M!$C$2:$C$2000,Raw_M!$A$2:$A$2000,Stock_Card!$B$2,Raw_M!$F$2:$F$2000,7),100))),""))</f>
        <v>1469107.008</v>
      </c>
      <c r="K11" s="49" t="n">
        <f aca="false">IF(Stock_Card!$B$2="","",IFERROR(IF(OR(COUNTIFS(Raw_M!$A$2:$A$2000,Stock_Card!$B$2,Raw_M!$C$2:$C$2000,"&gt;="&amp;((INT(SUMIFS(Raw_M!$C$2:$C$2000,Raw_M!$A$2:$A$2000,Stock_Card!$B$2,Raw_M!$F$2:$F$2000,7)/100)-0)*100+1),Raw_M!$C$2:$C$2000,"&lt;="&amp;((INT(SUMIFS(Raw_M!$C$2:$C$2000,Raw_M!$A$2:$A$2000,Stock_Card!$B$2,Raw_M!$F$2:$F$2000,7)/100)-0)*100+MOD(SUMIFS(Raw_M!$C$2:$C$2000,Raw_M!$A$2:$A$2000,Stock_Card!$B$2,Raw_M!$F$2:$F$2000,7),100)))&lt;&gt;MOD(SUMIFS(Raw_M!$C$2:$C$2000,Raw_M!$A$2:$A$2000,Stock_Card!$B$2,Raw_M!$F$2:$F$2000,7),100),COUNTIFS(Raw_M!$A$2:$A$2000,Stock_Card!$B$2,Raw_M!$C$2:$C$2000,"&gt;="&amp;((INT(SUMIFS(Raw_M!$C$2:$C$2000,Raw_M!$A$2:$A$2000,Stock_Card!$B$2,Raw_M!$F$2:$F$2000,7)/100)-1)*100+1),Raw_M!$C$2:$C$2000,"&lt;="&amp;((INT(SUMIFS(Raw_M!$C$2:$C$2000,Raw_M!$A$2:$A$2000,Stock_Card!$B$2,Raw_M!$F$2:$F$2000,7)/100)-1)*100+MOD(SUMIFS(Raw_M!$C$2:$C$2000,Raw_M!$A$2:$A$2000,Stock_Card!$B$2,Raw_M!$F$2:$F$2000,7),100)))&lt;&gt;MOD(SUMIFS(Raw_M!$C$2:$C$2000,Raw_M!$A$2:$A$2000,Stock_Card!$B$2,Raw_M!$F$2:$F$2000,7),100)),"N/M",SUMIFS(Raw_M!$E$2:$E$2000,Raw_M!$A$2:$A$2000,Stock_Card!$B$2,Raw_M!$C$2:$C$2000,"&gt;="&amp;((INT(SUMIFS(Raw_M!$C$2:$C$2000,Raw_M!$A$2:$A$2000,Stock_Card!$B$2,Raw_M!$F$2:$F$2000,7)/100)-0)*100+1),Raw_M!$C$2:$C$2000,"&lt;="&amp;((INT(SUMIFS(Raw_M!$C$2:$C$2000,Raw_M!$A$2:$A$2000,Stock_Card!$B$2,Raw_M!$F$2:$F$2000,7)/100)-0)*100+MOD(SUMIFS(Raw_M!$C$2:$C$2000,Raw_M!$A$2:$A$2000,Stock_Card!$B$2,Raw_M!$F$2:$F$2000,7),100)))/SUMIFS(Raw_M!$E$2:$E$2000,Raw_M!$A$2:$A$2000,Stock_Card!$B$2,Raw_M!$C$2:$C$2000,"&gt;="&amp;((INT(SUMIFS(Raw_M!$C$2:$C$2000,Raw_M!$A$2:$A$2000,Stock_Card!$B$2,Raw_M!$F$2:$F$2000,7)/100)-1)*100+1),Raw_M!$C$2:$C$2000,"&lt;="&amp;((INT(SUMIFS(Raw_M!$C$2:$C$2000,Raw_M!$A$2:$A$2000,Stock_Card!$B$2,Raw_M!$F$2:$F$2000,7)/100)-1)*100+MOD(SUMIFS(Raw_M!$C$2:$C$2000,Raw_M!$A$2:$A$2000,Stock_Card!$B$2,Raw_M!$F$2:$F$2000,7),100)))-1),"N/M"))</f>
        <v>0.314735062268007</v>
      </c>
    </row>
    <row r="12" customFormat="false" ht="15" hidden="false" customHeight="false" outlineLevel="0" collapsed="false">
      <c r="A12" s="73" t="str">
        <f aca="false">IF(Stock_Card!$B$2="","",IFERROR(INDEX(Raw_M!$B$2:$B$2000,MATCH(Stock_Card!$B$2&amp;"|8",Raw_M!$G$2:$G$2000,0)),""))</f>
        <v>2026-03</v>
      </c>
      <c r="B12" s="48" t="n">
        <f aca="false">IF(Stock_Card!$B$2="","",IFERROR(SUMIFS(Raw_M!$E$2:$E$2000,Raw_M!$A$2:$A$2000,Stock_Card!$B$2,Raw_M!$F$2:$F$2000,8),""))</f>
        <v>317656.613</v>
      </c>
      <c r="C12" s="49" t="n">
        <f aca="false">IF(Stock_Card!$B$2="","",IFERROR((SUMIFS(Raw_M!$E$2:$E$2000,Raw_M!$A$2:$A$2000,Stock_Card!$B$2,Raw_M!$F$2:$F$2000,8)/SUMIFS(Raw_M!$E$2:$E$2000,Raw_M!$A$2:$A$2000,Stock_Card!$B$2,Raw_M!$F$2:$F$2000,9)-1),""))</f>
        <v>-0.208342546092022</v>
      </c>
      <c r="D12" s="68" t="n">
        <f aca="false">IF(Stock_Card!$B$2="","",IFERROR(((SUMIFS(Raw_M!$E$2:$E$2000,Raw_M!$A$2:$A$2000,Stock_Card!$B$2,Raw_M!$F$2:$F$2000,8)/SUMIFS(Raw_M!$E$2:$E$2000,Raw_M!$A$2:$A$2000,Stock_Card!$B$2,Raw_M!$F$2:$F$2000,9)-1)-(SUMIFS(Raw_M!$E$2:$E$2000,Raw_M!$A$2:$A$2000,Stock_Card!$B$2,Raw_M!$F$2:$F$2000,9)/SUMIFS(Raw_M!$E$2:$E$2000,Raw_M!$A$2:$A$2000,Stock_Card!$B$2,Raw_M!$F$2:$F$2000,10)-1))*100,""))</f>
        <v>-40.6106290506827</v>
      </c>
      <c r="E12" s="49" t="n">
        <f aca="false">IF(Stock_Card!$B$2="","",IFERROR(IF(OR(NOT(ISNUMBER((SUMIFS(Raw_M!$E$2:$E$2000,Raw_M!$A$2:$A$2000,Stock_Card!$B$2,Raw_M!$F$2:$F$2000,9)/SUMIFS(Raw_M!$E$2:$E$2000,Raw_M!$A$2:$A$2000,Stock_Card!$B$2,Raw_M!$F$2:$F$2000,10)-1))),(SUMIFS(Raw_M!$E$2:$E$2000,Raw_M!$A$2:$A$2000,Stock_Card!$B$2,Raw_M!$F$2:$F$2000,9)/SUMIFS(Raw_M!$E$2:$E$2000,Raw_M!$A$2:$A$2000,Stock_Card!$B$2,Raw_M!$F$2:$F$2000,10)-1)&lt;=0,ABS((SUMIFS(Raw_M!$E$2:$E$2000,Raw_M!$A$2:$A$2000,Stock_Card!$B$2,Raw_M!$F$2:$F$2000,9)/SUMIFS(Raw_M!$E$2:$E$2000,Raw_M!$A$2:$A$2000,Stock_Card!$B$2,Raw_M!$F$2:$F$2000,10)-1))&lt;Config!$B$9),"N/M",((SUMIFS(Raw_M!$E$2:$E$2000,Raw_M!$A$2:$A$2000,Stock_Card!$B$2,Raw_M!$F$2:$F$2000,8)/SUMIFS(Raw_M!$E$2:$E$2000,Raw_M!$A$2:$A$2000,Stock_Card!$B$2,Raw_M!$F$2:$F$2000,9)-1)-(SUMIFS(Raw_M!$E$2:$E$2000,Raw_M!$A$2:$A$2000,Stock_Card!$B$2,Raw_M!$F$2:$F$2000,9)/SUMIFS(Raw_M!$E$2:$E$2000,Raw_M!$A$2:$A$2000,Stock_Card!$B$2,Raw_M!$F$2:$F$2000,10)-1))/ABS((SUMIFS(Raw_M!$E$2:$E$2000,Raw_M!$A$2:$A$2000,Stock_Card!$B$2,Raw_M!$F$2:$F$2000,9)/SUMIFS(Raw_M!$E$2:$E$2000,Raw_M!$A$2:$A$2000,Stock_Card!$B$2,Raw_M!$F$2:$F$2000,10)-1))),"N/M"))</f>
        <v>-2.05349211863135</v>
      </c>
      <c r="F12" s="49" t="n">
        <f aca="false">IF(Stock_Card!$B$2="","",IFERROR((SUMIFS(Raw_M!$E$2:$E$2000,Raw_M!$A$2:$A$2000,Stock_Card!$B$2,Raw_M!$F$2:$F$2000,8)/SUMIFS(Raw_M!$E$2:$E$2000,Raw_M!$A$2:$A$2000,Stock_Card!$B$2,Raw_M!$F$2:$F$2000,20)-1),""))</f>
        <v>0.221714872292244</v>
      </c>
      <c r="G12" s="68" t="n">
        <f aca="false">IF(Stock_Card!$B$2="","",IFERROR(((SUMIFS(Raw_M!$E$2:$E$2000,Raw_M!$A$2:$A$2000,Stock_Card!$B$2,Raw_M!$F$2:$F$2000,8)/SUMIFS(Raw_M!$E$2:$E$2000,Raw_M!$A$2:$A$2000,Stock_Card!$B$2,Raw_M!$F$2:$F$2000,20)-1)-(SUMIFS(Raw_M!$E$2:$E$2000,Raw_M!$A$2:$A$2000,Stock_Card!$B$2,Raw_M!$F$2:$F$2000,9)/SUMIFS(Raw_M!$E$2:$E$2000,Raw_M!$A$2:$A$2000,Stock_Card!$B$2,Raw_M!$F$2:$F$2000,21)-1))*100,""))</f>
        <v>-14.6411597291218</v>
      </c>
      <c r="H12" s="49" t="n">
        <f aca="false">IF(Stock_Card!$B$2="","",IFERROR(IF(OR(NOT(ISNUMBER((SUMIFS(Raw_M!$E$2:$E$2000,Raw_M!$A$2:$A$2000,Stock_Card!$B$2,Raw_M!$F$2:$F$2000,9)/SUMIFS(Raw_M!$E$2:$E$2000,Raw_M!$A$2:$A$2000,Stock_Card!$B$2,Raw_M!$F$2:$F$2000,21)-1))),(SUMIFS(Raw_M!$E$2:$E$2000,Raw_M!$A$2:$A$2000,Stock_Card!$B$2,Raw_M!$F$2:$F$2000,9)/SUMIFS(Raw_M!$E$2:$E$2000,Raw_M!$A$2:$A$2000,Stock_Card!$B$2,Raw_M!$F$2:$F$2000,21)-1)&lt;=0,ABS((SUMIFS(Raw_M!$E$2:$E$2000,Raw_M!$A$2:$A$2000,Stock_Card!$B$2,Raw_M!$F$2:$F$2000,9)/SUMIFS(Raw_M!$E$2:$E$2000,Raw_M!$A$2:$A$2000,Stock_Card!$B$2,Raw_M!$F$2:$F$2000,21)-1))&lt;Config!$B$9),"N/M",((SUMIFS(Raw_M!$E$2:$E$2000,Raw_M!$A$2:$A$2000,Stock_Card!$B$2,Raw_M!$F$2:$F$2000,8)/SUMIFS(Raw_M!$E$2:$E$2000,Raw_M!$A$2:$A$2000,Stock_Card!$B$2,Raw_M!$F$2:$F$2000,20)-1)-(SUMIFS(Raw_M!$E$2:$E$2000,Raw_M!$A$2:$A$2000,Stock_Card!$B$2,Raw_M!$F$2:$F$2000,9)/SUMIFS(Raw_M!$E$2:$E$2000,Raw_M!$A$2:$A$2000,Stock_Card!$B$2,Raw_M!$F$2:$F$2000,21)-1))/ABS((SUMIFS(Raw_M!$E$2:$E$2000,Raw_M!$A$2:$A$2000,Stock_Card!$B$2,Raw_M!$F$2:$F$2000,9)/SUMIFS(Raw_M!$E$2:$E$2000,Raw_M!$A$2:$A$2000,Stock_Card!$B$2,Raw_M!$F$2:$F$2000,21)-1))),"N/M"))</f>
        <v>-0.397720917642472</v>
      </c>
      <c r="I12" s="69" t="str">
        <f aca="false">IF(Stock_Card!$B$2="","",IFERROR(IF(AND((SUMIFS(Raw_M!$E$2:$E$2000,Raw_M!$A$2:$A$2000,Stock_Card!$B$2,Raw_M!$F$2:$F$2000,9)/SUMIFS(Raw_M!$E$2:$E$2000,Raw_M!$A$2:$A$2000,Stock_Card!$B$2,Raw_M!$F$2:$F$2000,21)-1)&gt;0,(SUMIFS(Raw_M!$E$2:$E$2000,Raw_M!$A$2:$A$2000,Stock_Card!$B$2,Raw_M!$F$2:$F$2000,8)/SUMIFS(Raw_M!$E$2:$E$2000,Raw_M!$A$2:$A$2000,Stock_Card!$B$2,Raw_M!$F$2:$F$2000,20)-1)&lt;=0),"由正轉負",IF(AND((SUMIFS(Raw_M!$E$2:$E$2000,Raw_M!$A$2:$A$2000,Stock_Card!$B$2,Raw_M!$F$2:$F$2000,9)/SUMIFS(Raw_M!$E$2:$E$2000,Raw_M!$A$2:$A$2000,Stock_Card!$B$2,Raw_M!$F$2:$F$2000,21)-1)&lt;=0,(SUMIFS(Raw_M!$E$2:$E$2000,Raw_M!$A$2:$A$2000,Stock_Card!$B$2,Raw_M!$F$2:$F$2000,8)/SUMIFS(Raw_M!$E$2:$E$2000,Raw_M!$A$2:$A$2000,Stock_Card!$B$2,Raw_M!$F$2:$F$2000,20)-1)&gt;0),"由負轉正",IF((SUMIFS(Raw_M!$E$2:$E$2000,Raw_M!$A$2:$A$2000,Stock_Card!$B$2,Raw_M!$F$2:$F$2000,8)/SUMIFS(Raw_M!$E$2:$E$2000,Raw_M!$A$2:$A$2000,Stock_Card!$B$2,Raw_M!$F$2:$F$2000,20)-1)&gt;0,IF(((SUMIFS(Raw_M!$E$2:$E$2000,Raw_M!$A$2:$A$2000,Stock_Card!$B$2,Raw_M!$F$2:$F$2000,8)/SUMIFS(Raw_M!$E$2:$E$2000,Raw_M!$A$2:$A$2000,Stock_Card!$B$2,Raw_M!$F$2:$F$2000,20)-1)-(SUMIFS(Raw_M!$E$2:$E$2000,Raw_M!$A$2:$A$2000,Stock_Card!$B$2,Raw_M!$F$2:$F$2000,9)/SUMIFS(Raw_M!$E$2:$E$2000,Raw_M!$A$2:$A$2000,Stock_Card!$B$2,Raw_M!$F$2:$F$2000,21)-1))*100&gt;0,"成長且加速","成長但減速"),IF(((SUMIFS(Raw_M!$E$2:$E$2000,Raw_M!$A$2:$A$2000,Stock_Card!$B$2,Raw_M!$F$2:$F$2000,8)/SUMIFS(Raw_M!$E$2:$E$2000,Raw_M!$A$2:$A$2000,Stock_Card!$B$2,Raw_M!$F$2:$F$2000,20)-1)-(SUMIFS(Raw_M!$E$2:$E$2000,Raw_M!$A$2:$A$2000,Stock_Card!$B$2,Raw_M!$F$2:$F$2000,9)/SUMIFS(Raw_M!$E$2:$E$2000,Raw_M!$A$2:$A$2000,Stock_Card!$B$2,Raw_M!$F$2:$F$2000,21)-1))*100&gt;0,"衰退但收斂","衰退且惡化")))),""))</f>
        <v>成長但減速</v>
      </c>
      <c r="J12" s="48" t="n">
        <f aca="false">IF(Stock_Card!$B$2="","",IFERROR(SUMIFS(Raw_M!$E$2:$E$2000,Raw_M!$A$2:$A$2000,Stock_Card!$B$2,Raw_M!$C$2:$C$2000,"&gt;="&amp;((INT(SUMIFS(Raw_M!$C$2:$C$2000,Raw_M!$A$2:$A$2000,Stock_Card!$B$2,Raw_M!$F$2:$F$2000,8)/100)-0)*100+1),Raw_M!$C$2:$C$2000,"&lt;="&amp;((INT(SUMIFS(Raw_M!$C$2:$C$2000,Raw_M!$A$2:$A$2000,Stock_Card!$B$2,Raw_M!$F$2:$F$2000,8)/100)-0)*100+MOD(SUMIFS(Raw_M!$C$2:$C$2000,Raw_M!$A$2:$A$2000,Stock_Card!$B$2,Raw_M!$F$2:$F$2000,8),100))),""))</f>
        <v>1053915.309</v>
      </c>
      <c r="K12" s="49" t="n">
        <f aca="false">IF(Stock_Card!$B$2="","",IFERROR(IF(OR(COUNTIFS(Raw_M!$A$2:$A$2000,Stock_Card!$B$2,Raw_M!$C$2:$C$2000,"&gt;="&amp;((INT(SUMIFS(Raw_M!$C$2:$C$2000,Raw_M!$A$2:$A$2000,Stock_Card!$B$2,Raw_M!$F$2:$F$2000,8)/100)-0)*100+1),Raw_M!$C$2:$C$2000,"&lt;="&amp;((INT(SUMIFS(Raw_M!$C$2:$C$2000,Raw_M!$A$2:$A$2000,Stock_Card!$B$2,Raw_M!$F$2:$F$2000,8)/100)-0)*100+MOD(SUMIFS(Raw_M!$C$2:$C$2000,Raw_M!$A$2:$A$2000,Stock_Card!$B$2,Raw_M!$F$2:$F$2000,8),100)))&lt;&gt;MOD(SUMIFS(Raw_M!$C$2:$C$2000,Raw_M!$A$2:$A$2000,Stock_Card!$B$2,Raw_M!$F$2:$F$2000,8),100),COUNTIFS(Raw_M!$A$2:$A$2000,Stock_Card!$B$2,Raw_M!$C$2:$C$2000,"&gt;="&amp;((INT(SUMIFS(Raw_M!$C$2:$C$2000,Raw_M!$A$2:$A$2000,Stock_Card!$B$2,Raw_M!$F$2:$F$2000,8)/100)-1)*100+1),Raw_M!$C$2:$C$2000,"&lt;="&amp;((INT(SUMIFS(Raw_M!$C$2:$C$2000,Raw_M!$A$2:$A$2000,Stock_Card!$B$2,Raw_M!$F$2:$F$2000,8)/100)-1)*100+MOD(SUMIFS(Raw_M!$C$2:$C$2000,Raw_M!$A$2:$A$2000,Stock_Card!$B$2,Raw_M!$F$2:$F$2000,8),100)))&lt;&gt;MOD(SUMIFS(Raw_M!$C$2:$C$2000,Raw_M!$A$2:$A$2000,Stock_Card!$B$2,Raw_M!$F$2:$F$2000,8),100)),"N/M",SUMIFS(Raw_M!$E$2:$E$2000,Raw_M!$A$2:$A$2000,Stock_Card!$B$2,Raw_M!$C$2:$C$2000,"&gt;="&amp;((INT(SUMIFS(Raw_M!$C$2:$C$2000,Raw_M!$A$2:$A$2000,Stock_Card!$B$2,Raw_M!$F$2:$F$2000,8)/100)-0)*100+1),Raw_M!$C$2:$C$2000,"&lt;="&amp;((INT(SUMIFS(Raw_M!$C$2:$C$2000,Raw_M!$A$2:$A$2000,Stock_Card!$B$2,Raw_M!$F$2:$F$2000,8)/100)-0)*100+MOD(SUMIFS(Raw_M!$C$2:$C$2000,Raw_M!$A$2:$A$2000,Stock_Card!$B$2,Raw_M!$F$2:$F$2000,8),100)))/SUMIFS(Raw_M!$E$2:$E$2000,Raw_M!$A$2:$A$2000,Stock_Card!$B$2,Raw_M!$C$2:$C$2000,"&gt;="&amp;((INT(SUMIFS(Raw_M!$C$2:$C$2000,Raw_M!$A$2:$A$2000,Stock_Card!$B$2,Raw_M!$F$2:$F$2000,8)/100)-1)*100+1),Raw_M!$C$2:$C$2000,"&lt;="&amp;((INT(SUMIFS(Raw_M!$C$2:$C$2000,Raw_M!$A$2:$A$2000,Stock_Card!$B$2,Raw_M!$F$2:$F$2000,8)/100)-1)*100+MOD(SUMIFS(Raw_M!$C$2:$C$2000,Raw_M!$A$2:$A$2000,Stock_Card!$B$2,Raw_M!$F$2:$F$2000,8),100)))-1),"N/M"))</f>
        <v>0.267547908240116</v>
      </c>
    </row>
    <row r="13" customFormat="false" ht="15" hidden="false" customHeight="false" outlineLevel="0" collapsed="false">
      <c r="A13" s="73" t="str">
        <f aca="false">IF(Stock_Card!$B$2="","",IFERROR(INDEX(Raw_M!$B$2:$B$2000,MATCH(Stock_Card!$B$2&amp;"|9",Raw_M!$G$2:$G$2000,0)),""))</f>
        <v>2026-02</v>
      </c>
      <c r="B13" s="48" t="n">
        <f aca="false">IF(Stock_Card!$B$2="","",IFERROR(SUMIFS(Raw_M!$E$2:$E$2000,Raw_M!$A$2:$A$2000,Stock_Card!$B$2,Raw_M!$F$2:$F$2000,9),""))</f>
        <v>401255.128</v>
      </c>
      <c r="C13" s="49" t="n">
        <f aca="false">IF(Stock_Card!$B$2="","",IFERROR((SUMIFS(Raw_M!$E$2:$E$2000,Raw_M!$A$2:$A$2000,Stock_Card!$B$2,Raw_M!$F$2:$F$2000,9)/SUMIFS(Raw_M!$E$2:$E$2000,Raw_M!$A$2:$A$2000,Stock_Card!$B$2,Raw_M!$F$2:$F$2000,10)-1),""))</f>
        <v>0.197763744414806</v>
      </c>
      <c r="D13" s="68" t="n">
        <f aca="false">IF(Stock_Card!$B$2="","",IFERROR(((SUMIFS(Raw_M!$E$2:$E$2000,Raw_M!$A$2:$A$2000,Stock_Card!$B$2,Raw_M!$F$2:$F$2000,9)/SUMIFS(Raw_M!$E$2:$E$2000,Raw_M!$A$2:$A$2000,Stock_Card!$B$2,Raw_M!$F$2:$F$2000,10)-1)-(SUMIFS(Raw_M!$E$2:$E$2000,Raw_M!$A$2:$A$2000,Stock_Card!$B$2,Raw_M!$F$2:$F$2000,10)/SUMIFS(Raw_M!$E$2:$E$2000,Raw_M!$A$2:$A$2000,Stock_Card!$B$2,Raw_M!$F$2:$F$2000,11)-1))*100,""))</f>
        <v>22.2821626111886</v>
      </c>
      <c r="E13" s="49" t="str">
        <f aca="false">IF(Stock_Card!$B$2="","",IFERROR(IF(OR(NOT(ISNUMBER((SUMIFS(Raw_M!$E$2:$E$2000,Raw_M!$A$2:$A$2000,Stock_Card!$B$2,Raw_M!$F$2:$F$2000,10)/SUMIFS(Raw_M!$E$2:$E$2000,Raw_M!$A$2:$A$2000,Stock_Card!$B$2,Raw_M!$F$2:$F$2000,11)-1))),(SUMIFS(Raw_M!$E$2:$E$2000,Raw_M!$A$2:$A$2000,Stock_Card!$B$2,Raw_M!$F$2:$F$2000,10)/SUMIFS(Raw_M!$E$2:$E$2000,Raw_M!$A$2:$A$2000,Stock_Card!$B$2,Raw_M!$F$2:$F$2000,11)-1)&lt;=0,ABS((SUMIFS(Raw_M!$E$2:$E$2000,Raw_M!$A$2:$A$2000,Stock_Card!$B$2,Raw_M!$F$2:$F$2000,10)/SUMIFS(Raw_M!$E$2:$E$2000,Raw_M!$A$2:$A$2000,Stock_Card!$B$2,Raw_M!$F$2:$F$2000,11)-1))&lt;Config!$B$9),"N/M",((SUMIFS(Raw_M!$E$2:$E$2000,Raw_M!$A$2:$A$2000,Stock_Card!$B$2,Raw_M!$F$2:$F$2000,9)/SUMIFS(Raw_M!$E$2:$E$2000,Raw_M!$A$2:$A$2000,Stock_Card!$B$2,Raw_M!$F$2:$F$2000,10)-1)-(SUMIFS(Raw_M!$E$2:$E$2000,Raw_M!$A$2:$A$2000,Stock_Card!$B$2,Raw_M!$F$2:$F$2000,10)/SUMIFS(Raw_M!$E$2:$E$2000,Raw_M!$A$2:$A$2000,Stock_Card!$B$2,Raw_M!$F$2:$F$2000,11)-1))/ABS((SUMIFS(Raw_M!$E$2:$E$2000,Raw_M!$A$2:$A$2000,Stock_Card!$B$2,Raw_M!$F$2:$F$2000,10)/SUMIFS(Raw_M!$E$2:$E$2000,Raw_M!$A$2:$A$2000,Stock_Card!$B$2,Raw_M!$F$2:$F$2000,11)-1))),"N/M"))</f>
        <v>N/M</v>
      </c>
      <c r="F13" s="49" t="n">
        <f aca="false">IF(Stock_Card!$B$2="","",IFERROR((SUMIFS(Raw_M!$E$2:$E$2000,Raw_M!$A$2:$A$2000,Stock_Card!$B$2,Raw_M!$F$2:$F$2000,9)/SUMIFS(Raw_M!$E$2:$E$2000,Raw_M!$A$2:$A$2000,Stock_Card!$B$2,Raw_M!$F$2:$F$2000,21)-1),""))</f>
        <v>0.368126469583461</v>
      </c>
      <c r="G13" s="68" t="n">
        <f aca="false">IF(Stock_Card!$B$2="","",IFERROR(((SUMIFS(Raw_M!$E$2:$E$2000,Raw_M!$A$2:$A$2000,Stock_Card!$B$2,Raw_M!$F$2:$F$2000,9)/SUMIFS(Raw_M!$E$2:$E$2000,Raw_M!$A$2:$A$2000,Stock_Card!$B$2,Raw_M!$F$2:$F$2000,21)-1)-(SUMIFS(Raw_M!$E$2:$E$2000,Raw_M!$A$2:$A$2000,Stock_Card!$B$2,Raw_M!$F$2:$F$2000,10)/SUMIFS(Raw_M!$E$2:$E$2000,Raw_M!$A$2:$A$2000,Stock_Card!$B$2,Raw_M!$F$2:$F$2000,22)-1))*100,""))</f>
        <v>16.3784270457824</v>
      </c>
      <c r="H13" s="49" t="n">
        <f aca="false">IF(Stock_Card!$B$2="","",IFERROR(IF(OR(NOT(ISNUMBER((SUMIFS(Raw_M!$E$2:$E$2000,Raw_M!$A$2:$A$2000,Stock_Card!$B$2,Raw_M!$F$2:$F$2000,10)/SUMIFS(Raw_M!$E$2:$E$2000,Raw_M!$A$2:$A$2000,Stock_Card!$B$2,Raw_M!$F$2:$F$2000,22)-1))),(SUMIFS(Raw_M!$E$2:$E$2000,Raw_M!$A$2:$A$2000,Stock_Card!$B$2,Raw_M!$F$2:$F$2000,10)/SUMIFS(Raw_M!$E$2:$E$2000,Raw_M!$A$2:$A$2000,Stock_Card!$B$2,Raw_M!$F$2:$F$2000,22)-1)&lt;=0,ABS((SUMIFS(Raw_M!$E$2:$E$2000,Raw_M!$A$2:$A$2000,Stock_Card!$B$2,Raw_M!$F$2:$F$2000,10)/SUMIFS(Raw_M!$E$2:$E$2000,Raw_M!$A$2:$A$2000,Stock_Card!$B$2,Raw_M!$F$2:$F$2000,22)-1))&lt;Config!$B$9),"N/M",((SUMIFS(Raw_M!$E$2:$E$2000,Raw_M!$A$2:$A$2000,Stock_Card!$B$2,Raw_M!$F$2:$F$2000,9)/SUMIFS(Raw_M!$E$2:$E$2000,Raw_M!$A$2:$A$2000,Stock_Card!$B$2,Raw_M!$F$2:$F$2000,21)-1)-(SUMIFS(Raw_M!$E$2:$E$2000,Raw_M!$A$2:$A$2000,Stock_Card!$B$2,Raw_M!$F$2:$F$2000,10)/SUMIFS(Raw_M!$E$2:$E$2000,Raw_M!$A$2:$A$2000,Stock_Card!$B$2,Raw_M!$F$2:$F$2000,22)-1))/ABS((SUMIFS(Raw_M!$E$2:$E$2000,Raw_M!$A$2:$A$2000,Stock_Card!$B$2,Raw_M!$F$2:$F$2000,10)/SUMIFS(Raw_M!$E$2:$E$2000,Raw_M!$A$2:$A$2000,Stock_Card!$B$2,Raw_M!$F$2:$F$2000,22)-1))),"N/M"))</f>
        <v>0.801519564527749</v>
      </c>
      <c r="I13" s="69" t="str">
        <f aca="false">IF(Stock_Card!$B$2="","",IFERROR(IF(AND((SUMIFS(Raw_M!$E$2:$E$2000,Raw_M!$A$2:$A$2000,Stock_Card!$B$2,Raw_M!$F$2:$F$2000,10)/SUMIFS(Raw_M!$E$2:$E$2000,Raw_M!$A$2:$A$2000,Stock_Card!$B$2,Raw_M!$F$2:$F$2000,22)-1)&gt;0,(SUMIFS(Raw_M!$E$2:$E$2000,Raw_M!$A$2:$A$2000,Stock_Card!$B$2,Raw_M!$F$2:$F$2000,9)/SUMIFS(Raw_M!$E$2:$E$2000,Raw_M!$A$2:$A$2000,Stock_Card!$B$2,Raw_M!$F$2:$F$2000,21)-1)&lt;=0),"由正轉負",IF(AND((SUMIFS(Raw_M!$E$2:$E$2000,Raw_M!$A$2:$A$2000,Stock_Card!$B$2,Raw_M!$F$2:$F$2000,10)/SUMIFS(Raw_M!$E$2:$E$2000,Raw_M!$A$2:$A$2000,Stock_Card!$B$2,Raw_M!$F$2:$F$2000,22)-1)&lt;=0,(SUMIFS(Raw_M!$E$2:$E$2000,Raw_M!$A$2:$A$2000,Stock_Card!$B$2,Raw_M!$F$2:$F$2000,9)/SUMIFS(Raw_M!$E$2:$E$2000,Raw_M!$A$2:$A$2000,Stock_Card!$B$2,Raw_M!$F$2:$F$2000,21)-1)&gt;0),"由負轉正",IF((SUMIFS(Raw_M!$E$2:$E$2000,Raw_M!$A$2:$A$2000,Stock_Card!$B$2,Raw_M!$F$2:$F$2000,9)/SUMIFS(Raw_M!$E$2:$E$2000,Raw_M!$A$2:$A$2000,Stock_Card!$B$2,Raw_M!$F$2:$F$2000,21)-1)&gt;0,IF(((SUMIFS(Raw_M!$E$2:$E$2000,Raw_M!$A$2:$A$2000,Stock_Card!$B$2,Raw_M!$F$2:$F$2000,9)/SUMIFS(Raw_M!$E$2:$E$2000,Raw_M!$A$2:$A$2000,Stock_Card!$B$2,Raw_M!$F$2:$F$2000,21)-1)-(SUMIFS(Raw_M!$E$2:$E$2000,Raw_M!$A$2:$A$2000,Stock_Card!$B$2,Raw_M!$F$2:$F$2000,10)/SUMIFS(Raw_M!$E$2:$E$2000,Raw_M!$A$2:$A$2000,Stock_Card!$B$2,Raw_M!$F$2:$F$2000,22)-1))*100&gt;0,"成長且加速","成長但減速"),IF(((SUMIFS(Raw_M!$E$2:$E$2000,Raw_M!$A$2:$A$2000,Stock_Card!$B$2,Raw_M!$F$2:$F$2000,9)/SUMIFS(Raw_M!$E$2:$E$2000,Raw_M!$A$2:$A$2000,Stock_Card!$B$2,Raw_M!$F$2:$F$2000,21)-1)-(SUMIFS(Raw_M!$E$2:$E$2000,Raw_M!$A$2:$A$2000,Stock_Card!$B$2,Raw_M!$F$2:$F$2000,10)/SUMIFS(Raw_M!$E$2:$E$2000,Raw_M!$A$2:$A$2000,Stock_Card!$B$2,Raw_M!$F$2:$F$2000,22)-1))*100&gt;0,"衰退但收斂","衰退且惡化")))),""))</f>
        <v>成長且加速</v>
      </c>
      <c r="J13" s="48" t="n">
        <f aca="false">IF(Stock_Card!$B$2="","",IFERROR(SUMIFS(Raw_M!$E$2:$E$2000,Raw_M!$A$2:$A$2000,Stock_Card!$B$2,Raw_M!$C$2:$C$2000,"&gt;="&amp;((INT(SUMIFS(Raw_M!$C$2:$C$2000,Raw_M!$A$2:$A$2000,Stock_Card!$B$2,Raw_M!$F$2:$F$2000,9)/100)-0)*100+1),Raw_M!$C$2:$C$2000,"&lt;="&amp;((INT(SUMIFS(Raw_M!$C$2:$C$2000,Raw_M!$A$2:$A$2000,Stock_Card!$B$2,Raw_M!$F$2:$F$2000,9)/100)-0)*100+MOD(SUMIFS(Raw_M!$C$2:$C$2000,Raw_M!$A$2:$A$2000,Stock_Card!$B$2,Raw_M!$F$2:$F$2000,9),100))),""))</f>
        <v>736258.696</v>
      </c>
      <c r="K13" s="49" t="n">
        <f aca="false">IF(Stock_Card!$B$2="","",IFERROR(IF(OR(COUNTIFS(Raw_M!$A$2:$A$2000,Stock_Card!$B$2,Raw_M!$C$2:$C$2000,"&gt;="&amp;((INT(SUMIFS(Raw_M!$C$2:$C$2000,Raw_M!$A$2:$A$2000,Stock_Card!$B$2,Raw_M!$F$2:$F$2000,9)/100)-0)*100+1),Raw_M!$C$2:$C$2000,"&lt;="&amp;((INT(SUMIFS(Raw_M!$C$2:$C$2000,Raw_M!$A$2:$A$2000,Stock_Card!$B$2,Raw_M!$F$2:$F$2000,9)/100)-0)*100+MOD(SUMIFS(Raw_M!$C$2:$C$2000,Raw_M!$A$2:$A$2000,Stock_Card!$B$2,Raw_M!$F$2:$F$2000,9),100)))&lt;&gt;MOD(SUMIFS(Raw_M!$C$2:$C$2000,Raw_M!$A$2:$A$2000,Stock_Card!$B$2,Raw_M!$F$2:$F$2000,9),100),COUNTIFS(Raw_M!$A$2:$A$2000,Stock_Card!$B$2,Raw_M!$C$2:$C$2000,"&gt;="&amp;((INT(SUMIFS(Raw_M!$C$2:$C$2000,Raw_M!$A$2:$A$2000,Stock_Card!$B$2,Raw_M!$F$2:$F$2000,9)/100)-1)*100+1),Raw_M!$C$2:$C$2000,"&lt;="&amp;((INT(SUMIFS(Raw_M!$C$2:$C$2000,Raw_M!$A$2:$A$2000,Stock_Card!$B$2,Raw_M!$F$2:$F$2000,9)/100)-1)*100+MOD(SUMIFS(Raw_M!$C$2:$C$2000,Raw_M!$A$2:$A$2000,Stock_Card!$B$2,Raw_M!$F$2:$F$2000,9),100)))&lt;&gt;MOD(SUMIFS(Raw_M!$C$2:$C$2000,Raw_M!$A$2:$A$2000,Stock_Card!$B$2,Raw_M!$F$2:$F$2000,9),100)),"N/M",SUMIFS(Raw_M!$E$2:$E$2000,Raw_M!$A$2:$A$2000,Stock_Card!$B$2,Raw_M!$C$2:$C$2000,"&gt;="&amp;((INT(SUMIFS(Raw_M!$C$2:$C$2000,Raw_M!$A$2:$A$2000,Stock_Card!$B$2,Raw_M!$F$2:$F$2000,9)/100)-0)*100+1),Raw_M!$C$2:$C$2000,"&lt;="&amp;((INT(SUMIFS(Raw_M!$C$2:$C$2000,Raw_M!$A$2:$A$2000,Stock_Card!$B$2,Raw_M!$F$2:$F$2000,9)/100)-0)*100+MOD(SUMIFS(Raw_M!$C$2:$C$2000,Raw_M!$A$2:$A$2000,Stock_Card!$B$2,Raw_M!$F$2:$F$2000,9),100)))/SUMIFS(Raw_M!$E$2:$E$2000,Raw_M!$A$2:$A$2000,Stock_Card!$B$2,Raw_M!$C$2:$C$2000,"&gt;="&amp;((INT(SUMIFS(Raw_M!$C$2:$C$2000,Raw_M!$A$2:$A$2000,Stock_Card!$B$2,Raw_M!$F$2:$F$2000,9)/100)-1)*100+1),Raw_M!$C$2:$C$2000,"&lt;="&amp;((INT(SUMIFS(Raw_M!$C$2:$C$2000,Raw_M!$A$2:$A$2000,Stock_Card!$B$2,Raw_M!$F$2:$F$2000,9)/100)-1)*100+MOD(SUMIFS(Raw_M!$C$2:$C$2000,Raw_M!$A$2:$A$2000,Stock_Card!$B$2,Raw_M!$F$2:$F$2000,9),100)))-1),"N/M"))</f>
        <v>0.288401821296552</v>
      </c>
    </row>
    <row r="14" customFormat="false" ht="15" hidden="false" customHeight="false" outlineLevel="0" collapsed="false">
      <c r="A14" s="73" t="str">
        <f aca="false">IF(Stock_Card!$B$2="","",IFERROR(INDEX(Raw_M!$B$2:$B$2000,MATCH(Stock_Card!$B$2&amp;"|10",Raw_M!$G$2:$G$2000,0)),""))</f>
        <v>2026-01</v>
      </c>
      <c r="B14" s="48" t="n">
        <f aca="false">IF(Stock_Card!$B$2="","",IFERROR(SUMIFS(Raw_M!$E$2:$E$2000,Raw_M!$A$2:$A$2000,Stock_Card!$B$2,Raw_M!$F$2:$F$2000,10),""))</f>
        <v>335003.568</v>
      </c>
      <c r="C14" s="49" t="n">
        <f aca="false">IF(Stock_Card!$B$2="","",IFERROR((SUMIFS(Raw_M!$E$2:$E$2000,Raw_M!$A$2:$A$2000,Stock_Card!$B$2,Raw_M!$F$2:$F$2000,10)/SUMIFS(Raw_M!$E$2:$E$2000,Raw_M!$A$2:$A$2000,Stock_Card!$B$2,Raw_M!$F$2:$F$2000,11)-1),""))</f>
        <v>-0.0250578816970803</v>
      </c>
      <c r="D14" s="68" t="n">
        <f aca="false">IF(Stock_Card!$B$2="","",IFERROR(((SUMIFS(Raw_M!$E$2:$E$2000,Raw_M!$A$2:$A$2000,Stock_Card!$B$2,Raw_M!$F$2:$F$2000,10)/SUMIFS(Raw_M!$E$2:$E$2000,Raw_M!$A$2:$A$2000,Stock_Card!$B$2,Raw_M!$F$2:$F$2000,11)-1)-(SUMIFS(Raw_M!$E$2:$E$2000,Raw_M!$A$2:$A$2000,Stock_Card!$B$2,Raw_M!$F$2:$F$2000,11)/SUMIFS(Raw_M!$E$2:$E$2000,Raw_M!$A$2:$A$2000,Stock_Card!$B$2,Raw_M!$F$2:$F$2000,12)-1))*100,""))</f>
        <v>3.9870006035291</v>
      </c>
      <c r="E14" s="49" t="str">
        <f aca="false">IF(Stock_Card!$B$2="","",IFERROR(IF(OR(NOT(ISNUMBER((SUMIFS(Raw_M!$E$2:$E$2000,Raw_M!$A$2:$A$2000,Stock_Card!$B$2,Raw_M!$F$2:$F$2000,11)/SUMIFS(Raw_M!$E$2:$E$2000,Raw_M!$A$2:$A$2000,Stock_Card!$B$2,Raw_M!$F$2:$F$2000,12)-1))),(SUMIFS(Raw_M!$E$2:$E$2000,Raw_M!$A$2:$A$2000,Stock_Card!$B$2,Raw_M!$F$2:$F$2000,11)/SUMIFS(Raw_M!$E$2:$E$2000,Raw_M!$A$2:$A$2000,Stock_Card!$B$2,Raw_M!$F$2:$F$2000,12)-1)&lt;=0,ABS((SUMIFS(Raw_M!$E$2:$E$2000,Raw_M!$A$2:$A$2000,Stock_Card!$B$2,Raw_M!$F$2:$F$2000,11)/SUMIFS(Raw_M!$E$2:$E$2000,Raw_M!$A$2:$A$2000,Stock_Card!$B$2,Raw_M!$F$2:$F$2000,12)-1))&lt;Config!$B$9),"N/M",((SUMIFS(Raw_M!$E$2:$E$2000,Raw_M!$A$2:$A$2000,Stock_Card!$B$2,Raw_M!$F$2:$F$2000,10)/SUMIFS(Raw_M!$E$2:$E$2000,Raw_M!$A$2:$A$2000,Stock_Card!$B$2,Raw_M!$F$2:$F$2000,11)-1)-(SUMIFS(Raw_M!$E$2:$E$2000,Raw_M!$A$2:$A$2000,Stock_Card!$B$2,Raw_M!$F$2:$F$2000,11)/SUMIFS(Raw_M!$E$2:$E$2000,Raw_M!$A$2:$A$2000,Stock_Card!$B$2,Raw_M!$F$2:$F$2000,12)-1))/ABS((SUMIFS(Raw_M!$E$2:$E$2000,Raw_M!$A$2:$A$2000,Stock_Card!$B$2,Raw_M!$F$2:$F$2000,11)/SUMIFS(Raw_M!$E$2:$E$2000,Raw_M!$A$2:$A$2000,Stock_Card!$B$2,Raw_M!$F$2:$F$2000,12)-1))),"N/M"))</f>
        <v>N/M</v>
      </c>
      <c r="F14" s="49" t="n">
        <f aca="false">IF(Stock_Card!$B$2="","",IFERROR((SUMIFS(Raw_M!$E$2:$E$2000,Raw_M!$A$2:$A$2000,Stock_Card!$B$2,Raw_M!$F$2:$F$2000,10)/SUMIFS(Raw_M!$E$2:$E$2000,Raw_M!$A$2:$A$2000,Stock_Card!$B$2,Raw_M!$F$2:$F$2000,22)-1),""))</f>
        <v>0.204342199125638</v>
      </c>
      <c r="G14" s="68" t="n">
        <f aca="false">IF(Stock_Card!$B$2="","",IFERROR(((SUMIFS(Raw_M!$E$2:$E$2000,Raw_M!$A$2:$A$2000,Stock_Card!$B$2,Raw_M!$F$2:$F$2000,10)/SUMIFS(Raw_M!$E$2:$E$2000,Raw_M!$A$2:$A$2000,Stock_Card!$B$2,Raw_M!$F$2:$F$2000,22)-1)-(SUMIFS(Raw_M!$E$2:$E$2000,Raw_M!$A$2:$A$2000,Stock_Card!$B$2,Raw_M!$F$2:$F$2000,11)/SUMIFS(Raw_M!$E$2:$E$2000,Raw_M!$A$2:$A$2000,Stock_Card!$B$2,Raw_M!$F$2:$F$2000,23)-1))*100,""))</f>
        <v>-4.03721594231443</v>
      </c>
      <c r="H14" s="49" t="n">
        <f aca="false">IF(Stock_Card!$B$2="","",IFERROR(IF(OR(NOT(ISNUMBER((SUMIFS(Raw_M!$E$2:$E$2000,Raw_M!$A$2:$A$2000,Stock_Card!$B$2,Raw_M!$F$2:$F$2000,11)/SUMIFS(Raw_M!$E$2:$E$2000,Raw_M!$A$2:$A$2000,Stock_Card!$B$2,Raw_M!$F$2:$F$2000,23)-1))),(SUMIFS(Raw_M!$E$2:$E$2000,Raw_M!$A$2:$A$2000,Stock_Card!$B$2,Raw_M!$F$2:$F$2000,11)/SUMIFS(Raw_M!$E$2:$E$2000,Raw_M!$A$2:$A$2000,Stock_Card!$B$2,Raw_M!$F$2:$F$2000,23)-1)&lt;=0,ABS((SUMIFS(Raw_M!$E$2:$E$2000,Raw_M!$A$2:$A$2000,Stock_Card!$B$2,Raw_M!$F$2:$F$2000,11)/SUMIFS(Raw_M!$E$2:$E$2000,Raw_M!$A$2:$A$2000,Stock_Card!$B$2,Raw_M!$F$2:$F$2000,23)-1))&lt;Config!$B$9),"N/M",((SUMIFS(Raw_M!$E$2:$E$2000,Raw_M!$A$2:$A$2000,Stock_Card!$B$2,Raw_M!$F$2:$F$2000,10)/SUMIFS(Raw_M!$E$2:$E$2000,Raw_M!$A$2:$A$2000,Stock_Card!$B$2,Raw_M!$F$2:$F$2000,22)-1)-(SUMIFS(Raw_M!$E$2:$E$2000,Raw_M!$A$2:$A$2000,Stock_Card!$B$2,Raw_M!$F$2:$F$2000,11)/SUMIFS(Raw_M!$E$2:$E$2000,Raw_M!$A$2:$A$2000,Stock_Card!$B$2,Raw_M!$F$2:$F$2000,23)-1))/ABS((SUMIFS(Raw_M!$E$2:$E$2000,Raw_M!$A$2:$A$2000,Stock_Card!$B$2,Raw_M!$F$2:$F$2000,11)/SUMIFS(Raw_M!$E$2:$E$2000,Raw_M!$A$2:$A$2000,Stock_Card!$B$2,Raw_M!$F$2:$F$2000,23)-1))),"N/M"))</f>
        <v>-0.16497666774668</v>
      </c>
      <c r="I14" s="69" t="str">
        <f aca="false">IF(Stock_Card!$B$2="","",IFERROR(IF(AND((SUMIFS(Raw_M!$E$2:$E$2000,Raw_M!$A$2:$A$2000,Stock_Card!$B$2,Raw_M!$F$2:$F$2000,11)/SUMIFS(Raw_M!$E$2:$E$2000,Raw_M!$A$2:$A$2000,Stock_Card!$B$2,Raw_M!$F$2:$F$2000,23)-1)&gt;0,(SUMIFS(Raw_M!$E$2:$E$2000,Raw_M!$A$2:$A$2000,Stock_Card!$B$2,Raw_M!$F$2:$F$2000,10)/SUMIFS(Raw_M!$E$2:$E$2000,Raw_M!$A$2:$A$2000,Stock_Card!$B$2,Raw_M!$F$2:$F$2000,22)-1)&lt;=0),"由正轉負",IF(AND((SUMIFS(Raw_M!$E$2:$E$2000,Raw_M!$A$2:$A$2000,Stock_Card!$B$2,Raw_M!$F$2:$F$2000,11)/SUMIFS(Raw_M!$E$2:$E$2000,Raw_M!$A$2:$A$2000,Stock_Card!$B$2,Raw_M!$F$2:$F$2000,23)-1)&lt;=0,(SUMIFS(Raw_M!$E$2:$E$2000,Raw_M!$A$2:$A$2000,Stock_Card!$B$2,Raw_M!$F$2:$F$2000,10)/SUMIFS(Raw_M!$E$2:$E$2000,Raw_M!$A$2:$A$2000,Stock_Card!$B$2,Raw_M!$F$2:$F$2000,22)-1)&gt;0),"由負轉正",IF((SUMIFS(Raw_M!$E$2:$E$2000,Raw_M!$A$2:$A$2000,Stock_Card!$B$2,Raw_M!$F$2:$F$2000,10)/SUMIFS(Raw_M!$E$2:$E$2000,Raw_M!$A$2:$A$2000,Stock_Card!$B$2,Raw_M!$F$2:$F$2000,22)-1)&gt;0,IF(((SUMIFS(Raw_M!$E$2:$E$2000,Raw_M!$A$2:$A$2000,Stock_Card!$B$2,Raw_M!$F$2:$F$2000,10)/SUMIFS(Raw_M!$E$2:$E$2000,Raw_M!$A$2:$A$2000,Stock_Card!$B$2,Raw_M!$F$2:$F$2000,22)-1)-(SUMIFS(Raw_M!$E$2:$E$2000,Raw_M!$A$2:$A$2000,Stock_Card!$B$2,Raw_M!$F$2:$F$2000,11)/SUMIFS(Raw_M!$E$2:$E$2000,Raw_M!$A$2:$A$2000,Stock_Card!$B$2,Raw_M!$F$2:$F$2000,23)-1))*100&gt;0,"成長且加速","成長但減速"),IF(((SUMIFS(Raw_M!$E$2:$E$2000,Raw_M!$A$2:$A$2000,Stock_Card!$B$2,Raw_M!$F$2:$F$2000,10)/SUMIFS(Raw_M!$E$2:$E$2000,Raw_M!$A$2:$A$2000,Stock_Card!$B$2,Raw_M!$F$2:$F$2000,22)-1)-(SUMIFS(Raw_M!$E$2:$E$2000,Raw_M!$A$2:$A$2000,Stock_Card!$B$2,Raw_M!$F$2:$F$2000,11)/SUMIFS(Raw_M!$E$2:$E$2000,Raw_M!$A$2:$A$2000,Stock_Card!$B$2,Raw_M!$F$2:$F$2000,23)-1))*100&gt;0,"衰退但收斂","衰退且惡化")))),""))</f>
        <v>成長但減速</v>
      </c>
      <c r="J14" s="48" t="n">
        <f aca="false">IF(Stock_Card!$B$2="","",IFERROR(SUMIFS(Raw_M!$E$2:$E$2000,Raw_M!$A$2:$A$2000,Stock_Card!$B$2,Raw_M!$C$2:$C$2000,"&gt;="&amp;((INT(SUMIFS(Raw_M!$C$2:$C$2000,Raw_M!$A$2:$A$2000,Stock_Card!$B$2,Raw_M!$F$2:$F$2000,10)/100)-0)*100+1),Raw_M!$C$2:$C$2000,"&lt;="&amp;((INT(SUMIFS(Raw_M!$C$2:$C$2000,Raw_M!$A$2:$A$2000,Stock_Card!$B$2,Raw_M!$F$2:$F$2000,10)/100)-0)*100+MOD(SUMIFS(Raw_M!$C$2:$C$2000,Raw_M!$A$2:$A$2000,Stock_Card!$B$2,Raw_M!$F$2:$F$2000,10),100))),""))</f>
        <v>335003.568</v>
      </c>
      <c r="K14" s="49" t="n">
        <f aca="false">IF(Stock_Card!$B$2="","",IFERROR(IF(OR(COUNTIFS(Raw_M!$A$2:$A$2000,Stock_Card!$B$2,Raw_M!$C$2:$C$2000,"&gt;="&amp;((INT(SUMIFS(Raw_M!$C$2:$C$2000,Raw_M!$A$2:$A$2000,Stock_Card!$B$2,Raw_M!$F$2:$F$2000,10)/100)-0)*100+1),Raw_M!$C$2:$C$2000,"&lt;="&amp;((INT(SUMIFS(Raw_M!$C$2:$C$2000,Raw_M!$A$2:$A$2000,Stock_Card!$B$2,Raw_M!$F$2:$F$2000,10)/100)-0)*100+MOD(SUMIFS(Raw_M!$C$2:$C$2000,Raw_M!$A$2:$A$2000,Stock_Card!$B$2,Raw_M!$F$2:$F$2000,10),100)))&lt;&gt;MOD(SUMIFS(Raw_M!$C$2:$C$2000,Raw_M!$A$2:$A$2000,Stock_Card!$B$2,Raw_M!$F$2:$F$2000,10),100),COUNTIFS(Raw_M!$A$2:$A$2000,Stock_Card!$B$2,Raw_M!$C$2:$C$2000,"&gt;="&amp;((INT(SUMIFS(Raw_M!$C$2:$C$2000,Raw_M!$A$2:$A$2000,Stock_Card!$B$2,Raw_M!$F$2:$F$2000,10)/100)-1)*100+1),Raw_M!$C$2:$C$2000,"&lt;="&amp;((INT(SUMIFS(Raw_M!$C$2:$C$2000,Raw_M!$A$2:$A$2000,Stock_Card!$B$2,Raw_M!$F$2:$F$2000,10)/100)-1)*100+MOD(SUMIFS(Raw_M!$C$2:$C$2000,Raw_M!$A$2:$A$2000,Stock_Card!$B$2,Raw_M!$F$2:$F$2000,10),100)))&lt;&gt;MOD(SUMIFS(Raw_M!$C$2:$C$2000,Raw_M!$A$2:$A$2000,Stock_Card!$B$2,Raw_M!$F$2:$F$2000,10),100)),"N/M",SUMIFS(Raw_M!$E$2:$E$2000,Raw_M!$A$2:$A$2000,Stock_Card!$B$2,Raw_M!$C$2:$C$2000,"&gt;="&amp;((INT(SUMIFS(Raw_M!$C$2:$C$2000,Raw_M!$A$2:$A$2000,Stock_Card!$B$2,Raw_M!$F$2:$F$2000,10)/100)-0)*100+1),Raw_M!$C$2:$C$2000,"&lt;="&amp;((INT(SUMIFS(Raw_M!$C$2:$C$2000,Raw_M!$A$2:$A$2000,Stock_Card!$B$2,Raw_M!$F$2:$F$2000,10)/100)-0)*100+MOD(SUMIFS(Raw_M!$C$2:$C$2000,Raw_M!$A$2:$A$2000,Stock_Card!$B$2,Raw_M!$F$2:$F$2000,10),100)))/SUMIFS(Raw_M!$E$2:$E$2000,Raw_M!$A$2:$A$2000,Stock_Card!$B$2,Raw_M!$C$2:$C$2000,"&gt;="&amp;((INT(SUMIFS(Raw_M!$C$2:$C$2000,Raw_M!$A$2:$A$2000,Stock_Card!$B$2,Raw_M!$F$2:$F$2000,10)/100)-1)*100+1),Raw_M!$C$2:$C$2000,"&lt;="&amp;((INT(SUMIFS(Raw_M!$C$2:$C$2000,Raw_M!$A$2:$A$2000,Stock_Card!$B$2,Raw_M!$F$2:$F$2000,10)/100)-1)*100+MOD(SUMIFS(Raw_M!$C$2:$C$2000,Raw_M!$A$2:$A$2000,Stock_Card!$B$2,Raw_M!$F$2:$F$2000,10),100)))-1),"N/M"))</f>
        <v>0.204342199125638</v>
      </c>
    </row>
    <row r="15" customFormat="false" ht="15" hidden="false" customHeight="false" outlineLevel="0" collapsed="false">
      <c r="A15" s="73" t="str">
        <f aca="false">IF(Stock_Card!$B$2="","",IFERROR(INDEX(Raw_M!$B$2:$B$2000,MATCH(Stock_Card!$B$2&amp;"|11",Raw_M!$G$2:$G$2000,0)),""))</f>
        <v>2025-12</v>
      </c>
      <c r="B15" s="48" t="n">
        <f aca="false">IF(Stock_Card!$B$2="","",IFERROR(SUMIFS(Raw_M!$E$2:$E$2000,Raw_M!$A$2:$A$2000,Stock_Card!$B$2,Raw_M!$F$2:$F$2000,11),""))</f>
        <v>343613.802</v>
      </c>
      <c r="C15" s="49" t="n">
        <f aca="false">IF(Stock_Card!$B$2="","",IFERROR((SUMIFS(Raw_M!$E$2:$E$2000,Raw_M!$A$2:$A$2000,Stock_Card!$B$2,Raw_M!$F$2:$F$2000,11)/SUMIFS(Raw_M!$E$2:$E$2000,Raw_M!$A$2:$A$2000,Stock_Card!$B$2,Raw_M!$F$2:$F$2000,12)-1),""))</f>
        <v>-0.0649278877323714</v>
      </c>
      <c r="D15" s="68" t="n">
        <f aca="false">IF(Stock_Card!$B$2="","",IFERROR(((SUMIFS(Raw_M!$E$2:$E$2000,Raw_M!$A$2:$A$2000,Stock_Card!$B$2,Raw_M!$F$2:$F$2000,11)/SUMIFS(Raw_M!$E$2:$E$2000,Raw_M!$A$2:$A$2000,Stock_Card!$B$2,Raw_M!$F$2:$F$2000,12)-1)-(SUMIFS(Raw_M!$E$2:$E$2000,Raw_M!$A$2:$A$2000,Stock_Card!$B$2,Raw_M!$F$2:$F$2000,12)/SUMIFS(Raw_M!$E$2:$E$2000,Raw_M!$A$2:$A$2000,Stock_Card!$B$2,Raw_M!$F$2:$F$2000,13)-1))*100,""))</f>
        <v>-17.5182373096664</v>
      </c>
      <c r="E15" s="49" t="n">
        <f aca="false">IF(Stock_Card!$B$2="","",IFERROR(IF(OR(NOT(ISNUMBER((SUMIFS(Raw_M!$E$2:$E$2000,Raw_M!$A$2:$A$2000,Stock_Card!$B$2,Raw_M!$F$2:$F$2000,12)/SUMIFS(Raw_M!$E$2:$E$2000,Raw_M!$A$2:$A$2000,Stock_Card!$B$2,Raw_M!$F$2:$F$2000,13)-1))),(SUMIFS(Raw_M!$E$2:$E$2000,Raw_M!$A$2:$A$2000,Stock_Card!$B$2,Raw_M!$F$2:$F$2000,12)/SUMIFS(Raw_M!$E$2:$E$2000,Raw_M!$A$2:$A$2000,Stock_Card!$B$2,Raw_M!$F$2:$F$2000,13)-1)&lt;=0,ABS((SUMIFS(Raw_M!$E$2:$E$2000,Raw_M!$A$2:$A$2000,Stock_Card!$B$2,Raw_M!$F$2:$F$2000,12)/SUMIFS(Raw_M!$E$2:$E$2000,Raw_M!$A$2:$A$2000,Stock_Card!$B$2,Raw_M!$F$2:$F$2000,13)-1))&lt;Config!$B$9),"N/M",((SUMIFS(Raw_M!$E$2:$E$2000,Raw_M!$A$2:$A$2000,Stock_Card!$B$2,Raw_M!$F$2:$F$2000,11)/SUMIFS(Raw_M!$E$2:$E$2000,Raw_M!$A$2:$A$2000,Stock_Card!$B$2,Raw_M!$F$2:$F$2000,12)-1)-(SUMIFS(Raw_M!$E$2:$E$2000,Raw_M!$A$2:$A$2000,Stock_Card!$B$2,Raw_M!$F$2:$F$2000,12)/SUMIFS(Raw_M!$E$2:$E$2000,Raw_M!$A$2:$A$2000,Stock_Card!$B$2,Raw_M!$F$2:$F$2000,13)-1))/ABS((SUMIFS(Raw_M!$E$2:$E$2000,Raw_M!$A$2:$A$2000,Stock_Card!$B$2,Raw_M!$F$2:$F$2000,12)/SUMIFS(Raw_M!$E$2:$E$2000,Raw_M!$A$2:$A$2000,Stock_Card!$B$2,Raw_M!$F$2:$F$2000,13)-1))),"N/M"))</f>
        <v>-1.58889112327578</v>
      </c>
      <c r="F15" s="49" t="n">
        <f aca="false">IF(Stock_Card!$B$2="","",IFERROR((SUMIFS(Raw_M!$E$2:$E$2000,Raw_M!$A$2:$A$2000,Stock_Card!$B$2,Raw_M!$F$2:$F$2000,11)/SUMIFS(Raw_M!$E$2:$E$2000,Raw_M!$A$2:$A$2000,Stock_Card!$B$2,Raw_M!$F$2:$F$2000,23)-1),""))</f>
        <v>0.244714358548782</v>
      </c>
      <c r="G15" s="68" t="n">
        <f aca="false">IF(Stock_Card!$B$2="","",IFERROR(((SUMIFS(Raw_M!$E$2:$E$2000,Raw_M!$A$2:$A$2000,Stock_Card!$B$2,Raw_M!$F$2:$F$2000,11)/SUMIFS(Raw_M!$E$2:$E$2000,Raw_M!$A$2:$A$2000,Stock_Card!$B$2,Raw_M!$F$2:$F$2000,23)-1)-(SUMIFS(Raw_M!$E$2:$E$2000,Raw_M!$A$2:$A$2000,Stock_Card!$B$2,Raw_M!$F$2:$F$2000,12)/SUMIFS(Raw_M!$E$2:$E$2000,Raw_M!$A$2:$A$2000,Stock_Card!$B$2,Raw_M!$F$2:$F$2000,24)-1))*100,""))</f>
        <v>7.53107606018859</v>
      </c>
      <c r="H15" s="49" t="n">
        <f aca="false">IF(Stock_Card!$B$2="","",IFERROR(IF(OR(NOT(ISNUMBER((SUMIFS(Raw_M!$E$2:$E$2000,Raw_M!$A$2:$A$2000,Stock_Card!$B$2,Raw_M!$F$2:$F$2000,12)/SUMIFS(Raw_M!$E$2:$E$2000,Raw_M!$A$2:$A$2000,Stock_Card!$B$2,Raw_M!$F$2:$F$2000,24)-1))),(SUMIFS(Raw_M!$E$2:$E$2000,Raw_M!$A$2:$A$2000,Stock_Card!$B$2,Raw_M!$F$2:$F$2000,12)/SUMIFS(Raw_M!$E$2:$E$2000,Raw_M!$A$2:$A$2000,Stock_Card!$B$2,Raw_M!$F$2:$F$2000,24)-1)&lt;=0,ABS((SUMIFS(Raw_M!$E$2:$E$2000,Raw_M!$A$2:$A$2000,Stock_Card!$B$2,Raw_M!$F$2:$F$2000,12)/SUMIFS(Raw_M!$E$2:$E$2000,Raw_M!$A$2:$A$2000,Stock_Card!$B$2,Raw_M!$F$2:$F$2000,24)-1))&lt;Config!$B$9),"N/M",((SUMIFS(Raw_M!$E$2:$E$2000,Raw_M!$A$2:$A$2000,Stock_Card!$B$2,Raw_M!$F$2:$F$2000,11)/SUMIFS(Raw_M!$E$2:$E$2000,Raw_M!$A$2:$A$2000,Stock_Card!$B$2,Raw_M!$F$2:$F$2000,23)-1)-(SUMIFS(Raw_M!$E$2:$E$2000,Raw_M!$A$2:$A$2000,Stock_Card!$B$2,Raw_M!$F$2:$F$2000,12)/SUMIFS(Raw_M!$E$2:$E$2000,Raw_M!$A$2:$A$2000,Stock_Card!$B$2,Raw_M!$F$2:$F$2000,24)-1))/ABS((SUMIFS(Raw_M!$E$2:$E$2000,Raw_M!$A$2:$A$2000,Stock_Card!$B$2,Raw_M!$F$2:$F$2000,12)/SUMIFS(Raw_M!$E$2:$E$2000,Raw_M!$A$2:$A$2000,Stock_Card!$B$2,Raw_M!$F$2:$F$2000,24)-1))),"N/M"))</f>
        <v>0.444564115016578</v>
      </c>
      <c r="I15" s="69" t="str">
        <f aca="false">IF(Stock_Card!$B$2="","",IFERROR(IF(AND((SUMIFS(Raw_M!$E$2:$E$2000,Raw_M!$A$2:$A$2000,Stock_Card!$B$2,Raw_M!$F$2:$F$2000,12)/SUMIFS(Raw_M!$E$2:$E$2000,Raw_M!$A$2:$A$2000,Stock_Card!$B$2,Raw_M!$F$2:$F$2000,24)-1)&gt;0,(SUMIFS(Raw_M!$E$2:$E$2000,Raw_M!$A$2:$A$2000,Stock_Card!$B$2,Raw_M!$F$2:$F$2000,11)/SUMIFS(Raw_M!$E$2:$E$2000,Raw_M!$A$2:$A$2000,Stock_Card!$B$2,Raw_M!$F$2:$F$2000,23)-1)&lt;=0),"由正轉負",IF(AND((SUMIFS(Raw_M!$E$2:$E$2000,Raw_M!$A$2:$A$2000,Stock_Card!$B$2,Raw_M!$F$2:$F$2000,12)/SUMIFS(Raw_M!$E$2:$E$2000,Raw_M!$A$2:$A$2000,Stock_Card!$B$2,Raw_M!$F$2:$F$2000,24)-1)&lt;=0,(SUMIFS(Raw_M!$E$2:$E$2000,Raw_M!$A$2:$A$2000,Stock_Card!$B$2,Raw_M!$F$2:$F$2000,11)/SUMIFS(Raw_M!$E$2:$E$2000,Raw_M!$A$2:$A$2000,Stock_Card!$B$2,Raw_M!$F$2:$F$2000,23)-1)&gt;0),"由負轉正",IF((SUMIFS(Raw_M!$E$2:$E$2000,Raw_M!$A$2:$A$2000,Stock_Card!$B$2,Raw_M!$F$2:$F$2000,11)/SUMIFS(Raw_M!$E$2:$E$2000,Raw_M!$A$2:$A$2000,Stock_Card!$B$2,Raw_M!$F$2:$F$2000,23)-1)&gt;0,IF(((SUMIFS(Raw_M!$E$2:$E$2000,Raw_M!$A$2:$A$2000,Stock_Card!$B$2,Raw_M!$F$2:$F$2000,11)/SUMIFS(Raw_M!$E$2:$E$2000,Raw_M!$A$2:$A$2000,Stock_Card!$B$2,Raw_M!$F$2:$F$2000,23)-1)-(SUMIFS(Raw_M!$E$2:$E$2000,Raw_M!$A$2:$A$2000,Stock_Card!$B$2,Raw_M!$F$2:$F$2000,12)/SUMIFS(Raw_M!$E$2:$E$2000,Raw_M!$A$2:$A$2000,Stock_Card!$B$2,Raw_M!$F$2:$F$2000,24)-1))*100&gt;0,"成長且加速","成長但減速"),IF(((SUMIFS(Raw_M!$E$2:$E$2000,Raw_M!$A$2:$A$2000,Stock_Card!$B$2,Raw_M!$F$2:$F$2000,11)/SUMIFS(Raw_M!$E$2:$E$2000,Raw_M!$A$2:$A$2000,Stock_Card!$B$2,Raw_M!$F$2:$F$2000,23)-1)-(SUMIFS(Raw_M!$E$2:$E$2000,Raw_M!$A$2:$A$2000,Stock_Card!$B$2,Raw_M!$F$2:$F$2000,12)/SUMIFS(Raw_M!$E$2:$E$2000,Raw_M!$A$2:$A$2000,Stock_Card!$B$2,Raw_M!$F$2:$F$2000,24)-1))*100&gt;0,"衰退但收斂","衰退且惡化")))),""))</f>
        <v>成長且加速</v>
      </c>
      <c r="J15" s="48" t="n">
        <f aca="false">IF(Stock_Card!$B$2="","",IFERROR(SUMIFS(Raw_M!$E$2:$E$2000,Raw_M!$A$2:$A$2000,Stock_Card!$B$2,Raw_M!$C$2:$C$2000,"&gt;="&amp;((INT(SUMIFS(Raw_M!$C$2:$C$2000,Raw_M!$A$2:$A$2000,Stock_Card!$B$2,Raw_M!$F$2:$F$2000,11)/100)-0)*100+1),Raw_M!$C$2:$C$2000,"&lt;="&amp;((INT(SUMIFS(Raw_M!$C$2:$C$2000,Raw_M!$A$2:$A$2000,Stock_Card!$B$2,Raw_M!$F$2:$F$2000,11)/100)-0)*100+MOD(SUMIFS(Raw_M!$C$2:$C$2000,Raw_M!$A$2:$A$2000,Stock_Card!$B$2,Raw_M!$F$2:$F$2000,11),100))),""))</f>
        <v>3752213.811</v>
      </c>
      <c r="K15" s="49" t="n">
        <f aca="false">IF(Stock_Card!$B$2="","",IFERROR(IF(OR(COUNTIFS(Raw_M!$A$2:$A$2000,Stock_Card!$B$2,Raw_M!$C$2:$C$2000,"&gt;="&amp;((INT(SUMIFS(Raw_M!$C$2:$C$2000,Raw_M!$A$2:$A$2000,Stock_Card!$B$2,Raw_M!$F$2:$F$2000,11)/100)-0)*100+1),Raw_M!$C$2:$C$2000,"&lt;="&amp;((INT(SUMIFS(Raw_M!$C$2:$C$2000,Raw_M!$A$2:$A$2000,Stock_Card!$B$2,Raw_M!$F$2:$F$2000,11)/100)-0)*100+MOD(SUMIFS(Raw_M!$C$2:$C$2000,Raw_M!$A$2:$A$2000,Stock_Card!$B$2,Raw_M!$F$2:$F$2000,11),100)))&lt;&gt;MOD(SUMIFS(Raw_M!$C$2:$C$2000,Raw_M!$A$2:$A$2000,Stock_Card!$B$2,Raw_M!$F$2:$F$2000,11),100),COUNTIFS(Raw_M!$A$2:$A$2000,Stock_Card!$B$2,Raw_M!$C$2:$C$2000,"&gt;="&amp;((INT(SUMIFS(Raw_M!$C$2:$C$2000,Raw_M!$A$2:$A$2000,Stock_Card!$B$2,Raw_M!$F$2:$F$2000,11)/100)-1)*100+1),Raw_M!$C$2:$C$2000,"&lt;="&amp;((INT(SUMIFS(Raw_M!$C$2:$C$2000,Raw_M!$A$2:$A$2000,Stock_Card!$B$2,Raw_M!$F$2:$F$2000,11)/100)-1)*100+MOD(SUMIFS(Raw_M!$C$2:$C$2000,Raw_M!$A$2:$A$2000,Stock_Card!$B$2,Raw_M!$F$2:$F$2000,11),100)))&lt;&gt;MOD(SUMIFS(Raw_M!$C$2:$C$2000,Raw_M!$A$2:$A$2000,Stock_Card!$B$2,Raw_M!$F$2:$F$2000,11),100)),"N/M",SUMIFS(Raw_M!$E$2:$E$2000,Raw_M!$A$2:$A$2000,Stock_Card!$B$2,Raw_M!$C$2:$C$2000,"&gt;="&amp;((INT(SUMIFS(Raw_M!$C$2:$C$2000,Raw_M!$A$2:$A$2000,Stock_Card!$B$2,Raw_M!$F$2:$F$2000,11)/100)-0)*100+1),Raw_M!$C$2:$C$2000,"&lt;="&amp;((INT(SUMIFS(Raw_M!$C$2:$C$2000,Raw_M!$A$2:$A$2000,Stock_Card!$B$2,Raw_M!$F$2:$F$2000,11)/100)-0)*100+MOD(SUMIFS(Raw_M!$C$2:$C$2000,Raw_M!$A$2:$A$2000,Stock_Card!$B$2,Raw_M!$F$2:$F$2000,11),100)))/SUMIFS(Raw_M!$E$2:$E$2000,Raw_M!$A$2:$A$2000,Stock_Card!$B$2,Raw_M!$C$2:$C$2000,"&gt;="&amp;((INT(SUMIFS(Raw_M!$C$2:$C$2000,Raw_M!$A$2:$A$2000,Stock_Card!$B$2,Raw_M!$F$2:$F$2000,11)/100)-1)*100+1),Raw_M!$C$2:$C$2000,"&lt;="&amp;((INT(SUMIFS(Raw_M!$C$2:$C$2000,Raw_M!$A$2:$A$2000,Stock_Card!$B$2,Raw_M!$F$2:$F$2000,11)/100)-1)*100+MOD(SUMIFS(Raw_M!$C$2:$C$2000,Raw_M!$A$2:$A$2000,Stock_Card!$B$2,Raw_M!$F$2:$F$2000,11),100)))-1),"N/M"))</f>
        <v>0.343702217693312</v>
      </c>
    </row>
    <row r="16" customFormat="false" ht="15" hidden="false" customHeight="false" outlineLevel="0" collapsed="false">
      <c r="A16" s="73" t="str">
        <f aca="false">IF(Stock_Card!$B$2="","",IFERROR(INDEX(Raw_M!$B$2:$B$2000,MATCH(Stock_Card!$B$2&amp;"|12",Raw_M!$G$2:$G$2000,0)),""))</f>
        <v>2025-11</v>
      </c>
      <c r="B16" s="48" t="n">
        <f aca="false">IF(Stock_Card!$B$2="","",IFERROR(SUMIFS(Raw_M!$E$2:$E$2000,Raw_M!$A$2:$A$2000,Stock_Card!$B$2,Raw_M!$F$2:$F$2000,12),""))</f>
        <v>367473.051</v>
      </c>
      <c r="C16" s="49" t="n">
        <f aca="false">IF(Stock_Card!$B$2="","",IFERROR((SUMIFS(Raw_M!$E$2:$E$2000,Raw_M!$A$2:$A$2000,Stock_Card!$B$2,Raw_M!$F$2:$F$2000,12)/SUMIFS(Raw_M!$E$2:$E$2000,Raw_M!$A$2:$A$2000,Stock_Card!$B$2,Raw_M!$F$2:$F$2000,13)-1),""))</f>
        <v>0.110254485364292</v>
      </c>
      <c r="D16" s="68" t="n">
        <f aca="false">IF(Stock_Card!$B$2="","",IFERROR(((SUMIFS(Raw_M!$E$2:$E$2000,Raw_M!$A$2:$A$2000,Stock_Card!$B$2,Raw_M!$F$2:$F$2000,12)/SUMIFS(Raw_M!$E$2:$E$2000,Raw_M!$A$2:$A$2000,Stock_Card!$B$2,Raw_M!$F$2:$F$2000,13)-1)-(SUMIFS(Raw_M!$E$2:$E$2000,Raw_M!$A$2:$A$2000,Stock_Card!$B$2,Raw_M!$F$2:$F$2000,13)/SUMIFS(Raw_M!$E$2:$E$2000,Raw_M!$A$2:$A$2000,Stock_Card!$B$2,Raw_M!$F$2:$F$2000,14)-1))*100,""))</f>
        <v>12.4522427327273</v>
      </c>
      <c r="E16" s="49" t="str">
        <f aca="false">IF(Stock_Card!$B$2="","",IFERROR(IF(OR(NOT(ISNUMBER((SUMIFS(Raw_M!$E$2:$E$2000,Raw_M!$A$2:$A$2000,Stock_Card!$B$2,Raw_M!$F$2:$F$2000,13)/SUMIFS(Raw_M!$E$2:$E$2000,Raw_M!$A$2:$A$2000,Stock_Card!$B$2,Raw_M!$F$2:$F$2000,14)-1))),(SUMIFS(Raw_M!$E$2:$E$2000,Raw_M!$A$2:$A$2000,Stock_Card!$B$2,Raw_M!$F$2:$F$2000,13)/SUMIFS(Raw_M!$E$2:$E$2000,Raw_M!$A$2:$A$2000,Stock_Card!$B$2,Raw_M!$F$2:$F$2000,14)-1)&lt;=0,ABS((SUMIFS(Raw_M!$E$2:$E$2000,Raw_M!$A$2:$A$2000,Stock_Card!$B$2,Raw_M!$F$2:$F$2000,13)/SUMIFS(Raw_M!$E$2:$E$2000,Raw_M!$A$2:$A$2000,Stock_Card!$B$2,Raw_M!$F$2:$F$2000,14)-1))&lt;Config!$B$9),"N/M",((SUMIFS(Raw_M!$E$2:$E$2000,Raw_M!$A$2:$A$2000,Stock_Card!$B$2,Raw_M!$F$2:$F$2000,12)/SUMIFS(Raw_M!$E$2:$E$2000,Raw_M!$A$2:$A$2000,Stock_Card!$B$2,Raw_M!$F$2:$F$2000,13)-1)-(SUMIFS(Raw_M!$E$2:$E$2000,Raw_M!$A$2:$A$2000,Stock_Card!$B$2,Raw_M!$F$2:$F$2000,13)/SUMIFS(Raw_M!$E$2:$E$2000,Raw_M!$A$2:$A$2000,Stock_Card!$B$2,Raw_M!$F$2:$F$2000,14)-1))/ABS((SUMIFS(Raw_M!$E$2:$E$2000,Raw_M!$A$2:$A$2000,Stock_Card!$B$2,Raw_M!$F$2:$F$2000,13)/SUMIFS(Raw_M!$E$2:$E$2000,Raw_M!$A$2:$A$2000,Stock_Card!$B$2,Raw_M!$F$2:$F$2000,14)-1))),"N/M"))</f>
        <v>N/M</v>
      </c>
      <c r="F16" s="49" t="n">
        <f aca="false">IF(Stock_Card!$B$2="","",IFERROR((SUMIFS(Raw_M!$E$2:$E$2000,Raw_M!$A$2:$A$2000,Stock_Card!$B$2,Raw_M!$F$2:$F$2000,12)/SUMIFS(Raw_M!$E$2:$E$2000,Raw_M!$A$2:$A$2000,Stock_Card!$B$2,Raw_M!$F$2:$F$2000,24)-1),""))</f>
        <v>0.169403597946896</v>
      </c>
      <c r="G16" s="68" t="n">
        <f aca="false">IF(Stock_Card!$B$2="","",IFERROR(((SUMIFS(Raw_M!$E$2:$E$2000,Raw_M!$A$2:$A$2000,Stock_Card!$B$2,Raw_M!$F$2:$F$2000,12)/SUMIFS(Raw_M!$E$2:$E$2000,Raw_M!$A$2:$A$2000,Stock_Card!$B$2,Raw_M!$F$2:$F$2000,24)-1)-(SUMIFS(Raw_M!$E$2:$E$2000,Raw_M!$A$2:$A$2000,Stock_Card!$B$2,Raw_M!$F$2:$F$2000,13)/SUMIFS(Raw_M!$E$2:$E$2000,Raw_M!$A$2:$A$2000,Stock_Card!$B$2,Raw_M!$F$2:$F$2000,25)-1))*100,""))</f>
        <v>-14.4676481635523</v>
      </c>
      <c r="H16" s="49" t="n">
        <f aca="false">IF(Stock_Card!$B$2="","",IFERROR(IF(OR(NOT(ISNUMBER((SUMIFS(Raw_M!$E$2:$E$2000,Raw_M!$A$2:$A$2000,Stock_Card!$B$2,Raw_M!$F$2:$F$2000,13)/SUMIFS(Raw_M!$E$2:$E$2000,Raw_M!$A$2:$A$2000,Stock_Card!$B$2,Raw_M!$F$2:$F$2000,25)-1))),(SUMIFS(Raw_M!$E$2:$E$2000,Raw_M!$A$2:$A$2000,Stock_Card!$B$2,Raw_M!$F$2:$F$2000,13)/SUMIFS(Raw_M!$E$2:$E$2000,Raw_M!$A$2:$A$2000,Stock_Card!$B$2,Raw_M!$F$2:$F$2000,25)-1)&lt;=0,ABS((SUMIFS(Raw_M!$E$2:$E$2000,Raw_M!$A$2:$A$2000,Stock_Card!$B$2,Raw_M!$F$2:$F$2000,13)/SUMIFS(Raw_M!$E$2:$E$2000,Raw_M!$A$2:$A$2000,Stock_Card!$B$2,Raw_M!$F$2:$F$2000,25)-1))&lt;Config!$B$9),"N/M",((SUMIFS(Raw_M!$E$2:$E$2000,Raw_M!$A$2:$A$2000,Stock_Card!$B$2,Raw_M!$F$2:$F$2000,12)/SUMIFS(Raw_M!$E$2:$E$2000,Raw_M!$A$2:$A$2000,Stock_Card!$B$2,Raw_M!$F$2:$F$2000,24)-1)-(SUMIFS(Raw_M!$E$2:$E$2000,Raw_M!$A$2:$A$2000,Stock_Card!$B$2,Raw_M!$F$2:$F$2000,13)/SUMIFS(Raw_M!$E$2:$E$2000,Raw_M!$A$2:$A$2000,Stock_Card!$B$2,Raw_M!$F$2:$F$2000,25)-1))/ABS((SUMIFS(Raw_M!$E$2:$E$2000,Raw_M!$A$2:$A$2000,Stock_Card!$B$2,Raw_M!$F$2:$F$2000,13)/SUMIFS(Raw_M!$E$2:$E$2000,Raw_M!$A$2:$A$2000,Stock_Card!$B$2,Raw_M!$F$2:$F$2000,25)-1))),"N/M"))</f>
        <v>-0.460635650079672</v>
      </c>
      <c r="I16" s="69" t="str">
        <f aca="false">IF(Stock_Card!$B$2="","",IFERROR(IF(AND((SUMIFS(Raw_M!$E$2:$E$2000,Raw_M!$A$2:$A$2000,Stock_Card!$B$2,Raw_M!$F$2:$F$2000,13)/SUMIFS(Raw_M!$E$2:$E$2000,Raw_M!$A$2:$A$2000,Stock_Card!$B$2,Raw_M!$F$2:$F$2000,25)-1)&gt;0,(SUMIFS(Raw_M!$E$2:$E$2000,Raw_M!$A$2:$A$2000,Stock_Card!$B$2,Raw_M!$F$2:$F$2000,12)/SUMIFS(Raw_M!$E$2:$E$2000,Raw_M!$A$2:$A$2000,Stock_Card!$B$2,Raw_M!$F$2:$F$2000,24)-1)&lt;=0),"由正轉負",IF(AND((SUMIFS(Raw_M!$E$2:$E$2000,Raw_M!$A$2:$A$2000,Stock_Card!$B$2,Raw_M!$F$2:$F$2000,13)/SUMIFS(Raw_M!$E$2:$E$2000,Raw_M!$A$2:$A$2000,Stock_Card!$B$2,Raw_M!$F$2:$F$2000,25)-1)&lt;=0,(SUMIFS(Raw_M!$E$2:$E$2000,Raw_M!$A$2:$A$2000,Stock_Card!$B$2,Raw_M!$F$2:$F$2000,12)/SUMIFS(Raw_M!$E$2:$E$2000,Raw_M!$A$2:$A$2000,Stock_Card!$B$2,Raw_M!$F$2:$F$2000,24)-1)&gt;0),"由負轉正",IF((SUMIFS(Raw_M!$E$2:$E$2000,Raw_M!$A$2:$A$2000,Stock_Card!$B$2,Raw_M!$F$2:$F$2000,12)/SUMIFS(Raw_M!$E$2:$E$2000,Raw_M!$A$2:$A$2000,Stock_Card!$B$2,Raw_M!$F$2:$F$2000,24)-1)&gt;0,IF(((SUMIFS(Raw_M!$E$2:$E$2000,Raw_M!$A$2:$A$2000,Stock_Card!$B$2,Raw_M!$F$2:$F$2000,12)/SUMIFS(Raw_M!$E$2:$E$2000,Raw_M!$A$2:$A$2000,Stock_Card!$B$2,Raw_M!$F$2:$F$2000,24)-1)-(SUMIFS(Raw_M!$E$2:$E$2000,Raw_M!$A$2:$A$2000,Stock_Card!$B$2,Raw_M!$F$2:$F$2000,13)/SUMIFS(Raw_M!$E$2:$E$2000,Raw_M!$A$2:$A$2000,Stock_Card!$B$2,Raw_M!$F$2:$F$2000,25)-1))*100&gt;0,"成長且加速","成長但減速"),IF(((SUMIFS(Raw_M!$E$2:$E$2000,Raw_M!$A$2:$A$2000,Stock_Card!$B$2,Raw_M!$F$2:$F$2000,12)/SUMIFS(Raw_M!$E$2:$E$2000,Raw_M!$A$2:$A$2000,Stock_Card!$B$2,Raw_M!$F$2:$F$2000,24)-1)-(SUMIFS(Raw_M!$E$2:$E$2000,Raw_M!$A$2:$A$2000,Stock_Card!$B$2,Raw_M!$F$2:$F$2000,13)/SUMIFS(Raw_M!$E$2:$E$2000,Raw_M!$A$2:$A$2000,Stock_Card!$B$2,Raw_M!$F$2:$F$2000,25)-1))*100&gt;0,"衰退但收斂","衰退且惡化")))),""))</f>
        <v>成長但減速</v>
      </c>
      <c r="J16" s="48" t="n">
        <f aca="false">IF(Stock_Card!$B$2="","",IFERROR(SUMIFS(Raw_M!$E$2:$E$2000,Raw_M!$A$2:$A$2000,Stock_Card!$B$2,Raw_M!$C$2:$C$2000,"&gt;="&amp;((INT(SUMIFS(Raw_M!$C$2:$C$2000,Raw_M!$A$2:$A$2000,Stock_Card!$B$2,Raw_M!$F$2:$F$2000,12)/100)-0)*100+1),Raw_M!$C$2:$C$2000,"&lt;="&amp;((INT(SUMIFS(Raw_M!$C$2:$C$2000,Raw_M!$A$2:$A$2000,Stock_Card!$B$2,Raw_M!$F$2:$F$2000,12)/100)-0)*100+MOD(SUMIFS(Raw_M!$C$2:$C$2000,Raw_M!$A$2:$A$2000,Stock_Card!$B$2,Raw_M!$F$2:$F$2000,12),100))),""))</f>
        <v>3408600.009</v>
      </c>
      <c r="K16" s="49" t="n">
        <f aca="false">IF(Stock_Card!$B$2="","",IFERROR(IF(OR(COUNTIFS(Raw_M!$A$2:$A$2000,Stock_Card!$B$2,Raw_M!$C$2:$C$2000,"&gt;="&amp;((INT(SUMIFS(Raw_M!$C$2:$C$2000,Raw_M!$A$2:$A$2000,Stock_Card!$B$2,Raw_M!$F$2:$F$2000,12)/100)-0)*100+1),Raw_M!$C$2:$C$2000,"&lt;="&amp;((INT(SUMIFS(Raw_M!$C$2:$C$2000,Raw_M!$A$2:$A$2000,Stock_Card!$B$2,Raw_M!$F$2:$F$2000,12)/100)-0)*100+MOD(SUMIFS(Raw_M!$C$2:$C$2000,Raw_M!$A$2:$A$2000,Stock_Card!$B$2,Raw_M!$F$2:$F$2000,12),100)))&lt;&gt;MOD(SUMIFS(Raw_M!$C$2:$C$2000,Raw_M!$A$2:$A$2000,Stock_Card!$B$2,Raw_M!$F$2:$F$2000,12),100),COUNTIFS(Raw_M!$A$2:$A$2000,Stock_Card!$B$2,Raw_M!$C$2:$C$2000,"&gt;="&amp;((INT(SUMIFS(Raw_M!$C$2:$C$2000,Raw_M!$A$2:$A$2000,Stock_Card!$B$2,Raw_M!$F$2:$F$2000,12)/100)-1)*100+1),Raw_M!$C$2:$C$2000,"&lt;="&amp;((INT(SUMIFS(Raw_M!$C$2:$C$2000,Raw_M!$A$2:$A$2000,Stock_Card!$B$2,Raw_M!$F$2:$F$2000,12)/100)-1)*100+MOD(SUMIFS(Raw_M!$C$2:$C$2000,Raw_M!$A$2:$A$2000,Stock_Card!$B$2,Raw_M!$F$2:$F$2000,12),100)))&lt;&gt;MOD(SUMIFS(Raw_M!$C$2:$C$2000,Raw_M!$A$2:$A$2000,Stock_Card!$B$2,Raw_M!$F$2:$F$2000,12),100)),"N/M",SUMIFS(Raw_M!$E$2:$E$2000,Raw_M!$A$2:$A$2000,Stock_Card!$B$2,Raw_M!$C$2:$C$2000,"&gt;="&amp;((INT(SUMIFS(Raw_M!$C$2:$C$2000,Raw_M!$A$2:$A$2000,Stock_Card!$B$2,Raw_M!$F$2:$F$2000,12)/100)-0)*100+1),Raw_M!$C$2:$C$2000,"&lt;="&amp;((INT(SUMIFS(Raw_M!$C$2:$C$2000,Raw_M!$A$2:$A$2000,Stock_Card!$B$2,Raw_M!$F$2:$F$2000,12)/100)-0)*100+MOD(SUMIFS(Raw_M!$C$2:$C$2000,Raw_M!$A$2:$A$2000,Stock_Card!$B$2,Raw_M!$F$2:$F$2000,12),100)))/SUMIFS(Raw_M!$E$2:$E$2000,Raw_M!$A$2:$A$2000,Stock_Card!$B$2,Raw_M!$C$2:$C$2000,"&gt;="&amp;((INT(SUMIFS(Raw_M!$C$2:$C$2000,Raw_M!$A$2:$A$2000,Stock_Card!$B$2,Raw_M!$F$2:$F$2000,12)/100)-1)*100+1),Raw_M!$C$2:$C$2000,"&lt;="&amp;((INT(SUMIFS(Raw_M!$C$2:$C$2000,Raw_M!$A$2:$A$2000,Stock_Card!$B$2,Raw_M!$F$2:$F$2000,12)/100)-1)*100+MOD(SUMIFS(Raw_M!$C$2:$C$2000,Raw_M!$A$2:$A$2000,Stock_Card!$B$2,Raw_M!$F$2:$F$2000,12),100)))-1),"N/M"))</f>
        <v>0.354561610795736</v>
      </c>
    </row>
    <row r="17" customFormat="false" ht="15" hidden="false" customHeight="false" outlineLevel="0" collapsed="false">
      <c r="A17" s="73" t="str">
        <f aca="false">IF(Stock_Card!$B$2="","",IFERROR(INDEX(Raw_M!$B$2:$B$2000,MATCH(Stock_Card!$B$2&amp;"|13",Raw_M!$G$2:$G$2000,0)),""))</f>
        <v>2025-10</v>
      </c>
      <c r="B17" s="48" t="n">
        <f aca="false">IF(Stock_Card!$B$2="","",IFERROR(SUMIFS(Raw_M!$E$2:$E$2000,Raw_M!$A$2:$A$2000,Stock_Card!$B$2,Raw_M!$F$2:$F$2000,13),""))</f>
        <v>330980.92</v>
      </c>
      <c r="C17" s="49" t="n">
        <f aca="false">IF(Stock_Card!$B$2="","",IFERROR((SUMIFS(Raw_M!$E$2:$E$2000,Raw_M!$A$2:$A$2000,Stock_Card!$B$2,Raw_M!$F$2:$F$2000,13)/SUMIFS(Raw_M!$E$2:$E$2000,Raw_M!$A$2:$A$2000,Stock_Card!$B$2,Raw_M!$F$2:$F$2000,14)-1),""))</f>
        <v>-0.0142679419629811</v>
      </c>
      <c r="D17" s="68" t="n">
        <f aca="false">IF(Stock_Card!$B$2="","",IFERROR(((SUMIFS(Raw_M!$E$2:$E$2000,Raw_M!$A$2:$A$2000,Stock_Card!$B$2,Raw_M!$F$2:$F$2000,13)/SUMIFS(Raw_M!$E$2:$E$2000,Raw_M!$A$2:$A$2000,Stock_Card!$B$2,Raw_M!$F$2:$F$2000,14)-1)-(SUMIFS(Raw_M!$E$2:$E$2000,Raw_M!$A$2:$A$2000,Stock_Card!$B$2,Raw_M!$F$2:$F$2000,14)/SUMIFS(Raw_M!$E$2:$E$2000,Raw_M!$A$2:$A$2000,Stock_Card!$B$2,Raw_M!$F$2:$F$2000,15)-1))*100,""))</f>
        <v>-5.32757442357638</v>
      </c>
      <c r="E17" s="49" t="n">
        <f aca="false">IF(Stock_Card!$B$2="","",IFERROR(IF(OR(NOT(ISNUMBER((SUMIFS(Raw_M!$E$2:$E$2000,Raw_M!$A$2:$A$2000,Stock_Card!$B$2,Raw_M!$F$2:$F$2000,14)/SUMIFS(Raw_M!$E$2:$E$2000,Raw_M!$A$2:$A$2000,Stock_Card!$B$2,Raw_M!$F$2:$F$2000,15)-1))),(SUMIFS(Raw_M!$E$2:$E$2000,Raw_M!$A$2:$A$2000,Stock_Card!$B$2,Raw_M!$F$2:$F$2000,14)/SUMIFS(Raw_M!$E$2:$E$2000,Raw_M!$A$2:$A$2000,Stock_Card!$B$2,Raw_M!$F$2:$F$2000,15)-1)&lt;=0,ABS((SUMIFS(Raw_M!$E$2:$E$2000,Raw_M!$A$2:$A$2000,Stock_Card!$B$2,Raw_M!$F$2:$F$2000,14)/SUMIFS(Raw_M!$E$2:$E$2000,Raw_M!$A$2:$A$2000,Stock_Card!$B$2,Raw_M!$F$2:$F$2000,15)-1))&lt;Config!$B$9),"N/M",((SUMIFS(Raw_M!$E$2:$E$2000,Raw_M!$A$2:$A$2000,Stock_Card!$B$2,Raw_M!$F$2:$F$2000,13)/SUMIFS(Raw_M!$E$2:$E$2000,Raw_M!$A$2:$A$2000,Stock_Card!$B$2,Raw_M!$F$2:$F$2000,14)-1)-(SUMIFS(Raw_M!$E$2:$E$2000,Raw_M!$A$2:$A$2000,Stock_Card!$B$2,Raw_M!$F$2:$F$2000,14)/SUMIFS(Raw_M!$E$2:$E$2000,Raw_M!$A$2:$A$2000,Stock_Card!$B$2,Raw_M!$F$2:$F$2000,15)-1))/ABS((SUMIFS(Raw_M!$E$2:$E$2000,Raw_M!$A$2:$A$2000,Stock_Card!$B$2,Raw_M!$F$2:$F$2000,14)/SUMIFS(Raw_M!$E$2:$E$2000,Raw_M!$A$2:$A$2000,Stock_Card!$B$2,Raw_M!$F$2:$F$2000,15)-1))),"N/M"))</f>
        <v>-1.36577149010357</v>
      </c>
      <c r="F17" s="49" t="n">
        <f aca="false">IF(Stock_Card!$B$2="","",IFERROR((SUMIFS(Raw_M!$E$2:$E$2000,Raw_M!$A$2:$A$2000,Stock_Card!$B$2,Raw_M!$F$2:$F$2000,13)/SUMIFS(Raw_M!$E$2:$E$2000,Raw_M!$A$2:$A$2000,Stock_Card!$B$2,Raw_M!$F$2:$F$2000,25)-1),""))</f>
        <v>0.314080079582419</v>
      </c>
      <c r="G17" s="68" t="n">
        <f aca="false">IF(Stock_Card!$B$2="","",IFERROR(((SUMIFS(Raw_M!$E$2:$E$2000,Raw_M!$A$2:$A$2000,Stock_Card!$B$2,Raw_M!$F$2:$F$2000,13)/SUMIFS(Raw_M!$E$2:$E$2000,Raw_M!$A$2:$A$2000,Stock_Card!$B$2,Raw_M!$F$2:$F$2000,25)-1)-(SUMIFS(Raw_M!$E$2:$E$2000,Raw_M!$A$2:$A$2000,Stock_Card!$B$2,Raw_M!$F$2:$F$2000,14)/SUMIFS(Raw_M!$E$2:$E$2000,Raw_M!$A$2:$A$2000,Stock_Card!$B$2,Raw_M!$F$2:$F$2000,26)-1))*100,""))</f>
        <v>-2.43683289344219</v>
      </c>
      <c r="H17" s="49" t="n">
        <f aca="false">IF(Stock_Card!$B$2="","",IFERROR(IF(OR(NOT(ISNUMBER((SUMIFS(Raw_M!$E$2:$E$2000,Raw_M!$A$2:$A$2000,Stock_Card!$B$2,Raw_M!$F$2:$F$2000,14)/SUMIFS(Raw_M!$E$2:$E$2000,Raw_M!$A$2:$A$2000,Stock_Card!$B$2,Raw_M!$F$2:$F$2000,26)-1))),(SUMIFS(Raw_M!$E$2:$E$2000,Raw_M!$A$2:$A$2000,Stock_Card!$B$2,Raw_M!$F$2:$F$2000,14)/SUMIFS(Raw_M!$E$2:$E$2000,Raw_M!$A$2:$A$2000,Stock_Card!$B$2,Raw_M!$F$2:$F$2000,26)-1)&lt;=0,ABS((SUMIFS(Raw_M!$E$2:$E$2000,Raw_M!$A$2:$A$2000,Stock_Card!$B$2,Raw_M!$F$2:$F$2000,14)/SUMIFS(Raw_M!$E$2:$E$2000,Raw_M!$A$2:$A$2000,Stock_Card!$B$2,Raw_M!$F$2:$F$2000,26)-1))&lt;Config!$B$9),"N/M",((SUMIFS(Raw_M!$E$2:$E$2000,Raw_M!$A$2:$A$2000,Stock_Card!$B$2,Raw_M!$F$2:$F$2000,13)/SUMIFS(Raw_M!$E$2:$E$2000,Raw_M!$A$2:$A$2000,Stock_Card!$B$2,Raw_M!$F$2:$F$2000,25)-1)-(SUMIFS(Raw_M!$E$2:$E$2000,Raw_M!$A$2:$A$2000,Stock_Card!$B$2,Raw_M!$F$2:$F$2000,14)/SUMIFS(Raw_M!$E$2:$E$2000,Raw_M!$A$2:$A$2000,Stock_Card!$B$2,Raw_M!$F$2:$F$2000,26)-1))/ABS((SUMIFS(Raw_M!$E$2:$E$2000,Raw_M!$A$2:$A$2000,Stock_Card!$B$2,Raw_M!$F$2:$F$2000,14)/SUMIFS(Raw_M!$E$2:$E$2000,Raw_M!$A$2:$A$2000,Stock_Card!$B$2,Raw_M!$F$2:$F$2000,26)-1))),"N/M"))</f>
        <v>-0.0720001285903797</v>
      </c>
      <c r="I17" s="69" t="str">
        <f aca="false">IF(Stock_Card!$B$2="","",IFERROR(IF(AND((SUMIFS(Raw_M!$E$2:$E$2000,Raw_M!$A$2:$A$2000,Stock_Card!$B$2,Raw_M!$F$2:$F$2000,14)/SUMIFS(Raw_M!$E$2:$E$2000,Raw_M!$A$2:$A$2000,Stock_Card!$B$2,Raw_M!$F$2:$F$2000,26)-1)&gt;0,(SUMIFS(Raw_M!$E$2:$E$2000,Raw_M!$A$2:$A$2000,Stock_Card!$B$2,Raw_M!$F$2:$F$2000,13)/SUMIFS(Raw_M!$E$2:$E$2000,Raw_M!$A$2:$A$2000,Stock_Card!$B$2,Raw_M!$F$2:$F$2000,25)-1)&lt;=0),"由正轉負",IF(AND((SUMIFS(Raw_M!$E$2:$E$2000,Raw_M!$A$2:$A$2000,Stock_Card!$B$2,Raw_M!$F$2:$F$2000,14)/SUMIFS(Raw_M!$E$2:$E$2000,Raw_M!$A$2:$A$2000,Stock_Card!$B$2,Raw_M!$F$2:$F$2000,26)-1)&lt;=0,(SUMIFS(Raw_M!$E$2:$E$2000,Raw_M!$A$2:$A$2000,Stock_Card!$B$2,Raw_M!$F$2:$F$2000,13)/SUMIFS(Raw_M!$E$2:$E$2000,Raw_M!$A$2:$A$2000,Stock_Card!$B$2,Raw_M!$F$2:$F$2000,25)-1)&gt;0),"由負轉正",IF((SUMIFS(Raw_M!$E$2:$E$2000,Raw_M!$A$2:$A$2000,Stock_Card!$B$2,Raw_M!$F$2:$F$2000,13)/SUMIFS(Raw_M!$E$2:$E$2000,Raw_M!$A$2:$A$2000,Stock_Card!$B$2,Raw_M!$F$2:$F$2000,25)-1)&gt;0,IF(((SUMIFS(Raw_M!$E$2:$E$2000,Raw_M!$A$2:$A$2000,Stock_Card!$B$2,Raw_M!$F$2:$F$2000,13)/SUMIFS(Raw_M!$E$2:$E$2000,Raw_M!$A$2:$A$2000,Stock_Card!$B$2,Raw_M!$F$2:$F$2000,25)-1)-(SUMIFS(Raw_M!$E$2:$E$2000,Raw_M!$A$2:$A$2000,Stock_Card!$B$2,Raw_M!$F$2:$F$2000,14)/SUMIFS(Raw_M!$E$2:$E$2000,Raw_M!$A$2:$A$2000,Stock_Card!$B$2,Raw_M!$F$2:$F$2000,26)-1))*100&gt;0,"成長且加速","成長但減速"),IF(((SUMIFS(Raw_M!$E$2:$E$2000,Raw_M!$A$2:$A$2000,Stock_Card!$B$2,Raw_M!$F$2:$F$2000,13)/SUMIFS(Raw_M!$E$2:$E$2000,Raw_M!$A$2:$A$2000,Stock_Card!$B$2,Raw_M!$F$2:$F$2000,25)-1)-(SUMIFS(Raw_M!$E$2:$E$2000,Raw_M!$A$2:$A$2000,Stock_Card!$B$2,Raw_M!$F$2:$F$2000,14)/SUMIFS(Raw_M!$E$2:$E$2000,Raw_M!$A$2:$A$2000,Stock_Card!$B$2,Raw_M!$F$2:$F$2000,26)-1))*100&gt;0,"衰退但收斂","衰退且惡化")))),""))</f>
        <v>成長但減速</v>
      </c>
      <c r="J17" s="48" t="n">
        <f aca="false">IF(Stock_Card!$B$2="","",IFERROR(SUMIFS(Raw_M!$E$2:$E$2000,Raw_M!$A$2:$A$2000,Stock_Card!$B$2,Raw_M!$C$2:$C$2000,"&gt;="&amp;((INT(SUMIFS(Raw_M!$C$2:$C$2000,Raw_M!$A$2:$A$2000,Stock_Card!$B$2,Raw_M!$F$2:$F$2000,13)/100)-0)*100+1),Raw_M!$C$2:$C$2000,"&lt;="&amp;((INT(SUMIFS(Raw_M!$C$2:$C$2000,Raw_M!$A$2:$A$2000,Stock_Card!$B$2,Raw_M!$F$2:$F$2000,13)/100)-0)*100+MOD(SUMIFS(Raw_M!$C$2:$C$2000,Raw_M!$A$2:$A$2000,Stock_Card!$B$2,Raw_M!$F$2:$F$2000,13),100))),""))</f>
        <v>3041126.958</v>
      </c>
      <c r="K17" s="49" t="n">
        <f aca="false">IF(Stock_Card!$B$2="","",IFERROR(IF(OR(COUNTIFS(Raw_M!$A$2:$A$2000,Stock_Card!$B$2,Raw_M!$C$2:$C$2000,"&gt;="&amp;((INT(SUMIFS(Raw_M!$C$2:$C$2000,Raw_M!$A$2:$A$2000,Stock_Card!$B$2,Raw_M!$F$2:$F$2000,13)/100)-0)*100+1),Raw_M!$C$2:$C$2000,"&lt;="&amp;((INT(SUMIFS(Raw_M!$C$2:$C$2000,Raw_M!$A$2:$A$2000,Stock_Card!$B$2,Raw_M!$F$2:$F$2000,13)/100)-0)*100+MOD(SUMIFS(Raw_M!$C$2:$C$2000,Raw_M!$A$2:$A$2000,Stock_Card!$B$2,Raw_M!$F$2:$F$2000,13),100)))&lt;&gt;MOD(SUMIFS(Raw_M!$C$2:$C$2000,Raw_M!$A$2:$A$2000,Stock_Card!$B$2,Raw_M!$F$2:$F$2000,13),100),COUNTIFS(Raw_M!$A$2:$A$2000,Stock_Card!$B$2,Raw_M!$C$2:$C$2000,"&gt;="&amp;((INT(SUMIFS(Raw_M!$C$2:$C$2000,Raw_M!$A$2:$A$2000,Stock_Card!$B$2,Raw_M!$F$2:$F$2000,13)/100)-1)*100+1),Raw_M!$C$2:$C$2000,"&lt;="&amp;((INT(SUMIFS(Raw_M!$C$2:$C$2000,Raw_M!$A$2:$A$2000,Stock_Card!$B$2,Raw_M!$F$2:$F$2000,13)/100)-1)*100+MOD(SUMIFS(Raw_M!$C$2:$C$2000,Raw_M!$A$2:$A$2000,Stock_Card!$B$2,Raw_M!$F$2:$F$2000,13),100)))&lt;&gt;MOD(SUMIFS(Raw_M!$C$2:$C$2000,Raw_M!$A$2:$A$2000,Stock_Card!$B$2,Raw_M!$F$2:$F$2000,13),100)),"N/M",SUMIFS(Raw_M!$E$2:$E$2000,Raw_M!$A$2:$A$2000,Stock_Card!$B$2,Raw_M!$C$2:$C$2000,"&gt;="&amp;((INT(SUMIFS(Raw_M!$C$2:$C$2000,Raw_M!$A$2:$A$2000,Stock_Card!$B$2,Raw_M!$F$2:$F$2000,13)/100)-0)*100+1),Raw_M!$C$2:$C$2000,"&lt;="&amp;((INT(SUMIFS(Raw_M!$C$2:$C$2000,Raw_M!$A$2:$A$2000,Stock_Card!$B$2,Raw_M!$F$2:$F$2000,13)/100)-0)*100+MOD(SUMIFS(Raw_M!$C$2:$C$2000,Raw_M!$A$2:$A$2000,Stock_Card!$B$2,Raw_M!$F$2:$F$2000,13),100)))/SUMIFS(Raw_M!$E$2:$E$2000,Raw_M!$A$2:$A$2000,Stock_Card!$B$2,Raw_M!$C$2:$C$2000,"&gt;="&amp;((INT(SUMIFS(Raw_M!$C$2:$C$2000,Raw_M!$A$2:$A$2000,Stock_Card!$B$2,Raw_M!$F$2:$F$2000,13)/100)-1)*100+1),Raw_M!$C$2:$C$2000,"&lt;="&amp;((INT(SUMIFS(Raw_M!$C$2:$C$2000,Raw_M!$A$2:$A$2000,Stock_Card!$B$2,Raw_M!$F$2:$F$2000,13)/100)-1)*100+MOD(SUMIFS(Raw_M!$C$2:$C$2000,Raw_M!$A$2:$A$2000,Stock_Card!$B$2,Raw_M!$F$2:$F$2000,13),100)))-1),"N/M"))</f>
        <v>0.380983106278847</v>
      </c>
    </row>
    <row r="18" customFormat="false" ht="15" hidden="false" customHeight="false" outlineLevel="0" collapsed="false">
      <c r="A18" s="73" t="str">
        <f aca="false">IF(Stock_Card!$B$2="","",IFERROR(INDEX(Raw_M!$B$2:$B$2000,MATCH(Stock_Card!$B$2&amp;"|14",Raw_M!$G$2:$G$2000,0)),""))</f>
        <v>2025-09</v>
      </c>
      <c r="B18" s="48" t="n">
        <f aca="false">IF(Stock_Card!$B$2="","",IFERROR(SUMIFS(Raw_M!$E$2:$E$2000,Raw_M!$A$2:$A$2000,Stock_Card!$B$2,Raw_M!$F$2:$F$2000,14),""))</f>
        <v>335771.691</v>
      </c>
      <c r="C18" s="49" t="n">
        <f aca="false">IF(Stock_Card!$B$2="","",IFERROR((SUMIFS(Raw_M!$E$2:$E$2000,Raw_M!$A$2:$A$2000,Stock_Card!$B$2,Raw_M!$F$2:$F$2000,14)/SUMIFS(Raw_M!$E$2:$E$2000,Raw_M!$A$2:$A$2000,Stock_Card!$B$2,Raw_M!$F$2:$F$2000,15)-1),""))</f>
        <v>0.0390078022727827</v>
      </c>
      <c r="D18" s="68" t="n">
        <f aca="false">IF(Stock_Card!$B$2="","",IFERROR(((SUMIFS(Raw_M!$E$2:$E$2000,Raw_M!$A$2:$A$2000,Stock_Card!$B$2,Raw_M!$F$2:$F$2000,14)/SUMIFS(Raw_M!$E$2:$E$2000,Raw_M!$A$2:$A$2000,Stock_Card!$B$2,Raw_M!$F$2:$F$2000,15)-1)-(SUMIFS(Raw_M!$E$2:$E$2000,Raw_M!$A$2:$A$2000,Stock_Card!$B$2,Raw_M!$F$2:$F$2000,15)/SUMIFS(Raw_M!$E$2:$E$2000,Raw_M!$A$2:$A$2000,Stock_Card!$B$2,Raw_M!$F$2:$F$2000,16)-1))*100,""))</f>
        <v>-18.6455621274367</v>
      </c>
      <c r="E18" s="49" t="n">
        <f aca="false">IF(Stock_Card!$B$2="","",IFERROR(IF(OR(NOT(ISNUMBER((SUMIFS(Raw_M!$E$2:$E$2000,Raw_M!$A$2:$A$2000,Stock_Card!$B$2,Raw_M!$F$2:$F$2000,15)/SUMIFS(Raw_M!$E$2:$E$2000,Raw_M!$A$2:$A$2000,Stock_Card!$B$2,Raw_M!$F$2:$F$2000,16)-1))),(SUMIFS(Raw_M!$E$2:$E$2000,Raw_M!$A$2:$A$2000,Stock_Card!$B$2,Raw_M!$F$2:$F$2000,15)/SUMIFS(Raw_M!$E$2:$E$2000,Raw_M!$A$2:$A$2000,Stock_Card!$B$2,Raw_M!$F$2:$F$2000,16)-1)&lt;=0,ABS((SUMIFS(Raw_M!$E$2:$E$2000,Raw_M!$A$2:$A$2000,Stock_Card!$B$2,Raw_M!$F$2:$F$2000,15)/SUMIFS(Raw_M!$E$2:$E$2000,Raw_M!$A$2:$A$2000,Stock_Card!$B$2,Raw_M!$F$2:$F$2000,16)-1))&lt;Config!$B$9),"N/M",((SUMIFS(Raw_M!$E$2:$E$2000,Raw_M!$A$2:$A$2000,Stock_Card!$B$2,Raw_M!$F$2:$F$2000,14)/SUMIFS(Raw_M!$E$2:$E$2000,Raw_M!$A$2:$A$2000,Stock_Card!$B$2,Raw_M!$F$2:$F$2000,15)-1)-(SUMIFS(Raw_M!$E$2:$E$2000,Raw_M!$A$2:$A$2000,Stock_Card!$B$2,Raw_M!$F$2:$F$2000,15)/SUMIFS(Raw_M!$E$2:$E$2000,Raw_M!$A$2:$A$2000,Stock_Card!$B$2,Raw_M!$F$2:$F$2000,16)-1))/ABS((SUMIFS(Raw_M!$E$2:$E$2000,Raw_M!$A$2:$A$2000,Stock_Card!$B$2,Raw_M!$F$2:$F$2000,15)/SUMIFS(Raw_M!$E$2:$E$2000,Raw_M!$A$2:$A$2000,Stock_Card!$B$2,Raw_M!$F$2:$F$2000,16)-1))),"N/M"))</f>
        <v>-0.826988335140643</v>
      </c>
      <c r="F18" s="49" t="n">
        <f aca="false">IF(Stock_Card!$B$2="","",IFERROR((SUMIFS(Raw_M!$E$2:$E$2000,Raw_M!$A$2:$A$2000,Stock_Card!$B$2,Raw_M!$F$2:$F$2000,14)/SUMIFS(Raw_M!$E$2:$E$2000,Raw_M!$A$2:$A$2000,Stock_Card!$B$2,Raw_M!$F$2:$F$2000,26)-1),""))</f>
        <v>0.33844840851684</v>
      </c>
      <c r="G18" s="68" t="n">
        <f aca="false">IF(Stock_Card!$B$2="","",IFERROR(((SUMIFS(Raw_M!$E$2:$E$2000,Raw_M!$A$2:$A$2000,Stock_Card!$B$2,Raw_M!$F$2:$F$2000,14)/SUMIFS(Raw_M!$E$2:$E$2000,Raw_M!$A$2:$A$2000,Stock_Card!$B$2,Raw_M!$F$2:$F$2000,26)-1)-(SUMIFS(Raw_M!$E$2:$E$2000,Raw_M!$A$2:$A$2000,Stock_Card!$B$2,Raw_M!$F$2:$F$2000,15)/SUMIFS(Raw_M!$E$2:$E$2000,Raw_M!$A$2:$A$2000,Stock_Card!$B$2,Raw_M!$F$2:$F$2000,27)-1))*100,""))</f>
        <v>8.07645750751695</v>
      </c>
      <c r="H18" s="49" t="n">
        <f aca="false">IF(Stock_Card!$B$2="","",IFERROR(IF(OR(NOT(ISNUMBER((SUMIFS(Raw_M!$E$2:$E$2000,Raw_M!$A$2:$A$2000,Stock_Card!$B$2,Raw_M!$F$2:$F$2000,15)/SUMIFS(Raw_M!$E$2:$E$2000,Raw_M!$A$2:$A$2000,Stock_Card!$B$2,Raw_M!$F$2:$F$2000,27)-1))),(SUMIFS(Raw_M!$E$2:$E$2000,Raw_M!$A$2:$A$2000,Stock_Card!$B$2,Raw_M!$F$2:$F$2000,15)/SUMIFS(Raw_M!$E$2:$E$2000,Raw_M!$A$2:$A$2000,Stock_Card!$B$2,Raw_M!$F$2:$F$2000,27)-1)&lt;=0,ABS((SUMIFS(Raw_M!$E$2:$E$2000,Raw_M!$A$2:$A$2000,Stock_Card!$B$2,Raw_M!$F$2:$F$2000,15)/SUMIFS(Raw_M!$E$2:$E$2000,Raw_M!$A$2:$A$2000,Stock_Card!$B$2,Raw_M!$F$2:$F$2000,27)-1))&lt;Config!$B$9),"N/M",((SUMIFS(Raw_M!$E$2:$E$2000,Raw_M!$A$2:$A$2000,Stock_Card!$B$2,Raw_M!$F$2:$F$2000,14)/SUMIFS(Raw_M!$E$2:$E$2000,Raw_M!$A$2:$A$2000,Stock_Card!$B$2,Raw_M!$F$2:$F$2000,26)-1)-(SUMIFS(Raw_M!$E$2:$E$2000,Raw_M!$A$2:$A$2000,Stock_Card!$B$2,Raw_M!$F$2:$F$2000,15)/SUMIFS(Raw_M!$E$2:$E$2000,Raw_M!$A$2:$A$2000,Stock_Card!$B$2,Raw_M!$F$2:$F$2000,27)-1))/ABS((SUMIFS(Raw_M!$E$2:$E$2000,Raw_M!$A$2:$A$2000,Stock_Card!$B$2,Raw_M!$F$2:$F$2000,15)/SUMIFS(Raw_M!$E$2:$E$2000,Raw_M!$A$2:$A$2000,Stock_Card!$B$2,Raw_M!$F$2:$F$2000,27)-1))),"N/M"))</f>
        <v>0.313425075979597</v>
      </c>
      <c r="I18" s="69" t="str">
        <f aca="false">IF(Stock_Card!$B$2="","",IFERROR(IF(AND((SUMIFS(Raw_M!$E$2:$E$2000,Raw_M!$A$2:$A$2000,Stock_Card!$B$2,Raw_M!$F$2:$F$2000,15)/SUMIFS(Raw_M!$E$2:$E$2000,Raw_M!$A$2:$A$2000,Stock_Card!$B$2,Raw_M!$F$2:$F$2000,27)-1)&gt;0,(SUMIFS(Raw_M!$E$2:$E$2000,Raw_M!$A$2:$A$2000,Stock_Card!$B$2,Raw_M!$F$2:$F$2000,14)/SUMIFS(Raw_M!$E$2:$E$2000,Raw_M!$A$2:$A$2000,Stock_Card!$B$2,Raw_M!$F$2:$F$2000,26)-1)&lt;=0),"由正轉負",IF(AND((SUMIFS(Raw_M!$E$2:$E$2000,Raw_M!$A$2:$A$2000,Stock_Card!$B$2,Raw_M!$F$2:$F$2000,15)/SUMIFS(Raw_M!$E$2:$E$2000,Raw_M!$A$2:$A$2000,Stock_Card!$B$2,Raw_M!$F$2:$F$2000,27)-1)&lt;=0,(SUMIFS(Raw_M!$E$2:$E$2000,Raw_M!$A$2:$A$2000,Stock_Card!$B$2,Raw_M!$F$2:$F$2000,14)/SUMIFS(Raw_M!$E$2:$E$2000,Raw_M!$A$2:$A$2000,Stock_Card!$B$2,Raw_M!$F$2:$F$2000,26)-1)&gt;0),"由負轉正",IF((SUMIFS(Raw_M!$E$2:$E$2000,Raw_M!$A$2:$A$2000,Stock_Card!$B$2,Raw_M!$F$2:$F$2000,14)/SUMIFS(Raw_M!$E$2:$E$2000,Raw_M!$A$2:$A$2000,Stock_Card!$B$2,Raw_M!$F$2:$F$2000,26)-1)&gt;0,IF(((SUMIFS(Raw_M!$E$2:$E$2000,Raw_M!$A$2:$A$2000,Stock_Card!$B$2,Raw_M!$F$2:$F$2000,14)/SUMIFS(Raw_M!$E$2:$E$2000,Raw_M!$A$2:$A$2000,Stock_Card!$B$2,Raw_M!$F$2:$F$2000,26)-1)-(SUMIFS(Raw_M!$E$2:$E$2000,Raw_M!$A$2:$A$2000,Stock_Card!$B$2,Raw_M!$F$2:$F$2000,15)/SUMIFS(Raw_M!$E$2:$E$2000,Raw_M!$A$2:$A$2000,Stock_Card!$B$2,Raw_M!$F$2:$F$2000,27)-1))*100&gt;0,"成長且加速","成長但減速"),IF(((SUMIFS(Raw_M!$E$2:$E$2000,Raw_M!$A$2:$A$2000,Stock_Card!$B$2,Raw_M!$F$2:$F$2000,14)/SUMIFS(Raw_M!$E$2:$E$2000,Raw_M!$A$2:$A$2000,Stock_Card!$B$2,Raw_M!$F$2:$F$2000,26)-1)-(SUMIFS(Raw_M!$E$2:$E$2000,Raw_M!$A$2:$A$2000,Stock_Card!$B$2,Raw_M!$F$2:$F$2000,15)/SUMIFS(Raw_M!$E$2:$E$2000,Raw_M!$A$2:$A$2000,Stock_Card!$B$2,Raw_M!$F$2:$F$2000,27)-1))*100&gt;0,"衰退但收斂","衰退且惡化")))),""))</f>
        <v>成長且加速</v>
      </c>
      <c r="J18" s="48" t="n">
        <f aca="false">IF(Stock_Card!$B$2="","",IFERROR(SUMIFS(Raw_M!$E$2:$E$2000,Raw_M!$A$2:$A$2000,Stock_Card!$B$2,Raw_M!$C$2:$C$2000,"&gt;="&amp;((INT(SUMIFS(Raw_M!$C$2:$C$2000,Raw_M!$A$2:$A$2000,Stock_Card!$B$2,Raw_M!$F$2:$F$2000,14)/100)-0)*100+1),Raw_M!$C$2:$C$2000,"&lt;="&amp;((INT(SUMIFS(Raw_M!$C$2:$C$2000,Raw_M!$A$2:$A$2000,Stock_Card!$B$2,Raw_M!$F$2:$F$2000,14)/100)-0)*100+MOD(SUMIFS(Raw_M!$C$2:$C$2000,Raw_M!$A$2:$A$2000,Stock_Card!$B$2,Raw_M!$F$2:$F$2000,14),100))),""))</f>
        <v>2710146.038</v>
      </c>
      <c r="K18" s="49" t="n">
        <f aca="false">IF(Stock_Card!$B$2="","",IFERROR(IF(OR(COUNTIFS(Raw_M!$A$2:$A$2000,Stock_Card!$B$2,Raw_M!$C$2:$C$2000,"&gt;="&amp;((INT(SUMIFS(Raw_M!$C$2:$C$2000,Raw_M!$A$2:$A$2000,Stock_Card!$B$2,Raw_M!$F$2:$F$2000,14)/100)-0)*100+1),Raw_M!$C$2:$C$2000,"&lt;="&amp;((INT(SUMIFS(Raw_M!$C$2:$C$2000,Raw_M!$A$2:$A$2000,Stock_Card!$B$2,Raw_M!$F$2:$F$2000,14)/100)-0)*100+MOD(SUMIFS(Raw_M!$C$2:$C$2000,Raw_M!$A$2:$A$2000,Stock_Card!$B$2,Raw_M!$F$2:$F$2000,14),100)))&lt;&gt;MOD(SUMIFS(Raw_M!$C$2:$C$2000,Raw_M!$A$2:$A$2000,Stock_Card!$B$2,Raw_M!$F$2:$F$2000,14),100),COUNTIFS(Raw_M!$A$2:$A$2000,Stock_Card!$B$2,Raw_M!$C$2:$C$2000,"&gt;="&amp;((INT(SUMIFS(Raw_M!$C$2:$C$2000,Raw_M!$A$2:$A$2000,Stock_Card!$B$2,Raw_M!$F$2:$F$2000,14)/100)-1)*100+1),Raw_M!$C$2:$C$2000,"&lt;="&amp;((INT(SUMIFS(Raw_M!$C$2:$C$2000,Raw_M!$A$2:$A$2000,Stock_Card!$B$2,Raw_M!$F$2:$F$2000,14)/100)-1)*100+MOD(SUMIFS(Raw_M!$C$2:$C$2000,Raw_M!$A$2:$A$2000,Stock_Card!$B$2,Raw_M!$F$2:$F$2000,14),100)))&lt;&gt;MOD(SUMIFS(Raw_M!$C$2:$C$2000,Raw_M!$A$2:$A$2000,Stock_Card!$B$2,Raw_M!$F$2:$F$2000,14),100)),"N/M",SUMIFS(Raw_M!$E$2:$E$2000,Raw_M!$A$2:$A$2000,Stock_Card!$B$2,Raw_M!$C$2:$C$2000,"&gt;="&amp;((INT(SUMIFS(Raw_M!$C$2:$C$2000,Raw_M!$A$2:$A$2000,Stock_Card!$B$2,Raw_M!$F$2:$F$2000,14)/100)-0)*100+1),Raw_M!$C$2:$C$2000,"&lt;="&amp;((INT(SUMIFS(Raw_M!$C$2:$C$2000,Raw_M!$A$2:$A$2000,Stock_Card!$B$2,Raw_M!$F$2:$F$2000,14)/100)-0)*100+MOD(SUMIFS(Raw_M!$C$2:$C$2000,Raw_M!$A$2:$A$2000,Stock_Card!$B$2,Raw_M!$F$2:$F$2000,14),100)))/SUMIFS(Raw_M!$E$2:$E$2000,Raw_M!$A$2:$A$2000,Stock_Card!$B$2,Raw_M!$C$2:$C$2000,"&gt;="&amp;((INT(SUMIFS(Raw_M!$C$2:$C$2000,Raw_M!$A$2:$A$2000,Stock_Card!$B$2,Raw_M!$F$2:$F$2000,14)/100)-1)*100+1),Raw_M!$C$2:$C$2000,"&lt;="&amp;((INT(SUMIFS(Raw_M!$C$2:$C$2000,Raw_M!$A$2:$A$2000,Stock_Card!$B$2,Raw_M!$F$2:$F$2000,14)/100)-1)*100+MOD(SUMIFS(Raw_M!$C$2:$C$2000,Raw_M!$A$2:$A$2000,Stock_Card!$B$2,Raw_M!$F$2:$F$2000,14),100)))-1),"N/M"))</f>
        <v>0.389623456281395</v>
      </c>
    </row>
    <row r="19" customFormat="false" ht="15" hidden="false" customHeight="false" outlineLevel="0" collapsed="false">
      <c r="A19" s="73" t="str">
        <f aca="false">IF(Stock_Card!$B$2="","",IFERROR(INDEX(Raw_M!$B$2:$B$2000,MATCH(Stock_Card!$B$2&amp;"|15",Raw_M!$G$2:$G$2000,0)),""))</f>
        <v>2025-08</v>
      </c>
      <c r="B19" s="48" t="n">
        <f aca="false">IF(Stock_Card!$B$2="","",IFERROR(SUMIFS(Raw_M!$E$2:$E$2000,Raw_M!$A$2:$A$2000,Stock_Card!$B$2,Raw_M!$F$2:$F$2000,15),""))</f>
        <v>323165.707</v>
      </c>
      <c r="C19" s="49" t="n">
        <f aca="false">IF(Stock_Card!$B$2="","",IFERROR((SUMIFS(Raw_M!$E$2:$E$2000,Raw_M!$A$2:$A$2000,Stock_Card!$B$2,Raw_M!$F$2:$F$2000,15)/SUMIFS(Raw_M!$E$2:$E$2000,Raw_M!$A$2:$A$2000,Stock_Card!$B$2,Raw_M!$F$2:$F$2000,16)-1),""))</f>
        <v>0.22546342354715</v>
      </c>
      <c r="D19" s="68" t="n">
        <f aca="false">IF(Stock_Card!$B$2="","",IFERROR(((SUMIFS(Raw_M!$E$2:$E$2000,Raw_M!$A$2:$A$2000,Stock_Card!$B$2,Raw_M!$F$2:$F$2000,15)/SUMIFS(Raw_M!$E$2:$E$2000,Raw_M!$A$2:$A$2000,Stock_Card!$B$2,Raw_M!$F$2:$F$2000,16)-1)-(SUMIFS(Raw_M!$E$2:$E$2000,Raw_M!$A$2:$A$2000,Stock_Card!$B$2,Raw_M!$F$2:$F$2000,16)/SUMIFS(Raw_M!$E$2:$E$2000,Raw_M!$A$2:$A$2000,Stock_Card!$B$2,Raw_M!$F$2:$F$2000,17)-1))*100,""))</f>
        <v>40.2699448221628</v>
      </c>
      <c r="E19" s="49" t="str">
        <f aca="false">IF(Stock_Card!$B$2="","",IFERROR(IF(OR(NOT(ISNUMBER((SUMIFS(Raw_M!$E$2:$E$2000,Raw_M!$A$2:$A$2000,Stock_Card!$B$2,Raw_M!$F$2:$F$2000,16)/SUMIFS(Raw_M!$E$2:$E$2000,Raw_M!$A$2:$A$2000,Stock_Card!$B$2,Raw_M!$F$2:$F$2000,17)-1))),(SUMIFS(Raw_M!$E$2:$E$2000,Raw_M!$A$2:$A$2000,Stock_Card!$B$2,Raw_M!$F$2:$F$2000,16)/SUMIFS(Raw_M!$E$2:$E$2000,Raw_M!$A$2:$A$2000,Stock_Card!$B$2,Raw_M!$F$2:$F$2000,17)-1)&lt;=0,ABS((SUMIFS(Raw_M!$E$2:$E$2000,Raw_M!$A$2:$A$2000,Stock_Card!$B$2,Raw_M!$F$2:$F$2000,16)/SUMIFS(Raw_M!$E$2:$E$2000,Raw_M!$A$2:$A$2000,Stock_Card!$B$2,Raw_M!$F$2:$F$2000,17)-1))&lt;Config!$B$9),"N/M",((SUMIFS(Raw_M!$E$2:$E$2000,Raw_M!$A$2:$A$2000,Stock_Card!$B$2,Raw_M!$F$2:$F$2000,15)/SUMIFS(Raw_M!$E$2:$E$2000,Raw_M!$A$2:$A$2000,Stock_Card!$B$2,Raw_M!$F$2:$F$2000,16)-1)-(SUMIFS(Raw_M!$E$2:$E$2000,Raw_M!$A$2:$A$2000,Stock_Card!$B$2,Raw_M!$F$2:$F$2000,16)/SUMIFS(Raw_M!$E$2:$E$2000,Raw_M!$A$2:$A$2000,Stock_Card!$B$2,Raw_M!$F$2:$F$2000,17)-1))/ABS((SUMIFS(Raw_M!$E$2:$E$2000,Raw_M!$A$2:$A$2000,Stock_Card!$B$2,Raw_M!$F$2:$F$2000,16)/SUMIFS(Raw_M!$E$2:$E$2000,Raw_M!$A$2:$A$2000,Stock_Card!$B$2,Raw_M!$F$2:$F$2000,17)-1))),"N/M"))</f>
        <v>N/M</v>
      </c>
      <c r="F19" s="49" t="n">
        <f aca="false">IF(Stock_Card!$B$2="","",IFERROR((SUMIFS(Raw_M!$E$2:$E$2000,Raw_M!$A$2:$A$2000,Stock_Card!$B$2,Raw_M!$F$2:$F$2000,15)/SUMIFS(Raw_M!$E$2:$E$2000,Raw_M!$A$2:$A$2000,Stock_Card!$B$2,Raw_M!$F$2:$F$2000,27)-1),""))</f>
        <v>0.257683833441671</v>
      </c>
      <c r="G19" s="68" t="n">
        <f aca="false">IF(Stock_Card!$B$2="","",IFERROR(((SUMIFS(Raw_M!$E$2:$E$2000,Raw_M!$A$2:$A$2000,Stock_Card!$B$2,Raw_M!$F$2:$F$2000,15)/SUMIFS(Raw_M!$E$2:$E$2000,Raw_M!$A$2:$A$2000,Stock_Card!$B$2,Raw_M!$F$2:$F$2000,27)-1)-(SUMIFS(Raw_M!$E$2:$E$2000,Raw_M!$A$2:$A$2000,Stock_Card!$B$2,Raw_M!$F$2:$F$2000,16)/SUMIFS(Raw_M!$E$2:$E$2000,Raw_M!$A$2:$A$2000,Stock_Card!$B$2,Raw_M!$F$2:$F$2000,28)-1))*100,""))</f>
        <v>-1.09486585132383</v>
      </c>
      <c r="H19" s="49" t="n">
        <f aca="false">IF(Stock_Card!$B$2="","",IFERROR(IF(OR(NOT(ISNUMBER((SUMIFS(Raw_M!$E$2:$E$2000,Raw_M!$A$2:$A$2000,Stock_Card!$B$2,Raw_M!$F$2:$F$2000,16)/SUMIFS(Raw_M!$E$2:$E$2000,Raw_M!$A$2:$A$2000,Stock_Card!$B$2,Raw_M!$F$2:$F$2000,28)-1))),(SUMIFS(Raw_M!$E$2:$E$2000,Raw_M!$A$2:$A$2000,Stock_Card!$B$2,Raw_M!$F$2:$F$2000,16)/SUMIFS(Raw_M!$E$2:$E$2000,Raw_M!$A$2:$A$2000,Stock_Card!$B$2,Raw_M!$F$2:$F$2000,28)-1)&lt;=0,ABS((SUMIFS(Raw_M!$E$2:$E$2000,Raw_M!$A$2:$A$2000,Stock_Card!$B$2,Raw_M!$F$2:$F$2000,16)/SUMIFS(Raw_M!$E$2:$E$2000,Raw_M!$A$2:$A$2000,Stock_Card!$B$2,Raw_M!$F$2:$F$2000,28)-1))&lt;Config!$B$9),"N/M",((SUMIFS(Raw_M!$E$2:$E$2000,Raw_M!$A$2:$A$2000,Stock_Card!$B$2,Raw_M!$F$2:$F$2000,15)/SUMIFS(Raw_M!$E$2:$E$2000,Raw_M!$A$2:$A$2000,Stock_Card!$B$2,Raw_M!$F$2:$F$2000,27)-1)-(SUMIFS(Raw_M!$E$2:$E$2000,Raw_M!$A$2:$A$2000,Stock_Card!$B$2,Raw_M!$F$2:$F$2000,16)/SUMIFS(Raw_M!$E$2:$E$2000,Raw_M!$A$2:$A$2000,Stock_Card!$B$2,Raw_M!$F$2:$F$2000,28)-1))/ABS((SUMIFS(Raw_M!$E$2:$E$2000,Raw_M!$A$2:$A$2000,Stock_Card!$B$2,Raw_M!$F$2:$F$2000,16)/SUMIFS(Raw_M!$E$2:$E$2000,Raw_M!$A$2:$A$2000,Stock_Card!$B$2,Raw_M!$F$2:$F$2000,28)-1))),"N/M"))</f>
        <v>-0.0407570150340418</v>
      </c>
      <c r="I19" s="69" t="str">
        <f aca="false">IF(Stock_Card!$B$2="","",IFERROR(IF(AND((SUMIFS(Raw_M!$E$2:$E$2000,Raw_M!$A$2:$A$2000,Stock_Card!$B$2,Raw_M!$F$2:$F$2000,16)/SUMIFS(Raw_M!$E$2:$E$2000,Raw_M!$A$2:$A$2000,Stock_Card!$B$2,Raw_M!$F$2:$F$2000,28)-1)&gt;0,(SUMIFS(Raw_M!$E$2:$E$2000,Raw_M!$A$2:$A$2000,Stock_Card!$B$2,Raw_M!$F$2:$F$2000,15)/SUMIFS(Raw_M!$E$2:$E$2000,Raw_M!$A$2:$A$2000,Stock_Card!$B$2,Raw_M!$F$2:$F$2000,27)-1)&lt;=0),"由正轉負",IF(AND((SUMIFS(Raw_M!$E$2:$E$2000,Raw_M!$A$2:$A$2000,Stock_Card!$B$2,Raw_M!$F$2:$F$2000,16)/SUMIFS(Raw_M!$E$2:$E$2000,Raw_M!$A$2:$A$2000,Stock_Card!$B$2,Raw_M!$F$2:$F$2000,28)-1)&lt;=0,(SUMIFS(Raw_M!$E$2:$E$2000,Raw_M!$A$2:$A$2000,Stock_Card!$B$2,Raw_M!$F$2:$F$2000,15)/SUMIFS(Raw_M!$E$2:$E$2000,Raw_M!$A$2:$A$2000,Stock_Card!$B$2,Raw_M!$F$2:$F$2000,27)-1)&gt;0),"由負轉正",IF((SUMIFS(Raw_M!$E$2:$E$2000,Raw_M!$A$2:$A$2000,Stock_Card!$B$2,Raw_M!$F$2:$F$2000,15)/SUMIFS(Raw_M!$E$2:$E$2000,Raw_M!$A$2:$A$2000,Stock_Card!$B$2,Raw_M!$F$2:$F$2000,27)-1)&gt;0,IF(((SUMIFS(Raw_M!$E$2:$E$2000,Raw_M!$A$2:$A$2000,Stock_Card!$B$2,Raw_M!$F$2:$F$2000,15)/SUMIFS(Raw_M!$E$2:$E$2000,Raw_M!$A$2:$A$2000,Stock_Card!$B$2,Raw_M!$F$2:$F$2000,27)-1)-(SUMIFS(Raw_M!$E$2:$E$2000,Raw_M!$A$2:$A$2000,Stock_Card!$B$2,Raw_M!$F$2:$F$2000,16)/SUMIFS(Raw_M!$E$2:$E$2000,Raw_M!$A$2:$A$2000,Stock_Card!$B$2,Raw_M!$F$2:$F$2000,28)-1))*100&gt;0,"成長且加速","成長但減速"),IF(((SUMIFS(Raw_M!$E$2:$E$2000,Raw_M!$A$2:$A$2000,Stock_Card!$B$2,Raw_M!$F$2:$F$2000,15)/SUMIFS(Raw_M!$E$2:$E$2000,Raw_M!$A$2:$A$2000,Stock_Card!$B$2,Raw_M!$F$2:$F$2000,27)-1)-(SUMIFS(Raw_M!$E$2:$E$2000,Raw_M!$A$2:$A$2000,Stock_Card!$B$2,Raw_M!$F$2:$F$2000,16)/SUMIFS(Raw_M!$E$2:$E$2000,Raw_M!$A$2:$A$2000,Stock_Card!$B$2,Raw_M!$F$2:$F$2000,28)-1))*100&gt;0,"衰退但收斂","衰退且惡化")))),""))</f>
        <v>成長但減速</v>
      </c>
      <c r="J19" s="48" t="n">
        <f aca="false">IF(Stock_Card!$B$2="","",IFERROR(SUMIFS(Raw_M!$E$2:$E$2000,Raw_M!$A$2:$A$2000,Stock_Card!$B$2,Raw_M!$C$2:$C$2000,"&gt;="&amp;((INT(SUMIFS(Raw_M!$C$2:$C$2000,Raw_M!$A$2:$A$2000,Stock_Card!$B$2,Raw_M!$F$2:$F$2000,15)/100)-0)*100+1),Raw_M!$C$2:$C$2000,"&lt;="&amp;((INT(SUMIFS(Raw_M!$C$2:$C$2000,Raw_M!$A$2:$A$2000,Stock_Card!$B$2,Raw_M!$F$2:$F$2000,15)/100)-0)*100+MOD(SUMIFS(Raw_M!$C$2:$C$2000,Raw_M!$A$2:$A$2000,Stock_Card!$B$2,Raw_M!$F$2:$F$2000,15),100))),""))</f>
        <v>2374374.347</v>
      </c>
      <c r="K19" s="49" t="n">
        <f aca="false">IF(Stock_Card!$B$2="","",IFERROR(IF(OR(COUNTIFS(Raw_M!$A$2:$A$2000,Stock_Card!$B$2,Raw_M!$C$2:$C$2000,"&gt;="&amp;((INT(SUMIFS(Raw_M!$C$2:$C$2000,Raw_M!$A$2:$A$2000,Stock_Card!$B$2,Raw_M!$F$2:$F$2000,15)/100)-0)*100+1),Raw_M!$C$2:$C$2000,"&lt;="&amp;((INT(SUMIFS(Raw_M!$C$2:$C$2000,Raw_M!$A$2:$A$2000,Stock_Card!$B$2,Raw_M!$F$2:$F$2000,15)/100)-0)*100+MOD(SUMIFS(Raw_M!$C$2:$C$2000,Raw_M!$A$2:$A$2000,Stock_Card!$B$2,Raw_M!$F$2:$F$2000,15),100)))&lt;&gt;MOD(SUMIFS(Raw_M!$C$2:$C$2000,Raw_M!$A$2:$A$2000,Stock_Card!$B$2,Raw_M!$F$2:$F$2000,15),100),COUNTIFS(Raw_M!$A$2:$A$2000,Stock_Card!$B$2,Raw_M!$C$2:$C$2000,"&gt;="&amp;((INT(SUMIFS(Raw_M!$C$2:$C$2000,Raw_M!$A$2:$A$2000,Stock_Card!$B$2,Raw_M!$F$2:$F$2000,15)/100)-1)*100+1),Raw_M!$C$2:$C$2000,"&lt;="&amp;((INT(SUMIFS(Raw_M!$C$2:$C$2000,Raw_M!$A$2:$A$2000,Stock_Card!$B$2,Raw_M!$F$2:$F$2000,15)/100)-1)*100+MOD(SUMIFS(Raw_M!$C$2:$C$2000,Raw_M!$A$2:$A$2000,Stock_Card!$B$2,Raw_M!$F$2:$F$2000,15),100)))&lt;&gt;MOD(SUMIFS(Raw_M!$C$2:$C$2000,Raw_M!$A$2:$A$2000,Stock_Card!$B$2,Raw_M!$F$2:$F$2000,15),100)),"N/M",SUMIFS(Raw_M!$E$2:$E$2000,Raw_M!$A$2:$A$2000,Stock_Card!$B$2,Raw_M!$C$2:$C$2000,"&gt;="&amp;((INT(SUMIFS(Raw_M!$C$2:$C$2000,Raw_M!$A$2:$A$2000,Stock_Card!$B$2,Raw_M!$F$2:$F$2000,15)/100)-0)*100+1),Raw_M!$C$2:$C$2000,"&lt;="&amp;((INT(SUMIFS(Raw_M!$C$2:$C$2000,Raw_M!$A$2:$A$2000,Stock_Card!$B$2,Raw_M!$F$2:$F$2000,15)/100)-0)*100+MOD(SUMIFS(Raw_M!$C$2:$C$2000,Raw_M!$A$2:$A$2000,Stock_Card!$B$2,Raw_M!$F$2:$F$2000,15),100)))/SUMIFS(Raw_M!$E$2:$E$2000,Raw_M!$A$2:$A$2000,Stock_Card!$B$2,Raw_M!$C$2:$C$2000,"&gt;="&amp;((INT(SUMIFS(Raw_M!$C$2:$C$2000,Raw_M!$A$2:$A$2000,Stock_Card!$B$2,Raw_M!$F$2:$F$2000,15)/100)-1)*100+1),Raw_M!$C$2:$C$2000,"&lt;="&amp;((INT(SUMIFS(Raw_M!$C$2:$C$2000,Raw_M!$A$2:$A$2000,Stock_Card!$B$2,Raw_M!$F$2:$F$2000,15)/100)-1)*100+MOD(SUMIFS(Raw_M!$C$2:$C$2000,Raw_M!$A$2:$A$2000,Stock_Card!$B$2,Raw_M!$F$2:$F$2000,15),100)))-1),"N/M"))</f>
        <v>0.397177912679111</v>
      </c>
    </row>
    <row r="20" customFormat="false" ht="15" hidden="false" customHeight="false" outlineLevel="0" collapsed="false">
      <c r="A20" s="73" t="str">
        <f aca="false">IF(Stock_Card!$B$2="","",IFERROR(INDEX(Raw_M!$B$2:$B$2000,MATCH(Stock_Card!$B$2&amp;"|16",Raw_M!$G$2:$G$2000,0)),""))</f>
        <v>2025-07</v>
      </c>
      <c r="B20" s="48" t="n">
        <f aca="false">IF(Stock_Card!$B$2="","",IFERROR(SUMIFS(Raw_M!$E$2:$E$2000,Raw_M!$A$2:$A$2000,Stock_Card!$B$2,Raw_M!$F$2:$F$2000,16),""))</f>
        <v>263708.978</v>
      </c>
      <c r="C20" s="49" t="n">
        <f aca="false">IF(Stock_Card!$B$2="","",IFERROR((SUMIFS(Raw_M!$E$2:$E$2000,Raw_M!$A$2:$A$2000,Stock_Card!$B$2,Raw_M!$F$2:$F$2000,16)/SUMIFS(Raw_M!$E$2:$E$2000,Raw_M!$A$2:$A$2000,Stock_Card!$B$2,Raw_M!$F$2:$F$2000,17)-1),""))</f>
        <v>-0.177236024674479</v>
      </c>
      <c r="D20" s="68" t="n">
        <f aca="false">IF(Stock_Card!$B$2="","",IFERROR(((SUMIFS(Raw_M!$E$2:$E$2000,Raw_M!$A$2:$A$2000,Stock_Card!$B$2,Raw_M!$F$2:$F$2000,16)/SUMIFS(Raw_M!$E$2:$E$2000,Raw_M!$A$2:$A$2000,Stock_Card!$B$2,Raw_M!$F$2:$F$2000,17)-1)-(SUMIFS(Raw_M!$E$2:$E$2000,Raw_M!$A$2:$A$2000,Stock_Card!$B$2,Raw_M!$F$2:$F$2000,17)/SUMIFS(Raw_M!$E$2:$E$2000,Raw_M!$A$2:$A$2000,Stock_Card!$B$2,Raw_M!$F$2:$F$2000,18)-1))*100,""))</f>
        <v>-9.41303711478608</v>
      </c>
      <c r="E20" s="49" t="str">
        <f aca="false">IF(Stock_Card!$B$2="","",IFERROR(IF(OR(NOT(ISNUMBER((SUMIFS(Raw_M!$E$2:$E$2000,Raw_M!$A$2:$A$2000,Stock_Card!$B$2,Raw_M!$F$2:$F$2000,17)/SUMIFS(Raw_M!$E$2:$E$2000,Raw_M!$A$2:$A$2000,Stock_Card!$B$2,Raw_M!$F$2:$F$2000,18)-1))),(SUMIFS(Raw_M!$E$2:$E$2000,Raw_M!$A$2:$A$2000,Stock_Card!$B$2,Raw_M!$F$2:$F$2000,17)/SUMIFS(Raw_M!$E$2:$E$2000,Raw_M!$A$2:$A$2000,Stock_Card!$B$2,Raw_M!$F$2:$F$2000,18)-1)&lt;=0,ABS((SUMIFS(Raw_M!$E$2:$E$2000,Raw_M!$A$2:$A$2000,Stock_Card!$B$2,Raw_M!$F$2:$F$2000,17)/SUMIFS(Raw_M!$E$2:$E$2000,Raw_M!$A$2:$A$2000,Stock_Card!$B$2,Raw_M!$F$2:$F$2000,18)-1))&lt;Config!$B$9),"N/M",((SUMIFS(Raw_M!$E$2:$E$2000,Raw_M!$A$2:$A$2000,Stock_Card!$B$2,Raw_M!$F$2:$F$2000,16)/SUMIFS(Raw_M!$E$2:$E$2000,Raw_M!$A$2:$A$2000,Stock_Card!$B$2,Raw_M!$F$2:$F$2000,17)-1)-(SUMIFS(Raw_M!$E$2:$E$2000,Raw_M!$A$2:$A$2000,Stock_Card!$B$2,Raw_M!$F$2:$F$2000,17)/SUMIFS(Raw_M!$E$2:$E$2000,Raw_M!$A$2:$A$2000,Stock_Card!$B$2,Raw_M!$F$2:$F$2000,18)-1))/ABS((SUMIFS(Raw_M!$E$2:$E$2000,Raw_M!$A$2:$A$2000,Stock_Card!$B$2,Raw_M!$F$2:$F$2000,17)/SUMIFS(Raw_M!$E$2:$E$2000,Raw_M!$A$2:$A$2000,Stock_Card!$B$2,Raw_M!$F$2:$F$2000,18)-1))),"N/M"))</f>
        <v>N/M</v>
      </c>
      <c r="F20" s="49" t="n">
        <f aca="false">IF(Stock_Card!$B$2="","",IFERROR((SUMIFS(Raw_M!$E$2:$E$2000,Raw_M!$A$2:$A$2000,Stock_Card!$B$2,Raw_M!$F$2:$F$2000,16)/SUMIFS(Raw_M!$E$2:$E$2000,Raw_M!$A$2:$A$2000,Stock_Card!$B$2,Raw_M!$F$2:$F$2000,28)-1),""))</f>
        <v>0.268632491954909</v>
      </c>
      <c r="G20" s="68" t="n">
        <f aca="false">IF(Stock_Card!$B$2="","",IFERROR(((SUMIFS(Raw_M!$E$2:$E$2000,Raw_M!$A$2:$A$2000,Stock_Card!$B$2,Raw_M!$F$2:$F$2000,16)/SUMIFS(Raw_M!$E$2:$E$2000,Raw_M!$A$2:$A$2000,Stock_Card!$B$2,Raw_M!$F$2:$F$2000,28)-1)-(SUMIFS(Raw_M!$E$2:$E$2000,Raw_M!$A$2:$A$2000,Stock_Card!$B$2,Raw_M!$F$2:$F$2000,17)/SUMIFS(Raw_M!$E$2:$E$2000,Raw_M!$A$2:$A$2000,Stock_Card!$B$2,Raw_M!$F$2:$F$2000,29)-1))*100,""))</f>
        <v>-12.7219052959407</v>
      </c>
      <c r="H20" s="49" t="n">
        <f aca="false">IF(Stock_Card!$B$2="","",IFERROR(IF(OR(NOT(ISNUMBER((SUMIFS(Raw_M!$E$2:$E$2000,Raw_M!$A$2:$A$2000,Stock_Card!$B$2,Raw_M!$F$2:$F$2000,17)/SUMIFS(Raw_M!$E$2:$E$2000,Raw_M!$A$2:$A$2000,Stock_Card!$B$2,Raw_M!$F$2:$F$2000,29)-1))),(SUMIFS(Raw_M!$E$2:$E$2000,Raw_M!$A$2:$A$2000,Stock_Card!$B$2,Raw_M!$F$2:$F$2000,17)/SUMIFS(Raw_M!$E$2:$E$2000,Raw_M!$A$2:$A$2000,Stock_Card!$B$2,Raw_M!$F$2:$F$2000,29)-1)&lt;=0,ABS((SUMIFS(Raw_M!$E$2:$E$2000,Raw_M!$A$2:$A$2000,Stock_Card!$B$2,Raw_M!$F$2:$F$2000,17)/SUMIFS(Raw_M!$E$2:$E$2000,Raw_M!$A$2:$A$2000,Stock_Card!$B$2,Raw_M!$F$2:$F$2000,29)-1))&lt;Config!$B$9),"N/M",((SUMIFS(Raw_M!$E$2:$E$2000,Raw_M!$A$2:$A$2000,Stock_Card!$B$2,Raw_M!$F$2:$F$2000,16)/SUMIFS(Raw_M!$E$2:$E$2000,Raw_M!$A$2:$A$2000,Stock_Card!$B$2,Raw_M!$F$2:$F$2000,28)-1)-(SUMIFS(Raw_M!$E$2:$E$2000,Raw_M!$A$2:$A$2000,Stock_Card!$B$2,Raw_M!$F$2:$F$2000,17)/SUMIFS(Raw_M!$E$2:$E$2000,Raw_M!$A$2:$A$2000,Stock_Card!$B$2,Raw_M!$F$2:$F$2000,29)-1))/ABS((SUMIFS(Raw_M!$E$2:$E$2000,Raw_M!$A$2:$A$2000,Stock_Card!$B$2,Raw_M!$F$2:$F$2000,17)/SUMIFS(Raw_M!$E$2:$E$2000,Raw_M!$A$2:$A$2000,Stock_Card!$B$2,Raw_M!$F$2:$F$2000,29)-1))),"N/M"))</f>
        <v>-0.321380716063503</v>
      </c>
      <c r="I20" s="69" t="str">
        <f aca="false">IF(Stock_Card!$B$2="","",IFERROR(IF(AND((SUMIFS(Raw_M!$E$2:$E$2000,Raw_M!$A$2:$A$2000,Stock_Card!$B$2,Raw_M!$F$2:$F$2000,17)/SUMIFS(Raw_M!$E$2:$E$2000,Raw_M!$A$2:$A$2000,Stock_Card!$B$2,Raw_M!$F$2:$F$2000,29)-1)&gt;0,(SUMIFS(Raw_M!$E$2:$E$2000,Raw_M!$A$2:$A$2000,Stock_Card!$B$2,Raw_M!$F$2:$F$2000,16)/SUMIFS(Raw_M!$E$2:$E$2000,Raw_M!$A$2:$A$2000,Stock_Card!$B$2,Raw_M!$F$2:$F$2000,28)-1)&lt;=0),"由正轉負",IF(AND((SUMIFS(Raw_M!$E$2:$E$2000,Raw_M!$A$2:$A$2000,Stock_Card!$B$2,Raw_M!$F$2:$F$2000,17)/SUMIFS(Raw_M!$E$2:$E$2000,Raw_M!$A$2:$A$2000,Stock_Card!$B$2,Raw_M!$F$2:$F$2000,29)-1)&lt;=0,(SUMIFS(Raw_M!$E$2:$E$2000,Raw_M!$A$2:$A$2000,Stock_Card!$B$2,Raw_M!$F$2:$F$2000,16)/SUMIFS(Raw_M!$E$2:$E$2000,Raw_M!$A$2:$A$2000,Stock_Card!$B$2,Raw_M!$F$2:$F$2000,28)-1)&gt;0),"由負轉正",IF((SUMIFS(Raw_M!$E$2:$E$2000,Raw_M!$A$2:$A$2000,Stock_Card!$B$2,Raw_M!$F$2:$F$2000,16)/SUMIFS(Raw_M!$E$2:$E$2000,Raw_M!$A$2:$A$2000,Stock_Card!$B$2,Raw_M!$F$2:$F$2000,28)-1)&gt;0,IF(((SUMIFS(Raw_M!$E$2:$E$2000,Raw_M!$A$2:$A$2000,Stock_Card!$B$2,Raw_M!$F$2:$F$2000,16)/SUMIFS(Raw_M!$E$2:$E$2000,Raw_M!$A$2:$A$2000,Stock_Card!$B$2,Raw_M!$F$2:$F$2000,28)-1)-(SUMIFS(Raw_M!$E$2:$E$2000,Raw_M!$A$2:$A$2000,Stock_Card!$B$2,Raw_M!$F$2:$F$2000,17)/SUMIFS(Raw_M!$E$2:$E$2000,Raw_M!$A$2:$A$2000,Stock_Card!$B$2,Raw_M!$F$2:$F$2000,29)-1))*100&gt;0,"成長且加速","成長但減速"),IF(((SUMIFS(Raw_M!$E$2:$E$2000,Raw_M!$A$2:$A$2000,Stock_Card!$B$2,Raw_M!$F$2:$F$2000,16)/SUMIFS(Raw_M!$E$2:$E$2000,Raw_M!$A$2:$A$2000,Stock_Card!$B$2,Raw_M!$F$2:$F$2000,28)-1)-(SUMIFS(Raw_M!$E$2:$E$2000,Raw_M!$A$2:$A$2000,Stock_Card!$B$2,Raw_M!$F$2:$F$2000,17)/SUMIFS(Raw_M!$E$2:$E$2000,Raw_M!$A$2:$A$2000,Stock_Card!$B$2,Raw_M!$F$2:$F$2000,29)-1))*100&gt;0,"衰退但收斂","衰退且惡化")))),""))</f>
        <v>成長但減速</v>
      </c>
      <c r="J20" s="48" t="n">
        <f aca="false">IF(Stock_Card!$B$2="","",IFERROR(SUMIFS(Raw_M!$E$2:$E$2000,Raw_M!$A$2:$A$2000,Stock_Card!$B$2,Raw_M!$C$2:$C$2000,"&gt;="&amp;((INT(SUMIFS(Raw_M!$C$2:$C$2000,Raw_M!$A$2:$A$2000,Stock_Card!$B$2,Raw_M!$F$2:$F$2000,16)/100)-0)*100+1),Raw_M!$C$2:$C$2000,"&lt;="&amp;((INT(SUMIFS(Raw_M!$C$2:$C$2000,Raw_M!$A$2:$A$2000,Stock_Card!$B$2,Raw_M!$F$2:$F$2000,16)/100)-0)*100+MOD(SUMIFS(Raw_M!$C$2:$C$2000,Raw_M!$A$2:$A$2000,Stock_Card!$B$2,Raw_M!$F$2:$F$2000,16),100))),""))</f>
        <v>2051208.64</v>
      </c>
      <c r="K20" s="49" t="n">
        <f aca="false">IF(Stock_Card!$B$2="","",IFERROR(IF(OR(COUNTIFS(Raw_M!$A$2:$A$2000,Stock_Card!$B$2,Raw_M!$C$2:$C$2000,"&gt;="&amp;((INT(SUMIFS(Raw_M!$C$2:$C$2000,Raw_M!$A$2:$A$2000,Stock_Card!$B$2,Raw_M!$F$2:$F$2000,16)/100)-0)*100+1),Raw_M!$C$2:$C$2000,"&lt;="&amp;((INT(SUMIFS(Raw_M!$C$2:$C$2000,Raw_M!$A$2:$A$2000,Stock_Card!$B$2,Raw_M!$F$2:$F$2000,16)/100)-0)*100+MOD(SUMIFS(Raw_M!$C$2:$C$2000,Raw_M!$A$2:$A$2000,Stock_Card!$B$2,Raw_M!$F$2:$F$2000,16),100)))&lt;&gt;MOD(SUMIFS(Raw_M!$C$2:$C$2000,Raw_M!$A$2:$A$2000,Stock_Card!$B$2,Raw_M!$F$2:$F$2000,16),100),COUNTIFS(Raw_M!$A$2:$A$2000,Stock_Card!$B$2,Raw_M!$C$2:$C$2000,"&gt;="&amp;((INT(SUMIFS(Raw_M!$C$2:$C$2000,Raw_M!$A$2:$A$2000,Stock_Card!$B$2,Raw_M!$F$2:$F$2000,16)/100)-1)*100+1),Raw_M!$C$2:$C$2000,"&lt;="&amp;((INT(SUMIFS(Raw_M!$C$2:$C$2000,Raw_M!$A$2:$A$2000,Stock_Card!$B$2,Raw_M!$F$2:$F$2000,16)/100)-1)*100+MOD(SUMIFS(Raw_M!$C$2:$C$2000,Raw_M!$A$2:$A$2000,Stock_Card!$B$2,Raw_M!$F$2:$F$2000,16),100)))&lt;&gt;MOD(SUMIFS(Raw_M!$C$2:$C$2000,Raw_M!$A$2:$A$2000,Stock_Card!$B$2,Raw_M!$F$2:$F$2000,16),100)),"N/M",SUMIFS(Raw_M!$E$2:$E$2000,Raw_M!$A$2:$A$2000,Stock_Card!$B$2,Raw_M!$C$2:$C$2000,"&gt;="&amp;((INT(SUMIFS(Raw_M!$C$2:$C$2000,Raw_M!$A$2:$A$2000,Stock_Card!$B$2,Raw_M!$F$2:$F$2000,16)/100)-0)*100+1),Raw_M!$C$2:$C$2000,"&lt;="&amp;((INT(SUMIFS(Raw_M!$C$2:$C$2000,Raw_M!$A$2:$A$2000,Stock_Card!$B$2,Raw_M!$F$2:$F$2000,16)/100)-0)*100+MOD(SUMIFS(Raw_M!$C$2:$C$2000,Raw_M!$A$2:$A$2000,Stock_Card!$B$2,Raw_M!$F$2:$F$2000,16),100)))/SUMIFS(Raw_M!$E$2:$E$2000,Raw_M!$A$2:$A$2000,Stock_Card!$B$2,Raw_M!$C$2:$C$2000,"&gt;="&amp;((INT(SUMIFS(Raw_M!$C$2:$C$2000,Raw_M!$A$2:$A$2000,Stock_Card!$B$2,Raw_M!$F$2:$F$2000,16)/100)-1)*100+1),Raw_M!$C$2:$C$2000,"&lt;="&amp;((INT(SUMIFS(Raw_M!$C$2:$C$2000,Raw_M!$A$2:$A$2000,Stock_Card!$B$2,Raw_M!$F$2:$F$2000,16)/100)-1)*100+MOD(SUMIFS(Raw_M!$C$2:$C$2000,Raw_M!$A$2:$A$2000,Stock_Card!$B$2,Raw_M!$F$2:$F$2000,16),100)))-1),"N/M"))</f>
        <v>0.422026832762399</v>
      </c>
    </row>
    <row r="21" customFormat="false" ht="15" hidden="false" customHeight="false" outlineLevel="0" collapsed="false">
      <c r="A21" s="73" t="str">
        <f aca="false">IF(Stock_Card!$B$2="","",IFERROR(INDEX(Raw_M!$B$2:$B$2000,MATCH(Stock_Card!$B$2&amp;"|17",Raw_M!$G$2:$G$2000,0)),""))</f>
        <v>2025-06</v>
      </c>
      <c r="B21" s="48" t="n">
        <f aca="false">IF(Stock_Card!$B$2="","",IFERROR(SUMIFS(Raw_M!$E$2:$E$2000,Raw_M!$A$2:$A$2000,Stock_Card!$B$2,Raw_M!$F$2:$F$2000,17),""))</f>
        <v>320515.951</v>
      </c>
      <c r="C21" s="49" t="n">
        <f aca="false">IF(Stock_Card!$B$2="","",IFERROR((SUMIFS(Raw_M!$E$2:$E$2000,Raw_M!$A$2:$A$2000,Stock_Card!$B$2,Raw_M!$F$2:$F$2000,17)/SUMIFS(Raw_M!$E$2:$E$2000,Raw_M!$A$2:$A$2000,Stock_Card!$B$2,Raw_M!$F$2:$F$2000,18)-1),""))</f>
        <v>-0.0831056535266178</v>
      </c>
      <c r="D21" s="68" t="n">
        <f aca="false">IF(Stock_Card!$B$2="","",IFERROR(((SUMIFS(Raw_M!$E$2:$E$2000,Raw_M!$A$2:$A$2000,Stock_Card!$B$2,Raw_M!$F$2:$F$2000,17)/SUMIFS(Raw_M!$E$2:$E$2000,Raw_M!$A$2:$A$2000,Stock_Card!$B$2,Raw_M!$F$2:$F$2000,18)-1)-(SUMIFS(Raw_M!$E$2:$E$2000,Raw_M!$A$2:$A$2000,Stock_Card!$B$2,Raw_M!$F$2:$F$2000,18)/SUMIFS(Raw_M!$E$2:$E$2000,Raw_M!$A$2:$A$2000,Stock_Card!$B$2,Raw_M!$F$2:$F$2000,19)-1))*100,""))</f>
        <v>-30.5552202538928</v>
      </c>
      <c r="E21" s="49" t="n">
        <f aca="false">IF(Stock_Card!$B$2="","",IFERROR(IF(OR(NOT(ISNUMBER((SUMIFS(Raw_M!$E$2:$E$2000,Raw_M!$A$2:$A$2000,Stock_Card!$B$2,Raw_M!$F$2:$F$2000,18)/SUMIFS(Raw_M!$E$2:$E$2000,Raw_M!$A$2:$A$2000,Stock_Card!$B$2,Raw_M!$F$2:$F$2000,19)-1))),(SUMIFS(Raw_M!$E$2:$E$2000,Raw_M!$A$2:$A$2000,Stock_Card!$B$2,Raw_M!$F$2:$F$2000,18)/SUMIFS(Raw_M!$E$2:$E$2000,Raw_M!$A$2:$A$2000,Stock_Card!$B$2,Raw_M!$F$2:$F$2000,19)-1)&lt;=0,ABS((SUMIFS(Raw_M!$E$2:$E$2000,Raw_M!$A$2:$A$2000,Stock_Card!$B$2,Raw_M!$F$2:$F$2000,18)/SUMIFS(Raw_M!$E$2:$E$2000,Raw_M!$A$2:$A$2000,Stock_Card!$B$2,Raw_M!$F$2:$F$2000,19)-1))&lt;Config!$B$9),"N/M",((SUMIFS(Raw_M!$E$2:$E$2000,Raw_M!$A$2:$A$2000,Stock_Card!$B$2,Raw_M!$F$2:$F$2000,17)/SUMIFS(Raw_M!$E$2:$E$2000,Raw_M!$A$2:$A$2000,Stock_Card!$B$2,Raw_M!$F$2:$F$2000,18)-1)-(SUMIFS(Raw_M!$E$2:$E$2000,Raw_M!$A$2:$A$2000,Stock_Card!$B$2,Raw_M!$F$2:$F$2000,18)/SUMIFS(Raw_M!$E$2:$E$2000,Raw_M!$A$2:$A$2000,Stock_Card!$B$2,Raw_M!$F$2:$F$2000,19)-1))/ABS((SUMIFS(Raw_M!$E$2:$E$2000,Raw_M!$A$2:$A$2000,Stock_Card!$B$2,Raw_M!$F$2:$F$2000,18)/SUMIFS(Raw_M!$E$2:$E$2000,Raw_M!$A$2:$A$2000,Stock_Card!$B$2,Raw_M!$F$2:$F$2000,19)-1))),"N/M"))</f>
        <v>-1.37359830438196</v>
      </c>
      <c r="F21" s="49" t="n">
        <f aca="false">IF(Stock_Card!$B$2="","",IFERROR((SUMIFS(Raw_M!$E$2:$E$2000,Raw_M!$A$2:$A$2000,Stock_Card!$B$2,Raw_M!$F$2:$F$2000,17)/SUMIFS(Raw_M!$E$2:$E$2000,Raw_M!$A$2:$A$2000,Stock_Card!$B$2,Raw_M!$F$2:$F$2000,29)-1),""))</f>
        <v>0.395851544914316</v>
      </c>
      <c r="G21" s="68" t="n">
        <f aca="false">IF(Stock_Card!$B$2="","",IFERROR(((SUMIFS(Raw_M!$E$2:$E$2000,Raw_M!$A$2:$A$2000,Stock_Card!$B$2,Raw_M!$F$2:$F$2000,17)/SUMIFS(Raw_M!$E$2:$E$2000,Raw_M!$A$2:$A$2000,Stock_Card!$B$2,Raw_M!$F$2:$F$2000,29)-1)-(SUMIFS(Raw_M!$E$2:$E$2000,Raw_M!$A$2:$A$2000,Stock_Card!$B$2,Raw_M!$F$2:$F$2000,18)/SUMIFS(Raw_M!$E$2:$E$2000,Raw_M!$A$2:$A$2000,Stock_Card!$B$2,Raw_M!$F$2:$F$2000,30)-1))*100,""))</f>
        <v>-8.52318083409638</v>
      </c>
      <c r="H21" s="49" t="n">
        <f aca="false">IF(Stock_Card!$B$2="","",IFERROR(IF(OR(NOT(ISNUMBER((SUMIFS(Raw_M!$E$2:$E$2000,Raw_M!$A$2:$A$2000,Stock_Card!$B$2,Raw_M!$F$2:$F$2000,18)/SUMIFS(Raw_M!$E$2:$E$2000,Raw_M!$A$2:$A$2000,Stock_Card!$B$2,Raw_M!$F$2:$F$2000,30)-1))),(SUMIFS(Raw_M!$E$2:$E$2000,Raw_M!$A$2:$A$2000,Stock_Card!$B$2,Raw_M!$F$2:$F$2000,18)/SUMIFS(Raw_M!$E$2:$E$2000,Raw_M!$A$2:$A$2000,Stock_Card!$B$2,Raw_M!$F$2:$F$2000,30)-1)&lt;=0,ABS((SUMIFS(Raw_M!$E$2:$E$2000,Raw_M!$A$2:$A$2000,Stock_Card!$B$2,Raw_M!$F$2:$F$2000,18)/SUMIFS(Raw_M!$E$2:$E$2000,Raw_M!$A$2:$A$2000,Stock_Card!$B$2,Raw_M!$F$2:$F$2000,30)-1))&lt;Config!$B$9),"N/M",((SUMIFS(Raw_M!$E$2:$E$2000,Raw_M!$A$2:$A$2000,Stock_Card!$B$2,Raw_M!$F$2:$F$2000,17)/SUMIFS(Raw_M!$E$2:$E$2000,Raw_M!$A$2:$A$2000,Stock_Card!$B$2,Raw_M!$F$2:$F$2000,29)-1)-(SUMIFS(Raw_M!$E$2:$E$2000,Raw_M!$A$2:$A$2000,Stock_Card!$B$2,Raw_M!$F$2:$F$2000,18)/SUMIFS(Raw_M!$E$2:$E$2000,Raw_M!$A$2:$A$2000,Stock_Card!$B$2,Raw_M!$F$2:$F$2000,30)-1))/ABS((SUMIFS(Raw_M!$E$2:$E$2000,Raw_M!$A$2:$A$2000,Stock_Card!$B$2,Raw_M!$F$2:$F$2000,18)/SUMIFS(Raw_M!$E$2:$E$2000,Raw_M!$A$2:$A$2000,Stock_Card!$B$2,Raw_M!$F$2:$F$2000,30)-1))),"N/M"))</f>
        <v>-0.177166405289723</v>
      </c>
      <c r="I21" s="69" t="str">
        <f aca="false">IF(Stock_Card!$B$2="","",IFERROR(IF(AND((SUMIFS(Raw_M!$E$2:$E$2000,Raw_M!$A$2:$A$2000,Stock_Card!$B$2,Raw_M!$F$2:$F$2000,18)/SUMIFS(Raw_M!$E$2:$E$2000,Raw_M!$A$2:$A$2000,Stock_Card!$B$2,Raw_M!$F$2:$F$2000,30)-1)&gt;0,(SUMIFS(Raw_M!$E$2:$E$2000,Raw_M!$A$2:$A$2000,Stock_Card!$B$2,Raw_M!$F$2:$F$2000,17)/SUMIFS(Raw_M!$E$2:$E$2000,Raw_M!$A$2:$A$2000,Stock_Card!$B$2,Raw_M!$F$2:$F$2000,29)-1)&lt;=0),"由正轉負",IF(AND((SUMIFS(Raw_M!$E$2:$E$2000,Raw_M!$A$2:$A$2000,Stock_Card!$B$2,Raw_M!$F$2:$F$2000,18)/SUMIFS(Raw_M!$E$2:$E$2000,Raw_M!$A$2:$A$2000,Stock_Card!$B$2,Raw_M!$F$2:$F$2000,30)-1)&lt;=0,(SUMIFS(Raw_M!$E$2:$E$2000,Raw_M!$A$2:$A$2000,Stock_Card!$B$2,Raw_M!$F$2:$F$2000,17)/SUMIFS(Raw_M!$E$2:$E$2000,Raw_M!$A$2:$A$2000,Stock_Card!$B$2,Raw_M!$F$2:$F$2000,29)-1)&gt;0),"由負轉正",IF((SUMIFS(Raw_M!$E$2:$E$2000,Raw_M!$A$2:$A$2000,Stock_Card!$B$2,Raw_M!$F$2:$F$2000,17)/SUMIFS(Raw_M!$E$2:$E$2000,Raw_M!$A$2:$A$2000,Stock_Card!$B$2,Raw_M!$F$2:$F$2000,29)-1)&gt;0,IF(((SUMIFS(Raw_M!$E$2:$E$2000,Raw_M!$A$2:$A$2000,Stock_Card!$B$2,Raw_M!$F$2:$F$2000,17)/SUMIFS(Raw_M!$E$2:$E$2000,Raw_M!$A$2:$A$2000,Stock_Card!$B$2,Raw_M!$F$2:$F$2000,29)-1)-(SUMIFS(Raw_M!$E$2:$E$2000,Raw_M!$A$2:$A$2000,Stock_Card!$B$2,Raw_M!$F$2:$F$2000,18)/SUMIFS(Raw_M!$E$2:$E$2000,Raw_M!$A$2:$A$2000,Stock_Card!$B$2,Raw_M!$F$2:$F$2000,30)-1))*100&gt;0,"成長且加速","成長但減速"),IF(((SUMIFS(Raw_M!$E$2:$E$2000,Raw_M!$A$2:$A$2000,Stock_Card!$B$2,Raw_M!$F$2:$F$2000,17)/SUMIFS(Raw_M!$E$2:$E$2000,Raw_M!$A$2:$A$2000,Stock_Card!$B$2,Raw_M!$F$2:$F$2000,29)-1)-(SUMIFS(Raw_M!$E$2:$E$2000,Raw_M!$A$2:$A$2000,Stock_Card!$B$2,Raw_M!$F$2:$F$2000,18)/SUMIFS(Raw_M!$E$2:$E$2000,Raw_M!$A$2:$A$2000,Stock_Card!$B$2,Raw_M!$F$2:$F$2000,30)-1))*100&gt;0,"衰退但收斂","衰退且惡化")))),""))</f>
        <v>成長但減速</v>
      </c>
      <c r="J21" s="48" t="n">
        <f aca="false">IF(Stock_Card!$B$2="","",IFERROR(SUMIFS(Raw_M!$E$2:$E$2000,Raw_M!$A$2:$A$2000,Stock_Card!$B$2,Raw_M!$C$2:$C$2000,"&gt;="&amp;((INT(SUMIFS(Raw_M!$C$2:$C$2000,Raw_M!$A$2:$A$2000,Stock_Card!$B$2,Raw_M!$F$2:$F$2000,17)/100)-0)*100+1),Raw_M!$C$2:$C$2000,"&lt;="&amp;((INT(SUMIFS(Raw_M!$C$2:$C$2000,Raw_M!$A$2:$A$2000,Stock_Card!$B$2,Raw_M!$F$2:$F$2000,17)/100)-0)*100+MOD(SUMIFS(Raw_M!$C$2:$C$2000,Raw_M!$A$2:$A$2000,Stock_Card!$B$2,Raw_M!$F$2:$F$2000,17),100))),""))</f>
        <v>1787499.662</v>
      </c>
      <c r="K21" s="49" t="n">
        <f aca="false">IF(Stock_Card!$B$2="","",IFERROR(IF(OR(COUNTIFS(Raw_M!$A$2:$A$2000,Stock_Card!$B$2,Raw_M!$C$2:$C$2000,"&gt;="&amp;((INT(SUMIFS(Raw_M!$C$2:$C$2000,Raw_M!$A$2:$A$2000,Stock_Card!$B$2,Raw_M!$F$2:$F$2000,17)/100)-0)*100+1),Raw_M!$C$2:$C$2000,"&lt;="&amp;((INT(SUMIFS(Raw_M!$C$2:$C$2000,Raw_M!$A$2:$A$2000,Stock_Card!$B$2,Raw_M!$F$2:$F$2000,17)/100)-0)*100+MOD(SUMIFS(Raw_M!$C$2:$C$2000,Raw_M!$A$2:$A$2000,Stock_Card!$B$2,Raw_M!$F$2:$F$2000,17),100)))&lt;&gt;MOD(SUMIFS(Raw_M!$C$2:$C$2000,Raw_M!$A$2:$A$2000,Stock_Card!$B$2,Raw_M!$F$2:$F$2000,17),100),COUNTIFS(Raw_M!$A$2:$A$2000,Stock_Card!$B$2,Raw_M!$C$2:$C$2000,"&gt;="&amp;((INT(SUMIFS(Raw_M!$C$2:$C$2000,Raw_M!$A$2:$A$2000,Stock_Card!$B$2,Raw_M!$F$2:$F$2000,17)/100)-1)*100+1),Raw_M!$C$2:$C$2000,"&lt;="&amp;((INT(SUMIFS(Raw_M!$C$2:$C$2000,Raw_M!$A$2:$A$2000,Stock_Card!$B$2,Raw_M!$F$2:$F$2000,17)/100)-1)*100+MOD(SUMIFS(Raw_M!$C$2:$C$2000,Raw_M!$A$2:$A$2000,Stock_Card!$B$2,Raw_M!$F$2:$F$2000,17),100)))&lt;&gt;MOD(SUMIFS(Raw_M!$C$2:$C$2000,Raw_M!$A$2:$A$2000,Stock_Card!$B$2,Raw_M!$F$2:$F$2000,17),100)),"N/M",SUMIFS(Raw_M!$E$2:$E$2000,Raw_M!$A$2:$A$2000,Stock_Card!$B$2,Raw_M!$C$2:$C$2000,"&gt;="&amp;((INT(SUMIFS(Raw_M!$C$2:$C$2000,Raw_M!$A$2:$A$2000,Stock_Card!$B$2,Raw_M!$F$2:$F$2000,17)/100)-0)*100+1),Raw_M!$C$2:$C$2000,"&lt;="&amp;((INT(SUMIFS(Raw_M!$C$2:$C$2000,Raw_M!$A$2:$A$2000,Stock_Card!$B$2,Raw_M!$F$2:$F$2000,17)/100)-0)*100+MOD(SUMIFS(Raw_M!$C$2:$C$2000,Raw_M!$A$2:$A$2000,Stock_Card!$B$2,Raw_M!$F$2:$F$2000,17),100)))/SUMIFS(Raw_M!$E$2:$E$2000,Raw_M!$A$2:$A$2000,Stock_Card!$B$2,Raw_M!$C$2:$C$2000,"&gt;="&amp;((INT(SUMIFS(Raw_M!$C$2:$C$2000,Raw_M!$A$2:$A$2000,Stock_Card!$B$2,Raw_M!$F$2:$F$2000,17)/100)-1)*100+1),Raw_M!$C$2:$C$2000,"&lt;="&amp;((INT(SUMIFS(Raw_M!$C$2:$C$2000,Raw_M!$A$2:$A$2000,Stock_Card!$B$2,Raw_M!$F$2:$F$2000,17)/100)-1)*100+MOD(SUMIFS(Raw_M!$C$2:$C$2000,Raw_M!$A$2:$A$2000,Stock_Card!$B$2,Raw_M!$F$2:$F$2000,17),100)))-1),"N/M"))</f>
        <v>0.447854027249992</v>
      </c>
    </row>
    <row r="22" customFormat="false" ht="15" hidden="false" customHeight="false" outlineLevel="0" collapsed="false">
      <c r="A22" s="73" t="str">
        <f aca="false">IF(Stock_Card!$B$2="","",IFERROR(INDEX(Raw_M!$B$2:$B$2000,MATCH(Stock_Card!$B$2&amp;"|18",Raw_M!$G$2:$G$2000,0)),""))</f>
        <v>2025-05</v>
      </c>
      <c r="B22" s="48" t="n">
        <f aca="false">IF(Stock_Card!$B$2="","",IFERROR(SUMIFS(Raw_M!$E$2:$E$2000,Raw_M!$A$2:$A$2000,Stock_Card!$B$2,Raw_M!$F$2:$F$2000,18),""))</f>
        <v>349566.94</v>
      </c>
      <c r="C22" s="49" t="n">
        <f aca="false">IF(Stock_Card!$B$2="","",IFERROR((SUMIFS(Raw_M!$E$2:$E$2000,Raw_M!$A$2:$A$2000,Stock_Card!$B$2,Raw_M!$F$2:$F$2000,18)/SUMIFS(Raw_M!$E$2:$E$2000,Raw_M!$A$2:$A$2000,Stock_Card!$B$2,Raw_M!$F$2:$F$2000,19)-1),""))</f>
        <v>0.222446549012311</v>
      </c>
      <c r="D22" s="68" t="n">
        <f aca="false">IF(Stock_Card!$B$2="","",IFERROR(((SUMIFS(Raw_M!$E$2:$E$2000,Raw_M!$A$2:$A$2000,Stock_Card!$B$2,Raw_M!$F$2:$F$2000,18)/SUMIFS(Raw_M!$E$2:$E$2000,Raw_M!$A$2:$A$2000,Stock_Card!$B$2,Raw_M!$F$2:$F$2000,19)-1)-(SUMIFS(Raw_M!$E$2:$E$2000,Raw_M!$A$2:$A$2000,Stock_Card!$B$2,Raw_M!$F$2:$F$2000,19)/SUMIFS(Raw_M!$E$2:$E$2000,Raw_M!$A$2:$A$2000,Stock_Card!$B$2,Raw_M!$F$2:$F$2000,20)-1))*100,""))</f>
        <v>12.2649794444054</v>
      </c>
      <c r="E22" s="49" t="n">
        <f aca="false">IF(Stock_Card!$B$2="","",IFERROR(IF(OR(NOT(ISNUMBER((SUMIFS(Raw_M!$E$2:$E$2000,Raw_M!$A$2:$A$2000,Stock_Card!$B$2,Raw_M!$F$2:$F$2000,19)/SUMIFS(Raw_M!$E$2:$E$2000,Raw_M!$A$2:$A$2000,Stock_Card!$B$2,Raw_M!$F$2:$F$2000,20)-1))),(SUMIFS(Raw_M!$E$2:$E$2000,Raw_M!$A$2:$A$2000,Stock_Card!$B$2,Raw_M!$F$2:$F$2000,19)/SUMIFS(Raw_M!$E$2:$E$2000,Raw_M!$A$2:$A$2000,Stock_Card!$B$2,Raw_M!$F$2:$F$2000,20)-1)&lt;=0,ABS((SUMIFS(Raw_M!$E$2:$E$2000,Raw_M!$A$2:$A$2000,Stock_Card!$B$2,Raw_M!$F$2:$F$2000,19)/SUMIFS(Raw_M!$E$2:$E$2000,Raw_M!$A$2:$A$2000,Stock_Card!$B$2,Raw_M!$F$2:$F$2000,20)-1))&lt;Config!$B$9),"N/M",((SUMIFS(Raw_M!$E$2:$E$2000,Raw_M!$A$2:$A$2000,Stock_Card!$B$2,Raw_M!$F$2:$F$2000,18)/SUMIFS(Raw_M!$E$2:$E$2000,Raw_M!$A$2:$A$2000,Stock_Card!$B$2,Raw_M!$F$2:$F$2000,19)-1)-(SUMIFS(Raw_M!$E$2:$E$2000,Raw_M!$A$2:$A$2000,Stock_Card!$B$2,Raw_M!$F$2:$F$2000,19)/SUMIFS(Raw_M!$E$2:$E$2000,Raw_M!$A$2:$A$2000,Stock_Card!$B$2,Raw_M!$F$2:$F$2000,20)-1))/ABS((SUMIFS(Raw_M!$E$2:$E$2000,Raw_M!$A$2:$A$2000,Stock_Card!$B$2,Raw_M!$F$2:$F$2000,19)/SUMIFS(Raw_M!$E$2:$E$2000,Raw_M!$A$2:$A$2000,Stock_Card!$B$2,Raw_M!$F$2:$F$2000,20)-1))),"N/M"))</f>
        <v>1.22899582230569</v>
      </c>
      <c r="F22" s="49" t="n">
        <f aca="false">IF(Stock_Card!$B$2="","",IFERROR((SUMIFS(Raw_M!$E$2:$E$2000,Raw_M!$A$2:$A$2000,Stock_Card!$B$2,Raw_M!$F$2:$F$2000,18)/SUMIFS(Raw_M!$E$2:$E$2000,Raw_M!$A$2:$A$2000,Stock_Card!$B$2,Raw_M!$F$2:$F$2000,30)-1),""))</f>
        <v>0.48108335325528</v>
      </c>
      <c r="G22" s="68" t="n">
        <f aca="false">IF(Stock_Card!$B$2="","",IFERROR(((SUMIFS(Raw_M!$E$2:$E$2000,Raw_M!$A$2:$A$2000,Stock_Card!$B$2,Raw_M!$F$2:$F$2000,18)/SUMIFS(Raw_M!$E$2:$E$2000,Raw_M!$A$2:$A$2000,Stock_Card!$B$2,Raw_M!$F$2:$F$2000,30)-1)-(SUMIFS(Raw_M!$E$2:$E$2000,Raw_M!$A$2:$A$2000,Stock_Card!$B$2,Raw_M!$F$2:$F$2000,19)/SUMIFS(Raw_M!$E$2:$E$2000,Raw_M!$A$2:$A$2000,Stock_Card!$B$2,Raw_M!$F$2:$F$2000,31)-1))*100,""))</f>
        <v>1.62216543095597</v>
      </c>
      <c r="H22" s="49" t="n">
        <f aca="false">IF(Stock_Card!$B$2="","",IFERROR(IF(OR(NOT(ISNUMBER((SUMIFS(Raw_M!$E$2:$E$2000,Raw_M!$A$2:$A$2000,Stock_Card!$B$2,Raw_M!$F$2:$F$2000,19)/SUMIFS(Raw_M!$E$2:$E$2000,Raw_M!$A$2:$A$2000,Stock_Card!$B$2,Raw_M!$F$2:$F$2000,31)-1))),(SUMIFS(Raw_M!$E$2:$E$2000,Raw_M!$A$2:$A$2000,Stock_Card!$B$2,Raw_M!$F$2:$F$2000,19)/SUMIFS(Raw_M!$E$2:$E$2000,Raw_M!$A$2:$A$2000,Stock_Card!$B$2,Raw_M!$F$2:$F$2000,31)-1)&lt;=0,ABS((SUMIFS(Raw_M!$E$2:$E$2000,Raw_M!$A$2:$A$2000,Stock_Card!$B$2,Raw_M!$F$2:$F$2000,19)/SUMIFS(Raw_M!$E$2:$E$2000,Raw_M!$A$2:$A$2000,Stock_Card!$B$2,Raw_M!$F$2:$F$2000,31)-1))&lt;Config!$B$9),"N/M",((SUMIFS(Raw_M!$E$2:$E$2000,Raw_M!$A$2:$A$2000,Stock_Card!$B$2,Raw_M!$F$2:$F$2000,18)/SUMIFS(Raw_M!$E$2:$E$2000,Raw_M!$A$2:$A$2000,Stock_Card!$B$2,Raw_M!$F$2:$F$2000,30)-1)-(SUMIFS(Raw_M!$E$2:$E$2000,Raw_M!$A$2:$A$2000,Stock_Card!$B$2,Raw_M!$F$2:$F$2000,19)/SUMIFS(Raw_M!$E$2:$E$2000,Raw_M!$A$2:$A$2000,Stock_Card!$B$2,Raw_M!$F$2:$F$2000,31)-1))/ABS((SUMIFS(Raw_M!$E$2:$E$2000,Raw_M!$A$2:$A$2000,Stock_Card!$B$2,Raw_M!$F$2:$F$2000,19)/SUMIFS(Raw_M!$E$2:$E$2000,Raw_M!$A$2:$A$2000,Stock_Card!$B$2,Raw_M!$F$2:$F$2000,31)-1))),"N/M"))</f>
        <v>0.0348956568079269</v>
      </c>
      <c r="I22" s="69" t="str">
        <f aca="false">IF(Stock_Card!$B$2="","",IFERROR(IF(AND((SUMIFS(Raw_M!$E$2:$E$2000,Raw_M!$A$2:$A$2000,Stock_Card!$B$2,Raw_M!$F$2:$F$2000,19)/SUMIFS(Raw_M!$E$2:$E$2000,Raw_M!$A$2:$A$2000,Stock_Card!$B$2,Raw_M!$F$2:$F$2000,31)-1)&gt;0,(SUMIFS(Raw_M!$E$2:$E$2000,Raw_M!$A$2:$A$2000,Stock_Card!$B$2,Raw_M!$F$2:$F$2000,18)/SUMIFS(Raw_M!$E$2:$E$2000,Raw_M!$A$2:$A$2000,Stock_Card!$B$2,Raw_M!$F$2:$F$2000,30)-1)&lt;=0),"由正轉負",IF(AND((SUMIFS(Raw_M!$E$2:$E$2000,Raw_M!$A$2:$A$2000,Stock_Card!$B$2,Raw_M!$F$2:$F$2000,19)/SUMIFS(Raw_M!$E$2:$E$2000,Raw_M!$A$2:$A$2000,Stock_Card!$B$2,Raw_M!$F$2:$F$2000,31)-1)&lt;=0,(SUMIFS(Raw_M!$E$2:$E$2000,Raw_M!$A$2:$A$2000,Stock_Card!$B$2,Raw_M!$F$2:$F$2000,18)/SUMIFS(Raw_M!$E$2:$E$2000,Raw_M!$A$2:$A$2000,Stock_Card!$B$2,Raw_M!$F$2:$F$2000,30)-1)&gt;0),"由負轉正",IF((SUMIFS(Raw_M!$E$2:$E$2000,Raw_M!$A$2:$A$2000,Stock_Card!$B$2,Raw_M!$F$2:$F$2000,18)/SUMIFS(Raw_M!$E$2:$E$2000,Raw_M!$A$2:$A$2000,Stock_Card!$B$2,Raw_M!$F$2:$F$2000,30)-1)&gt;0,IF(((SUMIFS(Raw_M!$E$2:$E$2000,Raw_M!$A$2:$A$2000,Stock_Card!$B$2,Raw_M!$F$2:$F$2000,18)/SUMIFS(Raw_M!$E$2:$E$2000,Raw_M!$A$2:$A$2000,Stock_Card!$B$2,Raw_M!$F$2:$F$2000,30)-1)-(SUMIFS(Raw_M!$E$2:$E$2000,Raw_M!$A$2:$A$2000,Stock_Card!$B$2,Raw_M!$F$2:$F$2000,19)/SUMIFS(Raw_M!$E$2:$E$2000,Raw_M!$A$2:$A$2000,Stock_Card!$B$2,Raw_M!$F$2:$F$2000,31)-1))*100&gt;0,"成長且加速","成長但減速"),IF(((SUMIFS(Raw_M!$E$2:$E$2000,Raw_M!$A$2:$A$2000,Stock_Card!$B$2,Raw_M!$F$2:$F$2000,18)/SUMIFS(Raw_M!$E$2:$E$2000,Raw_M!$A$2:$A$2000,Stock_Card!$B$2,Raw_M!$F$2:$F$2000,30)-1)-(SUMIFS(Raw_M!$E$2:$E$2000,Raw_M!$A$2:$A$2000,Stock_Card!$B$2,Raw_M!$F$2:$F$2000,19)/SUMIFS(Raw_M!$E$2:$E$2000,Raw_M!$A$2:$A$2000,Stock_Card!$B$2,Raw_M!$F$2:$F$2000,31)-1))*100&gt;0,"衰退但收斂","衰退且惡化")))),""))</f>
        <v>成長且加速</v>
      </c>
      <c r="J22" s="48" t="n">
        <f aca="false">IF(Stock_Card!$B$2="","",IFERROR(SUMIFS(Raw_M!$E$2:$E$2000,Raw_M!$A$2:$A$2000,Stock_Card!$B$2,Raw_M!$C$2:$C$2000,"&gt;="&amp;((INT(SUMIFS(Raw_M!$C$2:$C$2000,Raw_M!$A$2:$A$2000,Stock_Card!$B$2,Raw_M!$F$2:$F$2000,18)/100)-0)*100+1),Raw_M!$C$2:$C$2000,"&lt;="&amp;((INT(SUMIFS(Raw_M!$C$2:$C$2000,Raw_M!$A$2:$A$2000,Stock_Card!$B$2,Raw_M!$F$2:$F$2000,18)/100)-0)*100+MOD(SUMIFS(Raw_M!$C$2:$C$2000,Raw_M!$A$2:$A$2000,Stock_Card!$B$2,Raw_M!$F$2:$F$2000,18),100))),""))</f>
        <v>1466983.711</v>
      </c>
      <c r="K22" s="49" t="n">
        <f aca="false">IF(Stock_Card!$B$2="","",IFERROR(IF(OR(COUNTIFS(Raw_M!$A$2:$A$2000,Stock_Card!$B$2,Raw_M!$C$2:$C$2000,"&gt;="&amp;((INT(SUMIFS(Raw_M!$C$2:$C$2000,Raw_M!$A$2:$A$2000,Stock_Card!$B$2,Raw_M!$F$2:$F$2000,18)/100)-0)*100+1),Raw_M!$C$2:$C$2000,"&lt;="&amp;((INT(SUMIFS(Raw_M!$C$2:$C$2000,Raw_M!$A$2:$A$2000,Stock_Card!$B$2,Raw_M!$F$2:$F$2000,18)/100)-0)*100+MOD(SUMIFS(Raw_M!$C$2:$C$2000,Raw_M!$A$2:$A$2000,Stock_Card!$B$2,Raw_M!$F$2:$F$2000,18),100)))&lt;&gt;MOD(SUMIFS(Raw_M!$C$2:$C$2000,Raw_M!$A$2:$A$2000,Stock_Card!$B$2,Raw_M!$F$2:$F$2000,18),100),COUNTIFS(Raw_M!$A$2:$A$2000,Stock_Card!$B$2,Raw_M!$C$2:$C$2000,"&gt;="&amp;((INT(SUMIFS(Raw_M!$C$2:$C$2000,Raw_M!$A$2:$A$2000,Stock_Card!$B$2,Raw_M!$F$2:$F$2000,18)/100)-1)*100+1),Raw_M!$C$2:$C$2000,"&lt;="&amp;((INT(SUMIFS(Raw_M!$C$2:$C$2000,Raw_M!$A$2:$A$2000,Stock_Card!$B$2,Raw_M!$F$2:$F$2000,18)/100)-1)*100+MOD(SUMIFS(Raw_M!$C$2:$C$2000,Raw_M!$A$2:$A$2000,Stock_Card!$B$2,Raw_M!$F$2:$F$2000,18),100)))&lt;&gt;MOD(SUMIFS(Raw_M!$C$2:$C$2000,Raw_M!$A$2:$A$2000,Stock_Card!$B$2,Raw_M!$F$2:$F$2000,18),100)),"N/M",SUMIFS(Raw_M!$E$2:$E$2000,Raw_M!$A$2:$A$2000,Stock_Card!$B$2,Raw_M!$C$2:$C$2000,"&gt;="&amp;((INT(SUMIFS(Raw_M!$C$2:$C$2000,Raw_M!$A$2:$A$2000,Stock_Card!$B$2,Raw_M!$F$2:$F$2000,18)/100)-0)*100+1),Raw_M!$C$2:$C$2000,"&lt;="&amp;((INT(SUMIFS(Raw_M!$C$2:$C$2000,Raw_M!$A$2:$A$2000,Stock_Card!$B$2,Raw_M!$F$2:$F$2000,18)/100)-0)*100+MOD(SUMIFS(Raw_M!$C$2:$C$2000,Raw_M!$A$2:$A$2000,Stock_Card!$B$2,Raw_M!$F$2:$F$2000,18),100)))/SUMIFS(Raw_M!$E$2:$E$2000,Raw_M!$A$2:$A$2000,Stock_Card!$B$2,Raw_M!$C$2:$C$2000,"&gt;="&amp;((INT(SUMIFS(Raw_M!$C$2:$C$2000,Raw_M!$A$2:$A$2000,Stock_Card!$B$2,Raw_M!$F$2:$F$2000,18)/100)-1)*100+1),Raw_M!$C$2:$C$2000,"&lt;="&amp;((INT(SUMIFS(Raw_M!$C$2:$C$2000,Raw_M!$A$2:$A$2000,Stock_Card!$B$2,Raw_M!$F$2:$F$2000,18)/100)-1)*100+MOD(SUMIFS(Raw_M!$C$2:$C$2000,Raw_M!$A$2:$A$2000,Stock_Card!$B$2,Raw_M!$F$2:$F$2000,18),100)))-1),"N/M"))</f>
        <v>0.459735861156638</v>
      </c>
    </row>
    <row r="24" customFormat="false" ht="15" hidden="false" customHeight="false" outlineLevel="0" collapsed="false">
      <c r="A24" s="24" t="s">
        <v>165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8"/>
    <col collapsed="false" customWidth="true" hidden="false" outlineLevel="0" max="4" min="4" style="0" width="12"/>
    <col collapsed="false" customWidth="true" hidden="false" outlineLevel="0" max="5" min="5" style="0" width="13"/>
    <col collapsed="false" customWidth="true" hidden="false" outlineLevel="0" max="6" min="6" style="0" width="14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1" t="s">
        <v>166</v>
      </c>
    </row>
    <row r="3" customFormat="false" ht="31.5" hidden="false" customHeight="true" outlineLevel="0" collapsed="false">
      <c r="A3" s="15" t="s">
        <v>167</v>
      </c>
      <c r="B3" s="16" t="s">
        <v>108</v>
      </c>
      <c r="C3" s="16" t="s">
        <v>168</v>
      </c>
      <c r="D3" s="16" t="s">
        <v>169</v>
      </c>
      <c r="E3" s="16" t="s">
        <v>170</v>
      </c>
      <c r="F3" s="16" t="s">
        <v>171</v>
      </c>
      <c r="G3" s="16" t="s">
        <v>82</v>
      </c>
      <c r="H3" s="16" t="s">
        <v>172</v>
      </c>
      <c r="I3" s="16" t="s">
        <v>83</v>
      </c>
      <c r="J3" s="16" t="s">
        <v>140</v>
      </c>
    </row>
    <row r="4" customFormat="false" ht="15" hidden="false" customHeight="false" outlineLevel="0" collapsed="false">
      <c r="A4" s="17" t="str">
        <f aca="false">IF(Calc!$A$2="","",Calc!$A$2)</f>
        <v>2330</v>
      </c>
      <c r="B4" s="47" t="n">
        <f aca="false">IF($A4="","",COUNTIFS(Raw_Q!$A$2:$A$600,$A4,Raw_Q!$F$2:$F$600,"N"))</f>
        <v>24</v>
      </c>
      <c r="C4" s="47" t="n">
        <f aca="false">IF($A4="","",Config!$B$4)</f>
        <v>24</v>
      </c>
      <c r="D4" s="67" t="n">
        <f aca="false">IF($A4="","",IFERROR(SUMIFS(Raw_Q!$E$2:$E$600,Raw_Q!$A$2:$A$600,$A4,Raw_Q!$R$2:$R$600,$B4),""))</f>
        <v>44104</v>
      </c>
      <c r="E4" s="67" t="n">
        <f aca="false">IF($A4="","",IFERROR(SUMIFS(Raw_Q!$E$2:$E$600,Raw_Q!$A$2:$A$600,$A4,Raw_Q!$R$2:$R$600,1),""))</f>
        <v>46203</v>
      </c>
      <c r="F4" s="69" t="str">
        <f aca="false">IF($A4="","",IFERROR(INDEX(Raw_Q!$B$2:$B$600,MATCH($A4&amp;"|"&amp;0,Raw_Q!$S$2:$S$600,0)),""))</f>
        <v>FY2026Q3E</v>
      </c>
      <c r="G4" s="67" t="n">
        <f aca="false">IF($A4="","",IFERROR(INDEX(Raw_Price!$D$2:$D$100,MATCH($A4,Raw_Price!$A$2:$A$100,0)),""))</f>
        <v>0</v>
      </c>
      <c r="H4" s="47" t="n">
        <f aca="true">IF($A4="","",IFERROR(INDEX(Raw_Price!$D$2:$D$100,MATCH($A4,Raw_Price!$A$2:$A$100,0))-TODAY(),""))</f>
        <v>-46311</v>
      </c>
      <c r="I4" s="67" t="n">
        <f aca="false">IF($A4="","",IFERROR(INDEX(Raw_Price!$E$2:$E$100,MATCH($A4,Raw_Price!$A$2:$A$100,0)),""))</f>
        <v>46311</v>
      </c>
      <c r="J4" s="69" t="str">
        <f aca="true">IF($A4="","",IF($B4=0,"未抓取",IF($B4&lt;$C4,"需補歷史 ("&amp;($C4-$B4)&amp;" 季)",IF(TODAY()&gt;$G4,"待更新財報","OK"))))</f>
        <v>待更新財報</v>
      </c>
    </row>
    <row r="5" customFormat="false" ht="15" hidden="false" customHeight="false" outlineLevel="0" collapsed="false">
      <c r="A5" s="17" t="str">
        <f aca="false">IF(Calc!$A$3="","",Calc!$A$3)</f>
        <v>2408</v>
      </c>
      <c r="B5" s="47" t="n">
        <f aca="false">IF($A5="","",COUNTIFS(Raw_Q!$A$2:$A$600,$A5,Raw_Q!$F$2:$F$600,"N"))</f>
        <v>24</v>
      </c>
      <c r="C5" s="47" t="n">
        <f aca="false">IF($A5="","",Config!$B$4)</f>
        <v>24</v>
      </c>
      <c r="D5" s="67" t="n">
        <f aca="false">IF($A5="","",IFERROR(SUMIFS(Raw_Q!$E$2:$E$600,Raw_Q!$A$2:$A$600,$A5,Raw_Q!$R$2:$R$600,$B5),""))</f>
        <v>44104</v>
      </c>
      <c r="E5" s="67" t="n">
        <f aca="false">IF($A5="","",IFERROR(SUMIFS(Raw_Q!$E$2:$E$600,Raw_Q!$A$2:$A$600,$A5,Raw_Q!$R$2:$R$600,1),""))</f>
        <v>46203</v>
      </c>
      <c r="F5" s="69" t="str">
        <f aca="false">IF($A5="","",IFERROR(INDEX(Raw_Q!$B$2:$B$600,MATCH($A5&amp;"|"&amp;0,Raw_Q!$S$2:$S$600,0)),""))</f>
        <v>FY2026Q3E</v>
      </c>
      <c r="G5" s="67" t="n">
        <f aca="false">IF($A5="","",IFERROR(INDEX(Raw_Price!$D$2:$D$100,MATCH($A5,Raw_Price!$A$2:$A$100,0)),""))</f>
        <v>0</v>
      </c>
      <c r="H5" s="47" t="n">
        <f aca="true">IF($A5="","",IFERROR(INDEX(Raw_Price!$D$2:$D$100,MATCH($A5,Raw_Price!$A$2:$A$100,0))-TODAY(),""))</f>
        <v>-46311</v>
      </c>
      <c r="I5" s="67" t="n">
        <f aca="false">IF($A5="","",IFERROR(INDEX(Raw_Price!$E$2:$E$100,MATCH($A5,Raw_Price!$A$2:$A$100,0)),""))</f>
        <v>46311</v>
      </c>
      <c r="J5" s="69" t="str">
        <f aca="true">IF($A5="","",IF($B5=0,"未抓取",IF($B5&lt;$C5,"需補歷史 ("&amp;($C5-$B5)&amp;" 季)",IF(TODAY()&gt;$G5,"待更新財報","OK"))))</f>
        <v>待更新財報</v>
      </c>
    </row>
    <row r="6" customFormat="false" ht="15" hidden="false" customHeight="false" outlineLevel="0" collapsed="false">
      <c r="A6" s="17" t="str">
        <f aca="false">IF(Calc!$A$4="","",Calc!$A$4)</f>
        <v>5289</v>
      </c>
      <c r="B6" s="47" t="n">
        <f aca="false">IF($A6="","",COUNTIFS(Raw_Q!$A$2:$A$600,$A6,Raw_Q!$F$2:$F$600,"N"))</f>
        <v>0</v>
      </c>
      <c r="C6" s="47" t="n">
        <f aca="false">IF($A6="","",Config!$B$4)</f>
        <v>24</v>
      </c>
      <c r="D6" s="67" t="n">
        <f aca="false">IF($A6="","",IFERROR(SUMIFS(Raw_Q!$E$2:$E$600,Raw_Q!$A$2:$A$600,$A6,Raw_Q!$R$2:$R$600,$B6),""))</f>
        <v>0</v>
      </c>
      <c r="E6" s="67" t="n">
        <f aca="false">IF($A6="","",IFERROR(SUMIFS(Raw_Q!$E$2:$E$600,Raw_Q!$A$2:$A$600,$A6,Raw_Q!$R$2:$R$600,1),""))</f>
        <v>0</v>
      </c>
      <c r="F6" s="69" t="str">
        <f aca="false">IF($A6="","",IFERROR(INDEX(Raw_Q!$B$2:$B$600,MATCH($A6&amp;"|"&amp;0,Raw_Q!$S$2:$S$600,0)),""))</f>
        <v/>
      </c>
      <c r="G6" s="67" t="n">
        <f aca="false">IF($A6="","",IFERROR(INDEX(Raw_Price!$D$2:$D$100,MATCH($A6,Raw_Price!$A$2:$A$100,0)),""))</f>
        <v>0</v>
      </c>
      <c r="H6" s="47" t="n">
        <f aca="true">IF($A6="","",IFERROR(INDEX(Raw_Price!$D$2:$D$100,MATCH($A6,Raw_Price!$A$2:$A$100,0))-TODAY(),""))</f>
        <v>-46311</v>
      </c>
      <c r="I6" s="67" t="n">
        <f aca="false">IF($A6="","",IFERROR(INDEX(Raw_Price!$E$2:$E$100,MATCH($A6,Raw_Price!$A$2:$A$100,0)),""))</f>
        <v>46311</v>
      </c>
      <c r="J6" s="69" t="str">
        <f aca="true">IF($A6="","",IF($B6=0,"未抓取",IF($B6&lt;$C6,"需補歷史 ("&amp;($C6-$B6)&amp;" 季)",IF(TODAY()&gt;$G6,"待更新財報","OK"))))</f>
        <v>未抓取</v>
      </c>
    </row>
    <row r="7" customFormat="false" ht="15" hidden="false" customHeight="false" outlineLevel="0" collapsed="false">
      <c r="A7" s="17" t="str">
        <f aca="false">IF(Calc!$A$5="","",Calc!$A$5)</f>
        <v>2455</v>
      </c>
      <c r="B7" s="47" t="n">
        <f aca="false">IF($A7="","",COUNTIFS(Raw_Q!$A$2:$A$600,$A7,Raw_Q!$F$2:$F$600,"N"))</f>
        <v>24</v>
      </c>
      <c r="C7" s="47" t="n">
        <f aca="false">IF($A7="","",Config!$B$4)</f>
        <v>24</v>
      </c>
      <c r="D7" s="67" t="n">
        <f aca="false">IF($A7="","",IFERROR(SUMIFS(Raw_Q!$E$2:$E$600,Raw_Q!$A$2:$A$600,$A7,Raw_Q!$R$2:$R$600,$B7),""))</f>
        <v>44104</v>
      </c>
      <c r="E7" s="67" t="n">
        <f aca="false">IF($A7="","",IFERROR(SUMIFS(Raw_Q!$E$2:$E$600,Raw_Q!$A$2:$A$600,$A7,Raw_Q!$R$2:$R$600,1),""))</f>
        <v>46203</v>
      </c>
      <c r="F7" s="69" t="str">
        <f aca="false">IF($A7="","",IFERROR(INDEX(Raw_Q!$B$2:$B$600,MATCH($A7&amp;"|"&amp;0,Raw_Q!$S$2:$S$600,0)),""))</f>
        <v>FY2026Q3E</v>
      </c>
      <c r="G7" s="67" t="n">
        <f aca="false">IF($A7="","",IFERROR(INDEX(Raw_Price!$D$2:$D$100,MATCH($A7,Raw_Price!$A$2:$A$100,0)),""))</f>
        <v>0</v>
      </c>
      <c r="H7" s="47" t="n">
        <f aca="true">IF($A7="","",IFERROR(INDEX(Raw_Price!$D$2:$D$100,MATCH($A7,Raw_Price!$A$2:$A$100,0))-TODAY(),""))</f>
        <v>-46311</v>
      </c>
      <c r="I7" s="67" t="n">
        <f aca="false">IF($A7="","",IFERROR(INDEX(Raw_Price!$E$2:$E$100,MATCH($A7,Raw_Price!$A$2:$A$100,0)),""))</f>
        <v>46311</v>
      </c>
      <c r="J7" s="69" t="str">
        <f aca="true">IF($A7="","",IF($B7=0,"未抓取",IF($B7&lt;$C7,"需補歷史 ("&amp;($C7-$B7)&amp;" 季)",IF(TODAY()&gt;$G7,"待更新財報","OK"))))</f>
        <v>待更新財報</v>
      </c>
    </row>
    <row r="8" customFormat="false" ht="15" hidden="false" customHeight="false" outlineLevel="0" collapsed="false">
      <c r="A8" s="17" t="str">
        <f aca="false">IF(Calc!$A$6="","",Calc!$A$6)</f>
        <v>3034</v>
      </c>
      <c r="B8" s="47" t="n">
        <f aca="false">IF($A8="","",COUNTIFS(Raw_Q!$A$2:$A$600,$A8,Raw_Q!$F$2:$F$600,"N"))</f>
        <v>24</v>
      </c>
      <c r="C8" s="47" t="n">
        <f aca="false">IF($A8="","",Config!$B$4)</f>
        <v>24</v>
      </c>
      <c r="D8" s="67" t="n">
        <f aca="false">IF($A8="","",IFERROR(SUMIFS(Raw_Q!$E$2:$E$600,Raw_Q!$A$2:$A$600,$A8,Raw_Q!$R$2:$R$600,$B8),""))</f>
        <v>44104</v>
      </c>
      <c r="E8" s="67" t="n">
        <f aca="false">IF($A8="","",IFERROR(SUMIFS(Raw_Q!$E$2:$E$600,Raw_Q!$A$2:$A$600,$A8,Raw_Q!$R$2:$R$600,1),""))</f>
        <v>46203</v>
      </c>
      <c r="F8" s="69" t="str">
        <f aca="false">IF($A8="","",IFERROR(INDEX(Raw_Q!$B$2:$B$600,MATCH($A8&amp;"|"&amp;0,Raw_Q!$S$2:$S$600,0)),""))</f>
        <v>FY2026Q3E</v>
      </c>
      <c r="G8" s="67" t="n">
        <f aca="false">IF($A8="","",IFERROR(INDEX(Raw_Price!$D$2:$D$100,MATCH($A8,Raw_Price!$A$2:$A$100,0)),""))</f>
        <v>0</v>
      </c>
      <c r="H8" s="47" t="n">
        <f aca="true">IF($A8="","",IFERROR(INDEX(Raw_Price!$D$2:$D$100,MATCH($A8,Raw_Price!$A$2:$A$100,0))-TODAY(),""))</f>
        <v>-46311</v>
      </c>
      <c r="I8" s="67" t="n">
        <f aca="false">IF($A8="","",IFERROR(INDEX(Raw_Price!$E$2:$E$100,MATCH($A8,Raw_Price!$A$2:$A$100,0)),""))</f>
        <v>46311</v>
      </c>
      <c r="J8" s="69" t="str">
        <f aca="true">IF($A8="","",IF($B8=0,"未抓取",IF($B8&lt;$C8,"需補歷史 ("&amp;($C8-$B8)&amp;" 季)",IF(TODAY()&gt;$G8,"待更新財報","OK"))))</f>
        <v>待更新財報</v>
      </c>
    </row>
    <row r="9" customFormat="false" ht="15" hidden="false" customHeight="false" outlineLevel="0" collapsed="false">
      <c r="A9" s="17" t="str">
        <f aca="false">IF(Calc!$A$7="","",Calc!$A$7)</f>
        <v>3665</v>
      </c>
      <c r="B9" s="47" t="n">
        <f aca="false">IF($A9="","",COUNTIFS(Raw_Q!$A$2:$A$600,$A9,Raw_Q!$F$2:$F$600,"N"))</f>
        <v>24</v>
      </c>
      <c r="C9" s="47" t="n">
        <f aca="false">IF($A9="","",Config!$B$4)</f>
        <v>24</v>
      </c>
      <c r="D9" s="67" t="n">
        <f aca="false">IF($A9="","",IFERROR(SUMIFS(Raw_Q!$E$2:$E$600,Raw_Q!$A$2:$A$600,$A9,Raw_Q!$R$2:$R$600,$B9),""))</f>
        <v>44104</v>
      </c>
      <c r="E9" s="67" t="n">
        <f aca="false">IF($A9="","",IFERROR(SUMIFS(Raw_Q!$E$2:$E$600,Raw_Q!$A$2:$A$600,$A9,Raw_Q!$R$2:$R$600,1),""))</f>
        <v>46203</v>
      </c>
      <c r="F9" s="69" t="str">
        <f aca="false">IF($A9="","",IFERROR(INDEX(Raw_Q!$B$2:$B$600,MATCH($A9&amp;"|"&amp;0,Raw_Q!$S$2:$S$600,0)),""))</f>
        <v>FY2026Q3E</v>
      </c>
      <c r="G9" s="67" t="n">
        <f aca="false">IF($A9="","",IFERROR(INDEX(Raw_Price!$D$2:$D$100,MATCH($A9,Raw_Price!$A$2:$A$100,0)),""))</f>
        <v>0</v>
      </c>
      <c r="H9" s="47" t="n">
        <f aca="true">IF($A9="","",IFERROR(INDEX(Raw_Price!$D$2:$D$100,MATCH($A9,Raw_Price!$A$2:$A$100,0))-TODAY(),""))</f>
        <v>-46311</v>
      </c>
      <c r="I9" s="67" t="n">
        <f aca="false">IF($A9="","",IFERROR(INDEX(Raw_Price!$E$2:$E$100,MATCH($A9,Raw_Price!$A$2:$A$100,0)),""))</f>
        <v>46311</v>
      </c>
      <c r="J9" s="69" t="str">
        <f aca="true">IF($A9="","",IF($B9=0,"未抓取",IF($B9&lt;$C9,"需補歷史 ("&amp;($C9-$B9)&amp;" 季)",IF(TODAY()&gt;$G9,"待更新財報","OK"))))</f>
        <v>待更新財報</v>
      </c>
    </row>
    <row r="10" customFormat="false" ht="15" hidden="false" customHeight="false" outlineLevel="0" collapsed="false">
      <c r="A10" s="17" t="str">
        <f aca="false">IF(Calc!$A$8="","",Calc!$A$8)</f>
        <v>5434</v>
      </c>
      <c r="B10" s="47" t="n">
        <f aca="false">IF($A10="","",COUNTIFS(Raw_Q!$A$2:$A$600,$A10,Raw_Q!$F$2:$F$600,"N"))</f>
        <v>0</v>
      </c>
      <c r="C10" s="47" t="n">
        <f aca="false">IF($A10="","",Config!$B$4)</f>
        <v>24</v>
      </c>
      <c r="D10" s="67" t="n">
        <f aca="false">IF($A10="","",IFERROR(SUMIFS(Raw_Q!$E$2:$E$600,Raw_Q!$A$2:$A$600,$A10,Raw_Q!$R$2:$R$600,$B10),""))</f>
        <v>0</v>
      </c>
      <c r="E10" s="67" t="n">
        <f aca="false">IF($A10="","",IFERROR(SUMIFS(Raw_Q!$E$2:$E$600,Raw_Q!$A$2:$A$600,$A10,Raw_Q!$R$2:$R$600,1),""))</f>
        <v>0</v>
      </c>
      <c r="F10" s="69" t="str">
        <f aca="false">IF($A10="","",IFERROR(INDEX(Raw_Q!$B$2:$B$600,MATCH($A10&amp;"|"&amp;0,Raw_Q!$S$2:$S$600,0)),""))</f>
        <v/>
      </c>
      <c r="G10" s="67" t="n">
        <f aca="false">IF($A10="","",IFERROR(INDEX(Raw_Price!$D$2:$D$100,MATCH($A10,Raw_Price!$A$2:$A$100,0)),""))</f>
        <v>0</v>
      </c>
      <c r="H10" s="47" t="n">
        <f aca="true">IF($A10="","",IFERROR(INDEX(Raw_Price!$D$2:$D$100,MATCH($A10,Raw_Price!$A$2:$A$100,0))-TODAY(),""))</f>
        <v>-46311</v>
      </c>
      <c r="I10" s="67" t="n">
        <f aca="false">IF($A10="","",IFERROR(INDEX(Raw_Price!$E$2:$E$100,MATCH($A10,Raw_Price!$A$2:$A$100,0)),""))</f>
        <v>46311</v>
      </c>
      <c r="J10" s="69" t="str">
        <f aca="true">IF($A10="","",IF($B10=0,"未抓取",IF($B10&lt;$C10,"需補歷史 ("&amp;($C10-$B10)&amp;" 季)",IF(TODAY()&gt;$G10,"待更新財報","OK"))))</f>
        <v>未抓取</v>
      </c>
    </row>
    <row r="11" customFormat="false" ht="15" hidden="false" customHeight="false" outlineLevel="0" collapsed="false">
      <c r="A11" s="17" t="str">
        <f aca="false">IF(Calc!$A$9="","",Calc!$A$9)</f>
        <v>2376</v>
      </c>
      <c r="B11" s="47" t="n">
        <f aca="false">IF($A11="","",COUNTIFS(Raw_Q!$A$2:$A$600,$A11,Raw_Q!$F$2:$F$600,"N"))</f>
        <v>24</v>
      </c>
      <c r="C11" s="47" t="n">
        <f aca="false">IF($A11="","",Config!$B$4)</f>
        <v>24</v>
      </c>
      <c r="D11" s="67" t="n">
        <f aca="false">IF($A11="","",IFERROR(SUMIFS(Raw_Q!$E$2:$E$600,Raw_Q!$A$2:$A$600,$A11,Raw_Q!$R$2:$R$600,$B11),""))</f>
        <v>44104</v>
      </c>
      <c r="E11" s="67" t="n">
        <f aca="false">IF($A11="","",IFERROR(SUMIFS(Raw_Q!$E$2:$E$600,Raw_Q!$A$2:$A$600,$A11,Raw_Q!$R$2:$R$600,1),""))</f>
        <v>46203</v>
      </c>
      <c r="F11" s="69" t="str">
        <f aca="false">IF($A11="","",IFERROR(INDEX(Raw_Q!$B$2:$B$600,MATCH($A11&amp;"|"&amp;0,Raw_Q!$S$2:$S$600,0)),""))</f>
        <v>FY2026Q3E</v>
      </c>
      <c r="G11" s="67" t="n">
        <f aca="false">IF($A11="","",IFERROR(INDEX(Raw_Price!$D$2:$D$100,MATCH($A11,Raw_Price!$A$2:$A$100,0)),""))</f>
        <v>0</v>
      </c>
      <c r="H11" s="47" t="n">
        <f aca="true">IF($A11="","",IFERROR(INDEX(Raw_Price!$D$2:$D$100,MATCH($A11,Raw_Price!$A$2:$A$100,0))-TODAY(),""))</f>
        <v>-46311</v>
      </c>
      <c r="I11" s="67" t="n">
        <f aca="false">IF($A11="","",IFERROR(INDEX(Raw_Price!$E$2:$E$100,MATCH($A11,Raw_Price!$A$2:$A$100,0)),""))</f>
        <v>46311</v>
      </c>
      <c r="J11" s="69" t="str">
        <f aca="true">IF($A11="","",IF($B11=0,"未抓取",IF($B11&lt;$C11,"需補歷史 ("&amp;($C11-$B11)&amp;" 季)",IF(TODAY()&gt;$G11,"待更新財報","OK"))))</f>
        <v>待更新財報</v>
      </c>
    </row>
    <row r="12" customFormat="false" ht="15" hidden="false" customHeight="false" outlineLevel="0" collapsed="false">
      <c r="A12" s="17" t="str">
        <f aca="false">IF(Calc!$A$10="","",Calc!$A$10)</f>
        <v>2059</v>
      </c>
      <c r="B12" s="47" t="n">
        <f aca="false">IF($A12="","",COUNTIFS(Raw_Q!$A$2:$A$600,$A12,Raw_Q!$F$2:$F$600,"N"))</f>
        <v>24</v>
      </c>
      <c r="C12" s="47" t="n">
        <f aca="false">IF($A12="","",Config!$B$4)</f>
        <v>24</v>
      </c>
      <c r="D12" s="67" t="n">
        <f aca="false">IF($A12="","",IFERROR(SUMIFS(Raw_Q!$E$2:$E$600,Raw_Q!$A$2:$A$600,$A12,Raw_Q!$R$2:$R$600,$B12),""))</f>
        <v>44104</v>
      </c>
      <c r="E12" s="67" t="n">
        <f aca="false">IF($A12="","",IFERROR(SUMIFS(Raw_Q!$E$2:$E$600,Raw_Q!$A$2:$A$600,$A12,Raw_Q!$R$2:$R$600,1),""))</f>
        <v>46203</v>
      </c>
      <c r="F12" s="69" t="str">
        <f aca="false">IF($A12="","",IFERROR(INDEX(Raw_Q!$B$2:$B$600,MATCH($A12&amp;"|"&amp;0,Raw_Q!$S$2:$S$600,0)),""))</f>
        <v>FY2026Q3E</v>
      </c>
      <c r="G12" s="67" t="n">
        <f aca="false">IF($A12="","",IFERROR(INDEX(Raw_Price!$D$2:$D$100,MATCH($A12,Raw_Price!$A$2:$A$100,0)),""))</f>
        <v>0</v>
      </c>
      <c r="H12" s="47" t="n">
        <f aca="true">IF($A12="","",IFERROR(INDEX(Raw_Price!$D$2:$D$100,MATCH($A12,Raw_Price!$A$2:$A$100,0))-TODAY(),""))</f>
        <v>-46311</v>
      </c>
      <c r="I12" s="67" t="n">
        <f aca="false">IF($A12="","",IFERROR(INDEX(Raw_Price!$E$2:$E$100,MATCH($A12,Raw_Price!$A$2:$A$100,0)),""))</f>
        <v>46311</v>
      </c>
      <c r="J12" s="69" t="str">
        <f aca="true">IF($A12="","",IF($B12=0,"未抓取",IF($B12&lt;$C12,"需補歷史 ("&amp;($C12-$B12)&amp;" 季)",IF(TODAY()&gt;$G12,"待更新財報","OK"))))</f>
        <v>待更新財報</v>
      </c>
    </row>
    <row r="13" customFormat="false" ht="15" hidden="false" customHeight="false" outlineLevel="0" collapsed="false">
      <c r="A13" s="17" t="str">
        <f aca="false">IF(Calc!$A$11="","",Calc!$A$11)</f>
        <v>3081</v>
      </c>
      <c r="B13" s="47" t="n">
        <f aca="false">IF($A13="","",COUNTIFS(Raw_Q!$A$2:$A$600,$A13,Raw_Q!$F$2:$F$600,"N"))</f>
        <v>24</v>
      </c>
      <c r="C13" s="47" t="n">
        <f aca="false">IF($A13="","",Config!$B$4)</f>
        <v>24</v>
      </c>
      <c r="D13" s="67" t="n">
        <f aca="false">IF($A13="","",IFERROR(SUMIFS(Raw_Q!$E$2:$E$600,Raw_Q!$A$2:$A$600,$A13,Raw_Q!$R$2:$R$600,$B13),""))</f>
        <v>44104</v>
      </c>
      <c r="E13" s="67" t="n">
        <f aca="false">IF($A13="","",IFERROR(SUMIFS(Raw_Q!$E$2:$E$600,Raw_Q!$A$2:$A$600,$A13,Raw_Q!$R$2:$R$600,1),""))</f>
        <v>46203</v>
      </c>
      <c r="F13" s="69" t="str">
        <f aca="false">IF($A13="","",IFERROR(INDEX(Raw_Q!$B$2:$B$600,MATCH($A13&amp;"|"&amp;0,Raw_Q!$S$2:$S$600,0)),""))</f>
        <v>FY2026Q3E</v>
      </c>
      <c r="G13" s="67" t="n">
        <f aca="false">IF($A13="","",IFERROR(INDEX(Raw_Price!$D$2:$D$100,MATCH($A13,Raw_Price!$A$2:$A$100,0)),""))</f>
        <v>0</v>
      </c>
      <c r="H13" s="47" t="n">
        <f aca="true">IF($A13="","",IFERROR(INDEX(Raw_Price!$D$2:$D$100,MATCH($A13,Raw_Price!$A$2:$A$100,0))-TODAY(),""))</f>
        <v>-46311</v>
      </c>
      <c r="I13" s="67" t="n">
        <f aca="false">IF($A13="","",IFERROR(INDEX(Raw_Price!$E$2:$E$100,MATCH($A13,Raw_Price!$A$2:$A$100,0)),""))</f>
        <v>46311</v>
      </c>
      <c r="J13" s="69" t="str">
        <f aca="true">IF($A13="","",IF($B13=0,"未抓取",IF($B13&lt;$C13,"需補歷史 ("&amp;($C13-$B13)&amp;" 季)",IF(TODAY()&gt;$G13,"待更新財報","OK"))))</f>
        <v>待更新財報</v>
      </c>
    </row>
    <row r="14" customFormat="false" ht="15" hidden="false" customHeight="false" outlineLevel="0" collapsed="false">
      <c r="A14" s="17" t="str">
        <f aca="false">IF(Calc!$A$12="","",Calc!$A$12)</f>
        <v>3163</v>
      </c>
      <c r="B14" s="47" t="n">
        <f aca="false">IF($A14="","",COUNTIFS(Raw_Q!$A$2:$A$600,$A14,Raw_Q!$F$2:$F$600,"N"))</f>
        <v>24</v>
      </c>
      <c r="C14" s="47" t="n">
        <f aca="false">IF($A14="","",Config!$B$4)</f>
        <v>24</v>
      </c>
      <c r="D14" s="67" t="n">
        <f aca="false">IF($A14="","",IFERROR(SUMIFS(Raw_Q!$E$2:$E$600,Raw_Q!$A$2:$A$600,$A14,Raw_Q!$R$2:$R$600,$B14),""))</f>
        <v>44104</v>
      </c>
      <c r="E14" s="67" t="n">
        <f aca="false">IF($A14="","",IFERROR(SUMIFS(Raw_Q!$E$2:$E$600,Raw_Q!$A$2:$A$600,$A14,Raw_Q!$R$2:$R$600,1),""))</f>
        <v>46203</v>
      </c>
      <c r="F14" s="69" t="str">
        <f aca="false">IF($A14="","",IFERROR(INDEX(Raw_Q!$B$2:$B$600,MATCH($A14&amp;"|"&amp;0,Raw_Q!$S$2:$S$600,0)),""))</f>
        <v/>
      </c>
      <c r="G14" s="67" t="n">
        <f aca="false">IF($A14="","",IFERROR(INDEX(Raw_Price!$D$2:$D$100,MATCH($A14,Raw_Price!$A$2:$A$100,0)),""))</f>
        <v>0</v>
      </c>
      <c r="H14" s="47" t="n">
        <f aca="true">IF($A14="","",IFERROR(INDEX(Raw_Price!$D$2:$D$100,MATCH($A14,Raw_Price!$A$2:$A$100,0))-TODAY(),""))</f>
        <v>-46311</v>
      </c>
      <c r="I14" s="67" t="n">
        <f aca="false">IF($A14="","",IFERROR(INDEX(Raw_Price!$E$2:$E$100,MATCH($A14,Raw_Price!$A$2:$A$100,0)),""))</f>
        <v>46311</v>
      </c>
      <c r="J14" s="69" t="str">
        <f aca="true">IF($A14="","",IF($B14=0,"未抓取",IF($B14&lt;$C14,"需補歷史 ("&amp;($C14-$B14)&amp;" 季)",IF(TODAY()&gt;$G14,"待更新財報","OK"))))</f>
        <v>待更新財報</v>
      </c>
    </row>
    <row r="15" customFormat="false" ht="15" hidden="false" customHeight="false" outlineLevel="0" collapsed="false">
      <c r="A15" s="17" t="str">
        <f aca="false">IF(Calc!$A$13="","",Calc!$A$13)</f>
        <v>3189</v>
      </c>
      <c r="B15" s="47" t="n">
        <f aca="false">IF($A15="","",COUNTIFS(Raw_Q!$A$2:$A$600,$A15,Raw_Q!$F$2:$F$600,"N"))</f>
        <v>24</v>
      </c>
      <c r="C15" s="47" t="n">
        <f aca="false">IF($A15="","",Config!$B$4)</f>
        <v>24</v>
      </c>
      <c r="D15" s="67" t="n">
        <f aca="false">IF($A15="","",IFERROR(SUMIFS(Raw_Q!$E$2:$E$600,Raw_Q!$A$2:$A$600,$A15,Raw_Q!$R$2:$R$600,$B15),""))</f>
        <v>44104</v>
      </c>
      <c r="E15" s="67" t="n">
        <f aca="false">IF($A15="","",IFERROR(SUMIFS(Raw_Q!$E$2:$E$600,Raw_Q!$A$2:$A$600,$A15,Raw_Q!$R$2:$R$600,1),""))</f>
        <v>46203</v>
      </c>
      <c r="F15" s="69" t="str">
        <f aca="false">IF($A15="","",IFERROR(INDEX(Raw_Q!$B$2:$B$600,MATCH($A15&amp;"|"&amp;0,Raw_Q!$S$2:$S$600,0)),""))</f>
        <v>FY2026Q3E</v>
      </c>
      <c r="G15" s="67" t="n">
        <f aca="false">IF($A15="","",IFERROR(INDEX(Raw_Price!$D$2:$D$100,MATCH($A15,Raw_Price!$A$2:$A$100,0)),""))</f>
        <v>0</v>
      </c>
      <c r="H15" s="47" t="n">
        <f aca="true">IF($A15="","",IFERROR(INDEX(Raw_Price!$D$2:$D$100,MATCH($A15,Raw_Price!$A$2:$A$100,0))-TODAY(),""))</f>
        <v>-46311</v>
      </c>
      <c r="I15" s="67" t="n">
        <f aca="false">IF($A15="","",IFERROR(INDEX(Raw_Price!$E$2:$E$100,MATCH($A15,Raw_Price!$A$2:$A$100,0)),""))</f>
        <v>46311</v>
      </c>
      <c r="J15" s="69" t="str">
        <f aca="true">IF($A15="","",IF($B15=0,"未抓取",IF($B15&lt;$C15,"需補歷史 ("&amp;($C15-$B15)&amp;" 季)",IF(TODAY()&gt;$G15,"待更新財報","OK"))))</f>
        <v>待更新財報</v>
      </c>
    </row>
    <row r="16" customFormat="false" ht="15" hidden="false" customHeight="false" outlineLevel="0" collapsed="false">
      <c r="A16" s="17" t="str">
        <f aca="false">IF(Calc!$A$14="","",Calc!$A$14)</f>
        <v>6442</v>
      </c>
      <c r="B16" s="47" t="n">
        <f aca="false">IF($A16="","",COUNTIFS(Raw_Q!$A$2:$A$600,$A16,Raw_Q!$F$2:$F$600,"N"))</f>
        <v>0</v>
      </c>
      <c r="C16" s="47" t="n">
        <f aca="false">IF($A16="","",Config!$B$4)</f>
        <v>24</v>
      </c>
      <c r="D16" s="67" t="n">
        <f aca="false">IF($A16="","",IFERROR(SUMIFS(Raw_Q!$E$2:$E$600,Raw_Q!$A$2:$A$600,$A16,Raw_Q!$R$2:$R$600,$B16),""))</f>
        <v>0</v>
      </c>
      <c r="E16" s="67" t="n">
        <f aca="false">IF($A16="","",IFERROR(SUMIFS(Raw_Q!$E$2:$E$600,Raw_Q!$A$2:$A$600,$A16,Raw_Q!$R$2:$R$600,1),""))</f>
        <v>0</v>
      </c>
      <c r="F16" s="69" t="str">
        <f aca="false">IF($A16="","",IFERROR(INDEX(Raw_Q!$B$2:$B$600,MATCH($A16&amp;"|"&amp;0,Raw_Q!$S$2:$S$600,0)),""))</f>
        <v/>
      </c>
      <c r="G16" s="67" t="n">
        <f aca="false">IF($A16="","",IFERROR(INDEX(Raw_Price!$D$2:$D$100,MATCH($A16,Raw_Price!$A$2:$A$100,0)),""))</f>
        <v>0</v>
      </c>
      <c r="H16" s="47" t="n">
        <f aca="true">IF($A16="","",IFERROR(INDEX(Raw_Price!$D$2:$D$100,MATCH($A16,Raw_Price!$A$2:$A$100,0))-TODAY(),""))</f>
        <v>-46311</v>
      </c>
      <c r="I16" s="67" t="n">
        <f aca="false">IF($A16="","",IFERROR(INDEX(Raw_Price!$E$2:$E$100,MATCH($A16,Raw_Price!$A$2:$A$100,0)),""))</f>
        <v>46311</v>
      </c>
      <c r="J16" s="69" t="str">
        <f aca="true">IF($A16="","",IF($B16=0,"未抓取",IF($B16&lt;$C16,"需補歷史 ("&amp;($C16-$B16)&amp;" 季)",IF(TODAY()&gt;$G16,"待更新財報","OK"))))</f>
        <v>未抓取</v>
      </c>
    </row>
    <row r="17" customFormat="false" ht="15" hidden="false" customHeight="false" outlineLevel="0" collapsed="false">
      <c r="A17" s="17" t="str">
        <f aca="false">IF(Calc!$A$15="","",Calc!$A$15)</f>
        <v>2303</v>
      </c>
      <c r="B17" s="47" t="n">
        <f aca="false">IF($A17="","",COUNTIFS(Raw_Q!$A$2:$A$600,$A17,Raw_Q!$F$2:$F$600,"N"))</f>
        <v>24</v>
      </c>
      <c r="C17" s="47" t="n">
        <f aca="false">IF($A17="","",Config!$B$4)</f>
        <v>24</v>
      </c>
      <c r="D17" s="67" t="n">
        <f aca="false">IF($A17="","",IFERROR(SUMIFS(Raw_Q!$E$2:$E$600,Raw_Q!$A$2:$A$600,$A17,Raw_Q!$R$2:$R$600,$B17),""))</f>
        <v>44104</v>
      </c>
      <c r="E17" s="67" t="n">
        <f aca="false">IF($A17="","",IFERROR(SUMIFS(Raw_Q!$E$2:$E$600,Raw_Q!$A$2:$A$600,$A17,Raw_Q!$R$2:$R$600,1),""))</f>
        <v>46203</v>
      </c>
      <c r="F17" s="69" t="str">
        <f aca="false">IF($A17="","",IFERROR(INDEX(Raw_Q!$B$2:$B$600,MATCH($A17&amp;"|"&amp;0,Raw_Q!$S$2:$S$600,0)),""))</f>
        <v>FY2026Q3E</v>
      </c>
      <c r="G17" s="67" t="n">
        <f aca="false">IF($A17="","",IFERROR(INDEX(Raw_Price!$D$2:$D$100,MATCH($A17,Raw_Price!$A$2:$A$100,0)),""))</f>
        <v>0</v>
      </c>
      <c r="H17" s="47" t="n">
        <f aca="true">IF($A17="","",IFERROR(INDEX(Raw_Price!$D$2:$D$100,MATCH($A17,Raw_Price!$A$2:$A$100,0))-TODAY(),""))</f>
        <v>-46311</v>
      </c>
      <c r="I17" s="67" t="n">
        <f aca="false">IF($A17="","",IFERROR(INDEX(Raw_Price!$E$2:$E$100,MATCH($A17,Raw_Price!$A$2:$A$100,0)),""))</f>
        <v>46311</v>
      </c>
      <c r="J17" s="69" t="str">
        <f aca="true">IF($A17="","",IF($B17=0,"未抓取",IF($B17&lt;$C17,"需補歷史 ("&amp;($C17-$B17)&amp;" 季)",IF(TODAY()&gt;$G17,"待更新財報","OK"))))</f>
        <v>待更新財報</v>
      </c>
    </row>
    <row r="18" customFormat="false" ht="15" hidden="false" customHeight="false" outlineLevel="0" collapsed="false">
      <c r="A18" s="17" t="str">
        <f aca="false">IF(Calc!$A$16="","",Calc!$A$16)</f>
        <v>2454</v>
      </c>
      <c r="B18" s="47" t="n">
        <f aca="false">IF($A18="","",COUNTIFS(Raw_Q!$A$2:$A$600,$A18,Raw_Q!$F$2:$F$600,"N"))</f>
        <v>24</v>
      </c>
      <c r="C18" s="47" t="n">
        <f aca="false">IF($A18="","",Config!$B$4)</f>
        <v>24</v>
      </c>
      <c r="D18" s="67" t="n">
        <f aca="false">IF($A18="","",IFERROR(SUMIFS(Raw_Q!$E$2:$E$600,Raw_Q!$A$2:$A$600,$A18,Raw_Q!$R$2:$R$600,$B18),""))</f>
        <v>44104</v>
      </c>
      <c r="E18" s="67" t="n">
        <f aca="false">IF($A18="","",IFERROR(SUMIFS(Raw_Q!$E$2:$E$600,Raw_Q!$A$2:$A$600,$A18,Raw_Q!$R$2:$R$600,1),""))</f>
        <v>46203</v>
      </c>
      <c r="F18" s="69" t="str">
        <f aca="false">IF($A18="","",IFERROR(INDEX(Raw_Q!$B$2:$B$600,MATCH($A18&amp;"|"&amp;0,Raw_Q!$S$2:$S$600,0)),""))</f>
        <v>FY2026Q3E</v>
      </c>
      <c r="G18" s="67" t="n">
        <f aca="false">IF($A18="","",IFERROR(INDEX(Raw_Price!$D$2:$D$100,MATCH($A18,Raw_Price!$A$2:$A$100,0)),""))</f>
        <v>0</v>
      </c>
      <c r="H18" s="47" t="n">
        <f aca="true">IF($A18="","",IFERROR(INDEX(Raw_Price!$D$2:$D$100,MATCH($A18,Raw_Price!$A$2:$A$100,0))-TODAY(),""))</f>
        <v>-46311</v>
      </c>
      <c r="I18" s="67" t="n">
        <f aca="false">IF($A18="","",IFERROR(INDEX(Raw_Price!$E$2:$E$100,MATCH($A18,Raw_Price!$A$2:$A$100,0)),""))</f>
        <v>46311</v>
      </c>
      <c r="J18" s="69" t="str">
        <f aca="true">IF($A18="","",IF($B18=0,"未抓取",IF($B18&lt;$C18,"需補歷史 ("&amp;($C18-$B18)&amp;" 季)",IF(TODAY()&gt;$G18,"待更新財報","OK"))))</f>
        <v>待更新財報</v>
      </c>
    </row>
    <row r="19" customFormat="false" ht="15" hidden="false" customHeight="false" outlineLevel="0" collapsed="false">
      <c r="A19" s="17" t="str">
        <f aca="false">IF(Calc!$A$17="","",Calc!$A$17)</f>
        <v>2465</v>
      </c>
      <c r="B19" s="47" t="n">
        <f aca="false">IF($A19="","",COUNTIFS(Raw_Q!$A$2:$A$600,$A19,Raw_Q!$F$2:$F$600,"N"))</f>
        <v>24</v>
      </c>
      <c r="C19" s="47" t="n">
        <f aca="false">IF($A19="","",Config!$B$4)</f>
        <v>24</v>
      </c>
      <c r="D19" s="67" t="n">
        <f aca="false">IF($A19="","",IFERROR(SUMIFS(Raw_Q!$E$2:$E$600,Raw_Q!$A$2:$A$600,$A19,Raw_Q!$R$2:$R$600,$B19),""))</f>
        <v>44104</v>
      </c>
      <c r="E19" s="67" t="n">
        <f aca="false">IF($A19="","",IFERROR(SUMIFS(Raw_Q!$E$2:$E$600,Raw_Q!$A$2:$A$600,$A19,Raw_Q!$R$2:$R$600,1),""))</f>
        <v>46203</v>
      </c>
      <c r="F19" s="69" t="str">
        <f aca="false">IF($A19="","",IFERROR(INDEX(Raw_Q!$B$2:$B$600,MATCH($A19&amp;"|"&amp;0,Raw_Q!$S$2:$S$600,0)),""))</f>
        <v/>
      </c>
      <c r="G19" s="67" t="n">
        <f aca="false">IF($A19="","",IFERROR(INDEX(Raw_Price!$D$2:$D$100,MATCH($A19,Raw_Price!$A$2:$A$100,0)),""))</f>
        <v>0</v>
      </c>
      <c r="H19" s="47" t="n">
        <f aca="true">IF($A19="","",IFERROR(INDEX(Raw_Price!$D$2:$D$100,MATCH($A19,Raw_Price!$A$2:$A$100,0))-TODAY(),""))</f>
        <v>-46311</v>
      </c>
      <c r="I19" s="67" t="n">
        <f aca="false">IF($A19="","",IFERROR(INDEX(Raw_Price!$E$2:$E$100,MATCH($A19,Raw_Price!$A$2:$A$100,0)),""))</f>
        <v>46311</v>
      </c>
      <c r="J19" s="69" t="str">
        <f aca="true">IF($A19="","",IF($B19=0,"未抓取",IF($B19&lt;$C19,"需補歷史 ("&amp;($C19-$B19)&amp;" 季)",IF(TODAY()&gt;$G19,"待更新財報","OK"))))</f>
        <v>待更新財報</v>
      </c>
    </row>
    <row r="20" customFormat="false" ht="15" hidden="false" customHeight="false" outlineLevel="0" collapsed="false">
      <c r="A20" s="17" t="str">
        <f aca="false">IF(Calc!$A$18="","",Calc!$A$18)</f>
        <v>4938</v>
      </c>
      <c r="B20" s="47" t="n">
        <f aca="false">IF($A20="","",COUNTIFS(Raw_Q!$A$2:$A$600,$A20,Raw_Q!$F$2:$F$600,"N"))</f>
        <v>24</v>
      </c>
      <c r="C20" s="47" t="n">
        <f aca="false">IF($A20="","",Config!$B$4)</f>
        <v>24</v>
      </c>
      <c r="D20" s="67" t="n">
        <f aca="false">IF($A20="","",IFERROR(SUMIFS(Raw_Q!$E$2:$E$600,Raw_Q!$A$2:$A$600,$A20,Raw_Q!$R$2:$R$600,$B20),""))</f>
        <v>44104</v>
      </c>
      <c r="E20" s="67" t="n">
        <f aca="false">IF($A20="","",IFERROR(SUMIFS(Raw_Q!$E$2:$E$600,Raw_Q!$A$2:$A$600,$A20,Raw_Q!$R$2:$R$600,1),""))</f>
        <v>46203</v>
      </c>
      <c r="F20" s="69" t="str">
        <f aca="false">IF($A20="","",IFERROR(INDEX(Raw_Q!$B$2:$B$600,MATCH($A20&amp;"|"&amp;0,Raw_Q!$S$2:$S$600,0)),""))</f>
        <v>FY2026Q3E</v>
      </c>
      <c r="G20" s="67" t="n">
        <f aca="false">IF($A20="","",IFERROR(INDEX(Raw_Price!$D$2:$D$100,MATCH($A20,Raw_Price!$A$2:$A$100,0)),""))</f>
        <v>0</v>
      </c>
      <c r="H20" s="47" t="n">
        <f aca="true">IF($A20="","",IFERROR(INDEX(Raw_Price!$D$2:$D$100,MATCH($A20,Raw_Price!$A$2:$A$100,0))-TODAY(),""))</f>
        <v>-46311</v>
      </c>
      <c r="I20" s="67" t="n">
        <f aca="false">IF($A20="","",IFERROR(INDEX(Raw_Price!$E$2:$E$100,MATCH($A20,Raw_Price!$A$2:$A$100,0)),""))</f>
        <v>46311</v>
      </c>
      <c r="J20" s="69" t="str">
        <f aca="true">IF($A20="","",IF($B20=0,"未抓取",IF($B20&lt;$C20,"需補歷史 ("&amp;($C20-$B20)&amp;" 季)",IF(TODAY()&gt;$G20,"待更新財報","OK"))))</f>
        <v>待更新財報</v>
      </c>
    </row>
    <row r="21" customFormat="false" ht="15" hidden="false" customHeight="false" outlineLevel="0" collapsed="false">
      <c r="A21" s="17" t="str">
        <f aca="false">IF(Calc!$A$19="","",Calc!$A$19)</f>
        <v>8299</v>
      </c>
      <c r="B21" s="47" t="n">
        <f aca="false">IF($A21="","",COUNTIFS(Raw_Q!$A$2:$A$600,$A21,Raw_Q!$F$2:$F$600,"N"))</f>
        <v>0</v>
      </c>
      <c r="C21" s="47" t="n">
        <f aca="false">IF($A21="","",Config!$B$4)</f>
        <v>24</v>
      </c>
      <c r="D21" s="67" t="n">
        <f aca="false">IF($A21="","",IFERROR(SUMIFS(Raw_Q!$E$2:$E$600,Raw_Q!$A$2:$A$600,$A21,Raw_Q!$R$2:$R$600,$B21),""))</f>
        <v>0</v>
      </c>
      <c r="E21" s="67" t="n">
        <f aca="false">IF($A21="","",IFERROR(SUMIFS(Raw_Q!$E$2:$E$600,Raw_Q!$A$2:$A$600,$A21,Raw_Q!$R$2:$R$600,1),""))</f>
        <v>0</v>
      </c>
      <c r="F21" s="69" t="str">
        <f aca="false">IF($A21="","",IFERROR(INDEX(Raw_Q!$B$2:$B$600,MATCH($A21&amp;"|"&amp;0,Raw_Q!$S$2:$S$600,0)),""))</f>
        <v/>
      </c>
      <c r="G21" s="67" t="n">
        <f aca="false">IF($A21="","",IFERROR(INDEX(Raw_Price!$D$2:$D$100,MATCH($A21,Raw_Price!$A$2:$A$100,0)),""))</f>
        <v>0</v>
      </c>
      <c r="H21" s="47" t="n">
        <f aca="true">IF($A21="","",IFERROR(INDEX(Raw_Price!$D$2:$D$100,MATCH($A21,Raw_Price!$A$2:$A$100,0))-TODAY(),""))</f>
        <v>-46311</v>
      </c>
      <c r="I21" s="67" t="n">
        <f aca="false">IF($A21="","",IFERROR(INDEX(Raw_Price!$E$2:$E$100,MATCH($A21,Raw_Price!$A$2:$A$100,0)),""))</f>
        <v>46311</v>
      </c>
      <c r="J21" s="69" t="str">
        <f aca="true">IF($A21="","",IF($B21=0,"未抓取",IF($B21&lt;$C21,"需補歷史 ("&amp;($C21-$B21)&amp;" 季)",IF(TODAY()&gt;$G21,"待更新財報","OK"))))</f>
        <v>未抓取</v>
      </c>
    </row>
    <row r="22" customFormat="false" ht="15" hidden="false" customHeight="false" outlineLevel="0" collapsed="false">
      <c r="A22" s="17" t="str">
        <f aca="false">IF(Calc!$A$20="","",Calc!$A$20)</f>
        <v>3105</v>
      </c>
      <c r="B22" s="47" t="n">
        <f aca="false">IF($A22="","",COUNTIFS(Raw_Q!$A$2:$A$600,$A22,Raw_Q!$F$2:$F$600,"N"))</f>
        <v>24</v>
      </c>
      <c r="C22" s="47" t="n">
        <f aca="false">IF($A22="","",Config!$B$4)</f>
        <v>24</v>
      </c>
      <c r="D22" s="67" t="n">
        <f aca="false">IF($A22="","",IFERROR(SUMIFS(Raw_Q!$E$2:$E$600,Raw_Q!$A$2:$A$600,$A22,Raw_Q!$R$2:$R$600,$B22),""))</f>
        <v>44104</v>
      </c>
      <c r="E22" s="67" t="n">
        <f aca="false">IF($A22="","",IFERROR(SUMIFS(Raw_Q!$E$2:$E$600,Raw_Q!$A$2:$A$600,$A22,Raw_Q!$R$2:$R$600,1),""))</f>
        <v>46203</v>
      </c>
      <c r="F22" s="69" t="str">
        <f aca="false">IF($A22="","",IFERROR(INDEX(Raw_Q!$B$2:$B$600,MATCH($A22&amp;"|"&amp;0,Raw_Q!$S$2:$S$600,0)),""))</f>
        <v>FY2026Q3E</v>
      </c>
      <c r="G22" s="67" t="n">
        <f aca="false">IF($A22="","",IFERROR(INDEX(Raw_Price!$D$2:$D$100,MATCH($A22,Raw_Price!$A$2:$A$100,0)),""))</f>
        <v>0</v>
      </c>
      <c r="H22" s="47" t="n">
        <f aca="true">IF($A22="","",IFERROR(INDEX(Raw_Price!$D$2:$D$100,MATCH($A22,Raw_Price!$A$2:$A$100,0))-TODAY(),""))</f>
        <v>-46311</v>
      </c>
      <c r="I22" s="67" t="n">
        <f aca="false">IF($A22="","",IFERROR(INDEX(Raw_Price!$E$2:$E$100,MATCH($A22,Raw_Price!$A$2:$A$100,0)),""))</f>
        <v>46311</v>
      </c>
      <c r="J22" s="69" t="str">
        <f aca="true">IF($A22="","",IF($B22=0,"未抓取",IF($B22&lt;$C22,"需補歷史 ("&amp;($C22-$B22)&amp;" 季)",IF(TODAY()&gt;$G22,"待更新財報","OK"))))</f>
        <v>待更新財報</v>
      </c>
    </row>
    <row r="23" customFormat="false" ht="15" hidden="false" customHeight="false" outlineLevel="0" collapsed="false">
      <c r="A23" s="17" t="str">
        <f aca="false">IF(Calc!$A$21="","",Calc!$A$21)</f>
        <v>4979</v>
      </c>
      <c r="B23" s="47" t="n">
        <f aca="false">IF($A23="","",COUNTIFS(Raw_Q!$A$2:$A$600,$A23,Raw_Q!$F$2:$F$600,"N"))</f>
        <v>24</v>
      </c>
      <c r="C23" s="47" t="n">
        <f aca="false">IF($A23="","",Config!$B$4)</f>
        <v>24</v>
      </c>
      <c r="D23" s="67" t="n">
        <f aca="false">IF($A23="","",IFERROR(SUMIFS(Raw_Q!$E$2:$E$600,Raw_Q!$A$2:$A$600,$A23,Raw_Q!$R$2:$R$600,$B23),""))</f>
        <v>44104</v>
      </c>
      <c r="E23" s="67" t="n">
        <f aca="false">IF($A23="","",IFERROR(SUMIFS(Raw_Q!$E$2:$E$600,Raw_Q!$A$2:$A$600,$A23,Raw_Q!$R$2:$R$600,1),""))</f>
        <v>46203</v>
      </c>
      <c r="F23" s="69" t="str">
        <f aca="false">IF($A23="","",IFERROR(INDEX(Raw_Q!$B$2:$B$600,MATCH($A23&amp;"|"&amp;0,Raw_Q!$S$2:$S$600,0)),""))</f>
        <v>FY2026Q3E</v>
      </c>
      <c r="G23" s="67" t="n">
        <f aca="false">IF($A23="","",IFERROR(INDEX(Raw_Price!$D$2:$D$100,MATCH($A23,Raw_Price!$A$2:$A$100,0)),""))</f>
        <v>0</v>
      </c>
      <c r="H23" s="47" t="n">
        <f aca="true">IF($A23="","",IFERROR(INDEX(Raw_Price!$D$2:$D$100,MATCH($A23,Raw_Price!$A$2:$A$100,0))-TODAY(),""))</f>
        <v>-46311</v>
      </c>
      <c r="I23" s="67" t="n">
        <f aca="false">IF($A23="","",IFERROR(INDEX(Raw_Price!$E$2:$E$100,MATCH($A23,Raw_Price!$A$2:$A$100,0)),""))</f>
        <v>46311</v>
      </c>
      <c r="J23" s="69" t="str">
        <f aca="true">IF($A23="","",IF($B23=0,"未抓取",IF($B23&lt;$C23,"需補歷史 ("&amp;($C23-$B23)&amp;" 季)",IF(TODAY()&gt;$G23,"待更新財報","OK"))))</f>
        <v>待更新財報</v>
      </c>
    </row>
    <row r="24" customFormat="false" ht="15" hidden="false" customHeight="false" outlineLevel="0" collapsed="false">
      <c r="A24" s="17" t="str">
        <f aca="false">IF(Calc!$A$22="","",Calc!$A$22)</f>
        <v>3363</v>
      </c>
      <c r="B24" s="47" t="n">
        <f aca="false">IF($A24="","",COUNTIFS(Raw_Q!$A$2:$A$600,$A24,Raw_Q!$F$2:$F$600,"N"))</f>
        <v>24</v>
      </c>
      <c r="C24" s="47" t="n">
        <f aca="false">IF($A24="","",Config!$B$4)</f>
        <v>24</v>
      </c>
      <c r="D24" s="67" t="n">
        <f aca="false">IF($A24="","",IFERROR(SUMIFS(Raw_Q!$E$2:$E$600,Raw_Q!$A$2:$A$600,$A24,Raw_Q!$R$2:$R$600,$B24),""))</f>
        <v>44104</v>
      </c>
      <c r="E24" s="67" t="n">
        <f aca="false">IF($A24="","",IFERROR(SUMIFS(Raw_Q!$E$2:$E$600,Raw_Q!$A$2:$A$600,$A24,Raw_Q!$R$2:$R$600,1),""))</f>
        <v>46203</v>
      </c>
      <c r="F24" s="69" t="str">
        <f aca="false">IF($A24="","",IFERROR(INDEX(Raw_Q!$B$2:$B$600,MATCH($A24&amp;"|"&amp;0,Raw_Q!$S$2:$S$600,0)),""))</f>
        <v>FY2026Q3E</v>
      </c>
      <c r="G24" s="67" t="n">
        <f aca="false">IF($A24="","",IFERROR(INDEX(Raw_Price!$D$2:$D$100,MATCH($A24,Raw_Price!$A$2:$A$100,0)),""))</f>
        <v>0</v>
      </c>
      <c r="H24" s="47" t="n">
        <f aca="true">IF($A24="","",IFERROR(INDEX(Raw_Price!$D$2:$D$100,MATCH($A24,Raw_Price!$A$2:$A$100,0))-TODAY(),""))</f>
        <v>-46311</v>
      </c>
      <c r="I24" s="67" t="n">
        <f aca="false">IF($A24="","",IFERROR(INDEX(Raw_Price!$E$2:$E$100,MATCH($A24,Raw_Price!$A$2:$A$100,0)),""))</f>
        <v>46311</v>
      </c>
      <c r="J24" s="69" t="str">
        <f aca="true">IF($A24="","",IF($B24=0,"未抓取",IF($B24&lt;$C24,"需補歷史 ("&amp;($C24-$B24)&amp;" 季)",IF(TODAY()&gt;$G24,"待更新財報","OK"))))</f>
        <v>待更新財報</v>
      </c>
    </row>
    <row r="25" customFormat="false" ht="15" hidden="false" customHeight="false" outlineLevel="0" collapsed="false">
      <c r="A25" s="17" t="str">
        <f aca="false">IF(Calc!$A$23="","",Calc!$A$23)</f>
        <v>2344</v>
      </c>
      <c r="B25" s="47" t="n">
        <f aca="false">IF($A25="","",COUNTIFS(Raw_Q!$A$2:$A$600,$A25,Raw_Q!$F$2:$F$600,"N"))</f>
        <v>24</v>
      </c>
      <c r="C25" s="47" t="n">
        <f aca="false">IF($A25="","",Config!$B$4)</f>
        <v>24</v>
      </c>
      <c r="D25" s="67" t="n">
        <f aca="false">IF($A25="","",IFERROR(SUMIFS(Raw_Q!$E$2:$E$600,Raw_Q!$A$2:$A$600,$A25,Raw_Q!$R$2:$R$600,$B25),""))</f>
        <v>44104</v>
      </c>
      <c r="E25" s="67" t="n">
        <f aca="false">IF($A25="","",IFERROR(SUMIFS(Raw_Q!$E$2:$E$600,Raw_Q!$A$2:$A$600,$A25,Raw_Q!$R$2:$R$600,1),""))</f>
        <v>46203</v>
      </c>
      <c r="F25" s="69" t="str">
        <f aca="false">IF($A25="","",IFERROR(INDEX(Raw_Q!$B$2:$B$600,MATCH($A25&amp;"|"&amp;0,Raw_Q!$S$2:$S$600,0)),""))</f>
        <v>FY2026Q3E</v>
      </c>
      <c r="G25" s="67" t="n">
        <f aca="false">IF($A25="","",IFERROR(INDEX(Raw_Price!$D$2:$D$100,MATCH($A25,Raw_Price!$A$2:$A$100,0)),""))</f>
        <v>0</v>
      </c>
      <c r="H25" s="47" t="n">
        <f aca="true">IF($A25="","",IFERROR(INDEX(Raw_Price!$D$2:$D$100,MATCH($A25,Raw_Price!$A$2:$A$100,0))-TODAY(),""))</f>
        <v>-46311</v>
      </c>
      <c r="I25" s="67" t="n">
        <f aca="false">IF($A25="","",IFERROR(INDEX(Raw_Price!$E$2:$E$100,MATCH($A25,Raw_Price!$A$2:$A$100,0)),""))</f>
        <v>46311</v>
      </c>
      <c r="J25" s="69" t="str">
        <f aca="true">IF($A25="","",IF($B25=0,"未抓取",IF($B25&lt;$C25,"需補歷史 ("&amp;($C25-$B25)&amp;" 季)",IF(TODAY()&gt;$G25,"待更新財報","OK"))))</f>
        <v>待更新財報</v>
      </c>
    </row>
    <row r="26" customFormat="false" ht="15" hidden="false" customHeight="false" outlineLevel="0" collapsed="false">
      <c r="A26" s="17" t="str">
        <f aca="false">IF(Calc!$A$24="","",Calc!$A$24)</f>
        <v>↑ 藍字＝手動輸入。新增股票就在第 2~21 列往下打一列，其餘分頁全自動延伸。</v>
      </c>
      <c r="B26" s="47" t="n">
        <f aca="false">IF($A26="","",COUNTIFS(Raw_Q!$A$2:$A$600,$A26,Raw_Q!$F$2:$F$600,"N"))</f>
        <v>0</v>
      </c>
      <c r="C26" s="47" t="n">
        <f aca="false">IF($A26="","",Config!$B$4)</f>
        <v>24</v>
      </c>
      <c r="D26" s="67" t="n">
        <f aca="false">IF($A26="","",IFERROR(SUMIFS(Raw_Q!$E$2:$E$600,Raw_Q!$A$2:$A$600,$A26,Raw_Q!$R$2:$R$600,$B26),""))</f>
        <v>0</v>
      </c>
      <c r="E26" s="67" t="n">
        <f aca="false">IF($A26="","",IFERROR(SUMIFS(Raw_Q!$E$2:$E$600,Raw_Q!$A$2:$A$600,$A26,Raw_Q!$R$2:$R$600,1),""))</f>
        <v>0</v>
      </c>
      <c r="F26" s="69" t="str">
        <f aca="false">IF($A26="","",IFERROR(INDEX(Raw_Q!$B$2:$B$600,MATCH($A26&amp;"|"&amp;0,Raw_Q!$S$2:$S$600,0)),""))</f>
        <v/>
      </c>
      <c r="G26" s="67" t="str">
        <f aca="false">IF($A26="","",IFERROR(INDEX(Raw_Price!$D$2:$D$100,MATCH($A26,Raw_Price!$A$2:$A$100,0)),""))</f>
        <v/>
      </c>
      <c r="H26" s="47" t="str">
        <f aca="true">IF($A26="","",IFERROR(INDEX(Raw_Price!$D$2:$D$100,MATCH($A26,Raw_Price!$A$2:$A$100,0))-TODAY(),""))</f>
        <v/>
      </c>
      <c r="I26" s="67" t="str">
        <f aca="false">IF($A26="","",IFERROR(INDEX(Raw_Price!$E$2:$E$100,MATCH($A26,Raw_Price!$A$2:$A$100,0)),""))</f>
        <v/>
      </c>
      <c r="J26" s="69" t="str">
        <f aca="true">IF($A26="","",IF($B26=0,"未抓取",IF($B26&lt;$C26,"需補歷史 ("&amp;($C26-$B26)&amp;" 季)",IF(TODAY()&gt;$G26,"待更新財報","OK"))))</f>
        <v>未抓取</v>
      </c>
    </row>
    <row r="27" customFormat="false" ht="15" hidden="false" customHeight="false" outlineLevel="0" collapsed="false">
      <c r="A27" s="17" t="str">
        <f aca="false">IF(Calc!$A$25="","",Calc!$A$25)</f>
        <v>3450</v>
      </c>
      <c r="B27" s="47" t="n">
        <f aca="false">IF($A27="","",COUNTIFS(Raw_Q!$A$2:$A$600,$A27,Raw_Q!$F$2:$F$600,"N"))</f>
        <v>24</v>
      </c>
      <c r="C27" s="47" t="n">
        <f aca="false">IF($A27="","",Config!$B$4)</f>
        <v>24</v>
      </c>
      <c r="D27" s="67" t="n">
        <f aca="false">IF($A27="","",IFERROR(SUMIFS(Raw_Q!$E$2:$E$600,Raw_Q!$A$2:$A$600,$A27,Raw_Q!$R$2:$R$600,$B27),""))</f>
        <v>44104</v>
      </c>
      <c r="E27" s="67" t="n">
        <f aca="false">IF($A27="","",IFERROR(SUMIFS(Raw_Q!$E$2:$E$600,Raw_Q!$A$2:$A$600,$A27,Raw_Q!$R$2:$R$600,1),""))</f>
        <v>46203</v>
      </c>
      <c r="F27" s="69" t="str">
        <f aca="false">IF($A27="","",IFERROR(INDEX(Raw_Q!$B$2:$B$600,MATCH($A27&amp;"|"&amp;0,Raw_Q!$S$2:$S$600,0)),""))</f>
        <v/>
      </c>
      <c r="G27" s="67" t="n">
        <f aca="false">IF($A27="","",IFERROR(INDEX(Raw_Price!$D$2:$D$100,MATCH($A27,Raw_Price!$A$2:$A$100,0)),""))</f>
        <v>0</v>
      </c>
      <c r="H27" s="47" t="n">
        <f aca="true">IF($A27="","",IFERROR(INDEX(Raw_Price!$D$2:$D$100,MATCH($A27,Raw_Price!$A$2:$A$100,0))-TODAY(),""))</f>
        <v>-46311</v>
      </c>
      <c r="I27" s="67" t="n">
        <f aca="false">IF($A27="","",IFERROR(INDEX(Raw_Price!$E$2:$E$100,MATCH($A27,Raw_Price!$A$2:$A$100,0)),""))</f>
        <v>46311</v>
      </c>
      <c r="J27" s="69" t="str">
        <f aca="true">IF($A27="","",IF($B27=0,"未抓取",IF($B27&lt;$C27,"需補歷史 ("&amp;($C27-$B27)&amp;" 季)",IF(TODAY()&gt;$G27,"待更新財報","OK"))))</f>
        <v>待更新財報</v>
      </c>
    </row>
    <row r="28" customFormat="false" ht="15" hidden="false" customHeight="false" outlineLevel="0" collapsed="false">
      <c r="A28" s="17" t="str">
        <f aca="false">IF(Calc!$A$26="","",Calc!$A$26)</f>
        <v>6830</v>
      </c>
      <c r="B28" s="47" t="n">
        <f aca="false">IF($A28="","",COUNTIFS(Raw_Q!$A$2:$A$600,$A28,Raw_Q!$F$2:$F$600,"N"))</f>
        <v>0</v>
      </c>
      <c r="C28" s="47" t="n">
        <f aca="false">IF($A28="","",Config!$B$4)</f>
        <v>24</v>
      </c>
      <c r="D28" s="67" t="n">
        <f aca="false">IF($A28="","",IFERROR(SUMIFS(Raw_Q!$E$2:$E$600,Raw_Q!$A$2:$A$600,$A28,Raw_Q!$R$2:$R$600,$B28),""))</f>
        <v>0</v>
      </c>
      <c r="E28" s="67" t="n">
        <f aca="false">IF($A28="","",IFERROR(SUMIFS(Raw_Q!$E$2:$E$600,Raw_Q!$A$2:$A$600,$A28,Raw_Q!$R$2:$R$600,1),""))</f>
        <v>0</v>
      </c>
      <c r="F28" s="69" t="str">
        <f aca="false">IF($A28="","",IFERROR(INDEX(Raw_Q!$B$2:$B$600,MATCH($A28&amp;"|"&amp;0,Raw_Q!$S$2:$S$600,0)),""))</f>
        <v/>
      </c>
      <c r="G28" s="67" t="n">
        <f aca="false">IF($A28="","",IFERROR(INDEX(Raw_Price!$D$2:$D$100,MATCH($A28,Raw_Price!$A$2:$A$100,0)),""))</f>
        <v>0</v>
      </c>
      <c r="H28" s="47" t="n">
        <f aca="true">IF($A28="","",IFERROR(INDEX(Raw_Price!$D$2:$D$100,MATCH($A28,Raw_Price!$A$2:$A$100,0))-TODAY(),""))</f>
        <v>-46311</v>
      </c>
      <c r="I28" s="67" t="n">
        <f aca="false">IF($A28="","",IFERROR(INDEX(Raw_Price!$E$2:$E$100,MATCH($A28,Raw_Price!$A$2:$A$100,0)),""))</f>
        <v>46311</v>
      </c>
      <c r="J28" s="69" t="str">
        <f aca="true">IF($A28="","",IF($B28=0,"未抓取",IF($B28&lt;$C28,"需補歷史 ("&amp;($C28-$B28)&amp;" 季)",IF(TODAY()&gt;$G28,"待更新財報","OK"))))</f>
        <v>未抓取</v>
      </c>
    </row>
    <row r="29" customFormat="false" ht="15" hidden="false" customHeight="false" outlineLevel="0" collapsed="false">
      <c r="A29" s="17" t="str">
        <f aca="false">IF(Calc!$A$27="","",Calc!$A$27)</f>
        <v>3443</v>
      </c>
      <c r="B29" s="47" t="n">
        <f aca="false">IF($A29="","",COUNTIFS(Raw_Q!$A$2:$A$600,$A29,Raw_Q!$F$2:$F$600,"N"))</f>
        <v>24</v>
      </c>
      <c r="C29" s="47" t="n">
        <f aca="false">IF($A29="","",Config!$B$4)</f>
        <v>24</v>
      </c>
      <c r="D29" s="67" t="n">
        <f aca="false">IF($A29="","",IFERROR(SUMIFS(Raw_Q!$E$2:$E$600,Raw_Q!$A$2:$A$600,$A29,Raw_Q!$R$2:$R$600,$B29),""))</f>
        <v>44104</v>
      </c>
      <c r="E29" s="67" t="n">
        <f aca="false">IF($A29="","",IFERROR(SUMIFS(Raw_Q!$E$2:$E$600,Raw_Q!$A$2:$A$600,$A29,Raw_Q!$R$2:$R$600,1),""))</f>
        <v>46203</v>
      </c>
      <c r="F29" s="69" t="str">
        <f aca="false">IF($A29="","",IFERROR(INDEX(Raw_Q!$B$2:$B$600,MATCH($A29&amp;"|"&amp;0,Raw_Q!$S$2:$S$600,0)),""))</f>
        <v>FY2026Q3E</v>
      </c>
      <c r="G29" s="67" t="n">
        <f aca="false">IF($A29="","",IFERROR(INDEX(Raw_Price!$D$2:$D$100,MATCH($A29,Raw_Price!$A$2:$A$100,0)),""))</f>
        <v>0</v>
      </c>
      <c r="H29" s="47" t="n">
        <f aca="true">IF($A29="","",IFERROR(INDEX(Raw_Price!$D$2:$D$100,MATCH($A29,Raw_Price!$A$2:$A$100,0))-TODAY(),""))</f>
        <v>-46311</v>
      </c>
      <c r="I29" s="67" t="n">
        <f aca="false">IF($A29="","",IFERROR(INDEX(Raw_Price!$E$2:$E$100,MATCH($A29,Raw_Price!$A$2:$A$100,0)),""))</f>
        <v>46311</v>
      </c>
      <c r="J29" s="69" t="str">
        <f aca="true">IF($A29="","",IF($B29=0,"未抓取",IF($B29&lt;$C29,"需補歷史 ("&amp;($C29-$B29)&amp;" 季)",IF(TODAY()&gt;$G29,"待更新財報","OK"))))</f>
        <v>待更新財報</v>
      </c>
    </row>
    <row r="30" customFormat="false" ht="15" hidden="false" customHeight="false" outlineLevel="0" collapsed="false">
      <c r="A30" s="17" t="str">
        <f aca="false">IF(Calc!$A$28="","",Calc!$A$28)</f>
        <v/>
      </c>
      <c r="B30" s="47" t="str">
        <f aca="false">IF($A30="","",COUNTIFS(Raw_Q!$A$2:$A$600,$A30,Raw_Q!$F$2:$F$600,"N"))</f>
        <v/>
      </c>
      <c r="C30" s="47" t="str">
        <f aca="false">IF($A30="","",Config!$B$4)</f>
        <v/>
      </c>
      <c r="D30" s="67" t="str">
        <f aca="false">IF($A30="","",IFERROR(SUMIFS(Raw_Q!$E$2:$E$600,Raw_Q!$A$2:$A$600,$A30,Raw_Q!$R$2:$R$600,$B30),""))</f>
        <v/>
      </c>
      <c r="E30" s="67" t="str">
        <f aca="false">IF($A30="","",IFERROR(SUMIFS(Raw_Q!$E$2:$E$600,Raw_Q!$A$2:$A$600,$A30,Raw_Q!$R$2:$R$600,1),""))</f>
        <v/>
      </c>
      <c r="F30" s="69" t="str">
        <f aca="false">IF($A30="","",IFERROR(INDEX(Raw_Q!$B$2:$B$600,MATCH($A30&amp;"|"&amp;0,Raw_Q!$S$2:$S$600,0)),""))</f>
        <v/>
      </c>
      <c r="G30" s="67" t="str">
        <f aca="false">IF($A30="","",IFERROR(INDEX(Raw_Price!$D$2:$D$100,MATCH($A30,Raw_Price!$A$2:$A$100,0)),""))</f>
        <v/>
      </c>
      <c r="H30" s="47" t="str">
        <f aca="true">IF($A30="","",IFERROR(INDEX(Raw_Price!$D$2:$D$100,MATCH($A30,Raw_Price!$A$2:$A$100,0))-TODAY(),""))</f>
        <v/>
      </c>
      <c r="I30" s="67" t="str">
        <f aca="false">IF($A30="","",IFERROR(INDEX(Raw_Price!$E$2:$E$100,MATCH($A30,Raw_Price!$A$2:$A$100,0)),""))</f>
        <v/>
      </c>
      <c r="J30" s="69" t="str">
        <f aca="true">IF($A30="","",IF($B30=0,"未抓取",IF($B30&lt;$C30,"需補歷史 ("&amp;($C30-$B30)&amp;" 季)",IF(TODAY()&gt;$G30,"待更新財報","OK"))))</f>
        <v/>
      </c>
    </row>
    <row r="31" customFormat="false" ht="15" hidden="false" customHeight="false" outlineLevel="0" collapsed="false">
      <c r="A31" s="17" t="str">
        <f aca="false">IF(Calc!$A$29="","",Calc!$A$29)</f>
        <v/>
      </c>
      <c r="B31" s="47" t="str">
        <f aca="false">IF($A31="","",COUNTIFS(Raw_Q!$A$2:$A$600,$A31,Raw_Q!$F$2:$F$600,"N"))</f>
        <v/>
      </c>
      <c r="C31" s="47" t="str">
        <f aca="false">IF($A31="","",Config!$B$4)</f>
        <v/>
      </c>
      <c r="D31" s="67" t="str">
        <f aca="false">IF($A31="","",IFERROR(SUMIFS(Raw_Q!$E$2:$E$600,Raw_Q!$A$2:$A$600,$A31,Raw_Q!$R$2:$R$600,$B31),""))</f>
        <v/>
      </c>
      <c r="E31" s="67" t="str">
        <f aca="false">IF($A31="","",IFERROR(SUMIFS(Raw_Q!$E$2:$E$600,Raw_Q!$A$2:$A$600,$A31,Raw_Q!$R$2:$R$600,1),""))</f>
        <v/>
      </c>
      <c r="F31" s="69" t="str">
        <f aca="false">IF($A31="","",IFERROR(INDEX(Raw_Q!$B$2:$B$600,MATCH($A31&amp;"|"&amp;0,Raw_Q!$S$2:$S$600,0)),""))</f>
        <v/>
      </c>
      <c r="G31" s="67" t="str">
        <f aca="false">IF($A31="","",IFERROR(INDEX(Raw_Price!$D$2:$D$100,MATCH($A31,Raw_Price!$A$2:$A$100,0)),""))</f>
        <v/>
      </c>
      <c r="H31" s="47" t="str">
        <f aca="true">IF($A31="","",IFERROR(INDEX(Raw_Price!$D$2:$D$100,MATCH($A31,Raw_Price!$A$2:$A$100,0))-TODAY(),""))</f>
        <v/>
      </c>
      <c r="I31" s="67" t="str">
        <f aca="false">IF($A31="","",IFERROR(INDEX(Raw_Price!$E$2:$E$100,MATCH($A31,Raw_Price!$A$2:$A$100,0)),""))</f>
        <v/>
      </c>
      <c r="J31" s="69" t="str">
        <f aca="true">IF($A31="","",IF($B31=0,"未抓取",IF($B31&lt;$C31,"需補歷史 ("&amp;($C31-$B31)&amp;" 季)",IF(TODAY()&gt;$G31,"待更新財報","OK"))))</f>
        <v/>
      </c>
    </row>
    <row r="32" customFormat="false" ht="15" hidden="false" customHeight="false" outlineLevel="0" collapsed="false">
      <c r="A32" s="17" t="str">
        <f aca="false">IF(Calc!$A$30="","",Calc!$A$30)</f>
        <v/>
      </c>
      <c r="B32" s="47" t="str">
        <f aca="false">IF($A32="","",COUNTIFS(Raw_Q!$A$2:$A$600,$A32,Raw_Q!$F$2:$F$600,"N"))</f>
        <v/>
      </c>
      <c r="C32" s="47" t="str">
        <f aca="false">IF($A32="","",Config!$B$4)</f>
        <v/>
      </c>
      <c r="D32" s="67" t="str">
        <f aca="false">IF($A32="","",IFERROR(SUMIFS(Raw_Q!$E$2:$E$600,Raw_Q!$A$2:$A$600,$A32,Raw_Q!$R$2:$R$600,$B32),""))</f>
        <v/>
      </c>
      <c r="E32" s="67" t="str">
        <f aca="false">IF($A32="","",IFERROR(SUMIFS(Raw_Q!$E$2:$E$600,Raw_Q!$A$2:$A$600,$A32,Raw_Q!$R$2:$R$600,1),""))</f>
        <v/>
      </c>
      <c r="F32" s="69" t="str">
        <f aca="false">IF($A32="","",IFERROR(INDEX(Raw_Q!$B$2:$B$600,MATCH($A32&amp;"|"&amp;0,Raw_Q!$S$2:$S$600,0)),""))</f>
        <v/>
      </c>
      <c r="G32" s="67" t="str">
        <f aca="false">IF($A32="","",IFERROR(INDEX(Raw_Price!$D$2:$D$100,MATCH($A32,Raw_Price!$A$2:$A$100,0)),""))</f>
        <v/>
      </c>
      <c r="H32" s="47" t="str">
        <f aca="true">IF($A32="","",IFERROR(INDEX(Raw_Price!$D$2:$D$100,MATCH($A32,Raw_Price!$A$2:$A$100,0))-TODAY(),""))</f>
        <v/>
      </c>
      <c r="I32" s="67" t="str">
        <f aca="false">IF($A32="","",IFERROR(INDEX(Raw_Price!$E$2:$E$100,MATCH($A32,Raw_Price!$A$2:$A$100,0)),""))</f>
        <v/>
      </c>
      <c r="J32" s="69" t="str">
        <f aca="true">IF($A32="","",IF($B32=0,"未抓取",IF($B32&lt;$C32,"需補歷史 ("&amp;($C32-$B32)&amp;" 季)",IF(TODAY()&gt;$G32,"待更新財報","OK"))))</f>
        <v/>
      </c>
    </row>
    <row r="33" customFormat="false" ht="15" hidden="false" customHeight="false" outlineLevel="0" collapsed="false">
      <c r="A33" s="17" t="str">
        <f aca="false">IF(Calc!$A$31="","",Calc!$A$31)</f>
        <v/>
      </c>
      <c r="B33" s="47" t="str">
        <f aca="false">IF($A33="","",COUNTIFS(Raw_Q!$A$2:$A$600,$A33,Raw_Q!$F$2:$F$600,"N"))</f>
        <v/>
      </c>
      <c r="C33" s="47" t="str">
        <f aca="false">IF($A33="","",Config!$B$4)</f>
        <v/>
      </c>
      <c r="D33" s="67" t="str">
        <f aca="false">IF($A33="","",IFERROR(SUMIFS(Raw_Q!$E$2:$E$600,Raw_Q!$A$2:$A$600,$A33,Raw_Q!$R$2:$R$600,$B33),""))</f>
        <v/>
      </c>
      <c r="E33" s="67" t="str">
        <f aca="false">IF($A33="","",IFERROR(SUMIFS(Raw_Q!$E$2:$E$600,Raw_Q!$A$2:$A$600,$A33,Raw_Q!$R$2:$R$600,1),""))</f>
        <v/>
      </c>
      <c r="F33" s="69" t="str">
        <f aca="false">IF($A33="","",IFERROR(INDEX(Raw_Q!$B$2:$B$600,MATCH($A33&amp;"|"&amp;0,Raw_Q!$S$2:$S$600,0)),""))</f>
        <v/>
      </c>
      <c r="G33" s="67" t="str">
        <f aca="false">IF($A33="","",IFERROR(INDEX(Raw_Price!$D$2:$D$100,MATCH($A33,Raw_Price!$A$2:$A$100,0)),""))</f>
        <v/>
      </c>
      <c r="H33" s="47" t="str">
        <f aca="true">IF($A33="","",IFERROR(INDEX(Raw_Price!$D$2:$D$100,MATCH($A33,Raw_Price!$A$2:$A$100,0))-TODAY(),""))</f>
        <v/>
      </c>
      <c r="I33" s="67" t="str">
        <f aca="false">IF($A33="","",IFERROR(INDEX(Raw_Price!$E$2:$E$100,MATCH($A33,Raw_Price!$A$2:$A$100,0)),""))</f>
        <v/>
      </c>
      <c r="J33" s="69" t="str">
        <f aca="true">IF($A33="","",IF($B33=0,"未抓取",IF($B33&lt;$C33,"需補歷史 ("&amp;($C33-$B33)&amp;" 季)",IF(TODAY()&gt;$G33,"待更新財報","OK"))))</f>
        <v/>
      </c>
    </row>
    <row r="34" customFormat="false" ht="15" hidden="false" customHeight="false" outlineLevel="0" collapsed="false">
      <c r="A34" s="17" t="str">
        <f aca="false">IF(Calc!$A$32="","",Calc!$A$32)</f>
        <v/>
      </c>
      <c r="B34" s="47" t="str">
        <f aca="false">IF($A34="","",COUNTIFS(Raw_Q!$A$2:$A$600,$A34,Raw_Q!$F$2:$F$600,"N"))</f>
        <v/>
      </c>
      <c r="C34" s="47" t="str">
        <f aca="false">IF($A34="","",Config!$B$4)</f>
        <v/>
      </c>
      <c r="D34" s="67" t="str">
        <f aca="false">IF($A34="","",IFERROR(SUMIFS(Raw_Q!$E$2:$E$600,Raw_Q!$A$2:$A$600,$A34,Raw_Q!$R$2:$R$600,$B34),""))</f>
        <v/>
      </c>
      <c r="E34" s="67" t="str">
        <f aca="false">IF($A34="","",IFERROR(SUMIFS(Raw_Q!$E$2:$E$600,Raw_Q!$A$2:$A$600,$A34,Raw_Q!$R$2:$R$600,1),""))</f>
        <v/>
      </c>
      <c r="F34" s="69" t="str">
        <f aca="false">IF($A34="","",IFERROR(INDEX(Raw_Q!$B$2:$B$600,MATCH($A34&amp;"|"&amp;0,Raw_Q!$S$2:$S$600,0)),""))</f>
        <v/>
      </c>
      <c r="G34" s="67" t="str">
        <f aca="false">IF($A34="","",IFERROR(INDEX(Raw_Price!$D$2:$D$100,MATCH($A34,Raw_Price!$A$2:$A$100,0)),""))</f>
        <v/>
      </c>
      <c r="H34" s="47" t="str">
        <f aca="true">IF($A34="","",IFERROR(INDEX(Raw_Price!$D$2:$D$100,MATCH($A34,Raw_Price!$A$2:$A$100,0))-TODAY(),""))</f>
        <v/>
      </c>
      <c r="I34" s="67" t="str">
        <f aca="false">IF($A34="","",IFERROR(INDEX(Raw_Price!$E$2:$E$100,MATCH($A34,Raw_Price!$A$2:$A$100,0)),""))</f>
        <v/>
      </c>
      <c r="J34" s="69" t="str">
        <f aca="true">IF($A34="","",IF($B34=0,"未抓取",IF($B34&lt;$C34,"需補歷史 ("&amp;($C34-$B34)&amp;" 季)",IF(TODAY()&gt;$G34,"待更新財報","OK"))))</f>
        <v/>
      </c>
    </row>
    <row r="36" customFormat="false" ht="15" hidden="false" customHeight="false" outlineLevel="0" collapsed="false">
      <c r="A36" s="24" t="s">
        <v>173</v>
      </c>
    </row>
  </sheetData>
  <conditionalFormatting sqref="J4:J34">
    <cfRule type="cellIs" priority="2" operator="equal" aboveAverage="0" equalAverage="0" bottom="0" percent="0" rank="0" text="" dxfId="71">
      <formula>"OK"</formula>
    </cfRule>
    <cfRule type="cellIs" priority="3" operator="equal" aboveAverage="0" equalAverage="0" bottom="0" percent="0" rank="0" text="" dxfId="72">
      <formula>"待更新財報"</formula>
    </cfRule>
    <cfRule type="expression" priority="4" aboveAverage="0" equalAverage="0" bottom="0" percent="0" rank="0" text="" dxfId="73">
      <formula>ISNUMBER(SEARCH("補歷史",$J4))</formula>
    </cfRule>
  </conditionalFormatting>
  <conditionalFormatting sqref="H4:H34">
    <cfRule type="cellIs" priority="5" operator="lessThan" aboveAverage="0" equalAverage="0" bottom="0" percent="0" rank="0" text="" dxfId="74">
      <formula>7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13"/>
    <col collapsed="false" customWidth="true" hidden="false" outlineLevel="0" max="4" min="4" style="0" width="9"/>
    <col collapsed="false" customWidth="true" hidden="false" outlineLevel="0" max="5" min="5" style="0" width="18"/>
    <col collapsed="false" customWidth="true" hidden="false" outlineLevel="0" max="6" min="6" style="0" width="13"/>
    <col collapsed="false" customWidth="true" hidden="false" outlineLevel="0" max="7" min="7" style="0" width="34"/>
  </cols>
  <sheetData>
    <row r="1" customFormat="false" ht="31.5" hidden="false" customHeight="true" outlineLevel="0" collapsed="false">
      <c r="A1" s="15" t="s">
        <v>167</v>
      </c>
      <c r="B1" s="16" t="s">
        <v>174</v>
      </c>
      <c r="C1" s="16" t="s">
        <v>175</v>
      </c>
      <c r="D1" s="16" t="s">
        <v>55</v>
      </c>
      <c r="E1" s="16" t="s">
        <v>176</v>
      </c>
      <c r="F1" s="16" t="s">
        <v>177</v>
      </c>
      <c r="G1" s="16" t="s">
        <v>178</v>
      </c>
    </row>
    <row r="2" customFormat="false" ht="15" hidden="false" customHeight="false" outlineLevel="0" collapsed="false">
      <c r="A2" s="74" t="s">
        <v>79</v>
      </c>
      <c r="B2" s="75" t="s">
        <v>179</v>
      </c>
      <c r="C2" s="75" t="s">
        <v>180</v>
      </c>
      <c r="D2" s="75" t="s">
        <v>181</v>
      </c>
      <c r="E2" s="74"/>
      <c r="F2" s="76" t="n">
        <v>46264</v>
      </c>
      <c r="G2" s="74"/>
    </row>
    <row r="3" customFormat="false" ht="15" hidden="false" customHeight="false" outlineLevel="0" collapsed="false">
      <c r="A3" s="74" t="s">
        <v>182</v>
      </c>
      <c r="B3" s="75" t="s">
        <v>183</v>
      </c>
      <c r="C3" s="75" t="s">
        <v>180</v>
      </c>
      <c r="D3" s="75" t="s">
        <v>181</v>
      </c>
      <c r="E3" s="74" t="s">
        <v>184</v>
      </c>
      <c r="F3" s="76" t="n">
        <v>46264</v>
      </c>
      <c r="G3" s="75" t="s">
        <v>185</v>
      </c>
    </row>
    <row r="4" customFormat="false" ht="15" hidden="false" customHeight="false" outlineLevel="0" collapsed="false">
      <c r="A4" s="74" t="s">
        <v>186</v>
      </c>
      <c r="B4" s="75" t="s">
        <v>187</v>
      </c>
      <c r="C4" s="75" t="s">
        <v>188</v>
      </c>
      <c r="D4" s="75" t="s">
        <v>189</v>
      </c>
      <c r="E4" s="74"/>
      <c r="F4" s="76" t="n">
        <v>46264</v>
      </c>
      <c r="G4" s="74"/>
    </row>
    <row r="5" customFormat="false" ht="15" hidden="false" customHeight="false" outlineLevel="0" collapsed="false">
      <c r="A5" s="74" t="s">
        <v>190</v>
      </c>
      <c r="B5" s="75" t="s">
        <v>191</v>
      </c>
      <c r="C5" s="75" t="s">
        <v>192</v>
      </c>
      <c r="D5" s="75" t="s">
        <v>193</v>
      </c>
      <c r="E5" s="74" t="s">
        <v>194</v>
      </c>
      <c r="F5" s="76" t="n">
        <v>46267</v>
      </c>
      <c r="G5" s="74"/>
    </row>
    <row r="6" customFormat="false" ht="15" hidden="false" customHeight="false" outlineLevel="0" collapsed="false">
      <c r="A6" s="74" t="s">
        <v>195</v>
      </c>
      <c r="B6" s="75" t="s">
        <v>196</v>
      </c>
      <c r="C6" s="75" t="s">
        <v>180</v>
      </c>
      <c r="D6" s="75" t="s">
        <v>193</v>
      </c>
      <c r="E6" s="74"/>
      <c r="F6" s="76" t="n">
        <v>46267</v>
      </c>
      <c r="G6" s="74"/>
    </row>
    <row r="7" customFormat="false" ht="15" hidden="false" customHeight="false" outlineLevel="0" collapsed="false">
      <c r="A7" s="74" t="s">
        <v>197</v>
      </c>
      <c r="B7" s="75" t="s">
        <v>198</v>
      </c>
      <c r="C7" s="75" t="s">
        <v>199</v>
      </c>
      <c r="D7" s="75" t="s">
        <v>193</v>
      </c>
      <c r="E7" s="75" t="s">
        <v>200</v>
      </c>
      <c r="F7" s="76" t="n">
        <v>46272</v>
      </c>
      <c r="G7" s="74"/>
    </row>
    <row r="8" customFormat="false" ht="15" hidden="false" customHeight="false" outlineLevel="0" collapsed="false">
      <c r="A8" s="74" t="s">
        <v>201</v>
      </c>
      <c r="B8" s="75" t="s">
        <v>202</v>
      </c>
      <c r="C8" s="75" t="s">
        <v>203</v>
      </c>
      <c r="D8" s="75" t="s">
        <v>193</v>
      </c>
      <c r="E8" s="75" t="s">
        <v>204</v>
      </c>
      <c r="F8" s="76" t="n">
        <v>46272</v>
      </c>
      <c r="G8" s="74"/>
    </row>
    <row r="9" customFormat="false" ht="15" hidden="false" customHeight="false" outlineLevel="0" collapsed="false">
      <c r="A9" s="74" t="s">
        <v>205</v>
      </c>
      <c r="B9" s="75" t="s">
        <v>206</v>
      </c>
      <c r="C9" s="75" t="s">
        <v>207</v>
      </c>
      <c r="D9" s="75" t="s">
        <v>193</v>
      </c>
      <c r="E9" s="74"/>
      <c r="F9" s="76" t="n">
        <v>46272</v>
      </c>
      <c r="G9" s="74"/>
    </row>
    <row r="10" customFormat="false" ht="15" hidden="false" customHeight="false" outlineLevel="0" collapsed="false">
      <c r="A10" s="74" t="s">
        <v>208</v>
      </c>
      <c r="B10" s="75" t="s">
        <v>209</v>
      </c>
      <c r="C10" s="75" t="s">
        <v>207</v>
      </c>
      <c r="D10" s="75" t="s">
        <v>193</v>
      </c>
      <c r="E10" s="74"/>
      <c r="F10" s="76" t="n">
        <v>46274</v>
      </c>
      <c r="G10" s="74"/>
    </row>
    <row r="11" customFormat="false" ht="15" hidden="false" customHeight="false" outlineLevel="0" collapsed="false">
      <c r="A11" s="74" t="s">
        <v>210</v>
      </c>
      <c r="B11" s="75" t="s">
        <v>211</v>
      </c>
      <c r="C11" s="75" t="s">
        <v>192</v>
      </c>
      <c r="D11" s="75" t="s">
        <v>193</v>
      </c>
      <c r="E11" s="74"/>
      <c r="F11" s="76" t="n">
        <v>46274</v>
      </c>
      <c r="G11" s="74"/>
    </row>
    <row r="12" customFormat="false" ht="15" hidden="false" customHeight="false" outlineLevel="0" collapsed="false">
      <c r="A12" s="74" t="s">
        <v>212</v>
      </c>
      <c r="B12" s="75" t="s">
        <v>213</v>
      </c>
      <c r="C12" s="75" t="s">
        <v>192</v>
      </c>
      <c r="D12" s="75" t="s">
        <v>214</v>
      </c>
      <c r="E12" s="75" t="s">
        <v>204</v>
      </c>
      <c r="F12" s="76" t="n">
        <v>46274</v>
      </c>
      <c r="G12" s="75" t="s">
        <v>215</v>
      </c>
    </row>
    <row r="13" customFormat="false" ht="15" hidden="false" customHeight="false" outlineLevel="0" collapsed="false">
      <c r="A13" s="74" t="s">
        <v>216</v>
      </c>
      <c r="B13" s="75" t="s">
        <v>217</v>
      </c>
      <c r="C13" s="75" t="s">
        <v>180</v>
      </c>
      <c r="D13" s="75" t="s">
        <v>193</v>
      </c>
      <c r="E13" s="74"/>
      <c r="F13" s="76" t="n">
        <v>46274</v>
      </c>
      <c r="G13" s="74"/>
    </row>
    <row r="14" customFormat="false" ht="15" hidden="false" customHeight="false" outlineLevel="0" collapsed="false">
      <c r="A14" s="74" t="s">
        <v>218</v>
      </c>
      <c r="B14" s="75" t="s">
        <v>219</v>
      </c>
      <c r="C14" s="75" t="s">
        <v>207</v>
      </c>
      <c r="D14" s="75" t="s">
        <v>193</v>
      </c>
      <c r="E14" s="74"/>
      <c r="F14" s="76" t="n">
        <v>46274</v>
      </c>
      <c r="G14" s="74"/>
    </row>
    <row r="15" customFormat="false" ht="15" hidden="false" customHeight="false" outlineLevel="0" collapsed="false">
      <c r="A15" s="74" t="s">
        <v>220</v>
      </c>
      <c r="B15" s="75" t="s">
        <v>221</v>
      </c>
      <c r="C15" s="75" t="s">
        <v>180</v>
      </c>
      <c r="D15" s="75" t="s">
        <v>193</v>
      </c>
      <c r="E15" s="74"/>
      <c r="F15" s="76" t="n">
        <v>46274</v>
      </c>
      <c r="G15" s="74"/>
    </row>
    <row r="16" customFormat="false" ht="15" hidden="false" customHeight="false" outlineLevel="0" collapsed="false">
      <c r="A16" s="74" t="s">
        <v>222</v>
      </c>
      <c r="B16" s="75" t="s">
        <v>223</v>
      </c>
      <c r="C16" s="75" t="s">
        <v>207</v>
      </c>
      <c r="D16" s="75" t="s">
        <v>193</v>
      </c>
      <c r="E16" s="74"/>
      <c r="F16" s="76" t="n">
        <v>46275</v>
      </c>
      <c r="G16" s="74"/>
    </row>
    <row r="17" customFormat="false" ht="15" hidden="false" customHeight="false" outlineLevel="0" collapsed="false">
      <c r="A17" s="74" t="s">
        <v>224</v>
      </c>
      <c r="B17" s="75" t="s">
        <v>225</v>
      </c>
      <c r="C17" s="75" t="s">
        <v>207</v>
      </c>
      <c r="D17" s="75" t="s">
        <v>193</v>
      </c>
      <c r="E17" s="75" t="s">
        <v>204</v>
      </c>
      <c r="F17" s="76" t="n">
        <v>46275</v>
      </c>
      <c r="G17" s="74"/>
    </row>
    <row r="18" customFormat="false" ht="15" hidden="false" customHeight="false" outlineLevel="0" collapsed="false">
      <c r="A18" s="74" t="s">
        <v>226</v>
      </c>
      <c r="B18" s="75" t="s">
        <v>227</v>
      </c>
      <c r="C18" s="75" t="s">
        <v>207</v>
      </c>
      <c r="D18" s="75" t="s">
        <v>193</v>
      </c>
      <c r="E18" s="74"/>
      <c r="F18" s="76" t="n">
        <v>46275</v>
      </c>
      <c r="G18" s="74"/>
    </row>
    <row r="19" customFormat="false" ht="15" hidden="false" customHeight="false" outlineLevel="0" collapsed="false">
      <c r="A19" s="74" t="s">
        <v>228</v>
      </c>
      <c r="B19" s="75" t="s">
        <v>229</v>
      </c>
      <c r="C19" s="75" t="s">
        <v>180</v>
      </c>
      <c r="D19" s="75" t="s">
        <v>193</v>
      </c>
      <c r="E19" s="74"/>
      <c r="F19" s="76" t="n">
        <v>46275</v>
      </c>
      <c r="G19" s="74"/>
    </row>
    <row r="20" customFormat="false" ht="15" hidden="false" customHeight="false" outlineLevel="0" collapsed="false">
      <c r="A20" s="74" t="s">
        <v>230</v>
      </c>
      <c r="B20" s="75" t="s">
        <v>231</v>
      </c>
      <c r="C20" s="75" t="s">
        <v>180</v>
      </c>
      <c r="D20" s="75" t="s">
        <v>193</v>
      </c>
      <c r="E20" s="74" t="s">
        <v>194</v>
      </c>
      <c r="F20" s="76" t="n">
        <v>46275</v>
      </c>
      <c r="G20" s="74"/>
    </row>
    <row r="21" customFormat="false" ht="15" hidden="false" customHeight="false" outlineLevel="0" collapsed="false">
      <c r="A21" s="74" t="s">
        <v>232</v>
      </c>
      <c r="B21" s="75" t="s">
        <v>233</v>
      </c>
      <c r="C21" s="75" t="s">
        <v>192</v>
      </c>
      <c r="D21" s="75" t="s">
        <v>193</v>
      </c>
      <c r="E21" s="74"/>
      <c r="F21" s="76" t="n">
        <v>46279</v>
      </c>
      <c r="G21" s="74"/>
    </row>
    <row r="22" customFormat="false" ht="15" hidden="false" customHeight="false" outlineLevel="0" collapsed="false">
      <c r="A22" s="0" t="s">
        <v>234</v>
      </c>
      <c r="B22" s="77" t="s">
        <v>235</v>
      </c>
      <c r="C22" s="77" t="s">
        <v>192</v>
      </c>
      <c r="D22" s="77" t="s">
        <v>193</v>
      </c>
      <c r="F22" s="78" t="n">
        <v>46279</v>
      </c>
    </row>
    <row r="23" customFormat="false" ht="15" hidden="false" customHeight="false" outlineLevel="0" collapsed="false">
      <c r="A23" s="0" t="s">
        <v>236</v>
      </c>
      <c r="B23" s="77" t="s">
        <v>237</v>
      </c>
      <c r="C23" s="77" t="s">
        <v>180</v>
      </c>
      <c r="D23" s="77" t="s">
        <v>193</v>
      </c>
      <c r="E23" s="0" t="s">
        <v>184</v>
      </c>
      <c r="F23" s="78" t="n">
        <v>46279</v>
      </c>
    </row>
    <row r="24" customFormat="false" ht="15" hidden="false" customHeight="false" outlineLevel="0" collapsed="false">
      <c r="A24" s="24" t="s">
        <v>238</v>
      </c>
      <c r="B24" s="77" t="s">
        <v>239</v>
      </c>
      <c r="C24" s="77" t="s">
        <v>240</v>
      </c>
      <c r="D24" s="77" t="s">
        <v>193</v>
      </c>
      <c r="F24" s="78" t="n">
        <v>46279</v>
      </c>
    </row>
    <row r="25" customFormat="false" ht="15" hidden="false" customHeight="false" outlineLevel="0" collapsed="false">
      <c r="A25" s="0" t="s">
        <v>241</v>
      </c>
      <c r="B25" s="77" t="s">
        <v>242</v>
      </c>
      <c r="C25" s="77" t="s">
        <v>199</v>
      </c>
      <c r="D25" s="77" t="s">
        <v>193</v>
      </c>
      <c r="F25" s="78" t="n">
        <v>46280</v>
      </c>
    </row>
    <row r="26" customFormat="false" ht="15" hidden="false" customHeight="false" outlineLevel="0" collapsed="false">
      <c r="A26" s="0" t="s">
        <v>243</v>
      </c>
      <c r="B26" s="77" t="s">
        <v>244</v>
      </c>
      <c r="C26" s="77" t="s">
        <v>199</v>
      </c>
      <c r="D26" s="77" t="s">
        <v>193</v>
      </c>
      <c r="F26" s="78" t="n">
        <v>46282</v>
      </c>
    </row>
    <row r="27" customFormat="false" ht="15" hidden="false" customHeight="false" outlineLevel="0" collapsed="false">
      <c r="A27" s="0" t="s">
        <v>245</v>
      </c>
      <c r="B27" s="77" t="s">
        <v>246</v>
      </c>
      <c r="C27" s="77" t="s">
        <v>180</v>
      </c>
      <c r="D27" s="77" t="s">
        <v>193</v>
      </c>
      <c r="F27" s="78" t="n">
        <v>46288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76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2"/>
    <col collapsed="false" customWidth="true" hidden="false" outlineLevel="0" max="3" min="3" style="0" width="7"/>
    <col collapsed="false" customWidth="true" hidden="false" outlineLevel="0" max="4" min="4" style="0" width="5"/>
    <col collapsed="false" customWidth="true" hidden="false" outlineLevel="0" max="5" min="5" style="0" width="12"/>
    <col collapsed="false" customWidth="true" hidden="false" outlineLevel="0" max="6" min="6" style="0" width="7"/>
    <col collapsed="false" customWidth="true" hidden="false" outlineLevel="0" max="7" min="7" style="0" width="12"/>
    <col collapsed="false" customWidth="true" hidden="false" outlineLevel="0" max="8" min="8" style="0" width="11"/>
    <col collapsed="false" customWidth="true" hidden="false" outlineLevel="0" max="9" min="9" style="0" width="13"/>
    <col collapsed="false" customWidth="true" hidden="false" outlineLevel="0" max="15" min="10" style="0" width="14"/>
    <col collapsed="false" customWidth="true" hidden="false" outlineLevel="0" max="16" min="16" style="0" width="13"/>
    <col collapsed="false" customWidth="true" hidden="false" outlineLevel="0" max="17" min="17" style="0" width="12"/>
    <col collapsed="false" customWidth="true" hidden="false" outlineLevel="0" max="18" min="18" style="0" width="6"/>
    <col collapsed="false" customWidth="true" hidden="false" outlineLevel="0" max="19" min="19" style="0" width="11"/>
  </cols>
  <sheetData>
    <row r="1" customFormat="false" ht="31.5" hidden="false" customHeight="true" outlineLevel="0" collapsed="false">
      <c r="A1" s="15" t="s">
        <v>167</v>
      </c>
      <c r="B1" s="15" t="s">
        <v>247</v>
      </c>
      <c r="C1" s="15" t="s">
        <v>248</v>
      </c>
      <c r="D1" s="15" t="s">
        <v>249</v>
      </c>
      <c r="E1" s="15" t="s">
        <v>250</v>
      </c>
      <c r="F1" s="15" t="s">
        <v>251</v>
      </c>
      <c r="G1" s="15" t="s">
        <v>252</v>
      </c>
      <c r="H1" s="15" t="s">
        <v>253</v>
      </c>
      <c r="I1" s="15" t="s">
        <v>254</v>
      </c>
      <c r="J1" s="15" t="s">
        <v>255</v>
      </c>
      <c r="K1" s="15" t="s">
        <v>256</v>
      </c>
      <c r="L1" s="15" t="s">
        <v>257</v>
      </c>
      <c r="M1" s="15" t="s">
        <v>258</v>
      </c>
      <c r="N1" s="15" t="s">
        <v>259</v>
      </c>
      <c r="O1" s="15" t="s">
        <v>260</v>
      </c>
      <c r="P1" s="15" t="s">
        <v>261</v>
      </c>
      <c r="Q1" s="15" t="s">
        <v>262</v>
      </c>
      <c r="R1" s="15" t="s">
        <v>263</v>
      </c>
      <c r="S1" s="15" t="s">
        <v>264</v>
      </c>
    </row>
    <row r="2" customFormat="false" ht="15" hidden="false" customHeight="false" outlineLevel="0" collapsed="false">
      <c r="A2" s="79" t="s">
        <v>208</v>
      </c>
      <c r="B2" s="79" t="s">
        <v>265</v>
      </c>
      <c r="C2" s="80" t="n">
        <v>2026</v>
      </c>
      <c r="D2" s="80" t="n">
        <v>3</v>
      </c>
      <c r="E2" s="81" t="n">
        <v>46295</v>
      </c>
      <c r="F2" s="79" t="s">
        <v>266</v>
      </c>
      <c r="G2" s="79" t="s">
        <v>267</v>
      </c>
      <c r="H2" s="79" t="s">
        <v>268</v>
      </c>
      <c r="I2" s="82"/>
      <c r="J2" s="82"/>
      <c r="K2" s="82"/>
      <c r="L2" s="83" t="n">
        <v>118.40075</v>
      </c>
      <c r="M2" s="82"/>
      <c r="N2" s="82"/>
      <c r="O2" s="82"/>
      <c r="P2" s="83"/>
      <c r="Q2" s="83"/>
      <c r="R2" s="47" t="n">
        <v>0</v>
      </c>
      <c r="S2" s="66" t="s">
        <v>269</v>
      </c>
    </row>
    <row r="3" customFormat="false" ht="15" hidden="false" customHeight="false" outlineLevel="0" collapsed="false">
      <c r="A3" s="79" t="s">
        <v>208</v>
      </c>
      <c r="B3" s="79" t="s">
        <v>270</v>
      </c>
      <c r="C3" s="80" t="n">
        <v>2026</v>
      </c>
      <c r="D3" s="80" t="n">
        <v>2</v>
      </c>
      <c r="E3" s="81" t="n">
        <v>46203</v>
      </c>
      <c r="F3" s="79" t="s">
        <v>271</v>
      </c>
      <c r="G3" s="79" t="s">
        <v>272</v>
      </c>
      <c r="H3" s="79" t="s">
        <v>268</v>
      </c>
      <c r="I3" s="82" t="n">
        <v>10830.041</v>
      </c>
      <c r="J3" s="82" t="n">
        <v>9467.885</v>
      </c>
      <c r="K3" s="82" t="n">
        <v>7088061000</v>
      </c>
      <c r="L3" s="83" t="n">
        <v>74.38</v>
      </c>
      <c r="M3" s="82" t="n">
        <v>95.2971</v>
      </c>
      <c r="N3" s="82" t="n">
        <v>0</v>
      </c>
      <c r="O3" s="82" t="n">
        <v>33753.838</v>
      </c>
      <c r="P3" s="83" t="n">
        <v>0</v>
      </c>
      <c r="Q3" s="83" t="n">
        <v>7360</v>
      </c>
      <c r="R3" s="47" t="n">
        <v>1</v>
      </c>
      <c r="S3" s="66" t="s">
        <v>273</v>
      </c>
    </row>
    <row r="4" customFormat="false" ht="15" hidden="false" customHeight="false" outlineLevel="0" collapsed="false">
      <c r="A4" s="79" t="s">
        <v>208</v>
      </c>
      <c r="B4" s="79" t="s">
        <v>274</v>
      </c>
      <c r="C4" s="80" t="n">
        <v>2026</v>
      </c>
      <c r="D4" s="80" t="n">
        <v>1</v>
      </c>
      <c r="E4" s="81" t="n">
        <v>46112</v>
      </c>
      <c r="F4" s="79" t="s">
        <v>271</v>
      </c>
      <c r="G4" s="79" t="s">
        <v>272</v>
      </c>
      <c r="H4" s="79" t="s">
        <v>268</v>
      </c>
      <c r="I4" s="82" t="n">
        <v>5449.725</v>
      </c>
      <c r="J4" s="82" t="n">
        <v>4236.615</v>
      </c>
      <c r="K4" s="82" t="n">
        <v>3485810000</v>
      </c>
      <c r="L4" s="83" t="n">
        <v>36.58</v>
      </c>
      <c r="M4" s="82" t="n">
        <v>95.2971</v>
      </c>
      <c r="N4" s="82" t="n">
        <v>0</v>
      </c>
      <c r="O4" s="82" t="n">
        <v>31528.643</v>
      </c>
      <c r="P4" s="83" t="n">
        <v>0</v>
      </c>
      <c r="Q4" s="83" t="n">
        <v>3175</v>
      </c>
      <c r="R4" s="47" t="n">
        <v>2</v>
      </c>
      <c r="S4" s="66" t="s">
        <v>275</v>
      </c>
    </row>
    <row r="5" customFormat="false" ht="15" hidden="false" customHeight="false" outlineLevel="0" collapsed="false">
      <c r="A5" s="79" t="s">
        <v>208</v>
      </c>
      <c r="B5" s="79" t="s">
        <v>276</v>
      </c>
      <c r="C5" s="80" t="n">
        <v>2025</v>
      </c>
      <c r="D5" s="80" t="n">
        <v>4</v>
      </c>
      <c r="E5" s="81" t="n">
        <v>46022</v>
      </c>
      <c r="F5" s="79" t="s">
        <v>271</v>
      </c>
      <c r="G5" s="79" t="s">
        <v>272</v>
      </c>
      <c r="H5" s="79" t="s">
        <v>268</v>
      </c>
      <c r="I5" s="82" t="n">
        <v>4949.108</v>
      </c>
      <c r="J5" s="82" t="n">
        <v>3766.315</v>
      </c>
      <c r="K5" s="82" t="n">
        <v>3514399000</v>
      </c>
      <c r="L5" s="83" t="n">
        <v>36.88</v>
      </c>
      <c r="M5" s="82" t="n">
        <v>95.2971</v>
      </c>
      <c r="N5" s="82" t="n">
        <v>0</v>
      </c>
      <c r="O5" s="82" t="n">
        <v>28025.959</v>
      </c>
      <c r="P5" s="83" t="n">
        <v>0</v>
      </c>
      <c r="Q5" s="83" t="n">
        <v>3750</v>
      </c>
      <c r="R5" s="47" t="n">
        <v>3</v>
      </c>
      <c r="S5" s="66" t="s">
        <v>277</v>
      </c>
    </row>
    <row r="6" customFormat="false" ht="15" hidden="false" customHeight="false" outlineLevel="0" collapsed="false">
      <c r="A6" s="79" t="s">
        <v>208</v>
      </c>
      <c r="B6" s="79" t="s">
        <v>278</v>
      </c>
      <c r="C6" s="80" t="n">
        <v>2025</v>
      </c>
      <c r="D6" s="80" t="n">
        <v>3</v>
      </c>
      <c r="E6" s="81" t="n">
        <v>45930</v>
      </c>
      <c r="F6" s="79" t="s">
        <v>271</v>
      </c>
      <c r="G6" s="79" t="s">
        <v>272</v>
      </c>
      <c r="H6" s="79" t="s">
        <v>268</v>
      </c>
      <c r="I6" s="82" t="n">
        <v>4368.654</v>
      </c>
      <c r="J6" s="82" t="n">
        <v>3258.022</v>
      </c>
      <c r="K6" s="82" t="n">
        <v>3197092000</v>
      </c>
      <c r="L6" s="83" t="n">
        <v>33.55</v>
      </c>
      <c r="M6" s="82" t="n">
        <v>95.2971</v>
      </c>
      <c r="N6" s="82" t="n">
        <v>0</v>
      </c>
      <c r="O6" s="82" t="n">
        <v>24487.028</v>
      </c>
      <c r="P6" s="83" t="n">
        <v>32.2</v>
      </c>
      <c r="Q6" s="83" t="n">
        <v>3290</v>
      </c>
      <c r="R6" s="47" t="n">
        <v>4</v>
      </c>
      <c r="S6" s="66" t="s">
        <v>279</v>
      </c>
    </row>
    <row r="7" customFormat="false" ht="15" hidden="false" customHeight="false" outlineLevel="0" collapsed="false">
      <c r="A7" s="79" t="s">
        <v>208</v>
      </c>
      <c r="B7" s="79" t="s">
        <v>280</v>
      </c>
      <c r="C7" s="80" t="n">
        <v>2025</v>
      </c>
      <c r="D7" s="80" t="n">
        <v>2</v>
      </c>
      <c r="E7" s="81" t="n">
        <v>45838</v>
      </c>
      <c r="F7" s="79" t="s">
        <v>271</v>
      </c>
      <c r="G7" s="79" t="s">
        <v>272</v>
      </c>
      <c r="H7" s="79" t="s">
        <v>268</v>
      </c>
      <c r="I7" s="82" t="n">
        <v>4228.734</v>
      </c>
      <c r="J7" s="82" t="n">
        <v>3277.081</v>
      </c>
      <c r="K7" s="82" t="n">
        <v>614102000</v>
      </c>
      <c r="L7" s="83" t="n">
        <v>6.45</v>
      </c>
      <c r="M7" s="82" t="n">
        <v>95.2971</v>
      </c>
      <c r="N7" s="82" t="n">
        <v>0</v>
      </c>
      <c r="O7" s="82" t="n">
        <v>21257.127</v>
      </c>
      <c r="P7" s="83" t="n">
        <v>0</v>
      </c>
      <c r="Q7" s="83" t="n">
        <v>2035</v>
      </c>
      <c r="R7" s="47" t="n">
        <v>5</v>
      </c>
      <c r="S7" s="66" t="s">
        <v>281</v>
      </c>
    </row>
    <row r="8" customFormat="false" ht="15" hidden="false" customHeight="false" outlineLevel="0" collapsed="false">
      <c r="A8" s="79" t="s">
        <v>208</v>
      </c>
      <c r="B8" s="79" t="s">
        <v>282</v>
      </c>
      <c r="C8" s="80" t="n">
        <v>2025</v>
      </c>
      <c r="D8" s="80" t="n">
        <v>1</v>
      </c>
      <c r="E8" s="81" t="n">
        <v>45747</v>
      </c>
      <c r="F8" s="79" t="s">
        <v>271</v>
      </c>
      <c r="G8" s="79" t="s">
        <v>272</v>
      </c>
      <c r="H8" s="79" t="s">
        <v>268</v>
      </c>
      <c r="I8" s="82" t="n">
        <v>3954.199</v>
      </c>
      <c r="J8" s="82" t="n">
        <v>3007.358</v>
      </c>
      <c r="K8" s="82" t="n">
        <v>2511474000</v>
      </c>
      <c r="L8" s="83" t="n">
        <v>26.35</v>
      </c>
      <c r="M8" s="82" t="n">
        <v>95.2971</v>
      </c>
      <c r="N8" s="82" t="n">
        <v>0</v>
      </c>
      <c r="O8" s="82" t="n">
        <v>23815.668</v>
      </c>
      <c r="P8" s="83" t="n">
        <v>0</v>
      </c>
      <c r="Q8" s="83" t="n">
        <v>1650</v>
      </c>
      <c r="R8" s="47" t="n">
        <v>6</v>
      </c>
      <c r="S8" s="66" t="s">
        <v>283</v>
      </c>
    </row>
    <row r="9" customFormat="false" ht="15" hidden="false" customHeight="false" outlineLevel="0" collapsed="false">
      <c r="A9" s="79" t="s">
        <v>208</v>
      </c>
      <c r="B9" s="79" t="s">
        <v>284</v>
      </c>
      <c r="C9" s="80" t="n">
        <v>2024</v>
      </c>
      <c r="D9" s="80" t="n">
        <v>4</v>
      </c>
      <c r="E9" s="81" t="n">
        <v>45657</v>
      </c>
      <c r="F9" s="79" t="s">
        <v>271</v>
      </c>
      <c r="G9" s="79" t="s">
        <v>272</v>
      </c>
      <c r="H9" s="79" t="s">
        <v>268</v>
      </c>
      <c r="I9" s="82" t="n">
        <v>3098.146</v>
      </c>
      <c r="J9" s="82" t="n">
        <v>2224.699</v>
      </c>
      <c r="K9" s="82" t="n">
        <v>2157266000</v>
      </c>
      <c r="L9" s="83" t="n">
        <v>22.63</v>
      </c>
      <c r="M9" s="82" t="n">
        <v>95.2971</v>
      </c>
      <c r="N9" s="82" t="n">
        <v>0</v>
      </c>
      <c r="O9" s="82" t="n">
        <v>21292.363</v>
      </c>
      <c r="P9" s="83" t="n">
        <v>0</v>
      </c>
      <c r="Q9" s="83" t="n">
        <v>1550</v>
      </c>
      <c r="R9" s="47" t="n">
        <v>7</v>
      </c>
      <c r="S9" s="66" t="s">
        <v>285</v>
      </c>
    </row>
    <row r="10" customFormat="false" ht="15" hidden="false" customHeight="false" outlineLevel="0" collapsed="false">
      <c r="A10" s="79" t="s">
        <v>208</v>
      </c>
      <c r="B10" s="79" t="s">
        <v>286</v>
      </c>
      <c r="C10" s="80" t="n">
        <v>2024</v>
      </c>
      <c r="D10" s="80" t="n">
        <v>3</v>
      </c>
      <c r="E10" s="81" t="n">
        <v>45565</v>
      </c>
      <c r="F10" s="79" t="s">
        <v>271</v>
      </c>
      <c r="G10" s="79" t="s">
        <v>272</v>
      </c>
      <c r="H10" s="79" t="s">
        <v>268</v>
      </c>
      <c r="I10" s="82" t="n">
        <v>2576.679</v>
      </c>
      <c r="J10" s="82" t="n">
        <v>1817.552</v>
      </c>
      <c r="K10" s="82" t="n">
        <v>1154983000</v>
      </c>
      <c r="L10" s="83" t="n">
        <v>12.12</v>
      </c>
      <c r="M10" s="82" t="n">
        <v>95.2971</v>
      </c>
      <c r="N10" s="82" t="n">
        <v>0</v>
      </c>
      <c r="O10" s="82" t="n">
        <v>19108.196</v>
      </c>
      <c r="P10" s="83" t="n">
        <v>14.19</v>
      </c>
      <c r="Q10" s="83" t="n">
        <v>1100</v>
      </c>
      <c r="R10" s="47" t="n">
        <v>8</v>
      </c>
      <c r="S10" s="66" t="s">
        <v>287</v>
      </c>
    </row>
    <row r="11" customFormat="false" ht="15" hidden="false" customHeight="false" outlineLevel="0" collapsed="false">
      <c r="A11" s="79" t="s">
        <v>208</v>
      </c>
      <c r="B11" s="79" t="s">
        <v>288</v>
      </c>
      <c r="C11" s="80" t="n">
        <v>2024</v>
      </c>
      <c r="D11" s="80" t="n">
        <v>2</v>
      </c>
      <c r="E11" s="81" t="n">
        <v>45473</v>
      </c>
      <c r="F11" s="79" t="s">
        <v>271</v>
      </c>
      <c r="G11" s="79" t="s">
        <v>272</v>
      </c>
      <c r="H11" s="79" t="s">
        <v>268</v>
      </c>
      <c r="I11" s="82" t="n">
        <v>2516.669</v>
      </c>
      <c r="J11" s="82" t="n">
        <v>1752.308</v>
      </c>
      <c r="K11" s="82" t="n">
        <v>1456409000</v>
      </c>
      <c r="L11" s="83" t="n">
        <v>15.29</v>
      </c>
      <c r="M11" s="82" t="n">
        <v>95.2971</v>
      </c>
      <c r="N11" s="82" t="n">
        <v>0</v>
      </c>
      <c r="O11" s="82" t="n">
        <v>17969.895</v>
      </c>
      <c r="P11" s="83" t="n">
        <v>0</v>
      </c>
      <c r="Q11" s="83" t="n">
        <v>1240</v>
      </c>
      <c r="R11" s="47" t="n">
        <v>9</v>
      </c>
      <c r="S11" s="66" t="s">
        <v>289</v>
      </c>
    </row>
    <row r="12" customFormat="false" ht="15" hidden="false" customHeight="false" outlineLevel="0" collapsed="false">
      <c r="A12" s="79" t="s">
        <v>208</v>
      </c>
      <c r="B12" s="79" t="s">
        <v>290</v>
      </c>
      <c r="C12" s="80" t="n">
        <v>2024</v>
      </c>
      <c r="D12" s="80" t="n">
        <v>1</v>
      </c>
      <c r="E12" s="81" t="n">
        <v>45382</v>
      </c>
      <c r="F12" s="79" t="s">
        <v>271</v>
      </c>
      <c r="G12" s="79" t="s">
        <v>272</v>
      </c>
      <c r="H12" s="79" t="s">
        <v>268</v>
      </c>
      <c r="I12" s="82" t="n">
        <v>1937.807</v>
      </c>
      <c r="J12" s="82" t="n">
        <v>1207.12</v>
      </c>
      <c r="K12" s="82" t="n">
        <v>1386926000</v>
      </c>
      <c r="L12" s="83" t="n">
        <v>14.55</v>
      </c>
      <c r="M12" s="82" t="n">
        <v>95.2971</v>
      </c>
      <c r="N12" s="82" t="n">
        <v>0</v>
      </c>
      <c r="O12" s="82" t="n">
        <v>17854.479</v>
      </c>
      <c r="P12" s="83" t="n">
        <v>0</v>
      </c>
      <c r="Q12" s="83" t="n">
        <v>1250</v>
      </c>
      <c r="R12" s="47" t="n">
        <v>10</v>
      </c>
      <c r="S12" s="66" t="s">
        <v>291</v>
      </c>
    </row>
    <row r="13" customFormat="false" ht="15" hidden="false" customHeight="false" outlineLevel="0" collapsed="false">
      <c r="A13" s="79" t="s">
        <v>208</v>
      </c>
      <c r="B13" s="79" t="s">
        <v>292</v>
      </c>
      <c r="C13" s="80" t="n">
        <v>2023</v>
      </c>
      <c r="D13" s="80" t="n">
        <v>4</v>
      </c>
      <c r="E13" s="81" t="n">
        <v>45291</v>
      </c>
      <c r="F13" s="79" t="s">
        <v>271</v>
      </c>
      <c r="G13" s="79" t="s">
        <v>272</v>
      </c>
      <c r="H13" s="79" t="s">
        <v>268</v>
      </c>
      <c r="I13" s="82" t="n">
        <v>1864.791</v>
      </c>
      <c r="J13" s="82" t="n">
        <v>1246.186</v>
      </c>
      <c r="K13" s="82" t="n">
        <v>549971000</v>
      </c>
      <c r="L13" s="83" t="n">
        <v>5.77</v>
      </c>
      <c r="M13" s="82" t="n">
        <v>95.2971</v>
      </c>
      <c r="N13" s="82" t="n">
        <v>0</v>
      </c>
      <c r="O13" s="82" t="n">
        <v>16436.179</v>
      </c>
      <c r="P13" s="83" t="n">
        <v>0</v>
      </c>
      <c r="Q13" s="83" t="n">
        <v>914</v>
      </c>
      <c r="R13" s="47" t="n">
        <v>11</v>
      </c>
      <c r="S13" s="66" t="s">
        <v>293</v>
      </c>
    </row>
    <row r="14" customFormat="false" ht="15" hidden="false" customHeight="false" outlineLevel="0" collapsed="false">
      <c r="A14" s="79" t="s">
        <v>208</v>
      </c>
      <c r="B14" s="79" t="s">
        <v>294</v>
      </c>
      <c r="C14" s="80" t="n">
        <v>2023</v>
      </c>
      <c r="D14" s="80" t="n">
        <v>3</v>
      </c>
      <c r="E14" s="81" t="n">
        <v>45199</v>
      </c>
      <c r="F14" s="79" t="s">
        <v>271</v>
      </c>
      <c r="G14" s="79" t="s">
        <v>272</v>
      </c>
      <c r="H14" s="79" t="s">
        <v>268</v>
      </c>
      <c r="I14" s="82" t="n">
        <v>1423.009</v>
      </c>
      <c r="J14" s="82" t="n">
        <v>831.391</v>
      </c>
      <c r="K14" s="82" t="n">
        <v>981982000</v>
      </c>
      <c r="L14" s="83" t="n">
        <v>10.31</v>
      </c>
      <c r="M14" s="82" t="n">
        <v>95.2971</v>
      </c>
      <c r="N14" s="82" t="n">
        <v>0</v>
      </c>
      <c r="O14" s="82" t="n">
        <v>15920.681</v>
      </c>
      <c r="P14" s="83" t="n">
        <v>20</v>
      </c>
      <c r="Q14" s="83" t="n">
        <v>828</v>
      </c>
      <c r="R14" s="47" t="n">
        <v>12</v>
      </c>
      <c r="S14" s="66" t="s">
        <v>295</v>
      </c>
    </row>
    <row r="15" customFormat="false" ht="15" hidden="false" customHeight="false" outlineLevel="0" collapsed="false">
      <c r="A15" s="79" t="s">
        <v>208</v>
      </c>
      <c r="B15" s="79" t="s">
        <v>296</v>
      </c>
      <c r="C15" s="80" t="n">
        <v>2023</v>
      </c>
      <c r="D15" s="80" t="n">
        <v>2</v>
      </c>
      <c r="E15" s="81" t="n">
        <v>45107</v>
      </c>
      <c r="F15" s="79" t="s">
        <v>271</v>
      </c>
      <c r="G15" s="79" t="s">
        <v>272</v>
      </c>
      <c r="H15" s="79" t="s">
        <v>268</v>
      </c>
      <c r="I15" s="82" t="n">
        <v>1313.864</v>
      </c>
      <c r="J15" s="82" t="n">
        <v>777.041</v>
      </c>
      <c r="K15" s="82" t="n">
        <v>714651000</v>
      </c>
      <c r="L15" s="83" t="n">
        <v>7.5</v>
      </c>
      <c r="M15" s="82" t="n">
        <v>95.2971</v>
      </c>
      <c r="N15" s="82" t="n">
        <v>0</v>
      </c>
      <c r="O15" s="82" t="n">
        <v>14902.262</v>
      </c>
      <c r="P15" s="83" t="n">
        <v>0</v>
      </c>
      <c r="Q15" s="83" t="n">
        <v>663</v>
      </c>
      <c r="R15" s="47" t="n">
        <v>13</v>
      </c>
      <c r="S15" s="66" t="s">
        <v>297</v>
      </c>
    </row>
    <row r="16" customFormat="false" ht="15" hidden="false" customHeight="false" outlineLevel="0" collapsed="false">
      <c r="A16" s="79" t="s">
        <v>208</v>
      </c>
      <c r="B16" s="79" t="s">
        <v>298</v>
      </c>
      <c r="C16" s="80" t="n">
        <v>2023</v>
      </c>
      <c r="D16" s="80" t="n">
        <v>1</v>
      </c>
      <c r="E16" s="81" t="n">
        <v>45016</v>
      </c>
      <c r="F16" s="79" t="s">
        <v>271</v>
      </c>
      <c r="G16" s="79" t="s">
        <v>272</v>
      </c>
      <c r="H16" s="79" t="s">
        <v>268</v>
      </c>
      <c r="I16" s="82" t="n">
        <v>1161.307</v>
      </c>
      <c r="J16" s="82" t="n">
        <v>676.914</v>
      </c>
      <c r="K16" s="82" t="n">
        <v>457715000</v>
      </c>
      <c r="L16" s="83" t="n">
        <v>4.8</v>
      </c>
      <c r="M16" s="82" t="n">
        <v>95.2971</v>
      </c>
      <c r="N16" s="82" t="n">
        <v>0</v>
      </c>
      <c r="O16" s="82" t="n">
        <v>16096.464</v>
      </c>
      <c r="P16" s="83" t="n">
        <v>0</v>
      </c>
      <c r="Q16" s="83" t="n">
        <v>384.5</v>
      </c>
      <c r="R16" s="47" t="n">
        <v>14</v>
      </c>
      <c r="S16" s="66" t="s">
        <v>299</v>
      </c>
    </row>
    <row r="17" customFormat="false" ht="15" hidden="false" customHeight="false" outlineLevel="0" collapsed="false">
      <c r="A17" s="79" t="s">
        <v>208</v>
      </c>
      <c r="B17" s="79" t="s">
        <v>300</v>
      </c>
      <c r="C17" s="80" t="n">
        <v>2022</v>
      </c>
      <c r="D17" s="80" t="n">
        <v>4</v>
      </c>
      <c r="E17" s="81" t="n">
        <v>44926</v>
      </c>
      <c r="F17" s="79" t="s">
        <v>271</v>
      </c>
      <c r="G17" s="79" t="s">
        <v>272</v>
      </c>
      <c r="H17" s="79" t="s">
        <v>268</v>
      </c>
      <c r="I17" s="82" t="n">
        <v>1988.088</v>
      </c>
      <c r="J17" s="82" t="n">
        <v>1172.923</v>
      </c>
      <c r="K17" s="82" t="n">
        <v>664877000</v>
      </c>
      <c r="L17" s="83" t="n">
        <v>6.97</v>
      </c>
      <c r="M17" s="82" t="n">
        <v>95.2971</v>
      </c>
      <c r="N17" s="82" t="n">
        <v>0</v>
      </c>
      <c r="O17" s="82" t="n">
        <v>15638.337</v>
      </c>
      <c r="P17" s="83" t="n">
        <v>0</v>
      </c>
      <c r="Q17" s="83" t="n">
        <v>384</v>
      </c>
      <c r="R17" s="47" t="n">
        <v>15</v>
      </c>
      <c r="S17" s="66" t="s">
        <v>301</v>
      </c>
    </row>
    <row r="18" customFormat="false" ht="15" hidden="false" customHeight="false" outlineLevel="0" collapsed="false">
      <c r="A18" s="79" t="s">
        <v>208</v>
      </c>
      <c r="B18" s="79" t="s">
        <v>302</v>
      </c>
      <c r="C18" s="80" t="n">
        <v>2022</v>
      </c>
      <c r="D18" s="80" t="n">
        <v>3</v>
      </c>
      <c r="E18" s="81" t="n">
        <v>44834</v>
      </c>
      <c r="F18" s="79" t="s">
        <v>271</v>
      </c>
      <c r="G18" s="79" t="s">
        <v>272</v>
      </c>
      <c r="H18" s="79" t="s">
        <v>268</v>
      </c>
      <c r="I18" s="82" t="n">
        <v>2150.386</v>
      </c>
      <c r="J18" s="82" t="n">
        <v>1237.369</v>
      </c>
      <c r="K18" s="82" t="n">
        <v>1482338000</v>
      </c>
      <c r="L18" s="83" t="n">
        <v>15.56</v>
      </c>
      <c r="M18" s="82" t="n">
        <v>95.2971</v>
      </c>
      <c r="N18" s="82" t="n">
        <v>0</v>
      </c>
      <c r="O18" s="82" t="n">
        <v>14966.209</v>
      </c>
      <c r="P18" s="83" t="n">
        <v>10.88</v>
      </c>
      <c r="Q18" s="83" t="n">
        <v>473</v>
      </c>
      <c r="R18" s="47" t="n">
        <v>16</v>
      </c>
      <c r="S18" s="66" t="s">
        <v>303</v>
      </c>
    </row>
    <row r="19" customFormat="false" ht="15" hidden="false" customHeight="false" outlineLevel="0" collapsed="false">
      <c r="A19" s="79" t="s">
        <v>208</v>
      </c>
      <c r="B19" s="79" t="s">
        <v>304</v>
      </c>
      <c r="C19" s="80" t="n">
        <v>2022</v>
      </c>
      <c r="D19" s="80" t="n">
        <v>2</v>
      </c>
      <c r="E19" s="81" t="n">
        <v>44742</v>
      </c>
      <c r="F19" s="79" t="s">
        <v>271</v>
      </c>
      <c r="G19" s="79" t="s">
        <v>272</v>
      </c>
      <c r="H19" s="79" t="s">
        <v>268</v>
      </c>
      <c r="I19" s="82" t="n">
        <v>1936.635</v>
      </c>
      <c r="J19" s="82" t="n">
        <v>1127.221</v>
      </c>
      <c r="K19" s="82" t="n">
        <v>999096000</v>
      </c>
      <c r="L19" s="83" t="n">
        <v>10.48</v>
      </c>
      <c r="M19" s="82" t="n">
        <v>95.2971</v>
      </c>
      <c r="N19" s="82" t="n">
        <v>0</v>
      </c>
      <c r="O19" s="82" t="n">
        <v>13480.162</v>
      </c>
      <c r="P19" s="83" t="n">
        <v>0</v>
      </c>
      <c r="Q19" s="83" t="n">
        <v>408</v>
      </c>
      <c r="R19" s="47" t="n">
        <v>17</v>
      </c>
      <c r="S19" s="66" t="s">
        <v>305</v>
      </c>
    </row>
    <row r="20" customFormat="false" ht="15" hidden="false" customHeight="false" outlineLevel="0" collapsed="false">
      <c r="A20" s="79" t="s">
        <v>208</v>
      </c>
      <c r="B20" s="79" t="s">
        <v>306</v>
      </c>
      <c r="C20" s="80" t="n">
        <v>2022</v>
      </c>
      <c r="D20" s="80" t="n">
        <v>1</v>
      </c>
      <c r="E20" s="81" t="n">
        <v>44651</v>
      </c>
      <c r="F20" s="79" t="s">
        <v>271</v>
      </c>
      <c r="G20" s="79" t="s">
        <v>272</v>
      </c>
      <c r="H20" s="79" t="s">
        <v>268</v>
      </c>
      <c r="I20" s="82" t="n">
        <v>1723.522</v>
      </c>
      <c r="J20" s="82" t="n">
        <v>928.463</v>
      </c>
      <c r="K20" s="82" t="n">
        <v>909834000</v>
      </c>
      <c r="L20" s="83" t="n">
        <v>9.55</v>
      </c>
      <c r="M20" s="82" t="n">
        <v>95.2971</v>
      </c>
      <c r="N20" s="82" t="n">
        <v>0</v>
      </c>
      <c r="O20" s="82" t="n">
        <v>13518.277</v>
      </c>
      <c r="P20" s="83" t="n">
        <v>0</v>
      </c>
      <c r="Q20" s="83" t="n">
        <v>437</v>
      </c>
      <c r="R20" s="47" t="n">
        <v>18</v>
      </c>
      <c r="S20" s="66" t="s">
        <v>307</v>
      </c>
    </row>
    <row r="21" customFormat="false" ht="15" hidden="false" customHeight="false" outlineLevel="0" collapsed="false">
      <c r="A21" s="79" t="s">
        <v>208</v>
      </c>
      <c r="B21" s="79" t="s">
        <v>308</v>
      </c>
      <c r="C21" s="80" t="n">
        <v>2021</v>
      </c>
      <c r="D21" s="80" t="n">
        <v>4</v>
      </c>
      <c r="E21" s="81" t="n">
        <v>44561</v>
      </c>
      <c r="F21" s="79" t="s">
        <v>271</v>
      </c>
      <c r="G21" s="79" t="s">
        <v>272</v>
      </c>
      <c r="H21" s="79" t="s">
        <v>268</v>
      </c>
      <c r="I21" s="82" t="n">
        <v>1816.978</v>
      </c>
      <c r="J21" s="82" t="n">
        <v>977.712</v>
      </c>
      <c r="K21" s="82" t="n">
        <v>623680000</v>
      </c>
      <c r="L21" s="83" t="n">
        <v>6.55</v>
      </c>
      <c r="M21" s="82" t="n">
        <v>95.2971</v>
      </c>
      <c r="N21" s="82" t="n">
        <v>0</v>
      </c>
      <c r="O21" s="82" t="n">
        <v>12603.287</v>
      </c>
      <c r="P21" s="83" t="n">
        <v>0</v>
      </c>
      <c r="Q21" s="83" t="n">
        <v>517</v>
      </c>
      <c r="R21" s="47" t="n">
        <v>19</v>
      </c>
      <c r="S21" s="66" t="s">
        <v>309</v>
      </c>
    </row>
    <row r="22" customFormat="false" ht="15" hidden="false" customHeight="false" outlineLevel="0" collapsed="false">
      <c r="A22" s="79" t="s">
        <v>208</v>
      </c>
      <c r="B22" s="79" t="s">
        <v>310</v>
      </c>
      <c r="C22" s="80" t="n">
        <v>2021</v>
      </c>
      <c r="D22" s="80" t="n">
        <v>3</v>
      </c>
      <c r="E22" s="81" t="n">
        <v>44469</v>
      </c>
      <c r="F22" s="79" t="s">
        <v>271</v>
      </c>
      <c r="G22" s="79" t="s">
        <v>272</v>
      </c>
      <c r="H22" s="79" t="s">
        <v>268</v>
      </c>
      <c r="I22" s="82" t="n">
        <v>1758.193</v>
      </c>
      <c r="J22" s="82" t="n">
        <v>959.238</v>
      </c>
      <c r="K22" s="82" t="n">
        <v>630757000</v>
      </c>
      <c r="L22" s="83" t="n">
        <v>6.62</v>
      </c>
      <c r="M22" s="82" t="n">
        <v>95.2971</v>
      </c>
      <c r="N22" s="82" t="n">
        <v>0</v>
      </c>
      <c r="O22" s="82" t="n">
        <v>11985.796</v>
      </c>
      <c r="P22" s="83" t="n">
        <v>6.12</v>
      </c>
      <c r="Q22" s="83" t="n">
        <v>388</v>
      </c>
      <c r="R22" s="47" t="n">
        <v>20</v>
      </c>
      <c r="S22" s="66" t="s">
        <v>311</v>
      </c>
    </row>
    <row r="23" customFormat="false" ht="15" hidden="false" customHeight="false" outlineLevel="0" collapsed="false">
      <c r="A23" s="79" t="s">
        <v>208</v>
      </c>
      <c r="B23" s="79" t="s">
        <v>312</v>
      </c>
      <c r="C23" s="80" t="n">
        <v>2021</v>
      </c>
      <c r="D23" s="80" t="n">
        <v>2</v>
      </c>
      <c r="E23" s="81" t="n">
        <v>44377</v>
      </c>
      <c r="F23" s="79" t="s">
        <v>271</v>
      </c>
      <c r="G23" s="79" t="s">
        <v>272</v>
      </c>
      <c r="H23" s="79" t="s">
        <v>268</v>
      </c>
      <c r="I23" s="82" t="n">
        <v>1490.057</v>
      </c>
      <c r="J23" s="82" t="n">
        <v>778.49</v>
      </c>
      <c r="K23" s="82" t="n">
        <v>384805000</v>
      </c>
      <c r="L23" s="83" t="n">
        <v>4.03</v>
      </c>
      <c r="M23" s="82" t="n">
        <v>95.2971</v>
      </c>
      <c r="N23" s="82" t="n">
        <v>0</v>
      </c>
      <c r="O23" s="82" t="n">
        <v>11938.541</v>
      </c>
      <c r="P23" s="83" t="n">
        <v>0</v>
      </c>
      <c r="Q23" s="83" t="n">
        <v>392.5</v>
      </c>
      <c r="R23" s="47" t="n">
        <v>21</v>
      </c>
      <c r="S23" s="66" t="s">
        <v>313</v>
      </c>
    </row>
    <row r="24" customFormat="false" ht="15" hidden="false" customHeight="false" outlineLevel="0" collapsed="false">
      <c r="A24" s="79" t="s">
        <v>208</v>
      </c>
      <c r="B24" s="79" t="s">
        <v>314</v>
      </c>
      <c r="C24" s="80" t="n">
        <v>2021</v>
      </c>
      <c r="D24" s="80" t="n">
        <v>1</v>
      </c>
      <c r="E24" s="81" t="n">
        <v>44286</v>
      </c>
      <c r="F24" s="79" t="s">
        <v>271</v>
      </c>
      <c r="G24" s="79" t="s">
        <v>272</v>
      </c>
      <c r="H24" s="79" t="s">
        <v>268</v>
      </c>
      <c r="I24" s="82" t="n">
        <v>1276.761</v>
      </c>
      <c r="J24" s="82" t="n">
        <v>639.392</v>
      </c>
      <c r="K24" s="82" t="n">
        <v>433278000</v>
      </c>
      <c r="L24" s="83" t="n">
        <v>4.55</v>
      </c>
      <c r="M24" s="82" t="n">
        <v>95.2971</v>
      </c>
      <c r="N24" s="82" t="n">
        <v>0</v>
      </c>
      <c r="O24" s="82" t="n">
        <v>11555.111</v>
      </c>
      <c r="P24" s="83" t="n">
        <v>0</v>
      </c>
      <c r="Q24" s="83" t="n">
        <v>329.5</v>
      </c>
      <c r="R24" s="47" t="n">
        <v>22</v>
      </c>
      <c r="S24" s="66" t="s">
        <v>315</v>
      </c>
    </row>
    <row r="25" customFormat="false" ht="15" hidden="false" customHeight="false" outlineLevel="0" collapsed="false">
      <c r="A25" s="79" t="s">
        <v>208</v>
      </c>
      <c r="B25" s="79" t="s">
        <v>316</v>
      </c>
      <c r="C25" s="80" t="n">
        <v>2020</v>
      </c>
      <c r="D25" s="80" t="n">
        <v>4</v>
      </c>
      <c r="E25" s="81" t="n">
        <v>44196</v>
      </c>
      <c r="F25" s="79" t="s">
        <v>271</v>
      </c>
      <c r="G25" s="79" t="s">
        <v>272</v>
      </c>
      <c r="H25" s="79" t="s">
        <v>268</v>
      </c>
      <c r="I25" s="82" t="n">
        <v>1263.927</v>
      </c>
      <c r="J25" s="82" t="n">
        <v>617.71</v>
      </c>
      <c r="K25" s="82" t="n">
        <v>243780000</v>
      </c>
      <c r="L25" s="83" t="n">
        <v>2.56</v>
      </c>
      <c r="M25" s="82" t="n">
        <v>95.2971</v>
      </c>
      <c r="N25" s="82" t="n">
        <v>0</v>
      </c>
      <c r="O25" s="82" t="n">
        <v>11121.041</v>
      </c>
      <c r="P25" s="83" t="n">
        <v>0</v>
      </c>
      <c r="Q25" s="83" t="n">
        <v>297</v>
      </c>
      <c r="R25" s="47" t="n">
        <v>23</v>
      </c>
      <c r="S25" s="66" t="s">
        <v>317</v>
      </c>
    </row>
    <row r="26" customFormat="false" ht="15" hidden="false" customHeight="false" outlineLevel="0" collapsed="false">
      <c r="A26" s="79" t="s">
        <v>208</v>
      </c>
      <c r="B26" s="79" t="s">
        <v>318</v>
      </c>
      <c r="C26" s="80" t="n">
        <v>2020</v>
      </c>
      <c r="D26" s="80" t="n">
        <v>3</v>
      </c>
      <c r="E26" s="81" t="n">
        <v>44104</v>
      </c>
      <c r="F26" s="79" t="s">
        <v>271</v>
      </c>
      <c r="G26" s="79" t="s">
        <v>272</v>
      </c>
      <c r="H26" s="79" t="s">
        <v>268</v>
      </c>
      <c r="I26" s="82" t="n">
        <v>1197.928</v>
      </c>
      <c r="J26" s="82" t="n">
        <v>609.637</v>
      </c>
      <c r="K26" s="82" t="n">
        <v>296393000</v>
      </c>
      <c r="L26" s="83" t="n">
        <v>3.11</v>
      </c>
      <c r="M26" s="82" t="n">
        <v>95.2971</v>
      </c>
      <c r="N26" s="82" t="n">
        <v>0</v>
      </c>
      <c r="O26" s="82" t="n">
        <v>10876.707</v>
      </c>
      <c r="P26" s="83"/>
      <c r="Q26" s="83" t="n">
        <v>280</v>
      </c>
      <c r="R26" s="47" t="n">
        <v>24</v>
      </c>
      <c r="S26" s="66" t="s">
        <v>319</v>
      </c>
    </row>
    <row r="27" customFormat="false" ht="15" hidden="false" customHeight="false" outlineLevel="0" collapsed="false">
      <c r="A27" s="79" t="s">
        <v>220</v>
      </c>
      <c r="B27" s="79" t="s">
        <v>265</v>
      </c>
      <c r="C27" s="80" t="n">
        <v>2026</v>
      </c>
      <c r="D27" s="80" t="n">
        <v>3</v>
      </c>
      <c r="E27" s="81" t="n">
        <v>46295</v>
      </c>
      <c r="F27" s="79" t="s">
        <v>266</v>
      </c>
      <c r="G27" s="79" t="s">
        <v>267</v>
      </c>
      <c r="H27" s="79" t="s">
        <v>268</v>
      </c>
      <c r="I27" s="82"/>
      <c r="J27" s="82"/>
      <c r="K27" s="82"/>
      <c r="L27" s="83" t="n">
        <v>1.4114</v>
      </c>
      <c r="M27" s="82"/>
      <c r="N27" s="82"/>
      <c r="O27" s="82"/>
      <c r="P27" s="83"/>
      <c r="Q27" s="83"/>
      <c r="R27" s="47" t="n">
        <v>0</v>
      </c>
      <c r="S27" s="66" t="s">
        <v>320</v>
      </c>
    </row>
    <row r="28" customFormat="false" ht="15" hidden="false" customHeight="false" outlineLevel="0" collapsed="false">
      <c r="A28" s="79" t="s">
        <v>220</v>
      </c>
      <c r="B28" s="79" t="s">
        <v>270</v>
      </c>
      <c r="C28" s="80" t="n">
        <v>2026</v>
      </c>
      <c r="D28" s="80" t="n">
        <v>2</v>
      </c>
      <c r="E28" s="81" t="n">
        <v>46203</v>
      </c>
      <c r="F28" s="79" t="s">
        <v>271</v>
      </c>
      <c r="G28" s="79" t="s">
        <v>272</v>
      </c>
      <c r="H28" s="79" t="s">
        <v>268</v>
      </c>
      <c r="I28" s="82" t="n">
        <v>68732.662</v>
      </c>
      <c r="J28" s="82" t="n">
        <v>22322.79</v>
      </c>
      <c r="K28" s="82" t="n">
        <v>42259962000</v>
      </c>
      <c r="L28" s="83" t="n">
        <v>3.39</v>
      </c>
      <c r="M28" s="82" t="n">
        <v>12576.9849</v>
      </c>
      <c r="N28" s="82" t="n">
        <v>30551000</v>
      </c>
      <c r="O28" s="82" t="n">
        <v>443920.249</v>
      </c>
      <c r="P28" s="83" t="n">
        <v>0</v>
      </c>
      <c r="Q28" s="83" t="n">
        <v>164.5</v>
      </c>
      <c r="R28" s="47" t="n">
        <v>1</v>
      </c>
      <c r="S28" s="66" t="s">
        <v>321</v>
      </c>
    </row>
    <row r="29" customFormat="false" ht="15" hidden="false" customHeight="false" outlineLevel="0" collapsed="false">
      <c r="A29" s="79" t="s">
        <v>220</v>
      </c>
      <c r="B29" s="79" t="s">
        <v>274</v>
      </c>
      <c r="C29" s="80" t="n">
        <v>2026</v>
      </c>
      <c r="D29" s="80" t="n">
        <v>1</v>
      </c>
      <c r="E29" s="81" t="n">
        <v>46112</v>
      </c>
      <c r="F29" s="79" t="s">
        <v>271</v>
      </c>
      <c r="G29" s="79" t="s">
        <v>272</v>
      </c>
      <c r="H29" s="79" t="s">
        <v>268</v>
      </c>
      <c r="I29" s="82" t="n">
        <v>61037.902</v>
      </c>
      <c r="J29" s="82" t="n">
        <v>17818.49</v>
      </c>
      <c r="K29" s="82" t="n">
        <v>16171474000</v>
      </c>
      <c r="L29" s="83" t="n">
        <v>1.29</v>
      </c>
      <c r="M29" s="82" t="n">
        <v>12578.5246</v>
      </c>
      <c r="N29" s="82" t="n">
        <v>0</v>
      </c>
      <c r="O29" s="82" t="n">
        <v>406700.597</v>
      </c>
      <c r="P29" s="83" t="n">
        <v>0</v>
      </c>
      <c r="Q29" s="83" t="n">
        <v>56.5</v>
      </c>
      <c r="R29" s="47" t="n">
        <v>2</v>
      </c>
      <c r="S29" s="66" t="s">
        <v>322</v>
      </c>
    </row>
    <row r="30" customFormat="false" ht="15" hidden="false" customHeight="false" outlineLevel="0" collapsed="false">
      <c r="A30" s="79" t="s">
        <v>220</v>
      </c>
      <c r="B30" s="79" t="s">
        <v>276</v>
      </c>
      <c r="C30" s="80" t="n">
        <v>2025</v>
      </c>
      <c r="D30" s="80" t="n">
        <v>4</v>
      </c>
      <c r="E30" s="81" t="n">
        <v>46022</v>
      </c>
      <c r="F30" s="79" t="s">
        <v>271</v>
      </c>
      <c r="G30" s="79" t="s">
        <v>272</v>
      </c>
      <c r="H30" s="79" t="s">
        <v>268</v>
      </c>
      <c r="I30" s="82" t="n">
        <v>61809.545</v>
      </c>
      <c r="J30" s="82" t="n">
        <v>18958.438</v>
      </c>
      <c r="K30" s="82" t="n">
        <v>10054918000</v>
      </c>
      <c r="L30" s="83" t="n">
        <v>0.8</v>
      </c>
      <c r="M30" s="82" t="n">
        <v>12588.1563</v>
      </c>
      <c r="N30" s="82" t="n">
        <v>0</v>
      </c>
      <c r="O30" s="82" t="n">
        <v>379768.265</v>
      </c>
      <c r="P30" s="83" t="n">
        <v>0</v>
      </c>
      <c r="Q30" s="83" t="n">
        <v>49.25</v>
      </c>
      <c r="R30" s="47" t="n">
        <v>3</v>
      </c>
      <c r="S30" s="66" t="s">
        <v>323</v>
      </c>
    </row>
    <row r="31" customFormat="false" ht="15" hidden="false" customHeight="false" outlineLevel="0" collapsed="false">
      <c r="A31" s="79" t="s">
        <v>220</v>
      </c>
      <c r="B31" s="79" t="s">
        <v>278</v>
      </c>
      <c r="C31" s="80" t="n">
        <v>2025</v>
      </c>
      <c r="D31" s="80" t="n">
        <v>3</v>
      </c>
      <c r="E31" s="81" t="n">
        <v>45930</v>
      </c>
      <c r="F31" s="79" t="s">
        <v>271</v>
      </c>
      <c r="G31" s="79" t="s">
        <v>272</v>
      </c>
      <c r="H31" s="79" t="s">
        <v>268</v>
      </c>
      <c r="I31" s="82" t="n">
        <v>59127.04</v>
      </c>
      <c r="J31" s="82" t="n">
        <v>17623.318</v>
      </c>
      <c r="K31" s="82" t="n">
        <v>14982060000</v>
      </c>
      <c r="L31" s="83" t="n">
        <v>1.2</v>
      </c>
      <c r="M31" s="82" t="n">
        <v>12556.3274</v>
      </c>
      <c r="N31" s="82" t="n">
        <v>0</v>
      </c>
      <c r="O31" s="82" t="n">
        <v>361060.219</v>
      </c>
      <c r="P31" s="83" t="n">
        <v>0</v>
      </c>
      <c r="Q31" s="83" t="n">
        <v>45.55</v>
      </c>
      <c r="R31" s="47" t="n">
        <v>4</v>
      </c>
      <c r="S31" s="66" t="s">
        <v>324</v>
      </c>
    </row>
    <row r="32" customFormat="false" ht="15" hidden="false" customHeight="false" outlineLevel="0" collapsed="false">
      <c r="A32" s="79" t="s">
        <v>220</v>
      </c>
      <c r="B32" s="79" t="s">
        <v>280</v>
      </c>
      <c r="C32" s="80" t="n">
        <v>2025</v>
      </c>
      <c r="D32" s="80" t="n">
        <v>2</v>
      </c>
      <c r="E32" s="81" t="n">
        <v>45838</v>
      </c>
      <c r="F32" s="79" t="s">
        <v>271</v>
      </c>
      <c r="G32" s="79" t="s">
        <v>272</v>
      </c>
      <c r="H32" s="79" t="s">
        <v>268</v>
      </c>
      <c r="I32" s="82" t="n">
        <v>58757.657</v>
      </c>
      <c r="J32" s="82" t="n">
        <v>16878.098</v>
      </c>
      <c r="K32" s="82" t="n">
        <v>8902530000</v>
      </c>
      <c r="L32" s="83" t="n">
        <v>0.71</v>
      </c>
      <c r="M32" s="82" t="n">
        <v>12556.5077</v>
      </c>
      <c r="N32" s="82" t="n">
        <v>0</v>
      </c>
      <c r="O32" s="82" t="n">
        <v>336871.499</v>
      </c>
      <c r="P32" s="83" t="n">
        <v>2.85016443</v>
      </c>
      <c r="Q32" s="83" t="n">
        <v>44.2</v>
      </c>
      <c r="R32" s="47" t="n">
        <v>5</v>
      </c>
      <c r="S32" s="66" t="s">
        <v>325</v>
      </c>
    </row>
    <row r="33" customFormat="false" ht="15" hidden="false" customHeight="false" outlineLevel="0" collapsed="false">
      <c r="A33" s="79" t="s">
        <v>220</v>
      </c>
      <c r="B33" s="79" t="s">
        <v>282</v>
      </c>
      <c r="C33" s="80" t="n">
        <v>2025</v>
      </c>
      <c r="D33" s="80" t="n">
        <v>1</v>
      </c>
      <c r="E33" s="81" t="n">
        <v>45747</v>
      </c>
      <c r="F33" s="79" t="s">
        <v>271</v>
      </c>
      <c r="G33" s="79" t="s">
        <v>272</v>
      </c>
      <c r="H33" s="79" t="s">
        <v>268</v>
      </c>
      <c r="I33" s="82" t="n">
        <v>57858.957</v>
      </c>
      <c r="J33" s="82" t="n">
        <v>15446.645</v>
      </c>
      <c r="K33" s="82" t="n">
        <v>7776741000</v>
      </c>
      <c r="L33" s="83" t="n">
        <v>0.62</v>
      </c>
      <c r="M33" s="82" t="n">
        <v>12558.359</v>
      </c>
      <c r="N33" s="82" t="n">
        <v>0</v>
      </c>
      <c r="O33" s="82" t="n">
        <v>390604.898</v>
      </c>
      <c r="P33" s="83" t="n">
        <v>0</v>
      </c>
      <c r="Q33" s="83" t="n">
        <v>44.65</v>
      </c>
      <c r="R33" s="47" t="n">
        <v>6</v>
      </c>
      <c r="S33" s="66" t="s">
        <v>326</v>
      </c>
    </row>
    <row r="34" customFormat="false" ht="15" hidden="false" customHeight="false" outlineLevel="0" collapsed="false">
      <c r="A34" s="79" t="s">
        <v>220</v>
      </c>
      <c r="B34" s="79" t="s">
        <v>284</v>
      </c>
      <c r="C34" s="80" t="n">
        <v>2024</v>
      </c>
      <c r="D34" s="80" t="n">
        <v>4</v>
      </c>
      <c r="E34" s="81" t="n">
        <v>45657</v>
      </c>
      <c r="F34" s="79" t="s">
        <v>271</v>
      </c>
      <c r="G34" s="79" t="s">
        <v>272</v>
      </c>
      <c r="H34" s="79" t="s">
        <v>268</v>
      </c>
      <c r="I34" s="82" t="n">
        <v>60386.11</v>
      </c>
      <c r="J34" s="82" t="n">
        <v>18342.581</v>
      </c>
      <c r="K34" s="82" t="n">
        <v>8496583000</v>
      </c>
      <c r="L34" s="83" t="n">
        <v>0.68</v>
      </c>
      <c r="M34" s="82" t="n">
        <v>12560.7164</v>
      </c>
      <c r="N34" s="82" t="n">
        <v>0</v>
      </c>
      <c r="O34" s="82" t="n">
        <v>377928.391</v>
      </c>
      <c r="P34" s="83" t="n">
        <v>0</v>
      </c>
      <c r="Q34" s="83" t="n">
        <v>43.05</v>
      </c>
      <c r="R34" s="47" t="n">
        <v>7</v>
      </c>
      <c r="S34" s="66" t="s">
        <v>327</v>
      </c>
    </row>
    <row r="35" customFormat="false" ht="15" hidden="false" customHeight="false" outlineLevel="0" collapsed="false">
      <c r="A35" s="79" t="s">
        <v>220</v>
      </c>
      <c r="B35" s="79" t="s">
        <v>286</v>
      </c>
      <c r="C35" s="80" t="n">
        <v>2024</v>
      </c>
      <c r="D35" s="80" t="n">
        <v>3</v>
      </c>
      <c r="E35" s="81" t="n">
        <v>45565</v>
      </c>
      <c r="F35" s="79" t="s">
        <v>271</v>
      </c>
      <c r="G35" s="79" t="s">
        <v>272</v>
      </c>
      <c r="H35" s="79" t="s">
        <v>268</v>
      </c>
      <c r="I35" s="82" t="n">
        <v>60485.085</v>
      </c>
      <c r="J35" s="82" t="n">
        <v>20428.845</v>
      </c>
      <c r="K35" s="82" t="n">
        <v>14472042000</v>
      </c>
      <c r="L35" s="83" t="n">
        <v>1.16</v>
      </c>
      <c r="M35" s="82" t="n">
        <v>12528.4664</v>
      </c>
      <c r="N35" s="82" t="n">
        <v>0</v>
      </c>
      <c r="O35" s="82" t="n">
        <v>368203.702</v>
      </c>
      <c r="P35" s="83" t="n">
        <v>3.00011747</v>
      </c>
      <c r="Q35" s="83" t="n">
        <v>53.8</v>
      </c>
      <c r="R35" s="47" t="n">
        <v>8</v>
      </c>
      <c r="S35" s="66" t="s">
        <v>328</v>
      </c>
    </row>
    <row r="36" customFormat="false" ht="15" hidden="false" customHeight="false" outlineLevel="0" collapsed="false">
      <c r="A36" s="79" t="s">
        <v>220</v>
      </c>
      <c r="B36" s="79" t="s">
        <v>288</v>
      </c>
      <c r="C36" s="80" t="n">
        <v>2024</v>
      </c>
      <c r="D36" s="80" t="n">
        <v>2</v>
      </c>
      <c r="E36" s="81" t="n">
        <v>45473</v>
      </c>
      <c r="F36" s="79" t="s">
        <v>271</v>
      </c>
      <c r="G36" s="79" t="s">
        <v>272</v>
      </c>
      <c r="H36" s="79" t="s">
        <v>268</v>
      </c>
      <c r="I36" s="82" t="n">
        <v>56799.29</v>
      </c>
      <c r="J36" s="82" t="n">
        <v>19983.224</v>
      </c>
      <c r="K36" s="82" t="n">
        <v>13786163000</v>
      </c>
      <c r="L36" s="83" t="n">
        <v>1.11</v>
      </c>
      <c r="M36" s="82" t="n">
        <v>12528.5889</v>
      </c>
      <c r="N36" s="82" t="n">
        <v>0</v>
      </c>
      <c r="O36" s="82" t="n">
        <v>355779.378</v>
      </c>
      <c r="P36" s="83" t="n">
        <v>0</v>
      </c>
      <c r="Q36" s="83" t="n">
        <v>55.7</v>
      </c>
      <c r="R36" s="47" t="n">
        <v>9</v>
      </c>
      <c r="S36" s="66" t="s">
        <v>329</v>
      </c>
    </row>
    <row r="37" customFormat="false" ht="15" hidden="false" customHeight="false" outlineLevel="0" collapsed="false">
      <c r="A37" s="79" t="s">
        <v>220</v>
      </c>
      <c r="B37" s="79" t="s">
        <v>290</v>
      </c>
      <c r="C37" s="80" t="n">
        <v>2024</v>
      </c>
      <c r="D37" s="80" t="n">
        <v>1</v>
      </c>
      <c r="E37" s="81" t="n">
        <v>45382</v>
      </c>
      <c r="F37" s="79" t="s">
        <v>271</v>
      </c>
      <c r="G37" s="79" t="s">
        <v>272</v>
      </c>
      <c r="H37" s="79" t="s">
        <v>268</v>
      </c>
      <c r="I37" s="82" t="n">
        <v>54632.099</v>
      </c>
      <c r="J37" s="82" t="n">
        <v>16899.43</v>
      </c>
      <c r="K37" s="82" t="n">
        <v>10456142000</v>
      </c>
      <c r="L37" s="83" t="n">
        <v>0.84</v>
      </c>
      <c r="M37" s="82" t="n">
        <v>12529.034</v>
      </c>
      <c r="N37" s="82" t="n">
        <v>0</v>
      </c>
      <c r="O37" s="82" t="n">
        <v>377912.126</v>
      </c>
      <c r="P37" s="83" t="n">
        <v>0</v>
      </c>
      <c r="Q37" s="83" t="n">
        <v>52.2</v>
      </c>
      <c r="R37" s="47" t="n">
        <v>10</v>
      </c>
      <c r="S37" s="66" t="s">
        <v>330</v>
      </c>
    </row>
    <row r="38" customFormat="false" ht="15" hidden="false" customHeight="false" outlineLevel="0" collapsed="false">
      <c r="A38" s="79" t="s">
        <v>220</v>
      </c>
      <c r="B38" s="79" t="s">
        <v>292</v>
      </c>
      <c r="C38" s="80" t="n">
        <v>2023</v>
      </c>
      <c r="D38" s="80" t="n">
        <v>4</v>
      </c>
      <c r="E38" s="81" t="n">
        <v>45291</v>
      </c>
      <c r="F38" s="79" t="s">
        <v>271</v>
      </c>
      <c r="G38" s="79" t="s">
        <v>272</v>
      </c>
      <c r="H38" s="79" t="s">
        <v>268</v>
      </c>
      <c r="I38" s="82" t="n">
        <v>54958.278</v>
      </c>
      <c r="J38" s="82" t="n">
        <v>17806.294</v>
      </c>
      <c r="K38" s="82" t="n">
        <v>13194797000</v>
      </c>
      <c r="L38" s="83" t="n">
        <v>1.06</v>
      </c>
      <c r="M38" s="82" t="n">
        <v>12529.8222</v>
      </c>
      <c r="N38" s="82" t="n">
        <v>0</v>
      </c>
      <c r="O38" s="82" t="n">
        <v>359237.713</v>
      </c>
      <c r="P38" s="83" t="n">
        <v>0</v>
      </c>
      <c r="Q38" s="83" t="n">
        <v>52.6</v>
      </c>
      <c r="R38" s="47" t="n">
        <v>11</v>
      </c>
      <c r="S38" s="66" t="s">
        <v>331</v>
      </c>
    </row>
    <row r="39" customFormat="false" ht="15" hidden="false" customHeight="false" outlineLevel="0" collapsed="false">
      <c r="A39" s="79" t="s">
        <v>220</v>
      </c>
      <c r="B39" s="79" t="s">
        <v>294</v>
      </c>
      <c r="C39" s="80" t="n">
        <v>2023</v>
      </c>
      <c r="D39" s="80" t="n">
        <v>3</v>
      </c>
      <c r="E39" s="81" t="n">
        <v>45199</v>
      </c>
      <c r="F39" s="79" t="s">
        <v>271</v>
      </c>
      <c r="G39" s="79" t="s">
        <v>272</v>
      </c>
      <c r="H39" s="79" t="s">
        <v>268</v>
      </c>
      <c r="I39" s="82" t="n">
        <v>57068.867</v>
      </c>
      <c r="J39" s="82" t="n">
        <v>20460.952</v>
      </c>
      <c r="K39" s="82" t="n">
        <v>15970917000</v>
      </c>
      <c r="L39" s="83" t="n">
        <v>1.29</v>
      </c>
      <c r="M39" s="82" t="n">
        <v>12503.1392</v>
      </c>
      <c r="N39" s="82" t="n">
        <v>0</v>
      </c>
      <c r="O39" s="82" t="n">
        <v>349677.213</v>
      </c>
      <c r="P39" s="83" t="n">
        <v>0</v>
      </c>
      <c r="Q39" s="83" t="n">
        <v>45.2</v>
      </c>
      <c r="R39" s="47" t="n">
        <v>12</v>
      </c>
      <c r="S39" s="66" t="s">
        <v>332</v>
      </c>
    </row>
    <row r="40" customFormat="false" ht="15" hidden="false" customHeight="false" outlineLevel="0" collapsed="false">
      <c r="A40" s="79" t="s">
        <v>220</v>
      </c>
      <c r="B40" s="79" t="s">
        <v>296</v>
      </c>
      <c r="C40" s="80" t="n">
        <v>2023</v>
      </c>
      <c r="D40" s="80" t="n">
        <v>2</v>
      </c>
      <c r="E40" s="81" t="n">
        <v>45107</v>
      </c>
      <c r="F40" s="79" t="s">
        <v>271</v>
      </c>
      <c r="G40" s="79" t="s">
        <v>272</v>
      </c>
      <c r="H40" s="79" t="s">
        <v>268</v>
      </c>
      <c r="I40" s="82" t="n">
        <v>56296.408</v>
      </c>
      <c r="J40" s="82" t="n">
        <v>20252.152</v>
      </c>
      <c r="K40" s="82" t="n">
        <v>15640917000</v>
      </c>
      <c r="L40" s="83" t="n">
        <v>1.27</v>
      </c>
      <c r="M40" s="82" t="n">
        <v>12503.1392</v>
      </c>
      <c r="N40" s="82" t="n">
        <v>0</v>
      </c>
      <c r="O40" s="82" t="n">
        <v>326545.196</v>
      </c>
      <c r="P40" s="83" t="n">
        <v>3.60046348</v>
      </c>
      <c r="Q40" s="83" t="n">
        <v>48.5</v>
      </c>
      <c r="R40" s="47" t="n">
        <v>13</v>
      </c>
      <c r="S40" s="66" t="s">
        <v>333</v>
      </c>
    </row>
    <row r="41" customFormat="false" ht="15" hidden="false" customHeight="false" outlineLevel="0" collapsed="false">
      <c r="A41" s="79" t="s">
        <v>220</v>
      </c>
      <c r="B41" s="79" t="s">
        <v>298</v>
      </c>
      <c r="C41" s="80" t="n">
        <v>2023</v>
      </c>
      <c r="D41" s="80" t="n">
        <v>1</v>
      </c>
      <c r="E41" s="81" t="n">
        <v>45016</v>
      </c>
      <c r="F41" s="79" t="s">
        <v>271</v>
      </c>
      <c r="G41" s="79" t="s">
        <v>272</v>
      </c>
      <c r="H41" s="79" t="s">
        <v>268</v>
      </c>
      <c r="I41" s="82" t="n">
        <v>54209.447</v>
      </c>
      <c r="J41" s="82" t="n">
        <v>19224.44</v>
      </c>
      <c r="K41" s="82" t="n">
        <v>16183002000</v>
      </c>
      <c r="L41" s="83" t="n">
        <v>1.31</v>
      </c>
      <c r="M41" s="82" t="n">
        <v>12504.749</v>
      </c>
      <c r="N41" s="82" t="n">
        <v>0</v>
      </c>
      <c r="O41" s="82" t="n">
        <v>355205.636</v>
      </c>
      <c r="P41" s="83" t="n">
        <v>0</v>
      </c>
      <c r="Q41" s="83" t="n">
        <v>52.9</v>
      </c>
      <c r="R41" s="47" t="n">
        <v>14</v>
      </c>
      <c r="S41" s="66" t="s">
        <v>334</v>
      </c>
    </row>
    <row r="42" customFormat="false" ht="15" hidden="false" customHeight="false" outlineLevel="0" collapsed="false">
      <c r="A42" s="79" t="s">
        <v>220</v>
      </c>
      <c r="B42" s="79" t="s">
        <v>300</v>
      </c>
      <c r="C42" s="80" t="n">
        <v>2022</v>
      </c>
      <c r="D42" s="80" t="n">
        <v>4</v>
      </c>
      <c r="E42" s="81" t="n">
        <v>44926</v>
      </c>
      <c r="F42" s="79" t="s">
        <v>271</v>
      </c>
      <c r="G42" s="79" t="s">
        <v>272</v>
      </c>
      <c r="H42" s="79" t="s">
        <v>268</v>
      </c>
      <c r="I42" s="82" t="n">
        <v>67835.715</v>
      </c>
      <c r="J42" s="82" t="n">
        <v>29123.939</v>
      </c>
      <c r="K42" s="82" t="n">
        <v>19067756000</v>
      </c>
      <c r="L42" s="83" t="n">
        <v>1.55</v>
      </c>
      <c r="M42" s="82" t="n">
        <v>12504.749</v>
      </c>
      <c r="N42" s="82" t="n">
        <v>0</v>
      </c>
      <c r="O42" s="82" t="n">
        <v>335107.26</v>
      </c>
      <c r="P42" s="83" t="n">
        <v>0</v>
      </c>
      <c r="Q42" s="83" t="n">
        <v>40.7</v>
      </c>
      <c r="R42" s="47" t="n">
        <v>15</v>
      </c>
      <c r="S42" s="66" t="s">
        <v>335</v>
      </c>
    </row>
    <row r="43" customFormat="false" ht="15" hidden="false" customHeight="false" outlineLevel="0" collapsed="false">
      <c r="A43" s="79" t="s">
        <v>220</v>
      </c>
      <c r="B43" s="79" t="s">
        <v>302</v>
      </c>
      <c r="C43" s="80" t="n">
        <v>2022</v>
      </c>
      <c r="D43" s="80" t="n">
        <v>3</v>
      </c>
      <c r="E43" s="81" t="n">
        <v>44834</v>
      </c>
      <c r="F43" s="79" t="s">
        <v>271</v>
      </c>
      <c r="G43" s="79" t="s">
        <v>272</v>
      </c>
      <c r="H43" s="79" t="s">
        <v>268</v>
      </c>
      <c r="I43" s="82" t="n">
        <v>75391.589</v>
      </c>
      <c r="J43" s="82" t="n">
        <v>35663.931</v>
      </c>
      <c r="K43" s="82" t="n">
        <v>26996184000</v>
      </c>
      <c r="L43" s="83" t="n">
        <v>2.19</v>
      </c>
      <c r="M43" s="82" t="n">
        <v>12482.1235</v>
      </c>
      <c r="N43" s="82" t="n">
        <v>0</v>
      </c>
      <c r="O43" s="82" t="n">
        <v>314810.397</v>
      </c>
      <c r="P43" s="83" t="n">
        <v>0</v>
      </c>
      <c r="Q43" s="83" t="n">
        <v>35.75</v>
      </c>
      <c r="R43" s="47" t="n">
        <v>16</v>
      </c>
      <c r="S43" s="66" t="s">
        <v>336</v>
      </c>
    </row>
    <row r="44" customFormat="false" ht="15" hidden="false" customHeight="false" outlineLevel="0" collapsed="false">
      <c r="A44" s="79" t="s">
        <v>220</v>
      </c>
      <c r="B44" s="79" t="s">
        <v>304</v>
      </c>
      <c r="C44" s="80" t="n">
        <v>2022</v>
      </c>
      <c r="D44" s="80" t="n">
        <v>2</v>
      </c>
      <c r="E44" s="81" t="n">
        <v>44742</v>
      </c>
      <c r="F44" s="79" t="s">
        <v>271</v>
      </c>
      <c r="G44" s="79" t="s">
        <v>272</v>
      </c>
      <c r="H44" s="79" t="s">
        <v>268</v>
      </c>
      <c r="I44" s="82" t="n">
        <v>72055.14</v>
      </c>
      <c r="J44" s="82" t="n">
        <v>33472.177</v>
      </c>
      <c r="K44" s="82" t="n">
        <v>21326816000</v>
      </c>
      <c r="L44" s="83" t="n">
        <v>1.74</v>
      </c>
      <c r="M44" s="82" t="n">
        <v>12482.1235</v>
      </c>
      <c r="N44" s="82" t="n">
        <v>0</v>
      </c>
      <c r="O44" s="82" t="n">
        <v>282882.332</v>
      </c>
      <c r="P44" s="83" t="n">
        <v>3</v>
      </c>
      <c r="Q44" s="83" t="n">
        <v>39.15</v>
      </c>
      <c r="R44" s="47" t="n">
        <v>17</v>
      </c>
      <c r="S44" s="66" t="s">
        <v>337</v>
      </c>
    </row>
    <row r="45" customFormat="false" ht="15" hidden="false" customHeight="false" outlineLevel="0" collapsed="false">
      <c r="A45" s="79" t="s">
        <v>220</v>
      </c>
      <c r="B45" s="79" t="s">
        <v>306</v>
      </c>
      <c r="C45" s="80" t="n">
        <v>2022</v>
      </c>
      <c r="D45" s="80" t="n">
        <v>1</v>
      </c>
      <c r="E45" s="81" t="n">
        <v>44651</v>
      </c>
      <c r="F45" s="79" t="s">
        <v>271</v>
      </c>
      <c r="G45" s="79" t="s">
        <v>272</v>
      </c>
      <c r="H45" s="79" t="s">
        <v>268</v>
      </c>
      <c r="I45" s="82" t="n">
        <v>63422.82</v>
      </c>
      <c r="J45" s="82" t="n">
        <v>27504.33</v>
      </c>
      <c r="K45" s="82" t="n">
        <v>19807535000</v>
      </c>
      <c r="L45" s="83" t="n">
        <v>1.61</v>
      </c>
      <c r="M45" s="82" t="n">
        <v>12482.1235</v>
      </c>
      <c r="N45" s="82" t="n">
        <v>0</v>
      </c>
      <c r="O45" s="82" t="n">
        <v>301990.838</v>
      </c>
      <c r="P45" s="83" t="n">
        <v>0</v>
      </c>
      <c r="Q45" s="83" t="n">
        <v>54</v>
      </c>
      <c r="R45" s="47" t="n">
        <v>18</v>
      </c>
      <c r="S45" s="66" t="s">
        <v>338</v>
      </c>
    </row>
    <row r="46" customFormat="false" ht="15" hidden="false" customHeight="false" outlineLevel="0" collapsed="false">
      <c r="A46" s="79" t="s">
        <v>220</v>
      </c>
      <c r="B46" s="79" t="s">
        <v>308</v>
      </c>
      <c r="C46" s="80" t="n">
        <v>2021</v>
      </c>
      <c r="D46" s="80" t="n">
        <v>4</v>
      </c>
      <c r="E46" s="81" t="n">
        <v>44561</v>
      </c>
      <c r="F46" s="79" t="s">
        <v>271</v>
      </c>
      <c r="G46" s="79" t="s">
        <v>272</v>
      </c>
      <c r="H46" s="79" t="s">
        <v>268</v>
      </c>
      <c r="I46" s="82" t="n">
        <v>59099.588</v>
      </c>
      <c r="J46" s="82" t="n">
        <v>23103.344</v>
      </c>
      <c r="K46" s="82" t="n">
        <v>15949030000</v>
      </c>
      <c r="L46" s="83" t="n">
        <v>1.31</v>
      </c>
      <c r="M46" s="82" t="n">
        <v>12483.2476</v>
      </c>
      <c r="N46" s="82" t="n">
        <v>0</v>
      </c>
      <c r="O46" s="82" t="n">
        <v>280979.703</v>
      </c>
      <c r="P46" s="83" t="n">
        <v>0</v>
      </c>
      <c r="Q46" s="83" t="n">
        <v>65</v>
      </c>
      <c r="R46" s="47" t="n">
        <v>19</v>
      </c>
      <c r="S46" s="66" t="s">
        <v>339</v>
      </c>
    </row>
    <row r="47" customFormat="false" ht="15" hidden="false" customHeight="false" outlineLevel="0" collapsed="false">
      <c r="A47" s="79" t="s">
        <v>220</v>
      </c>
      <c r="B47" s="79" t="s">
        <v>310</v>
      </c>
      <c r="C47" s="80" t="n">
        <v>2021</v>
      </c>
      <c r="D47" s="80" t="n">
        <v>3</v>
      </c>
      <c r="E47" s="81" t="n">
        <v>44469</v>
      </c>
      <c r="F47" s="79" t="s">
        <v>271</v>
      </c>
      <c r="G47" s="79" t="s">
        <v>272</v>
      </c>
      <c r="H47" s="79" t="s">
        <v>268</v>
      </c>
      <c r="I47" s="82" t="n">
        <v>55906.677</v>
      </c>
      <c r="J47" s="82" t="n">
        <v>20544.011</v>
      </c>
      <c r="K47" s="82" t="n">
        <v>17460235000</v>
      </c>
      <c r="L47" s="83" t="n">
        <v>1.43</v>
      </c>
      <c r="M47" s="82" t="n">
        <v>12423.2695</v>
      </c>
      <c r="N47" s="82" t="n">
        <v>16078737</v>
      </c>
      <c r="O47" s="82" t="n">
        <v>257448.802</v>
      </c>
      <c r="P47" s="83" t="n">
        <v>1.5998882</v>
      </c>
      <c r="Q47" s="83" t="n">
        <v>64</v>
      </c>
      <c r="R47" s="47" t="n">
        <v>20</v>
      </c>
      <c r="S47" s="66" t="s">
        <v>340</v>
      </c>
    </row>
    <row r="48" customFormat="false" ht="15" hidden="false" customHeight="false" outlineLevel="0" collapsed="false">
      <c r="A48" s="79" t="s">
        <v>220</v>
      </c>
      <c r="B48" s="79" t="s">
        <v>312</v>
      </c>
      <c r="C48" s="80" t="n">
        <v>2021</v>
      </c>
      <c r="D48" s="80" t="n">
        <v>2</v>
      </c>
      <c r="E48" s="81" t="n">
        <v>44377</v>
      </c>
      <c r="F48" s="79" t="s">
        <v>271</v>
      </c>
      <c r="G48" s="79" t="s">
        <v>272</v>
      </c>
      <c r="H48" s="79" t="s">
        <v>268</v>
      </c>
      <c r="I48" s="82" t="n">
        <v>50907.741</v>
      </c>
      <c r="J48" s="82" t="n">
        <v>15907.972</v>
      </c>
      <c r="K48" s="82" t="n">
        <v>11943075000</v>
      </c>
      <c r="L48" s="83" t="n">
        <v>0.98</v>
      </c>
      <c r="M48" s="82" t="n">
        <v>12423.2695</v>
      </c>
      <c r="N48" s="82" t="n">
        <v>16078737</v>
      </c>
      <c r="O48" s="82" t="n">
        <v>240085.927</v>
      </c>
      <c r="P48" s="83" t="n">
        <v>0</v>
      </c>
      <c r="Q48" s="83" t="n">
        <v>53.1</v>
      </c>
      <c r="R48" s="47" t="n">
        <v>21</v>
      </c>
      <c r="S48" s="66" t="s">
        <v>341</v>
      </c>
    </row>
    <row r="49" customFormat="false" ht="15" hidden="false" customHeight="false" outlineLevel="0" collapsed="false">
      <c r="A49" s="79" t="s">
        <v>220</v>
      </c>
      <c r="B49" s="79" t="s">
        <v>314</v>
      </c>
      <c r="C49" s="80" t="n">
        <v>2021</v>
      </c>
      <c r="D49" s="80" t="n">
        <v>1</v>
      </c>
      <c r="E49" s="81" t="n">
        <v>44286</v>
      </c>
      <c r="F49" s="79" t="s">
        <v>271</v>
      </c>
      <c r="G49" s="79" t="s">
        <v>272</v>
      </c>
      <c r="H49" s="79" t="s">
        <v>268</v>
      </c>
      <c r="I49" s="82" t="n">
        <v>47097.012</v>
      </c>
      <c r="J49" s="82" t="n">
        <v>12494.302</v>
      </c>
      <c r="K49" s="82" t="n">
        <v>10427915000</v>
      </c>
      <c r="L49" s="83" t="n">
        <v>0.85</v>
      </c>
      <c r="M49" s="82" t="n">
        <v>12422.4015</v>
      </c>
      <c r="N49" s="82" t="n">
        <v>16078737</v>
      </c>
      <c r="O49" s="82" t="n">
        <v>249577.37</v>
      </c>
      <c r="P49" s="83" t="n">
        <v>0</v>
      </c>
      <c r="Q49" s="83" t="n">
        <v>50.2</v>
      </c>
      <c r="R49" s="47" t="n">
        <v>22</v>
      </c>
      <c r="S49" s="66" t="s">
        <v>342</v>
      </c>
    </row>
    <row r="50" customFormat="false" ht="15" hidden="false" customHeight="false" outlineLevel="0" collapsed="false">
      <c r="A50" s="79" t="s">
        <v>220</v>
      </c>
      <c r="B50" s="79" t="s">
        <v>316</v>
      </c>
      <c r="C50" s="80" t="n">
        <v>2020</v>
      </c>
      <c r="D50" s="80" t="n">
        <v>4</v>
      </c>
      <c r="E50" s="81" t="n">
        <v>44196</v>
      </c>
      <c r="F50" s="79" t="s">
        <v>271</v>
      </c>
      <c r="G50" s="79" t="s">
        <v>272</v>
      </c>
      <c r="H50" s="79" t="s">
        <v>268</v>
      </c>
      <c r="I50" s="82" t="n">
        <v>45296.353</v>
      </c>
      <c r="J50" s="82" t="n">
        <v>10848.092</v>
      </c>
      <c r="K50" s="82" t="n">
        <v>11195504000</v>
      </c>
      <c r="L50" s="83" t="n">
        <v>0.92</v>
      </c>
      <c r="M50" s="82" t="n">
        <v>12422.4015</v>
      </c>
      <c r="N50" s="82" t="n">
        <v>16078737</v>
      </c>
      <c r="O50" s="82" t="n">
        <v>235659.746</v>
      </c>
      <c r="P50" s="83" t="n">
        <v>0</v>
      </c>
      <c r="Q50" s="83" t="n">
        <v>47.15</v>
      </c>
      <c r="R50" s="47" t="n">
        <v>23</v>
      </c>
      <c r="S50" s="66" t="s">
        <v>343</v>
      </c>
    </row>
    <row r="51" customFormat="false" ht="15" hidden="false" customHeight="false" outlineLevel="0" collapsed="false">
      <c r="A51" s="79" t="s">
        <v>220</v>
      </c>
      <c r="B51" s="79" t="s">
        <v>318</v>
      </c>
      <c r="C51" s="80" t="n">
        <v>2020</v>
      </c>
      <c r="D51" s="80" t="n">
        <v>3</v>
      </c>
      <c r="E51" s="81" t="n">
        <v>44104</v>
      </c>
      <c r="F51" s="79" t="s">
        <v>271</v>
      </c>
      <c r="G51" s="79" t="s">
        <v>272</v>
      </c>
      <c r="H51" s="79" t="s">
        <v>268</v>
      </c>
      <c r="I51" s="82" t="n">
        <v>44870.454</v>
      </c>
      <c r="J51" s="82" t="n">
        <v>9769.269</v>
      </c>
      <c r="K51" s="82" t="n">
        <v>9106271000</v>
      </c>
      <c r="L51" s="83" t="n">
        <v>0.75</v>
      </c>
      <c r="M51" s="82" t="n">
        <v>12422.4015</v>
      </c>
      <c r="N51" s="82" t="n">
        <v>16078737</v>
      </c>
      <c r="O51" s="82" t="n">
        <v>220761.456</v>
      </c>
      <c r="P51" s="83"/>
      <c r="Q51" s="83" t="n">
        <v>28.55</v>
      </c>
      <c r="R51" s="47" t="n">
        <v>24</v>
      </c>
      <c r="S51" s="66" t="s">
        <v>344</v>
      </c>
    </row>
    <row r="52" customFormat="false" ht="15" hidden="false" customHeight="false" outlineLevel="0" collapsed="false">
      <c r="A52" s="79" t="s">
        <v>345</v>
      </c>
      <c r="B52" s="79" t="s">
        <v>265</v>
      </c>
      <c r="C52" s="80" t="n">
        <v>2026</v>
      </c>
      <c r="D52" s="80" t="n">
        <v>3</v>
      </c>
      <c r="E52" s="81" t="n">
        <v>46295</v>
      </c>
      <c r="F52" s="79" t="s">
        <v>266</v>
      </c>
      <c r="G52" s="79" t="s">
        <v>267</v>
      </c>
      <c r="H52" s="79" t="s">
        <v>268</v>
      </c>
      <c r="I52" s="82"/>
      <c r="J52" s="82"/>
      <c r="K52" s="82"/>
      <c r="L52" s="83" t="n">
        <v>5.29072</v>
      </c>
      <c r="M52" s="82"/>
      <c r="N52" s="82"/>
      <c r="O52" s="82"/>
      <c r="P52" s="83"/>
      <c r="Q52" s="83"/>
      <c r="R52" s="47" t="n">
        <v>0</v>
      </c>
      <c r="S52" s="66" t="s">
        <v>346</v>
      </c>
    </row>
    <row r="53" customFormat="false" ht="15" hidden="false" customHeight="false" outlineLevel="0" collapsed="false">
      <c r="A53" s="79" t="s">
        <v>345</v>
      </c>
      <c r="B53" s="79" t="s">
        <v>270</v>
      </c>
      <c r="C53" s="80" t="n">
        <v>2026</v>
      </c>
      <c r="D53" s="80" t="n">
        <v>2</v>
      </c>
      <c r="E53" s="81" t="n">
        <v>46203</v>
      </c>
      <c r="F53" s="79" t="s">
        <v>271</v>
      </c>
      <c r="G53" s="79" t="s">
        <v>272</v>
      </c>
      <c r="H53" s="79" t="s">
        <v>268</v>
      </c>
      <c r="I53" s="82" t="n">
        <v>44456.327</v>
      </c>
      <c r="J53" s="82" t="n">
        <v>17116.269</v>
      </c>
      <c r="K53" s="82" t="n">
        <v>9418316000</v>
      </c>
      <c r="L53" s="83" t="n">
        <v>4.59</v>
      </c>
      <c r="M53" s="82" t="n">
        <v>514.6827</v>
      </c>
      <c r="N53" s="82" t="n">
        <v>3833324</v>
      </c>
      <c r="O53" s="82" t="n">
        <v>176751.31</v>
      </c>
      <c r="P53" s="83" t="n">
        <v>5.99852571</v>
      </c>
      <c r="Q53" s="83" t="n">
        <v>1140</v>
      </c>
      <c r="R53" s="47" t="n">
        <v>1</v>
      </c>
      <c r="S53" s="66" t="s">
        <v>347</v>
      </c>
    </row>
    <row r="54" customFormat="false" ht="15" hidden="false" customHeight="false" outlineLevel="0" collapsed="false">
      <c r="A54" s="79" t="s">
        <v>345</v>
      </c>
      <c r="B54" s="79" t="s">
        <v>274</v>
      </c>
      <c r="C54" s="80" t="n">
        <v>2026</v>
      </c>
      <c r="D54" s="80" t="n">
        <v>1</v>
      </c>
      <c r="E54" s="81" t="n">
        <v>46112</v>
      </c>
      <c r="F54" s="79" t="s">
        <v>271</v>
      </c>
      <c r="G54" s="79" t="s">
        <v>272</v>
      </c>
      <c r="H54" s="79" t="s">
        <v>268</v>
      </c>
      <c r="I54" s="82" t="n">
        <v>38165.648</v>
      </c>
      <c r="J54" s="82" t="n">
        <v>14541.815</v>
      </c>
      <c r="K54" s="82" t="n">
        <v>8000823000</v>
      </c>
      <c r="L54" s="83" t="n">
        <v>3.9</v>
      </c>
      <c r="M54" s="82" t="n">
        <v>518.2415</v>
      </c>
      <c r="N54" s="82" t="n">
        <v>16568120</v>
      </c>
      <c r="O54" s="82" t="n">
        <v>166871.112</v>
      </c>
      <c r="P54" s="83" t="n">
        <v>0</v>
      </c>
      <c r="Q54" s="83" t="n">
        <v>243.5</v>
      </c>
      <c r="R54" s="47" t="n">
        <v>2</v>
      </c>
      <c r="S54" s="66" t="s">
        <v>348</v>
      </c>
    </row>
    <row r="55" customFormat="false" ht="15" hidden="false" customHeight="false" outlineLevel="0" collapsed="false">
      <c r="A55" s="79" t="s">
        <v>345</v>
      </c>
      <c r="B55" s="79" t="s">
        <v>276</v>
      </c>
      <c r="C55" s="80" t="n">
        <v>2025</v>
      </c>
      <c r="D55" s="80" t="n">
        <v>4</v>
      </c>
      <c r="E55" s="81" t="n">
        <v>46022</v>
      </c>
      <c r="F55" s="79" t="s">
        <v>271</v>
      </c>
      <c r="G55" s="79" t="s">
        <v>272</v>
      </c>
      <c r="H55" s="79" t="s">
        <v>268</v>
      </c>
      <c r="I55" s="82" t="n">
        <v>35968.221</v>
      </c>
      <c r="J55" s="82" t="n">
        <v>13417.22</v>
      </c>
      <c r="K55" s="82" t="n">
        <v>6750776000</v>
      </c>
      <c r="L55" s="83" t="n">
        <v>3.29</v>
      </c>
      <c r="M55" s="82" t="n">
        <v>518.2415</v>
      </c>
      <c r="N55" s="82" t="n">
        <v>16568120</v>
      </c>
      <c r="O55" s="82" t="n">
        <v>170877.823</v>
      </c>
      <c r="P55" s="83" t="n">
        <v>0</v>
      </c>
      <c r="Q55" s="83" t="n">
        <v>231</v>
      </c>
      <c r="R55" s="47" t="n">
        <v>3</v>
      </c>
      <c r="S55" s="66" t="s">
        <v>349</v>
      </c>
    </row>
    <row r="56" customFormat="false" ht="15" hidden="false" customHeight="false" outlineLevel="0" collapsed="false">
      <c r="A56" s="79" t="s">
        <v>345</v>
      </c>
      <c r="B56" s="79" t="s">
        <v>278</v>
      </c>
      <c r="C56" s="80" t="n">
        <v>2025</v>
      </c>
      <c r="D56" s="80" t="n">
        <v>3</v>
      </c>
      <c r="E56" s="81" t="n">
        <v>45930</v>
      </c>
      <c r="F56" s="79" t="s">
        <v>271</v>
      </c>
      <c r="G56" s="79" t="s">
        <v>272</v>
      </c>
      <c r="H56" s="79" t="s">
        <v>268</v>
      </c>
      <c r="I56" s="82" t="n">
        <v>33086.712</v>
      </c>
      <c r="J56" s="82" t="n">
        <v>11974.482</v>
      </c>
      <c r="K56" s="82" t="n">
        <v>6356104000</v>
      </c>
      <c r="L56" s="83" t="n">
        <v>3.1</v>
      </c>
      <c r="M56" s="82" t="n">
        <v>518.2415</v>
      </c>
      <c r="N56" s="82" t="n">
        <v>16568120</v>
      </c>
      <c r="O56" s="82" t="n">
        <v>157266.371</v>
      </c>
      <c r="P56" s="83" t="n">
        <v>0</v>
      </c>
      <c r="Q56" s="83" t="n">
        <v>170</v>
      </c>
      <c r="R56" s="47" t="n">
        <v>4</v>
      </c>
      <c r="S56" s="66" t="s">
        <v>350</v>
      </c>
    </row>
    <row r="57" customFormat="false" ht="15" hidden="false" customHeight="false" outlineLevel="0" collapsed="false">
      <c r="A57" s="79" t="s">
        <v>345</v>
      </c>
      <c r="B57" s="79" t="s">
        <v>280</v>
      </c>
      <c r="C57" s="80" t="n">
        <v>2025</v>
      </c>
      <c r="D57" s="80" t="n">
        <v>2</v>
      </c>
      <c r="E57" s="81" t="n">
        <v>45838</v>
      </c>
      <c r="F57" s="79" t="s">
        <v>271</v>
      </c>
      <c r="G57" s="79" t="s">
        <v>272</v>
      </c>
      <c r="H57" s="79" t="s">
        <v>268</v>
      </c>
      <c r="I57" s="82" t="n">
        <v>32771.388</v>
      </c>
      <c r="J57" s="82" t="n">
        <v>11652.187</v>
      </c>
      <c r="K57" s="82" t="n">
        <v>4997745000</v>
      </c>
      <c r="L57" s="83" t="n">
        <v>9.74</v>
      </c>
      <c r="M57" s="82" t="n">
        <v>518.2415</v>
      </c>
      <c r="N57" s="82" t="n">
        <v>4142030</v>
      </c>
      <c r="O57" s="82" t="n">
        <v>146917.248</v>
      </c>
      <c r="P57" s="83" t="n">
        <v>19.99501481</v>
      </c>
      <c r="Q57" s="83" t="n">
        <v>485</v>
      </c>
      <c r="R57" s="47" t="n">
        <v>5</v>
      </c>
      <c r="S57" s="66" t="s">
        <v>351</v>
      </c>
    </row>
    <row r="58" customFormat="false" ht="15" hidden="false" customHeight="false" outlineLevel="0" collapsed="false">
      <c r="A58" s="79" t="s">
        <v>345</v>
      </c>
      <c r="B58" s="79" t="s">
        <v>282</v>
      </c>
      <c r="C58" s="80" t="n">
        <v>2025</v>
      </c>
      <c r="D58" s="80" t="n">
        <v>1</v>
      </c>
      <c r="E58" s="81" t="n">
        <v>45747</v>
      </c>
      <c r="F58" s="79" t="s">
        <v>271</v>
      </c>
      <c r="G58" s="79" t="s">
        <v>272</v>
      </c>
      <c r="H58" s="79" t="s">
        <v>268</v>
      </c>
      <c r="I58" s="82" t="n">
        <v>31103.695</v>
      </c>
      <c r="J58" s="82" t="n">
        <v>11085.933</v>
      </c>
      <c r="K58" s="82" t="n">
        <v>5529604000</v>
      </c>
      <c r="L58" s="83" t="n">
        <v>10.77</v>
      </c>
      <c r="M58" s="82" t="n">
        <v>518.8164</v>
      </c>
      <c r="N58" s="82" t="n">
        <v>4142030</v>
      </c>
      <c r="O58" s="82" t="n">
        <v>159496.863</v>
      </c>
      <c r="P58" s="83" t="n">
        <v>0</v>
      </c>
      <c r="Q58" s="83" t="n">
        <v>481</v>
      </c>
      <c r="R58" s="47" t="n">
        <v>6</v>
      </c>
      <c r="S58" s="66" t="s">
        <v>352</v>
      </c>
    </row>
    <row r="59" customFormat="false" ht="15" hidden="false" customHeight="false" outlineLevel="0" collapsed="false">
      <c r="A59" s="79" t="s">
        <v>345</v>
      </c>
      <c r="B59" s="79" t="s">
        <v>284</v>
      </c>
      <c r="C59" s="80" t="n">
        <v>2024</v>
      </c>
      <c r="D59" s="80" t="n">
        <v>4</v>
      </c>
      <c r="E59" s="81" t="n">
        <v>45657</v>
      </c>
      <c r="F59" s="79" t="s">
        <v>271</v>
      </c>
      <c r="G59" s="79" t="s">
        <v>272</v>
      </c>
      <c r="H59" s="79" t="s">
        <v>268</v>
      </c>
      <c r="I59" s="82" t="n">
        <v>30005.958</v>
      </c>
      <c r="J59" s="82" t="n">
        <v>9953.188</v>
      </c>
      <c r="K59" s="82" t="n">
        <v>3645776000</v>
      </c>
      <c r="L59" s="83" t="n">
        <v>7.07</v>
      </c>
      <c r="M59" s="82" t="n">
        <v>518.8164</v>
      </c>
      <c r="N59" s="82" t="n">
        <v>4142030</v>
      </c>
      <c r="O59" s="82" t="n">
        <v>160461.209</v>
      </c>
      <c r="P59" s="83" t="n">
        <v>0</v>
      </c>
      <c r="Q59" s="83" t="n">
        <v>541</v>
      </c>
      <c r="R59" s="47" t="n">
        <v>7</v>
      </c>
      <c r="S59" s="66" t="s">
        <v>353</v>
      </c>
    </row>
    <row r="60" customFormat="false" ht="15" hidden="false" customHeight="false" outlineLevel="0" collapsed="false">
      <c r="A60" s="79" t="s">
        <v>345</v>
      </c>
      <c r="B60" s="79" t="s">
        <v>286</v>
      </c>
      <c r="C60" s="80" t="n">
        <v>2024</v>
      </c>
      <c r="D60" s="80" t="n">
        <v>3</v>
      </c>
      <c r="E60" s="81" t="n">
        <v>45565</v>
      </c>
      <c r="F60" s="79" t="s">
        <v>271</v>
      </c>
      <c r="G60" s="79" t="s">
        <v>272</v>
      </c>
      <c r="H60" s="79" t="s">
        <v>268</v>
      </c>
      <c r="I60" s="82" t="n">
        <v>31738.287</v>
      </c>
      <c r="J60" s="82" t="n">
        <v>11177.925</v>
      </c>
      <c r="K60" s="82" t="n">
        <v>5649171000</v>
      </c>
      <c r="L60" s="83" t="n">
        <v>11.01</v>
      </c>
      <c r="M60" s="82" t="n">
        <v>508.2851</v>
      </c>
      <c r="N60" s="82" t="n">
        <v>4142030</v>
      </c>
      <c r="O60" s="82" t="n">
        <v>152910.919</v>
      </c>
      <c r="P60" s="83" t="n">
        <v>0</v>
      </c>
      <c r="Q60" s="83" t="n">
        <v>623</v>
      </c>
      <c r="R60" s="47" t="n">
        <v>8</v>
      </c>
      <c r="S60" s="66" t="s">
        <v>354</v>
      </c>
    </row>
    <row r="61" customFormat="false" ht="15" hidden="false" customHeight="false" outlineLevel="0" collapsed="false">
      <c r="A61" s="79" t="s">
        <v>345</v>
      </c>
      <c r="B61" s="79" t="s">
        <v>288</v>
      </c>
      <c r="C61" s="80" t="n">
        <v>2024</v>
      </c>
      <c r="D61" s="80" t="n">
        <v>2</v>
      </c>
      <c r="E61" s="81" t="n">
        <v>45473</v>
      </c>
      <c r="F61" s="79" t="s">
        <v>271</v>
      </c>
      <c r="G61" s="79" t="s">
        <v>272</v>
      </c>
      <c r="H61" s="79" t="s">
        <v>268</v>
      </c>
      <c r="I61" s="82" t="n">
        <v>31417.937</v>
      </c>
      <c r="J61" s="82" t="n">
        <v>11038.249</v>
      </c>
      <c r="K61" s="82" t="n">
        <v>5452709000</v>
      </c>
      <c r="L61" s="83" t="n">
        <v>13.02</v>
      </c>
      <c r="M61" s="82" t="n">
        <v>423.1737</v>
      </c>
      <c r="N61" s="82" t="n">
        <v>3985760</v>
      </c>
      <c r="O61" s="82" t="n">
        <v>143954.739</v>
      </c>
      <c r="P61" s="83" t="n">
        <v>19.97238355</v>
      </c>
      <c r="Q61" s="83" t="n">
        <v>730</v>
      </c>
      <c r="R61" s="47" t="n">
        <v>9</v>
      </c>
      <c r="S61" s="66" t="s">
        <v>355</v>
      </c>
    </row>
    <row r="62" customFormat="false" ht="15" hidden="false" customHeight="false" outlineLevel="0" collapsed="false">
      <c r="A62" s="79" t="s">
        <v>345</v>
      </c>
      <c r="B62" s="79" t="s">
        <v>290</v>
      </c>
      <c r="C62" s="80" t="n">
        <v>2024</v>
      </c>
      <c r="D62" s="80" t="n">
        <v>1</v>
      </c>
      <c r="E62" s="81" t="n">
        <v>45382</v>
      </c>
      <c r="F62" s="79" t="s">
        <v>271</v>
      </c>
      <c r="G62" s="79" t="s">
        <v>272</v>
      </c>
      <c r="H62" s="79" t="s">
        <v>268</v>
      </c>
      <c r="I62" s="82" t="n">
        <v>28505.147</v>
      </c>
      <c r="J62" s="82" t="n">
        <v>9634.127</v>
      </c>
      <c r="K62" s="82" t="n">
        <v>4608828000</v>
      </c>
      <c r="L62" s="83" t="n">
        <v>11.02</v>
      </c>
      <c r="M62" s="82" t="n">
        <v>423.5407</v>
      </c>
      <c r="N62" s="82" t="n">
        <v>3985760</v>
      </c>
      <c r="O62" s="82" t="n">
        <v>136468.998</v>
      </c>
      <c r="P62" s="83" t="n">
        <v>0</v>
      </c>
      <c r="Q62" s="83" t="n">
        <v>591</v>
      </c>
      <c r="R62" s="47" t="n">
        <v>10</v>
      </c>
      <c r="S62" s="66" t="s">
        <v>356</v>
      </c>
    </row>
    <row r="63" customFormat="false" ht="15" hidden="false" customHeight="false" outlineLevel="0" collapsed="false">
      <c r="A63" s="79" t="s">
        <v>345</v>
      </c>
      <c r="B63" s="79" t="s">
        <v>292</v>
      </c>
      <c r="C63" s="80" t="n">
        <v>2023</v>
      </c>
      <c r="D63" s="80" t="n">
        <v>4</v>
      </c>
      <c r="E63" s="81" t="n">
        <v>45291</v>
      </c>
      <c r="F63" s="79" t="s">
        <v>271</v>
      </c>
      <c r="G63" s="79" t="s">
        <v>272</v>
      </c>
      <c r="H63" s="79" t="s">
        <v>268</v>
      </c>
      <c r="I63" s="82" t="n">
        <v>27361.435</v>
      </c>
      <c r="J63" s="82" t="n">
        <v>9431.041</v>
      </c>
      <c r="K63" s="82" t="n">
        <v>4756956000</v>
      </c>
      <c r="L63" s="83" t="n">
        <v>11.37</v>
      </c>
      <c r="M63" s="82" t="n">
        <v>423.1455</v>
      </c>
      <c r="N63" s="82" t="n">
        <v>3985760</v>
      </c>
      <c r="O63" s="82" t="n">
        <v>134612.467</v>
      </c>
      <c r="P63" s="83" t="n">
        <v>0</v>
      </c>
      <c r="Q63" s="83" t="n">
        <v>597</v>
      </c>
      <c r="R63" s="47" t="n">
        <v>11</v>
      </c>
      <c r="S63" s="66" t="s">
        <v>357</v>
      </c>
    </row>
    <row r="64" customFormat="false" ht="15" hidden="false" customHeight="false" outlineLevel="0" collapsed="false">
      <c r="A64" s="79" t="s">
        <v>345</v>
      </c>
      <c r="B64" s="79" t="s">
        <v>294</v>
      </c>
      <c r="C64" s="80" t="n">
        <v>2023</v>
      </c>
      <c r="D64" s="80" t="n">
        <v>3</v>
      </c>
      <c r="E64" s="81" t="n">
        <v>45199</v>
      </c>
      <c r="F64" s="79" t="s">
        <v>271</v>
      </c>
      <c r="G64" s="79" t="s">
        <v>272</v>
      </c>
      <c r="H64" s="79" t="s">
        <v>268</v>
      </c>
      <c r="I64" s="82" t="n">
        <v>27395.845</v>
      </c>
      <c r="J64" s="82" t="n">
        <v>9105.765</v>
      </c>
      <c r="K64" s="82" t="n">
        <v>4850617000</v>
      </c>
      <c r="L64" s="83" t="n">
        <v>11.6</v>
      </c>
      <c r="M64" s="82" t="n">
        <v>423.1453</v>
      </c>
      <c r="N64" s="82" t="n">
        <v>3985760</v>
      </c>
      <c r="O64" s="82" t="n">
        <v>136744.054</v>
      </c>
      <c r="P64" s="83" t="n">
        <v>9.99383643</v>
      </c>
      <c r="Q64" s="83" t="n">
        <v>525</v>
      </c>
      <c r="R64" s="47" t="n">
        <v>12</v>
      </c>
      <c r="S64" s="66" t="s">
        <v>358</v>
      </c>
    </row>
    <row r="65" customFormat="false" ht="15" hidden="false" customHeight="false" outlineLevel="0" collapsed="false">
      <c r="A65" s="79" t="s">
        <v>345</v>
      </c>
      <c r="B65" s="79" t="s">
        <v>296</v>
      </c>
      <c r="C65" s="80" t="n">
        <v>2023</v>
      </c>
      <c r="D65" s="80" t="n">
        <v>2</v>
      </c>
      <c r="E65" s="81" t="n">
        <v>45107</v>
      </c>
      <c r="F65" s="79" t="s">
        <v>271</v>
      </c>
      <c r="G65" s="79" t="s">
        <v>272</v>
      </c>
      <c r="H65" s="79" t="s">
        <v>268</v>
      </c>
      <c r="I65" s="82" t="n">
        <v>26756.512</v>
      </c>
      <c r="J65" s="82" t="n">
        <v>8876.66</v>
      </c>
      <c r="K65" s="82" t="n">
        <v>3729747000</v>
      </c>
      <c r="L65" s="83" t="n">
        <v>8.92</v>
      </c>
      <c r="M65" s="82" t="n">
        <v>422.1072</v>
      </c>
      <c r="N65" s="82" t="n">
        <v>3985760</v>
      </c>
      <c r="O65" s="82" t="n">
        <v>126803.482</v>
      </c>
      <c r="P65" s="83" t="n">
        <v>0</v>
      </c>
      <c r="Q65" s="83" t="n">
        <v>491.5</v>
      </c>
      <c r="R65" s="47" t="n">
        <v>13</v>
      </c>
      <c r="S65" s="66" t="s">
        <v>359</v>
      </c>
    </row>
    <row r="66" customFormat="false" ht="15" hidden="false" customHeight="false" outlineLevel="0" collapsed="false">
      <c r="A66" s="79" t="s">
        <v>345</v>
      </c>
      <c r="B66" s="79" t="s">
        <v>298</v>
      </c>
      <c r="C66" s="80" t="n">
        <v>2023</v>
      </c>
      <c r="D66" s="80" t="n">
        <v>1</v>
      </c>
      <c r="E66" s="81" t="n">
        <v>45016</v>
      </c>
      <c r="F66" s="79" t="s">
        <v>271</v>
      </c>
      <c r="G66" s="79" t="s">
        <v>272</v>
      </c>
      <c r="H66" s="79" t="s">
        <v>268</v>
      </c>
      <c r="I66" s="82" t="n">
        <v>26095.544</v>
      </c>
      <c r="J66" s="82" t="n">
        <v>8612.361</v>
      </c>
      <c r="K66" s="82" t="n">
        <v>4131526000</v>
      </c>
      <c r="L66" s="83" t="n">
        <v>9.9</v>
      </c>
      <c r="M66" s="82" t="n">
        <v>421.4542</v>
      </c>
      <c r="N66" s="82" t="n">
        <v>3985760</v>
      </c>
      <c r="O66" s="82" t="n">
        <v>121134.494</v>
      </c>
      <c r="P66" s="83" t="n">
        <v>0</v>
      </c>
      <c r="Q66" s="83" t="n">
        <v>529</v>
      </c>
      <c r="R66" s="47" t="n">
        <v>14</v>
      </c>
      <c r="S66" s="66" t="s">
        <v>360</v>
      </c>
    </row>
    <row r="67" customFormat="false" ht="15" hidden="false" customHeight="false" outlineLevel="0" collapsed="false">
      <c r="A67" s="79" t="s">
        <v>345</v>
      </c>
      <c r="B67" s="79" t="s">
        <v>300</v>
      </c>
      <c r="C67" s="80" t="n">
        <v>2022</v>
      </c>
      <c r="D67" s="80" t="n">
        <v>4</v>
      </c>
      <c r="E67" s="81" t="n">
        <v>44926</v>
      </c>
      <c r="F67" s="79" t="s">
        <v>271</v>
      </c>
      <c r="G67" s="79" t="s">
        <v>272</v>
      </c>
      <c r="H67" s="79" t="s">
        <v>268</v>
      </c>
      <c r="I67" s="82" t="n">
        <v>28835.178</v>
      </c>
      <c r="J67" s="82" t="n">
        <v>10525.01</v>
      </c>
      <c r="K67" s="82" t="n">
        <v>4163471000</v>
      </c>
      <c r="L67" s="83" t="n">
        <v>9.48</v>
      </c>
      <c r="M67" s="82" t="n">
        <v>421.2608</v>
      </c>
      <c r="N67" s="82" t="n">
        <v>3985760</v>
      </c>
      <c r="O67" s="82" t="n">
        <v>121344.357</v>
      </c>
      <c r="P67" s="83" t="n">
        <v>0</v>
      </c>
      <c r="Q67" s="83" t="n">
        <v>451</v>
      </c>
      <c r="R67" s="47" t="n">
        <v>15</v>
      </c>
      <c r="S67" s="66" t="s">
        <v>361</v>
      </c>
    </row>
    <row r="68" customFormat="false" ht="15" hidden="false" customHeight="false" outlineLevel="0" collapsed="false">
      <c r="A68" s="79" t="s">
        <v>345</v>
      </c>
      <c r="B68" s="79" t="s">
        <v>302</v>
      </c>
      <c r="C68" s="80" t="n">
        <v>2022</v>
      </c>
      <c r="D68" s="80" t="n">
        <v>3</v>
      </c>
      <c r="E68" s="81" t="n">
        <v>44834</v>
      </c>
      <c r="F68" s="79" t="s">
        <v>271</v>
      </c>
      <c r="G68" s="79" t="s">
        <v>272</v>
      </c>
      <c r="H68" s="79" t="s">
        <v>268</v>
      </c>
      <c r="I68" s="82" t="n">
        <v>30795.422</v>
      </c>
      <c r="J68" s="82" t="n">
        <v>11855.299</v>
      </c>
      <c r="K68" s="82" t="n">
        <v>6397381000</v>
      </c>
      <c r="L68" s="83" t="n">
        <v>12.1</v>
      </c>
      <c r="M68" s="82" t="n">
        <v>421.2608</v>
      </c>
      <c r="N68" s="82" t="n">
        <v>3985760</v>
      </c>
      <c r="O68" s="82" t="n">
        <v>119783.564</v>
      </c>
      <c r="P68" s="83" t="n">
        <v>10.10281345</v>
      </c>
      <c r="Q68" s="83" t="n">
        <v>269</v>
      </c>
      <c r="R68" s="47" t="n">
        <v>16</v>
      </c>
      <c r="S68" s="66" t="s">
        <v>362</v>
      </c>
    </row>
    <row r="69" customFormat="false" ht="15" hidden="false" customHeight="false" outlineLevel="0" collapsed="false">
      <c r="A69" s="79" t="s">
        <v>345</v>
      </c>
      <c r="B69" s="79" t="s">
        <v>304</v>
      </c>
      <c r="C69" s="80" t="n">
        <v>2022</v>
      </c>
      <c r="D69" s="80" t="n">
        <v>2</v>
      </c>
      <c r="E69" s="81" t="n">
        <v>44742</v>
      </c>
      <c r="F69" s="79" t="s">
        <v>271</v>
      </c>
      <c r="G69" s="79" t="s">
        <v>272</v>
      </c>
      <c r="H69" s="79" t="s">
        <v>268</v>
      </c>
      <c r="I69" s="82" t="n">
        <v>31322.107</v>
      </c>
      <c r="J69" s="82" t="n">
        <v>12152.977</v>
      </c>
      <c r="K69" s="82" t="n">
        <v>5927320000</v>
      </c>
      <c r="L69" s="83" t="n">
        <v>11.05</v>
      </c>
      <c r="M69" s="82" t="n">
        <v>544.06</v>
      </c>
      <c r="N69" s="82" t="n">
        <v>10507710</v>
      </c>
      <c r="O69" s="82" t="n">
        <v>110734.272</v>
      </c>
      <c r="P69" s="83" t="n">
        <v>0</v>
      </c>
      <c r="Q69" s="83" t="n">
        <v>308</v>
      </c>
      <c r="R69" s="47" t="n">
        <v>17</v>
      </c>
      <c r="S69" s="66" t="s">
        <v>363</v>
      </c>
    </row>
    <row r="70" customFormat="false" ht="15" hidden="false" customHeight="false" outlineLevel="0" collapsed="false">
      <c r="A70" s="79" t="s">
        <v>345</v>
      </c>
      <c r="B70" s="79" t="s">
        <v>306</v>
      </c>
      <c r="C70" s="80" t="n">
        <v>2022</v>
      </c>
      <c r="D70" s="80" t="n">
        <v>1</v>
      </c>
      <c r="E70" s="81" t="n">
        <v>44651</v>
      </c>
      <c r="F70" s="79" t="s">
        <v>271</v>
      </c>
      <c r="G70" s="79" t="s">
        <v>272</v>
      </c>
      <c r="H70" s="79" t="s">
        <v>268</v>
      </c>
      <c r="I70" s="82" t="n">
        <v>30134.218</v>
      </c>
      <c r="J70" s="82" t="n">
        <v>11485.468</v>
      </c>
      <c r="K70" s="82" t="n">
        <v>6242293000</v>
      </c>
      <c r="L70" s="83" t="n">
        <v>11.59</v>
      </c>
      <c r="M70" s="82" t="n">
        <v>543.6982</v>
      </c>
      <c r="N70" s="82" t="n">
        <v>5007710</v>
      </c>
      <c r="O70" s="82" t="n">
        <v>104668.281</v>
      </c>
      <c r="P70" s="83" t="n">
        <v>0</v>
      </c>
      <c r="Q70" s="83" t="n">
        <v>434</v>
      </c>
      <c r="R70" s="47" t="n">
        <v>18</v>
      </c>
      <c r="S70" s="66" t="s">
        <v>364</v>
      </c>
    </row>
    <row r="71" customFormat="false" ht="15" hidden="false" customHeight="false" outlineLevel="0" collapsed="false">
      <c r="A71" s="79" t="s">
        <v>345</v>
      </c>
      <c r="B71" s="79" t="s">
        <v>308</v>
      </c>
      <c r="C71" s="80" t="n">
        <v>2021</v>
      </c>
      <c r="D71" s="80" t="n">
        <v>4</v>
      </c>
      <c r="E71" s="81" t="n">
        <v>44561</v>
      </c>
      <c r="F71" s="79" t="s">
        <v>271</v>
      </c>
      <c r="G71" s="79" t="s">
        <v>272</v>
      </c>
      <c r="H71" s="79" t="s">
        <v>268</v>
      </c>
      <c r="I71" s="82" t="n">
        <v>25690.047</v>
      </c>
      <c r="J71" s="82" t="n">
        <v>10277.127</v>
      </c>
      <c r="K71" s="82" t="n">
        <v>4736464000</v>
      </c>
      <c r="L71" s="83" t="n">
        <v>9.63</v>
      </c>
      <c r="M71" s="82" t="n">
        <v>495.9189</v>
      </c>
      <c r="N71" s="82" t="n">
        <v>4000000</v>
      </c>
      <c r="O71" s="82" t="n">
        <v>79416.558</v>
      </c>
      <c r="P71" s="83" t="n">
        <v>0</v>
      </c>
      <c r="Q71" s="83" t="n">
        <v>479.5</v>
      </c>
      <c r="R71" s="47" t="n">
        <v>19</v>
      </c>
      <c r="S71" s="66" t="s">
        <v>365</v>
      </c>
    </row>
    <row r="72" customFormat="false" ht="15" hidden="false" customHeight="false" outlineLevel="0" collapsed="false">
      <c r="A72" s="79" t="s">
        <v>345</v>
      </c>
      <c r="B72" s="79" t="s">
        <v>310</v>
      </c>
      <c r="C72" s="80" t="n">
        <v>2021</v>
      </c>
      <c r="D72" s="80" t="n">
        <v>3</v>
      </c>
      <c r="E72" s="81" t="n">
        <v>44469</v>
      </c>
      <c r="F72" s="79" t="s">
        <v>271</v>
      </c>
      <c r="G72" s="79" t="s">
        <v>272</v>
      </c>
      <c r="H72" s="79" t="s">
        <v>268</v>
      </c>
      <c r="I72" s="82" t="n">
        <v>29388.741</v>
      </c>
      <c r="J72" s="82" t="n">
        <v>12083.258</v>
      </c>
      <c r="K72" s="82" t="n">
        <v>6829687000</v>
      </c>
      <c r="L72" s="83" t="n">
        <v>13.88</v>
      </c>
      <c r="M72" s="82" t="n">
        <v>495.9189</v>
      </c>
      <c r="N72" s="82" t="n">
        <v>4000000</v>
      </c>
      <c r="O72" s="82" t="n">
        <v>74941.127</v>
      </c>
      <c r="P72" s="83" t="n">
        <v>10.08131421</v>
      </c>
      <c r="Q72" s="83" t="n">
        <v>442.5</v>
      </c>
      <c r="R72" s="47" t="n">
        <v>20</v>
      </c>
      <c r="S72" s="66" t="s">
        <v>366</v>
      </c>
    </row>
    <row r="73" customFormat="false" ht="15" hidden="false" customHeight="false" outlineLevel="0" collapsed="false">
      <c r="A73" s="79" t="s">
        <v>345</v>
      </c>
      <c r="B73" s="79" t="s">
        <v>312</v>
      </c>
      <c r="C73" s="80" t="n">
        <v>2021</v>
      </c>
      <c r="D73" s="80" t="n">
        <v>2</v>
      </c>
      <c r="E73" s="81" t="n">
        <v>44377</v>
      </c>
      <c r="F73" s="79" t="s">
        <v>271</v>
      </c>
      <c r="G73" s="79" t="s">
        <v>272</v>
      </c>
      <c r="H73" s="79" t="s">
        <v>268</v>
      </c>
      <c r="I73" s="82" t="n">
        <v>27711.544</v>
      </c>
      <c r="J73" s="82" t="n">
        <v>11338.39</v>
      </c>
      <c r="K73" s="82" t="n">
        <v>6312398000</v>
      </c>
      <c r="L73" s="83" t="n">
        <v>12.82</v>
      </c>
      <c r="M73" s="82" t="n">
        <v>498.8839</v>
      </c>
      <c r="N73" s="82" t="n">
        <v>6965000</v>
      </c>
      <c r="O73" s="82" t="n">
        <v>68808.966</v>
      </c>
      <c r="P73" s="83" t="n">
        <v>0</v>
      </c>
      <c r="Q73" s="83" t="n">
        <v>0</v>
      </c>
      <c r="R73" s="47" t="n">
        <v>21</v>
      </c>
      <c r="S73" s="66" t="s">
        <v>367</v>
      </c>
    </row>
    <row r="74" customFormat="false" ht="15" hidden="false" customHeight="false" outlineLevel="0" collapsed="false">
      <c r="A74" s="79" t="s">
        <v>345</v>
      </c>
      <c r="B74" s="79" t="s">
        <v>314</v>
      </c>
      <c r="C74" s="80" t="n">
        <v>2021</v>
      </c>
      <c r="D74" s="80" t="n">
        <v>1</v>
      </c>
      <c r="E74" s="81" t="n">
        <v>44286</v>
      </c>
      <c r="F74" s="79" t="s">
        <v>271</v>
      </c>
      <c r="G74" s="79" t="s">
        <v>272</v>
      </c>
      <c r="H74" s="79" t="s">
        <v>268</v>
      </c>
      <c r="I74" s="82" t="n">
        <v>23749.028</v>
      </c>
      <c r="J74" s="82" t="n">
        <v>9295.535</v>
      </c>
      <c r="K74" s="82" t="n">
        <v>5023997000</v>
      </c>
      <c r="L74" s="83" t="n">
        <v>10.17</v>
      </c>
      <c r="M74" s="82" t="n">
        <v>496.9841</v>
      </c>
      <c r="N74" s="82" t="n">
        <v>2965000</v>
      </c>
      <c r="O74" s="82" t="n">
        <v>73775.545</v>
      </c>
      <c r="P74" s="83" t="n">
        <v>0</v>
      </c>
      <c r="Q74" s="83" t="n">
        <v>553</v>
      </c>
      <c r="R74" s="47" t="n">
        <v>22</v>
      </c>
      <c r="S74" s="66" t="s">
        <v>368</v>
      </c>
    </row>
    <row r="75" customFormat="false" ht="15" hidden="false" customHeight="false" outlineLevel="0" collapsed="false">
      <c r="A75" s="79" t="s">
        <v>345</v>
      </c>
      <c r="B75" s="79" t="s">
        <v>316</v>
      </c>
      <c r="C75" s="80" t="n">
        <v>2020</v>
      </c>
      <c r="D75" s="80" t="n">
        <v>4</v>
      </c>
      <c r="E75" s="81" t="n">
        <v>44196</v>
      </c>
      <c r="F75" s="79" t="s">
        <v>271</v>
      </c>
      <c r="G75" s="79" t="s">
        <v>272</v>
      </c>
      <c r="H75" s="79" t="s">
        <v>268</v>
      </c>
      <c r="I75" s="82" t="n">
        <v>22225.455</v>
      </c>
      <c r="J75" s="82" t="n">
        <v>8444.124</v>
      </c>
      <c r="K75" s="82" t="n">
        <v>3707295000</v>
      </c>
      <c r="L75" s="83" t="n">
        <v>7.55</v>
      </c>
      <c r="M75" s="82" t="n">
        <v>496.9433</v>
      </c>
      <c r="N75" s="82" t="n">
        <v>2965000</v>
      </c>
      <c r="O75" s="82" t="n">
        <v>69460.862</v>
      </c>
      <c r="P75" s="83" t="n">
        <v>0</v>
      </c>
      <c r="Q75" s="83" t="n">
        <v>518</v>
      </c>
      <c r="R75" s="47" t="n">
        <v>23</v>
      </c>
      <c r="S75" s="66" t="s">
        <v>369</v>
      </c>
    </row>
    <row r="76" customFormat="false" ht="15" hidden="false" customHeight="false" outlineLevel="0" collapsed="false">
      <c r="A76" s="79" t="s">
        <v>345</v>
      </c>
      <c r="B76" s="79" t="s">
        <v>318</v>
      </c>
      <c r="C76" s="80" t="n">
        <v>2020</v>
      </c>
      <c r="D76" s="80" t="n">
        <v>3</v>
      </c>
      <c r="E76" s="81" t="n">
        <v>44104</v>
      </c>
      <c r="F76" s="79" t="s">
        <v>271</v>
      </c>
      <c r="G76" s="79" t="s">
        <v>272</v>
      </c>
      <c r="H76" s="79" t="s">
        <v>268</v>
      </c>
      <c r="I76" s="82" t="n">
        <v>21953.457</v>
      </c>
      <c r="J76" s="82" t="n">
        <v>8202.696</v>
      </c>
      <c r="K76" s="82" t="n">
        <v>3627326000</v>
      </c>
      <c r="L76" s="83" t="n">
        <v>7.37</v>
      </c>
      <c r="M76" s="82" t="n">
        <v>495.8754</v>
      </c>
      <c r="N76" s="82" t="n">
        <v>2965000</v>
      </c>
      <c r="O76" s="82" t="n">
        <v>66912.518</v>
      </c>
      <c r="P76" s="83"/>
      <c r="Q76" s="83" t="n">
        <v>351.5</v>
      </c>
      <c r="R76" s="47" t="n">
        <v>24</v>
      </c>
      <c r="S76" s="66" t="s">
        <v>370</v>
      </c>
    </row>
    <row r="77" customFormat="false" ht="15" hidden="false" customHeight="false" outlineLevel="0" collapsed="false">
      <c r="A77" s="79" t="s">
        <v>79</v>
      </c>
      <c r="B77" s="79" t="s">
        <v>265</v>
      </c>
      <c r="C77" s="80" t="n">
        <v>2026</v>
      </c>
      <c r="D77" s="80" t="n">
        <v>3</v>
      </c>
      <c r="E77" s="81" t="n">
        <v>46295</v>
      </c>
      <c r="F77" s="79" t="s">
        <v>266</v>
      </c>
      <c r="G77" s="79" t="s">
        <v>267</v>
      </c>
      <c r="H77" s="79" t="s">
        <v>268</v>
      </c>
      <c r="I77" s="82"/>
      <c r="J77" s="82"/>
      <c r="K77" s="82"/>
      <c r="L77" s="83" t="n">
        <v>28.19147</v>
      </c>
      <c r="M77" s="82"/>
      <c r="N77" s="82"/>
      <c r="O77" s="82"/>
      <c r="P77" s="83"/>
      <c r="Q77" s="83"/>
      <c r="R77" s="47" t="n">
        <v>0</v>
      </c>
      <c r="S77" s="66" t="s">
        <v>371</v>
      </c>
    </row>
    <row r="78" customFormat="false" ht="15" hidden="false" customHeight="false" outlineLevel="0" collapsed="false">
      <c r="A78" s="79" t="s">
        <v>79</v>
      </c>
      <c r="B78" s="79" t="s">
        <v>270</v>
      </c>
      <c r="C78" s="80" t="n">
        <v>2026</v>
      </c>
      <c r="D78" s="80" t="n">
        <v>2</v>
      </c>
      <c r="E78" s="81" t="n">
        <v>46203</v>
      </c>
      <c r="F78" s="79" t="s">
        <v>271</v>
      </c>
      <c r="G78" s="79" t="s">
        <v>272</v>
      </c>
      <c r="H78" s="79" t="s">
        <v>268</v>
      </c>
      <c r="I78" s="82" t="n">
        <v>1270380.25</v>
      </c>
      <c r="J78" s="82" t="n">
        <v>860310.695</v>
      </c>
      <c r="K78" s="82" t="n">
        <v>706561938000</v>
      </c>
      <c r="L78" s="83" t="n">
        <v>27.25</v>
      </c>
      <c r="M78" s="82" t="n">
        <v>25932.3701</v>
      </c>
      <c r="N78" s="82" t="n">
        <v>0</v>
      </c>
      <c r="O78" s="82" t="n">
        <v>6432518.334</v>
      </c>
      <c r="P78" s="83" t="n">
        <v>6.00003573</v>
      </c>
      <c r="Q78" s="83" t="n">
        <v>2410</v>
      </c>
      <c r="R78" s="47" t="n">
        <v>1</v>
      </c>
      <c r="S78" s="66" t="s">
        <v>372</v>
      </c>
    </row>
    <row r="79" customFormat="false" ht="15" hidden="false" customHeight="false" outlineLevel="0" collapsed="false">
      <c r="A79" s="79" t="s">
        <v>79</v>
      </c>
      <c r="B79" s="79" t="s">
        <v>274</v>
      </c>
      <c r="C79" s="80" t="n">
        <v>2026</v>
      </c>
      <c r="D79" s="80" t="n">
        <v>1</v>
      </c>
      <c r="E79" s="81" t="n">
        <v>46112</v>
      </c>
      <c r="F79" s="79" t="s">
        <v>271</v>
      </c>
      <c r="G79" s="79" t="s">
        <v>272</v>
      </c>
      <c r="H79" s="79" t="s">
        <v>268</v>
      </c>
      <c r="I79" s="82" t="n">
        <v>1134103.44</v>
      </c>
      <c r="J79" s="82" t="n">
        <v>751295.421</v>
      </c>
      <c r="K79" s="82" t="n">
        <v>572479752000</v>
      </c>
      <c r="L79" s="83" t="n">
        <v>22.08</v>
      </c>
      <c r="M79" s="82" t="n">
        <v>25932.5245</v>
      </c>
      <c r="N79" s="82" t="n">
        <v>0</v>
      </c>
      <c r="O79" s="82" t="n">
        <v>5890960.252</v>
      </c>
      <c r="P79" s="83" t="n">
        <v>6.00003573</v>
      </c>
      <c r="Q79" s="83" t="n">
        <v>1760</v>
      </c>
      <c r="R79" s="47" t="n">
        <v>2</v>
      </c>
      <c r="S79" s="66" t="s">
        <v>373</v>
      </c>
    </row>
    <row r="80" customFormat="false" ht="15" hidden="false" customHeight="false" outlineLevel="0" collapsed="false">
      <c r="A80" s="79" t="s">
        <v>79</v>
      </c>
      <c r="B80" s="79" t="s">
        <v>276</v>
      </c>
      <c r="C80" s="80" t="n">
        <v>2025</v>
      </c>
      <c r="D80" s="80" t="n">
        <v>4</v>
      </c>
      <c r="E80" s="81" t="n">
        <v>46022</v>
      </c>
      <c r="F80" s="79" t="s">
        <v>271</v>
      </c>
      <c r="G80" s="79" t="s">
        <v>272</v>
      </c>
      <c r="H80" s="79" t="s">
        <v>268</v>
      </c>
      <c r="I80" s="82" t="n">
        <v>1046090.421</v>
      </c>
      <c r="J80" s="82" t="n">
        <v>651986.836</v>
      </c>
      <c r="K80" s="82" t="n">
        <v>505743990000</v>
      </c>
      <c r="L80" s="83" t="n">
        <v>19.51</v>
      </c>
      <c r="M80" s="82" t="n">
        <v>25932.5245</v>
      </c>
      <c r="N80" s="82" t="n">
        <v>0</v>
      </c>
      <c r="O80" s="82" t="n">
        <v>5419595.994</v>
      </c>
      <c r="P80" s="83" t="n">
        <v>5.00001118</v>
      </c>
      <c r="Q80" s="83" t="n">
        <v>1550</v>
      </c>
      <c r="R80" s="47" t="n">
        <v>3</v>
      </c>
      <c r="S80" s="66" t="s">
        <v>374</v>
      </c>
    </row>
    <row r="81" customFormat="false" ht="15" hidden="false" customHeight="false" outlineLevel="0" collapsed="false">
      <c r="A81" s="79" t="s">
        <v>79</v>
      </c>
      <c r="B81" s="79" t="s">
        <v>278</v>
      </c>
      <c r="C81" s="80" t="n">
        <v>2025</v>
      </c>
      <c r="D81" s="80" t="n">
        <v>3</v>
      </c>
      <c r="E81" s="81" t="n">
        <v>45930</v>
      </c>
      <c r="F81" s="79" t="s">
        <v>271</v>
      </c>
      <c r="G81" s="79" t="s">
        <v>272</v>
      </c>
      <c r="H81" s="79" t="s">
        <v>268</v>
      </c>
      <c r="I81" s="82" t="n">
        <v>989918.318</v>
      </c>
      <c r="J81" s="82" t="n">
        <v>588542.829</v>
      </c>
      <c r="K81" s="82" t="n">
        <v>452301407000</v>
      </c>
      <c r="L81" s="83" t="n">
        <v>17.44</v>
      </c>
      <c r="M81" s="82" t="n">
        <v>25932.5245</v>
      </c>
      <c r="N81" s="82" t="n">
        <v>0</v>
      </c>
      <c r="O81" s="82" t="n">
        <v>4998306.972</v>
      </c>
      <c r="P81" s="83" t="n">
        <v>5.00001754</v>
      </c>
      <c r="Q81" s="83" t="n">
        <v>1305</v>
      </c>
      <c r="R81" s="47" t="n">
        <v>4</v>
      </c>
      <c r="S81" s="66" t="s">
        <v>375</v>
      </c>
    </row>
    <row r="82" customFormat="false" ht="15" hidden="false" customHeight="false" outlineLevel="0" collapsed="false">
      <c r="A82" s="79" t="s">
        <v>79</v>
      </c>
      <c r="B82" s="79" t="s">
        <v>280</v>
      </c>
      <c r="C82" s="80" t="n">
        <v>2025</v>
      </c>
      <c r="D82" s="80" t="n">
        <v>2</v>
      </c>
      <c r="E82" s="81" t="n">
        <v>45838</v>
      </c>
      <c r="F82" s="79" t="s">
        <v>271</v>
      </c>
      <c r="G82" s="79" t="s">
        <v>272</v>
      </c>
      <c r="H82" s="79" t="s">
        <v>268</v>
      </c>
      <c r="I82" s="82" t="n">
        <v>933791.869</v>
      </c>
      <c r="J82" s="82" t="n">
        <v>547369.238</v>
      </c>
      <c r="K82" s="82" t="n">
        <v>398273102000</v>
      </c>
      <c r="L82" s="83" t="n">
        <v>15.36</v>
      </c>
      <c r="M82" s="82" t="n">
        <v>25932.6155</v>
      </c>
      <c r="N82" s="82" t="n">
        <v>0</v>
      </c>
      <c r="O82" s="82" t="n">
        <v>4581073.975</v>
      </c>
      <c r="P82" s="83" t="n">
        <v>4.50002042</v>
      </c>
      <c r="Q82" s="83" t="n">
        <v>1060</v>
      </c>
      <c r="R82" s="47" t="n">
        <v>5</v>
      </c>
      <c r="S82" s="66" t="s">
        <v>376</v>
      </c>
    </row>
    <row r="83" customFormat="false" ht="15" hidden="false" customHeight="false" outlineLevel="0" collapsed="false">
      <c r="A83" s="79" t="s">
        <v>79</v>
      </c>
      <c r="B83" s="79" t="s">
        <v>282</v>
      </c>
      <c r="C83" s="80" t="n">
        <v>2025</v>
      </c>
      <c r="D83" s="80" t="n">
        <v>1</v>
      </c>
      <c r="E83" s="81" t="n">
        <v>45747</v>
      </c>
      <c r="F83" s="79" t="s">
        <v>271</v>
      </c>
      <c r="G83" s="79" t="s">
        <v>272</v>
      </c>
      <c r="H83" s="79" t="s">
        <v>268</v>
      </c>
      <c r="I83" s="82" t="n">
        <v>839253.664</v>
      </c>
      <c r="J83" s="82" t="n">
        <v>493395.076</v>
      </c>
      <c r="K83" s="82" t="n">
        <v>361564128000</v>
      </c>
      <c r="L83" s="83" t="n">
        <v>13.95</v>
      </c>
      <c r="M83" s="82" t="n">
        <v>25932.7332</v>
      </c>
      <c r="N83" s="82" t="n">
        <v>0</v>
      </c>
      <c r="O83" s="82" t="n">
        <v>4564162.58</v>
      </c>
      <c r="P83" s="83" t="n">
        <v>4.50002042</v>
      </c>
      <c r="Q83" s="83" t="n">
        <v>910</v>
      </c>
      <c r="R83" s="47" t="n">
        <v>6</v>
      </c>
      <c r="S83" s="66" t="s">
        <v>377</v>
      </c>
    </row>
    <row r="84" customFormat="false" ht="15" hidden="false" customHeight="false" outlineLevel="0" collapsed="false">
      <c r="A84" s="79" t="s">
        <v>79</v>
      </c>
      <c r="B84" s="79" t="s">
        <v>284</v>
      </c>
      <c r="C84" s="80" t="n">
        <v>2024</v>
      </c>
      <c r="D84" s="80" t="n">
        <v>4</v>
      </c>
      <c r="E84" s="81" t="n">
        <v>45657</v>
      </c>
      <c r="F84" s="79" t="s">
        <v>271</v>
      </c>
      <c r="G84" s="79" t="s">
        <v>272</v>
      </c>
      <c r="H84" s="79" t="s">
        <v>268</v>
      </c>
      <c r="I84" s="82" t="n">
        <v>868461.178</v>
      </c>
      <c r="J84" s="82" t="n">
        <v>512378.151</v>
      </c>
      <c r="K84" s="82" t="n">
        <v>374679727000</v>
      </c>
      <c r="L84" s="83" t="n">
        <v>14.45</v>
      </c>
      <c r="M84" s="82" t="n">
        <v>25932.7332</v>
      </c>
      <c r="N84" s="82" t="n">
        <v>0</v>
      </c>
      <c r="O84" s="82" t="n">
        <v>4288545.167</v>
      </c>
      <c r="P84" s="83" t="n">
        <v>3.99963706</v>
      </c>
      <c r="Q84" s="83" t="n">
        <v>1075</v>
      </c>
      <c r="R84" s="47" t="n">
        <v>7</v>
      </c>
      <c r="S84" s="66" t="s">
        <v>378</v>
      </c>
    </row>
    <row r="85" customFormat="false" ht="15" hidden="false" customHeight="false" outlineLevel="0" collapsed="false">
      <c r="A85" s="79" t="s">
        <v>79</v>
      </c>
      <c r="B85" s="79" t="s">
        <v>286</v>
      </c>
      <c r="C85" s="80" t="n">
        <v>2024</v>
      </c>
      <c r="D85" s="80" t="n">
        <v>3</v>
      </c>
      <c r="E85" s="81" t="n">
        <v>45565</v>
      </c>
      <c r="F85" s="79" t="s">
        <v>271</v>
      </c>
      <c r="G85" s="79" t="s">
        <v>272</v>
      </c>
      <c r="H85" s="79" t="s">
        <v>268</v>
      </c>
      <c r="I85" s="82" t="n">
        <v>759692.143</v>
      </c>
      <c r="J85" s="82" t="n">
        <v>439345.666</v>
      </c>
      <c r="K85" s="82" t="n">
        <v>325257571000</v>
      </c>
      <c r="L85" s="83" t="n">
        <v>12.55</v>
      </c>
      <c r="M85" s="82" t="n">
        <v>25932.7332</v>
      </c>
      <c r="N85" s="82" t="n">
        <v>0</v>
      </c>
      <c r="O85" s="82" t="n">
        <v>3990019.153</v>
      </c>
      <c r="P85" s="83" t="n">
        <v>4.0001382</v>
      </c>
      <c r="Q85" s="83" t="n">
        <v>957</v>
      </c>
      <c r="R85" s="47" t="n">
        <v>8</v>
      </c>
      <c r="S85" s="66" t="s">
        <v>379</v>
      </c>
    </row>
    <row r="86" customFormat="false" ht="15" hidden="false" customHeight="false" outlineLevel="0" collapsed="false">
      <c r="A86" s="79" t="s">
        <v>79</v>
      </c>
      <c r="B86" s="79" t="s">
        <v>288</v>
      </c>
      <c r="C86" s="80" t="n">
        <v>2024</v>
      </c>
      <c r="D86" s="80" t="n">
        <v>2</v>
      </c>
      <c r="E86" s="81" t="n">
        <v>45473</v>
      </c>
      <c r="F86" s="79" t="s">
        <v>271</v>
      </c>
      <c r="G86" s="79" t="s">
        <v>272</v>
      </c>
      <c r="H86" s="79" t="s">
        <v>268</v>
      </c>
      <c r="I86" s="82" t="n">
        <v>673510.177</v>
      </c>
      <c r="J86" s="82" t="n">
        <v>358124.478</v>
      </c>
      <c r="K86" s="82" t="n">
        <v>247845528000</v>
      </c>
      <c r="L86" s="83" t="n">
        <v>9.56</v>
      </c>
      <c r="M86" s="82" t="n">
        <v>25933.6292</v>
      </c>
      <c r="N86" s="82" t="n">
        <v>3249000</v>
      </c>
      <c r="O86" s="82" t="n">
        <v>3791402.874</v>
      </c>
      <c r="P86" s="83" t="n">
        <v>3.49978969</v>
      </c>
      <c r="Q86" s="83" t="n">
        <v>966</v>
      </c>
      <c r="R86" s="47" t="n">
        <v>9</v>
      </c>
      <c r="S86" s="66" t="s">
        <v>380</v>
      </c>
    </row>
    <row r="87" customFormat="false" ht="15" hidden="false" customHeight="false" outlineLevel="0" collapsed="false">
      <c r="A87" s="79" t="s">
        <v>79</v>
      </c>
      <c r="B87" s="79" t="s">
        <v>290</v>
      </c>
      <c r="C87" s="80" t="n">
        <v>2024</v>
      </c>
      <c r="D87" s="80" t="n">
        <v>1</v>
      </c>
      <c r="E87" s="81" t="n">
        <v>45382</v>
      </c>
      <c r="F87" s="79" t="s">
        <v>271</v>
      </c>
      <c r="G87" s="79" t="s">
        <v>272</v>
      </c>
      <c r="H87" s="79" t="s">
        <v>268</v>
      </c>
      <c r="I87" s="82" t="n">
        <v>592644.201</v>
      </c>
      <c r="J87" s="82" t="n">
        <v>314505.269</v>
      </c>
      <c r="K87" s="82" t="n">
        <v>225484877000</v>
      </c>
      <c r="L87" s="83" t="n">
        <v>8.7</v>
      </c>
      <c r="M87" s="82" t="n">
        <v>25935.031</v>
      </c>
      <c r="N87" s="82" t="n">
        <v>0</v>
      </c>
      <c r="O87" s="82" t="n">
        <v>3635731.93</v>
      </c>
      <c r="P87" s="83" t="n">
        <v>3.49978969</v>
      </c>
      <c r="Q87" s="83" t="n">
        <v>779</v>
      </c>
      <c r="R87" s="47" t="n">
        <v>10</v>
      </c>
      <c r="S87" s="66" t="s">
        <v>381</v>
      </c>
    </row>
    <row r="88" customFormat="false" ht="15" hidden="false" customHeight="false" outlineLevel="0" collapsed="false">
      <c r="A88" s="79" t="s">
        <v>79</v>
      </c>
      <c r="B88" s="79" t="s">
        <v>292</v>
      </c>
      <c r="C88" s="80" t="n">
        <v>2023</v>
      </c>
      <c r="D88" s="80" t="n">
        <v>4</v>
      </c>
      <c r="E88" s="81" t="n">
        <v>45291</v>
      </c>
      <c r="F88" s="79" t="s">
        <v>271</v>
      </c>
      <c r="G88" s="79" t="s">
        <v>272</v>
      </c>
      <c r="H88" s="79" t="s">
        <v>268</v>
      </c>
      <c r="I88" s="82" t="n">
        <v>625528.856</v>
      </c>
      <c r="J88" s="82" t="n">
        <v>331767.925</v>
      </c>
      <c r="K88" s="82" t="n">
        <v>238712143000</v>
      </c>
      <c r="L88" s="83" t="n">
        <v>9.21</v>
      </c>
      <c r="M88" s="82" t="n">
        <v>25932.071</v>
      </c>
      <c r="N88" s="82" t="n">
        <v>0</v>
      </c>
      <c r="O88" s="82" t="n">
        <v>3458913.627</v>
      </c>
      <c r="P88" s="83" t="n">
        <v>3</v>
      </c>
      <c r="Q88" s="83" t="n">
        <v>593</v>
      </c>
      <c r="R88" s="47" t="n">
        <v>11</v>
      </c>
      <c r="S88" s="66" t="s">
        <v>382</v>
      </c>
    </row>
    <row r="89" customFormat="false" ht="15" hidden="false" customHeight="false" outlineLevel="0" collapsed="false">
      <c r="A89" s="79" t="s">
        <v>79</v>
      </c>
      <c r="B89" s="79" t="s">
        <v>294</v>
      </c>
      <c r="C89" s="80" t="n">
        <v>2023</v>
      </c>
      <c r="D89" s="80" t="n">
        <v>3</v>
      </c>
      <c r="E89" s="81" t="n">
        <v>45199</v>
      </c>
      <c r="F89" s="79" t="s">
        <v>271</v>
      </c>
      <c r="G89" s="79" t="s">
        <v>272</v>
      </c>
      <c r="H89" s="79" t="s">
        <v>268</v>
      </c>
      <c r="I89" s="82" t="n">
        <v>546732.758</v>
      </c>
      <c r="J89" s="82" t="n">
        <v>296642.464</v>
      </c>
      <c r="K89" s="82" t="n">
        <v>210999939000</v>
      </c>
      <c r="L89" s="83" t="n">
        <v>8.14</v>
      </c>
      <c r="M89" s="82" t="n">
        <v>25932.071</v>
      </c>
      <c r="N89" s="82" t="n">
        <v>0</v>
      </c>
      <c r="O89" s="82" t="n">
        <v>3348349.657</v>
      </c>
      <c r="P89" s="83" t="n">
        <v>3</v>
      </c>
      <c r="Q89" s="83" t="n">
        <v>523</v>
      </c>
      <c r="R89" s="47" t="n">
        <v>12</v>
      </c>
      <c r="S89" s="66" t="s">
        <v>383</v>
      </c>
    </row>
    <row r="90" customFormat="false" ht="15" hidden="false" customHeight="false" outlineLevel="0" collapsed="false">
      <c r="A90" s="79" t="s">
        <v>79</v>
      </c>
      <c r="B90" s="79" t="s">
        <v>296</v>
      </c>
      <c r="C90" s="80" t="n">
        <v>2023</v>
      </c>
      <c r="D90" s="80" t="n">
        <v>2</v>
      </c>
      <c r="E90" s="81" t="n">
        <v>45107</v>
      </c>
      <c r="F90" s="79" t="s">
        <v>271</v>
      </c>
      <c r="G90" s="79" t="s">
        <v>272</v>
      </c>
      <c r="H90" s="79" t="s">
        <v>268</v>
      </c>
      <c r="I90" s="82" t="n">
        <v>480841.254</v>
      </c>
      <c r="J90" s="82" t="n">
        <v>260199.847</v>
      </c>
      <c r="K90" s="82" t="n">
        <v>181799021000</v>
      </c>
      <c r="L90" s="83" t="n">
        <v>7.01</v>
      </c>
      <c r="M90" s="82" t="n">
        <v>25932.071</v>
      </c>
      <c r="N90" s="82" t="n">
        <v>0</v>
      </c>
      <c r="O90" s="82" t="n">
        <v>3188750.455</v>
      </c>
      <c r="P90" s="83" t="n">
        <v>2.74982072</v>
      </c>
      <c r="Q90" s="83" t="n">
        <v>576</v>
      </c>
      <c r="R90" s="47" t="n">
        <v>13</v>
      </c>
      <c r="S90" s="66" t="s">
        <v>384</v>
      </c>
    </row>
    <row r="91" customFormat="false" ht="15" hidden="false" customHeight="false" outlineLevel="0" collapsed="false">
      <c r="A91" s="79" t="s">
        <v>79</v>
      </c>
      <c r="B91" s="79" t="s">
        <v>298</v>
      </c>
      <c r="C91" s="80" t="n">
        <v>2023</v>
      </c>
      <c r="D91" s="80" t="n">
        <v>1</v>
      </c>
      <c r="E91" s="81" t="n">
        <v>45016</v>
      </c>
      <c r="F91" s="79" t="s">
        <v>271</v>
      </c>
      <c r="G91" s="79" t="s">
        <v>272</v>
      </c>
      <c r="H91" s="79" t="s">
        <v>268</v>
      </c>
      <c r="I91" s="82" t="n">
        <v>508632.973</v>
      </c>
      <c r="J91" s="82" t="n">
        <v>286500.392</v>
      </c>
      <c r="K91" s="82" t="n">
        <v>206986561000</v>
      </c>
      <c r="L91" s="83" t="n">
        <v>7.98</v>
      </c>
      <c r="M91" s="82" t="n">
        <v>25932.4905</v>
      </c>
      <c r="N91" s="82" t="n">
        <v>0</v>
      </c>
      <c r="O91" s="82" t="n">
        <v>3078233.958</v>
      </c>
      <c r="P91" s="83" t="n">
        <v>2.74982072</v>
      </c>
      <c r="Q91" s="83" t="n">
        <v>533</v>
      </c>
      <c r="R91" s="47" t="n">
        <v>14</v>
      </c>
      <c r="S91" s="66" t="s">
        <v>385</v>
      </c>
    </row>
    <row r="92" customFormat="false" ht="15" hidden="false" customHeight="false" outlineLevel="0" collapsed="false">
      <c r="A92" s="79" t="s">
        <v>79</v>
      </c>
      <c r="B92" s="79" t="s">
        <v>300</v>
      </c>
      <c r="C92" s="80" t="n">
        <v>2022</v>
      </c>
      <c r="D92" s="80" t="n">
        <v>4</v>
      </c>
      <c r="E92" s="81" t="n">
        <v>44926</v>
      </c>
      <c r="F92" s="79" t="s">
        <v>271</v>
      </c>
      <c r="G92" s="79" t="s">
        <v>272</v>
      </c>
      <c r="H92" s="79" t="s">
        <v>268</v>
      </c>
      <c r="I92" s="82" t="n">
        <v>625531.868</v>
      </c>
      <c r="J92" s="82" t="n">
        <v>389184.929</v>
      </c>
      <c r="K92" s="82" t="n">
        <v>295904177000</v>
      </c>
      <c r="L92" s="83" t="n">
        <v>11.41</v>
      </c>
      <c r="M92" s="82" t="n">
        <v>25930.3805</v>
      </c>
      <c r="N92" s="82" t="n">
        <v>0</v>
      </c>
      <c r="O92" s="82" t="n">
        <v>2945653.195</v>
      </c>
      <c r="P92" s="83" t="n">
        <v>2.75</v>
      </c>
      <c r="Q92" s="83" t="n">
        <v>448.5</v>
      </c>
      <c r="R92" s="47" t="n">
        <v>15</v>
      </c>
      <c r="S92" s="66" t="s">
        <v>386</v>
      </c>
    </row>
    <row r="93" customFormat="false" ht="15" hidden="false" customHeight="false" outlineLevel="0" collapsed="false">
      <c r="A93" s="79" t="s">
        <v>79</v>
      </c>
      <c r="B93" s="79" t="s">
        <v>302</v>
      </c>
      <c r="C93" s="80" t="n">
        <v>2022</v>
      </c>
      <c r="D93" s="80" t="n">
        <v>3</v>
      </c>
      <c r="E93" s="81" t="n">
        <v>44834</v>
      </c>
      <c r="F93" s="79" t="s">
        <v>271</v>
      </c>
      <c r="G93" s="79" t="s">
        <v>272</v>
      </c>
      <c r="H93" s="79" t="s">
        <v>268</v>
      </c>
      <c r="I93" s="82" t="n">
        <v>613142.743</v>
      </c>
      <c r="J93" s="82" t="n">
        <v>370498.717</v>
      </c>
      <c r="K93" s="82" t="n">
        <v>280865780000</v>
      </c>
      <c r="L93" s="83" t="n">
        <v>10.83</v>
      </c>
      <c r="M93" s="82" t="n">
        <v>25930.3805</v>
      </c>
      <c r="N93" s="82" t="n">
        <v>0</v>
      </c>
      <c r="O93" s="82" t="n">
        <v>2737974.306</v>
      </c>
      <c r="P93" s="83" t="n">
        <v>2.75</v>
      </c>
      <c r="Q93" s="83" t="n">
        <v>422</v>
      </c>
      <c r="R93" s="47" t="n">
        <v>16</v>
      </c>
      <c r="S93" s="66" t="s">
        <v>387</v>
      </c>
    </row>
    <row r="94" customFormat="false" ht="15" hidden="false" customHeight="false" outlineLevel="0" collapsed="false">
      <c r="A94" s="79" t="s">
        <v>79</v>
      </c>
      <c r="B94" s="79" t="s">
        <v>304</v>
      </c>
      <c r="C94" s="80" t="n">
        <v>2022</v>
      </c>
      <c r="D94" s="80" t="n">
        <v>2</v>
      </c>
      <c r="E94" s="81" t="n">
        <v>44742</v>
      </c>
      <c r="F94" s="79" t="s">
        <v>271</v>
      </c>
      <c r="G94" s="79" t="s">
        <v>272</v>
      </c>
      <c r="H94" s="79" t="s">
        <v>268</v>
      </c>
      <c r="I94" s="82" t="n">
        <v>534140.808</v>
      </c>
      <c r="J94" s="82" t="n">
        <v>315467.994</v>
      </c>
      <c r="K94" s="82" t="n">
        <v>237027317000</v>
      </c>
      <c r="L94" s="83" t="n">
        <v>9.14</v>
      </c>
      <c r="M94" s="82" t="n">
        <v>25930.3805</v>
      </c>
      <c r="N94" s="82" t="n">
        <v>0</v>
      </c>
      <c r="O94" s="82" t="n">
        <v>2496353.192</v>
      </c>
      <c r="P94" s="83" t="n">
        <v>2.75</v>
      </c>
      <c r="Q94" s="83" t="n">
        <v>476</v>
      </c>
      <c r="R94" s="47" t="n">
        <v>17</v>
      </c>
      <c r="S94" s="66" t="s">
        <v>388</v>
      </c>
    </row>
    <row r="95" customFormat="false" ht="15" hidden="false" customHeight="false" outlineLevel="0" collapsed="false">
      <c r="A95" s="79" t="s">
        <v>79</v>
      </c>
      <c r="B95" s="79" t="s">
        <v>306</v>
      </c>
      <c r="C95" s="80" t="n">
        <v>2022</v>
      </c>
      <c r="D95" s="80" t="n">
        <v>1</v>
      </c>
      <c r="E95" s="81" t="n">
        <v>44651</v>
      </c>
      <c r="F95" s="79" t="s">
        <v>271</v>
      </c>
      <c r="G95" s="79" t="s">
        <v>272</v>
      </c>
      <c r="H95" s="79" t="s">
        <v>268</v>
      </c>
      <c r="I95" s="82" t="n">
        <v>491075.873</v>
      </c>
      <c r="J95" s="82" t="n">
        <v>273203.166</v>
      </c>
      <c r="K95" s="82" t="n">
        <v>202732975000</v>
      </c>
      <c r="L95" s="83" t="n">
        <v>7.82</v>
      </c>
      <c r="M95" s="82" t="n">
        <v>25931.7675</v>
      </c>
      <c r="N95" s="82" t="n">
        <v>1387000</v>
      </c>
      <c r="O95" s="82" t="n">
        <v>2314430.096</v>
      </c>
      <c r="P95" s="83" t="n">
        <v>2.75</v>
      </c>
      <c r="Q95" s="83" t="n">
        <v>597</v>
      </c>
      <c r="R95" s="47" t="n">
        <v>18</v>
      </c>
      <c r="S95" s="66" t="s">
        <v>389</v>
      </c>
    </row>
    <row r="96" customFormat="false" ht="15" hidden="false" customHeight="false" outlineLevel="0" collapsed="false">
      <c r="A96" s="79" t="s">
        <v>79</v>
      </c>
      <c r="B96" s="79" t="s">
        <v>308</v>
      </c>
      <c r="C96" s="80" t="n">
        <v>2021</v>
      </c>
      <c r="D96" s="80" t="n">
        <v>4</v>
      </c>
      <c r="E96" s="81" t="n">
        <v>44561</v>
      </c>
      <c r="F96" s="79" t="s">
        <v>271</v>
      </c>
      <c r="G96" s="79" t="s">
        <v>272</v>
      </c>
      <c r="H96" s="79" t="s">
        <v>268</v>
      </c>
      <c r="I96" s="82" t="n">
        <v>438189.306</v>
      </c>
      <c r="J96" s="82" t="n">
        <v>230679.228</v>
      </c>
      <c r="K96" s="82" t="n">
        <v>166232291000</v>
      </c>
      <c r="L96" s="83" t="n">
        <v>6.42</v>
      </c>
      <c r="M96" s="82" t="n">
        <v>25930.3805</v>
      </c>
      <c r="N96" s="82" t="n">
        <v>0</v>
      </c>
      <c r="O96" s="82" t="n">
        <v>2168286.553</v>
      </c>
      <c r="P96" s="83" t="n">
        <v>2.75</v>
      </c>
      <c r="Q96" s="83" t="n">
        <v>615</v>
      </c>
      <c r="R96" s="47" t="n">
        <v>19</v>
      </c>
      <c r="S96" s="66" t="s">
        <v>390</v>
      </c>
    </row>
    <row r="97" customFormat="false" ht="15" hidden="false" customHeight="false" outlineLevel="0" collapsed="false">
      <c r="A97" s="79" t="s">
        <v>79</v>
      </c>
      <c r="B97" s="79" t="s">
        <v>310</v>
      </c>
      <c r="C97" s="80" t="n">
        <v>2021</v>
      </c>
      <c r="D97" s="80" t="n">
        <v>3</v>
      </c>
      <c r="E97" s="81" t="n">
        <v>44469</v>
      </c>
      <c r="F97" s="79" t="s">
        <v>271</v>
      </c>
      <c r="G97" s="79" t="s">
        <v>272</v>
      </c>
      <c r="H97" s="79" t="s">
        <v>268</v>
      </c>
      <c r="I97" s="82" t="n">
        <v>414670.379</v>
      </c>
      <c r="J97" s="82" t="n">
        <v>212848.684</v>
      </c>
      <c r="K97" s="82" t="n">
        <v>156258287000</v>
      </c>
      <c r="L97" s="83" t="n">
        <v>6.03</v>
      </c>
      <c r="M97" s="82" t="n">
        <v>25930.3805</v>
      </c>
      <c r="N97" s="82" t="n">
        <v>0</v>
      </c>
      <c r="O97" s="82" t="n">
        <v>2076020.062</v>
      </c>
      <c r="P97" s="83" t="n">
        <v>2.75</v>
      </c>
      <c r="Q97" s="83" t="n">
        <v>580</v>
      </c>
      <c r="R97" s="47" t="n">
        <v>20</v>
      </c>
      <c r="S97" s="66" t="s">
        <v>391</v>
      </c>
    </row>
    <row r="98" customFormat="false" ht="15" hidden="false" customHeight="false" outlineLevel="0" collapsed="false">
      <c r="A98" s="79" t="s">
        <v>79</v>
      </c>
      <c r="B98" s="79" t="s">
        <v>312</v>
      </c>
      <c r="C98" s="80" t="n">
        <v>2021</v>
      </c>
      <c r="D98" s="80" t="n">
        <v>2</v>
      </c>
      <c r="E98" s="81" t="n">
        <v>44377</v>
      </c>
      <c r="F98" s="79" t="s">
        <v>271</v>
      </c>
      <c r="G98" s="79" t="s">
        <v>272</v>
      </c>
      <c r="H98" s="79" t="s">
        <v>268</v>
      </c>
      <c r="I98" s="82" t="n">
        <v>372145.122</v>
      </c>
      <c r="J98" s="82" t="n">
        <v>186234.135</v>
      </c>
      <c r="K98" s="82" t="n">
        <v>134358942000</v>
      </c>
      <c r="L98" s="83" t="n">
        <v>5.18</v>
      </c>
      <c r="M98" s="82" t="n">
        <v>25930.3805</v>
      </c>
      <c r="N98" s="82" t="n">
        <v>0</v>
      </c>
      <c r="O98" s="82" t="n">
        <v>1991785.801</v>
      </c>
      <c r="P98" s="83" t="n">
        <v>2.5</v>
      </c>
      <c r="Q98" s="83" t="n">
        <v>595</v>
      </c>
      <c r="R98" s="47" t="n">
        <v>21</v>
      </c>
      <c r="S98" s="66" t="s">
        <v>392</v>
      </c>
    </row>
    <row r="99" customFormat="false" ht="15" hidden="false" customHeight="false" outlineLevel="0" collapsed="false">
      <c r="A99" s="79" t="s">
        <v>79</v>
      </c>
      <c r="B99" s="79" t="s">
        <v>314</v>
      </c>
      <c r="C99" s="80" t="n">
        <v>2021</v>
      </c>
      <c r="D99" s="80" t="n">
        <v>1</v>
      </c>
      <c r="E99" s="81" t="n">
        <v>44286</v>
      </c>
      <c r="F99" s="79" t="s">
        <v>271</v>
      </c>
      <c r="G99" s="79" t="s">
        <v>272</v>
      </c>
      <c r="H99" s="79" t="s">
        <v>268</v>
      </c>
      <c r="I99" s="82" t="n">
        <v>362410.23</v>
      </c>
      <c r="J99" s="82" t="n">
        <v>189775.219</v>
      </c>
      <c r="K99" s="82" t="n">
        <v>139690493000</v>
      </c>
      <c r="L99" s="83" t="n">
        <v>5.39</v>
      </c>
      <c r="M99" s="82" t="n">
        <v>25930.3805</v>
      </c>
      <c r="N99" s="82" t="n">
        <v>0</v>
      </c>
      <c r="O99" s="82" t="n">
        <v>1938936.396</v>
      </c>
      <c r="P99" s="83" t="n">
        <v>2.5</v>
      </c>
      <c r="Q99" s="83" t="n">
        <v>587</v>
      </c>
      <c r="R99" s="47" t="n">
        <v>22</v>
      </c>
      <c r="S99" s="66" t="s">
        <v>393</v>
      </c>
    </row>
    <row r="100" customFormat="false" ht="15" hidden="false" customHeight="false" outlineLevel="0" collapsed="false">
      <c r="A100" s="79" t="s">
        <v>79</v>
      </c>
      <c r="B100" s="79" t="s">
        <v>316</v>
      </c>
      <c r="C100" s="80" t="n">
        <v>2020</v>
      </c>
      <c r="D100" s="80" t="n">
        <v>4</v>
      </c>
      <c r="E100" s="81" t="n">
        <v>44196</v>
      </c>
      <c r="F100" s="79" t="s">
        <v>271</v>
      </c>
      <c r="G100" s="79" t="s">
        <v>272</v>
      </c>
      <c r="H100" s="79" t="s">
        <v>268</v>
      </c>
      <c r="I100" s="82" t="n">
        <v>361533.057</v>
      </c>
      <c r="J100" s="82" t="n">
        <v>195188.826</v>
      </c>
      <c r="K100" s="82" t="n">
        <v>142766434000</v>
      </c>
      <c r="L100" s="83" t="n">
        <v>5.5</v>
      </c>
      <c r="M100" s="82" t="n">
        <v>25930.3805</v>
      </c>
      <c r="N100" s="82" t="n">
        <v>0</v>
      </c>
      <c r="O100" s="82" t="n">
        <v>1849657.256</v>
      </c>
      <c r="P100" s="83" t="n">
        <v>2.5</v>
      </c>
      <c r="Q100" s="83" t="n">
        <v>530</v>
      </c>
      <c r="R100" s="47" t="n">
        <v>23</v>
      </c>
      <c r="S100" s="66" t="s">
        <v>394</v>
      </c>
    </row>
    <row r="101" customFormat="false" ht="15" hidden="false" customHeight="false" outlineLevel="0" collapsed="false">
      <c r="A101" s="79" t="s">
        <v>79</v>
      </c>
      <c r="B101" s="79" t="s">
        <v>318</v>
      </c>
      <c r="C101" s="80" t="n">
        <v>2020</v>
      </c>
      <c r="D101" s="80" t="n">
        <v>3</v>
      </c>
      <c r="E101" s="81" t="n">
        <v>44104</v>
      </c>
      <c r="F101" s="79" t="s">
        <v>271</v>
      </c>
      <c r="G101" s="79" t="s">
        <v>272</v>
      </c>
      <c r="H101" s="79" t="s">
        <v>268</v>
      </c>
      <c r="I101" s="82" t="n">
        <v>356426.204</v>
      </c>
      <c r="J101" s="82" t="n">
        <v>190480.67</v>
      </c>
      <c r="K101" s="82" t="n">
        <v>137310040000</v>
      </c>
      <c r="L101" s="83" t="n">
        <v>5.3</v>
      </c>
      <c r="M101" s="82" t="n">
        <v>25930.3805</v>
      </c>
      <c r="N101" s="82" t="n">
        <v>0</v>
      </c>
      <c r="O101" s="82" t="n">
        <v>1787361.029</v>
      </c>
      <c r="P101" s="83"/>
      <c r="Q101" s="83" t="n">
        <v>433</v>
      </c>
      <c r="R101" s="47" t="n">
        <v>24</v>
      </c>
      <c r="S101" s="66" t="s">
        <v>395</v>
      </c>
    </row>
    <row r="102" customFormat="false" ht="15" hidden="false" customHeight="false" outlineLevel="0" collapsed="false">
      <c r="A102" s="79" t="s">
        <v>236</v>
      </c>
      <c r="B102" s="79" t="s">
        <v>265</v>
      </c>
      <c r="C102" s="80" t="n">
        <v>2026</v>
      </c>
      <c r="D102" s="80" t="n">
        <v>3</v>
      </c>
      <c r="E102" s="81" t="n">
        <v>46295</v>
      </c>
      <c r="F102" s="79" t="s">
        <v>266</v>
      </c>
      <c r="G102" s="79" t="s">
        <v>267</v>
      </c>
      <c r="H102" s="79" t="s">
        <v>268</v>
      </c>
      <c r="I102" s="82"/>
      <c r="J102" s="82"/>
      <c r="K102" s="82"/>
      <c r="L102" s="83" t="n">
        <v>8.09903</v>
      </c>
      <c r="M102" s="82"/>
      <c r="N102" s="82"/>
      <c r="O102" s="82"/>
      <c r="P102" s="83"/>
      <c r="Q102" s="83"/>
      <c r="R102" s="47" t="n">
        <v>0</v>
      </c>
      <c r="S102" s="66" t="s">
        <v>396</v>
      </c>
    </row>
    <row r="103" customFormat="false" ht="15" hidden="false" customHeight="false" outlineLevel="0" collapsed="false">
      <c r="A103" s="79" t="s">
        <v>236</v>
      </c>
      <c r="B103" s="79" t="s">
        <v>270</v>
      </c>
      <c r="C103" s="80" t="n">
        <v>2026</v>
      </c>
      <c r="D103" s="80" t="n">
        <v>2</v>
      </c>
      <c r="E103" s="81" t="n">
        <v>46203</v>
      </c>
      <c r="F103" s="79" t="s">
        <v>271</v>
      </c>
      <c r="G103" s="79" t="s">
        <v>272</v>
      </c>
      <c r="H103" s="79" t="s">
        <v>268</v>
      </c>
      <c r="I103" s="82" t="n">
        <v>59843.265</v>
      </c>
      <c r="J103" s="82" t="n">
        <v>39645.28</v>
      </c>
      <c r="K103" s="82" t="n">
        <v>24317032000</v>
      </c>
      <c r="L103" s="83" t="n">
        <v>5.4</v>
      </c>
      <c r="M103" s="82" t="n">
        <v>4500.0002</v>
      </c>
      <c r="N103" s="82" t="n">
        <v>0</v>
      </c>
      <c r="O103" s="82" t="n">
        <v>165009.628</v>
      </c>
      <c r="P103" s="83" t="n">
        <v>0</v>
      </c>
      <c r="Q103" s="83" t="n">
        <v>207.5</v>
      </c>
      <c r="R103" s="47" t="n">
        <v>1</v>
      </c>
      <c r="S103" s="66" t="s">
        <v>397</v>
      </c>
    </row>
    <row r="104" customFormat="false" ht="15" hidden="false" customHeight="false" outlineLevel="0" collapsed="false">
      <c r="A104" s="79" t="s">
        <v>236</v>
      </c>
      <c r="B104" s="79" t="s">
        <v>274</v>
      </c>
      <c r="C104" s="80" t="n">
        <v>2026</v>
      </c>
      <c r="D104" s="80" t="n">
        <v>1</v>
      </c>
      <c r="E104" s="81" t="n">
        <v>46112</v>
      </c>
      <c r="F104" s="79" t="s">
        <v>271</v>
      </c>
      <c r="G104" s="79" t="s">
        <v>272</v>
      </c>
      <c r="H104" s="79" t="s">
        <v>268</v>
      </c>
      <c r="I104" s="82" t="n">
        <v>38253.064</v>
      </c>
      <c r="J104" s="82" t="n">
        <v>20415.002</v>
      </c>
      <c r="K104" s="82" t="n">
        <v>10114310000</v>
      </c>
      <c r="L104" s="83" t="n">
        <v>2.25</v>
      </c>
      <c r="M104" s="82" t="n">
        <v>4500.0002</v>
      </c>
      <c r="N104" s="82" t="n">
        <v>0</v>
      </c>
      <c r="O104" s="82" t="n">
        <v>116650.942</v>
      </c>
      <c r="P104" s="83" t="n">
        <v>0.5</v>
      </c>
      <c r="Q104" s="83" t="n">
        <v>90.2</v>
      </c>
      <c r="R104" s="47" t="n">
        <v>2</v>
      </c>
      <c r="S104" s="66" t="s">
        <v>398</v>
      </c>
    </row>
    <row r="105" customFormat="false" ht="15" hidden="false" customHeight="false" outlineLevel="0" collapsed="false">
      <c r="A105" s="79" t="s">
        <v>236</v>
      </c>
      <c r="B105" s="79" t="s">
        <v>276</v>
      </c>
      <c r="C105" s="80" t="n">
        <v>2025</v>
      </c>
      <c r="D105" s="80" t="n">
        <v>4</v>
      </c>
      <c r="E105" s="81" t="n">
        <v>46022</v>
      </c>
      <c r="F105" s="79" t="s">
        <v>271</v>
      </c>
      <c r="G105" s="79" t="s">
        <v>272</v>
      </c>
      <c r="H105" s="79" t="s">
        <v>268</v>
      </c>
      <c r="I105" s="82" t="n">
        <v>26625.074</v>
      </c>
      <c r="J105" s="82" t="n">
        <v>11146.215</v>
      </c>
      <c r="K105" s="82" t="n">
        <v>3422354000</v>
      </c>
      <c r="L105" s="83" t="n">
        <v>0.76</v>
      </c>
      <c r="M105" s="82" t="n">
        <v>4500.0002</v>
      </c>
      <c r="N105" s="82" t="n">
        <v>0</v>
      </c>
      <c r="O105" s="82" t="n">
        <v>107935.967</v>
      </c>
      <c r="P105" s="83" t="n">
        <v>0</v>
      </c>
      <c r="Q105" s="83" t="n">
        <v>82.6</v>
      </c>
      <c r="R105" s="47" t="n">
        <v>3</v>
      </c>
      <c r="S105" s="66" t="s">
        <v>399</v>
      </c>
    </row>
    <row r="106" customFormat="false" ht="15" hidden="false" customHeight="false" outlineLevel="0" collapsed="false">
      <c r="A106" s="79" t="s">
        <v>236</v>
      </c>
      <c r="B106" s="79" t="s">
        <v>278</v>
      </c>
      <c r="C106" s="80" t="n">
        <v>2025</v>
      </c>
      <c r="D106" s="80" t="n">
        <v>3</v>
      </c>
      <c r="E106" s="81" t="n">
        <v>45930</v>
      </c>
      <c r="F106" s="79" t="s">
        <v>271</v>
      </c>
      <c r="G106" s="79" t="s">
        <v>272</v>
      </c>
      <c r="H106" s="79" t="s">
        <v>268</v>
      </c>
      <c r="I106" s="82" t="n">
        <v>21770.523</v>
      </c>
      <c r="J106" s="82" t="n">
        <v>10165.529</v>
      </c>
      <c r="K106" s="82" t="n">
        <v>2943150000</v>
      </c>
      <c r="L106" s="83" t="n">
        <v>0.65</v>
      </c>
      <c r="M106" s="82" t="n">
        <v>4500.0002</v>
      </c>
      <c r="N106" s="82" t="n">
        <v>0</v>
      </c>
      <c r="O106" s="82" t="n">
        <v>94863.498</v>
      </c>
      <c r="P106" s="83" t="n">
        <v>0</v>
      </c>
      <c r="Q106" s="83" t="n">
        <v>34.05</v>
      </c>
      <c r="R106" s="47" t="n">
        <v>4</v>
      </c>
      <c r="S106" s="66" t="s">
        <v>400</v>
      </c>
    </row>
    <row r="107" customFormat="false" ht="15" hidden="false" customHeight="false" outlineLevel="0" collapsed="false">
      <c r="A107" s="79" t="s">
        <v>236</v>
      </c>
      <c r="B107" s="79" t="s">
        <v>280</v>
      </c>
      <c r="C107" s="80" t="n">
        <v>2025</v>
      </c>
      <c r="D107" s="80" t="n">
        <v>2</v>
      </c>
      <c r="E107" s="81" t="n">
        <v>45838</v>
      </c>
      <c r="F107" s="79" t="s">
        <v>271</v>
      </c>
      <c r="G107" s="79" t="s">
        <v>272</v>
      </c>
      <c r="H107" s="79" t="s">
        <v>268</v>
      </c>
      <c r="I107" s="82" t="n">
        <v>21017.957</v>
      </c>
      <c r="J107" s="82" t="n">
        <v>4762.616</v>
      </c>
      <c r="K107" s="82" t="n">
        <v>-1312433000</v>
      </c>
      <c r="L107" s="83" t="n">
        <v>-0.29</v>
      </c>
      <c r="M107" s="82" t="n">
        <v>4500.0002</v>
      </c>
      <c r="N107" s="82" t="n">
        <v>0</v>
      </c>
      <c r="O107" s="82" t="n">
        <v>87662.743</v>
      </c>
      <c r="P107" s="83" t="n">
        <v>0</v>
      </c>
      <c r="Q107" s="83" t="n">
        <v>20.15</v>
      </c>
      <c r="R107" s="47" t="n">
        <v>5</v>
      </c>
      <c r="S107" s="66" t="s">
        <v>401</v>
      </c>
    </row>
    <row r="108" customFormat="false" ht="15" hidden="false" customHeight="false" outlineLevel="0" collapsed="false">
      <c r="A108" s="79" t="s">
        <v>236</v>
      </c>
      <c r="B108" s="79" t="s">
        <v>282</v>
      </c>
      <c r="C108" s="80" t="n">
        <v>2025</v>
      </c>
      <c r="D108" s="80" t="n">
        <v>1</v>
      </c>
      <c r="E108" s="81" t="n">
        <v>45747</v>
      </c>
      <c r="F108" s="79" t="s">
        <v>271</v>
      </c>
      <c r="G108" s="79" t="s">
        <v>272</v>
      </c>
      <c r="H108" s="79" t="s">
        <v>268</v>
      </c>
      <c r="I108" s="82" t="n">
        <v>19992.617</v>
      </c>
      <c r="J108" s="82" t="n">
        <v>5121.768</v>
      </c>
      <c r="K108" s="82" t="n">
        <v>-1091142000</v>
      </c>
      <c r="L108" s="83" t="n">
        <v>-0.24</v>
      </c>
      <c r="M108" s="82" t="n">
        <v>4500.0002</v>
      </c>
      <c r="N108" s="82" t="n">
        <v>0</v>
      </c>
      <c r="O108" s="82" t="n">
        <v>90434.304</v>
      </c>
      <c r="P108" s="83" t="n">
        <v>0</v>
      </c>
      <c r="Q108" s="83" t="n">
        <v>17.55</v>
      </c>
      <c r="R108" s="47" t="n">
        <v>6</v>
      </c>
      <c r="S108" s="66" t="s">
        <v>402</v>
      </c>
    </row>
    <row r="109" customFormat="false" ht="15" hidden="false" customHeight="false" outlineLevel="0" collapsed="false">
      <c r="A109" s="79" t="s">
        <v>236</v>
      </c>
      <c r="B109" s="79" t="s">
        <v>284</v>
      </c>
      <c r="C109" s="80" t="n">
        <v>2024</v>
      </c>
      <c r="D109" s="80" t="n">
        <v>4</v>
      </c>
      <c r="E109" s="81" t="n">
        <v>45657</v>
      </c>
      <c r="F109" s="79" t="s">
        <v>271</v>
      </c>
      <c r="G109" s="79" t="s">
        <v>272</v>
      </c>
      <c r="H109" s="79" t="s">
        <v>268</v>
      </c>
      <c r="I109" s="82" t="n">
        <v>18692.003</v>
      </c>
      <c r="J109" s="82" t="n">
        <v>5081.24</v>
      </c>
      <c r="K109" s="82" t="n">
        <v>-648237000</v>
      </c>
      <c r="L109" s="83" t="n">
        <v>-0.15</v>
      </c>
      <c r="M109" s="82" t="n">
        <v>4500.0002</v>
      </c>
      <c r="N109" s="82" t="n">
        <v>0</v>
      </c>
      <c r="O109" s="82" t="n">
        <v>91651.488</v>
      </c>
      <c r="P109" s="83" t="n">
        <v>0</v>
      </c>
      <c r="Q109" s="83" t="n">
        <v>14.8</v>
      </c>
      <c r="R109" s="47" t="n">
        <v>7</v>
      </c>
      <c r="S109" s="66" t="s">
        <v>403</v>
      </c>
    </row>
    <row r="110" customFormat="false" ht="15" hidden="false" customHeight="false" outlineLevel="0" collapsed="false">
      <c r="A110" s="79" t="s">
        <v>236</v>
      </c>
      <c r="B110" s="79" t="s">
        <v>286</v>
      </c>
      <c r="C110" s="80" t="n">
        <v>2024</v>
      </c>
      <c r="D110" s="80" t="n">
        <v>3</v>
      </c>
      <c r="E110" s="81" t="n">
        <v>45565</v>
      </c>
      <c r="F110" s="79" t="s">
        <v>271</v>
      </c>
      <c r="G110" s="79" t="s">
        <v>272</v>
      </c>
      <c r="H110" s="79" t="s">
        <v>268</v>
      </c>
      <c r="I110" s="82" t="n">
        <v>21312.431</v>
      </c>
      <c r="J110" s="82" t="n">
        <v>6246.337</v>
      </c>
      <c r="K110" s="82" t="n">
        <v>-9437000</v>
      </c>
      <c r="L110" s="83" t="n">
        <v>0</v>
      </c>
      <c r="M110" s="82" t="n">
        <v>4500.0002</v>
      </c>
      <c r="N110" s="82" t="n">
        <v>0</v>
      </c>
      <c r="O110" s="82" t="n">
        <v>97569.716</v>
      </c>
      <c r="P110" s="83" t="n">
        <v>0</v>
      </c>
      <c r="Q110" s="83" t="n">
        <v>21.35</v>
      </c>
      <c r="R110" s="47" t="n">
        <v>8</v>
      </c>
      <c r="S110" s="66" t="s">
        <v>404</v>
      </c>
    </row>
    <row r="111" customFormat="false" ht="15" hidden="false" customHeight="false" outlineLevel="0" collapsed="false">
      <c r="A111" s="79" t="s">
        <v>236</v>
      </c>
      <c r="B111" s="79" t="s">
        <v>288</v>
      </c>
      <c r="C111" s="80" t="n">
        <v>2024</v>
      </c>
      <c r="D111" s="80" t="n">
        <v>2</v>
      </c>
      <c r="E111" s="81" t="n">
        <v>45473</v>
      </c>
      <c r="F111" s="79" t="s">
        <v>271</v>
      </c>
      <c r="G111" s="79" t="s">
        <v>272</v>
      </c>
      <c r="H111" s="79" t="s">
        <v>268</v>
      </c>
      <c r="I111" s="82" t="n">
        <v>21483.983</v>
      </c>
      <c r="J111" s="82" t="n">
        <v>7111.803</v>
      </c>
      <c r="K111" s="82" t="n">
        <v>1723022000</v>
      </c>
      <c r="L111" s="83" t="n">
        <v>0.41</v>
      </c>
      <c r="M111" s="82" t="n">
        <v>4180.0002</v>
      </c>
      <c r="N111" s="82" t="n">
        <v>0</v>
      </c>
      <c r="O111" s="82" t="n">
        <v>91613.794</v>
      </c>
      <c r="P111" s="83" t="n">
        <v>0</v>
      </c>
      <c r="Q111" s="83" t="n">
        <v>25.7</v>
      </c>
      <c r="R111" s="47" t="n">
        <v>9</v>
      </c>
      <c r="S111" s="66" t="s">
        <v>405</v>
      </c>
    </row>
    <row r="112" customFormat="false" ht="15" hidden="false" customHeight="false" outlineLevel="0" collapsed="false">
      <c r="A112" s="79" t="s">
        <v>236</v>
      </c>
      <c r="B112" s="79" t="s">
        <v>290</v>
      </c>
      <c r="C112" s="80" t="n">
        <v>2024</v>
      </c>
      <c r="D112" s="80" t="n">
        <v>1</v>
      </c>
      <c r="E112" s="81" t="n">
        <v>45382</v>
      </c>
      <c r="F112" s="79" t="s">
        <v>271</v>
      </c>
      <c r="G112" s="79" t="s">
        <v>272</v>
      </c>
      <c r="H112" s="79" t="s">
        <v>268</v>
      </c>
      <c r="I112" s="82" t="n">
        <v>20121.351</v>
      </c>
      <c r="J112" s="82" t="n">
        <v>5561.729</v>
      </c>
      <c r="K112" s="82" t="n">
        <v>-464347000</v>
      </c>
      <c r="L112" s="83" t="n">
        <v>-0.11</v>
      </c>
      <c r="M112" s="82" t="n">
        <v>4180.0002</v>
      </c>
      <c r="N112" s="82" t="n">
        <v>0</v>
      </c>
      <c r="O112" s="82" t="n">
        <v>90962.066</v>
      </c>
      <c r="P112" s="83" t="n">
        <v>0</v>
      </c>
      <c r="Q112" s="83" t="n">
        <v>27.2</v>
      </c>
      <c r="R112" s="47" t="n">
        <v>10</v>
      </c>
      <c r="S112" s="66" t="s">
        <v>406</v>
      </c>
    </row>
    <row r="113" customFormat="false" ht="15" hidden="false" customHeight="false" outlineLevel="0" collapsed="false">
      <c r="A113" s="79" t="s">
        <v>236</v>
      </c>
      <c r="B113" s="79" t="s">
        <v>292</v>
      </c>
      <c r="C113" s="80" t="n">
        <v>2023</v>
      </c>
      <c r="D113" s="80" t="n">
        <v>4</v>
      </c>
      <c r="E113" s="81" t="n">
        <v>45291</v>
      </c>
      <c r="F113" s="79" t="s">
        <v>271</v>
      </c>
      <c r="G113" s="79" t="s">
        <v>272</v>
      </c>
      <c r="H113" s="79" t="s">
        <v>268</v>
      </c>
      <c r="I113" s="82" t="n">
        <v>19173.669</v>
      </c>
      <c r="J113" s="82" t="n">
        <v>5457.778</v>
      </c>
      <c r="K113" s="82" t="n">
        <v>-374886000</v>
      </c>
      <c r="L113" s="83" t="n">
        <v>-0.1</v>
      </c>
      <c r="M113" s="82" t="n">
        <v>4180.0002</v>
      </c>
      <c r="N113" s="82" t="n">
        <v>0</v>
      </c>
      <c r="O113" s="82" t="n">
        <v>92296.817</v>
      </c>
      <c r="P113" s="83" t="n">
        <v>0</v>
      </c>
      <c r="Q113" s="83" t="n">
        <v>30.45</v>
      </c>
      <c r="R113" s="47" t="n">
        <v>11</v>
      </c>
      <c r="S113" s="66" t="s">
        <v>407</v>
      </c>
    </row>
    <row r="114" customFormat="false" ht="15" hidden="false" customHeight="false" outlineLevel="0" collapsed="false">
      <c r="A114" s="79" t="s">
        <v>236</v>
      </c>
      <c r="B114" s="79" t="s">
        <v>294</v>
      </c>
      <c r="C114" s="80" t="n">
        <v>2023</v>
      </c>
      <c r="D114" s="80" t="n">
        <v>3</v>
      </c>
      <c r="E114" s="81" t="n">
        <v>45199</v>
      </c>
      <c r="F114" s="79" t="s">
        <v>271</v>
      </c>
      <c r="G114" s="79" t="s">
        <v>272</v>
      </c>
      <c r="H114" s="79" t="s">
        <v>268</v>
      </c>
      <c r="I114" s="82" t="n">
        <v>19505.815</v>
      </c>
      <c r="J114" s="82" t="n">
        <v>6184.572</v>
      </c>
      <c r="K114" s="82" t="n">
        <v>-114113000</v>
      </c>
      <c r="L114" s="83" t="n">
        <v>-0.03</v>
      </c>
      <c r="M114" s="82" t="n">
        <v>3980.0002</v>
      </c>
      <c r="N114" s="82" t="n">
        <v>0</v>
      </c>
      <c r="O114" s="82" t="n">
        <v>86783.489</v>
      </c>
      <c r="P114" s="83" t="n">
        <v>1</v>
      </c>
      <c r="Q114" s="83" t="n">
        <v>25.3</v>
      </c>
      <c r="R114" s="47" t="n">
        <v>12</v>
      </c>
      <c r="S114" s="66" t="s">
        <v>408</v>
      </c>
    </row>
    <row r="115" customFormat="false" ht="15" hidden="false" customHeight="false" outlineLevel="0" collapsed="false">
      <c r="A115" s="79" t="s">
        <v>236</v>
      </c>
      <c r="B115" s="79" t="s">
        <v>296</v>
      </c>
      <c r="C115" s="80" t="n">
        <v>2023</v>
      </c>
      <c r="D115" s="80" t="n">
        <v>2</v>
      </c>
      <c r="E115" s="81" t="n">
        <v>45107</v>
      </c>
      <c r="F115" s="79" t="s">
        <v>271</v>
      </c>
      <c r="G115" s="79" t="s">
        <v>272</v>
      </c>
      <c r="H115" s="79" t="s">
        <v>268</v>
      </c>
      <c r="I115" s="82" t="n">
        <v>18810.867</v>
      </c>
      <c r="J115" s="82" t="n">
        <v>5893.789</v>
      </c>
      <c r="K115" s="82" t="n">
        <v>353644000</v>
      </c>
      <c r="L115" s="83" t="n">
        <v>0.09</v>
      </c>
      <c r="M115" s="82" t="n">
        <v>3980.0002</v>
      </c>
      <c r="N115" s="82" t="n">
        <v>0</v>
      </c>
      <c r="O115" s="82" t="n">
        <v>88716.295</v>
      </c>
      <c r="P115" s="83" t="n">
        <v>0</v>
      </c>
      <c r="Q115" s="83" t="n">
        <v>27.45</v>
      </c>
      <c r="R115" s="47" t="n">
        <v>13</v>
      </c>
      <c r="S115" s="66" t="s">
        <v>409</v>
      </c>
    </row>
    <row r="116" customFormat="false" ht="15" hidden="false" customHeight="false" outlineLevel="0" collapsed="false">
      <c r="A116" s="79" t="s">
        <v>236</v>
      </c>
      <c r="B116" s="79" t="s">
        <v>298</v>
      </c>
      <c r="C116" s="80" t="n">
        <v>2023</v>
      </c>
      <c r="D116" s="80" t="n">
        <v>1</v>
      </c>
      <c r="E116" s="81" t="n">
        <v>45016</v>
      </c>
      <c r="F116" s="79" t="s">
        <v>271</v>
      </c>
      <c r="G116" s="79" t="s">
        <v>272</v>
      </c>
      <c r="H116" s="79" t="s">
        <v>268</v>
      </c>
      <c r="I116" s="82" t="n">
        <v>17515.727</v>
      </c>
      <c r="J116" s="82" t="n">
        <v>4859.587</v>
      </c>
      <c r="K116" s="82" t="n">
        <v>-1011167000</v>
      </c>
      <c r="L116" s="83" t="n">
        <v>-0.25</v>
      </c>
      <c r="M116" s="82" t="n">
        <v>3980.0002</v>
      </c>
      <c r="N116" s="82" t="n">
        <v>0</v>
      </c>
      <c r="O116" s="82" t="n">
        <v>90999.102</v>
      </c>
      <c r="P116" s="83" t="n">
        <v>0</v>
      </c>
      <c r="Q116" s="83" t="n">
        <v>26.5</v>
      </c>
      <c r="R116" s="47" t="n">
        <v>14</v>
      </c>
      <c r="S116" s="66" t="s">
        <v>410</v>
      </c>
    </row>
    <row r="117" customFormat="false" ht="15" hidden="false" customHeight="false" outlineLevel="0" collapsed="false">
      <c r="A117" s="79" t="s">
        <v>236</v>
      </c>
      <c r="B117" s="79" t="s">
        <v>300</v>
      </c>
      <c r="C117" s="80" t="n">
        <v>2022</v>
      </c>
      <c r="D117" s="80" t="n">
        <v>4</v>
      </c>
      <c r="E117" s="81" t="n">
        <v>44926</v>
      </c>
      <c r="F117" s="79" t="s">
        <v>271</v>
      </c>
      <c r="G117" s="79" t="s">
        <v>272</v>
      </c>
      <c r="H117" s="79" t="s">
        <v>268</v>
      </c>
      <c r="I117" s="82" t="n">
        <v>19223.813</v>
      </c>
      <c r="J117" s="82" t="n">
        <v>7200.399</v>
      </c>
      <c r="K117" s="82" t="n">
        <v>546332000</v>
      </c>
      <c r="L117" s="83" t="n">
        <v>0.14</v>
      </c>
      <c r="M117" s="82" t="n">
        <v>3980.0002</v>
      </c>
      <c r="N117" s="82" t="n">
        <v>0</v>
      </c>
      <c r="O117" s="82" t="n">
        <v>94162.996</v>
      </c>
      <c r="P117" s="83" t="n">
        <v>0</v>
      </c>
      <c r="Q117" s="83" t="n">
        <v>19.6</v>
      </c>
      <c r="R117" s="47" t="n">
        <v>15</v>
      </c>
      <c r="S117" s="66" t="s">
        <v>411</v>
      </c>
    </row>
    <row r="118" customFormat="false" ht="15" hidden="false" customHeight="false" outlineLevel="0" collapsed="false">
      <c r="A118" s="79" t="s">
        <v>236</v>
      </c>
      <c r="B118" s="79" t="s">
        <v>302</v>
      </c>
      <c r="C118" s="80" t="n">
        <v>2022</v>
      </c>
      <c r="D118" s="80" t="n">
        <v>3</v>
      </c>
      <c r="E118" s="81" t="n">
        <v>44834</v>
      </c>
      <c r="F118" s="79" t="s">
        <v>271</v>
      </c>
      <c r="G118" s="79" t="s">
        <v>272</v>
      </c>
      <c r="H118" s="79" t="s">
        <v>268</v>
      </c>
      <c r="I118" s="82" t="n">
        <v>22145.43</v>
      </c>
      <c r="J118" s="82" t="n">
        <v>10085.493</v>
      </c>
      <c r="K118" s="82" t="n">
        <v>2669036000</v>
      </c>
      <c r="L118" s="83" t="n">
        <v>0.67</v>
      </c>
      <c r="M118" s="82" t="n">
        <v>3980.0002</v>
      </c>
      <c r="N118" s="82" t="n">
        <v>0</v>
      </c>
      <c r="O118" s="82" t="n">
        <v>91131.32</v>
      </c>
      <c r="P118" s="83" t="n">
        <v>0</v>
      </c>
      <c r="Q118" s="83" t="n">
        <v>19.75</v>
      </c>
      <c r="R118" s="47" t="n">
        <v>16</v>
      </c>
      <c r="S118" s="66" t="s">
        <v>412</v>
      </c>
    </row>
    <row r="119" customFormat="false" ht="15" hidden="false" customHeight="false" outlineLevel="0" collapsed="false">
      <c r="A119" s="79" t="s">
        <v>236</v>
      </c>
      <c r="B119" s="79" t="s">
        <v>304</v>
      </c>
      <c r="C119" s="80" t="n">
        <v>2022</v>
      </c>
      <c r="D119" s="80" t="n">
        <v>2</v>
      </c>
      <c r="E119" s="81" t="n">
        <v>44742</v>
      </c>
      <c r="F119" s="79" t="s">
        <v>271</v>
      </c>
      <c r="G119" s="79" t="s">
        <v>272</v>
      </c>
      <c r="H119" s="79" t="s">
        <v>268</v>
      </c>
      <c r="I119" s="82" t="n">
        <v>26646.696</v>
      </c>
      <c r="J119" s="82" t="n">
        <v>12888.155</v>
      </c>
      <c r="K119" s="82" t="n">
        <v>5153051000</v>
      </c>
      <c r="L119" s="83" t="n">
        <v>1.29</v>
      </c>
      <c r="M119" s="82" t="n">
        <v>3980.0002</v>
      </c>
      <c r="N119" s="82" t="n">
        <v>0</v>
      </c>
      <c r="O119" s="82" t="n">
        <v>86525.294</v>
      </c>
      <c r="P119" s="83" t="n">
        <v>1</v>
      </c>
      <c r="Q119" s="83" t="n">
        <v>21.7</v>
      </c>
      <c r="R119" s="47" t="n">
        <v>17</v>
      </c>
      <c r="S119" s="66" t="s">
        <v>413</v>
      </c>
    </row>
    <row r="120" customFormat="false" ht="15" hidden="false" customHeight="false" outlineLevel="0" collapsed="false">
      <c r="A120" s="79" t="s">
        <v>236</v>
      </c>
      <c r="B120" s="79" t="s">
        <v>306</v>
      </c>
      <c r="C120" s="80" t="n">
        <v>2022</v>
      </c>
      <c r="D120" s="80" t="n">
        <v>1</v>
      </c>
      <c r="E120" s="81" t="n">
        <v>44651</v>
      </c>
      <c r="F120" s="79" t="s">
        <v>271</v>
      </c>
      <c r="G120" s="79" t="s">
        <v>272</v>
      </c>
      <c r="H120" s="79" t="s">
        <v>268</v>
      </c>
      <c r="I120" s="82" t="n">
        <v>26513.851</v>
      </c>
      <c r="J120" s="82" t="n">
        <v>12877.036</v>
      </c>
      <c r="K120" s="82" t="n">
        <v>4558746000</v>
      </c>
      <c r="L120" s="83" t="n">
        <v>1.15</v>
      </c>
      <c r="M120" s="82" t="n">
        <v>3980.0002</v>
      </c>
      <c r="N120" s="82" t="n">
        <v>0</v>
      </c>
      <c r="O120" s="82" t="n">
        <v>82648.569</v>
      </c>
      <c r="P120" s="83" t="n">
        <v>0</v>
      </c>
      <c r="Q120" s="83" t="n">
        <v>31.2</v>
      </c>
      <c r="R120" s="47" t="n">
        <v>18</v>
      </c>
      <c r="S120" s="66" t="s">
        <v>414</v>
      </c>
    </row>
    <row r="121" customFormat="false" ht="15" hidden="false" customHeight="false" outlineLevel="0" collapsed="false">
      <c r="A121" s="79" t="s">
        <v>236</v>
      </c>
      <c r="B121" s="79" t="s">
        <v>308</v>
      </c>
      <c r="C121" s="80" t="n">
        <v>2021</v>
      </c>
      <c r="D121" s="80" t="n">
        <v>4</v>
      </c>
      <c r="E121" s="81" t="n">
        <v>44561</v>
      </c>
      <c r="F121" s="79" t="s">
        <v>271</v>
      </c>
      <c r="G121" s="79" t="s">
        <v>272</v>
      </c>
      <c r="H121" s="79" t="s">
        <v>268</v>
      </c>
      <c r="I121" s="82" t="n">
        <v>25995.677</v>
      </c>
      <c r="J121" s="82" t="n">
        <v>11720.309</v>
      </c>
      <c r="K121" s="82" t="n">
        <v>4194078000</v>
      </c>
      <c r="L121" s="83" t="n">
        <v>1.06</v>
      </c>
      <c r="M121" s="82" t="n">
        <v>3980.0002</v>
      </c>
      <c r="N121" s="82" t="n">
        <v>0</v>
      </c>
      <c r="O121" s="82" t="n">
        <v>82444.113</v>
      </c>
      <c r="P121" s="83" t="n">
        <v>0</v>
      </c>
      <c r="Q121" s="83" t="n">
        <v>34</v>
      </c>
      <c r="R121" s="47" t="n">
        <v>19</v>
      </c>
      <c r="S121" s="66" t="s">
        <v>415</v>
      </c>
    </row>
    <row r="122" customFormat="false" ht="15" hidden="false" customHeight="false" outlineLevel="0" collapsed="false">
      <c r="A122" s="79" t="s">
        <v>236</v>
      </c>
      <c r="B122" s="79" t="s">
        <v>310</v>
      </c>
      <c r="C122" s="80" t="n">
        <v>2021</v>
      </c>
      <c r="D122" s="80" t="n">
        <v>3</v>
      </c>
      <c r="E122" s="81" t="n">
        <v>44469</v>
      </c>
      <c r="F122" s="79" t="s">
        <v>271</v>
      </c>
      <c r="G122" s="79" t="s">
        <v>272</v>
      </c>
      <c r="H122" s="79" t="s">
        <v>268</v>
      </c>
      <c r="I122" s="82" t="n">
        <v>27014.73</v>
      </c>
      <c r="J122" s="82" t="n">
        <v>12097.191</v>
      </c>
      <c r="K122" s="82" t="n">
        <v>4478033000</v>
      </c>
      <c r="L122" s="83" t="n">
        <v>1.13</v>
      </c>
      <c r="M122" s="82" t="n">
        <v>3980.0002</v>
      </c>
      <c r="N122" s="82" t="n">
        <v>0</v>
      </c>
      <c r="O122" s="82" t="n">
        <v>76111.166</v>
      </c>
      <c r="P122" s="83" t="n">
        <v>0.2</v>
      </c>
      <c r="Q122" s="83" t="n">
        <v>26.5</v>
      </c>
      <c r="R122" s="47" t="n">
        <v>20</v>
      </c>
      <c r="S122" s="66" t="s">
        <v>416</v>
      </c>
    </row>
    <row r="123" customFormat="false" ht="15" hidden="false" customHeight="false" outlineLevel="0" collapsed="false">
      <c r="A123" s="79" t="s">
        <v>236</v>
      </c>
      <c r="B123" s="79" t="s">
        <v>312</v>
      </c>
      <c r="C123" s="80" t="n">
        <v>2021</v>
      </c>
      <c r="D123" s="80" t="n">
        <v>2</v>
      </c>
      <c r="E123" s="81" t="n">
        <v>44377</v>
      </c>
      <c r="F123" s="79" t="s">
        <v>271</v>
      </c>
      <c r="G123" s="79" t="s">
        <v>272</v>
      </c>
      <c r="H123" s="79" t="s">
        <v>268</v>
      </c>
      <c r="I123" s="82" t="n">
        <v>25234.159</v>
      </c>
      <c r="J123" s="82" t="n">
        <v>10652.949</v>
      </c>
      <c r="K123" s="82" t="n">
        <v>3336369000</v>
      </c>
      <c r="L123" s="83" t="n">
        <v>0.84</v>
      </c>
      <c r="M123" s="82" t="n">
        <v>3980.0002</v>
      </c>
      <c r="N123" s="82" t="n">
        <v>0</v>
      </c>
      <c r="O123" s="82" t="n">
        <v>76189.006</v>
      </c>
      <c r="P123" s="83" t="n">
        <v>0</v>
      </c>
      <c r="Q123" s="83" t="n">
        <v>34.85</v>
      </c>
      <c r="R123" s="47" t="n">
        <v>21</v>
      </c>
      <c r="S123" s="66" t="s">
        <v>417</v>
      </c>
    </row>
    <row r="124" customFormat="false" ht="15" hidden="false" customHeight="false" outlineLevel="0" collapsed="false">
      <c r="A124" s="79" t="s">
        <v>236</v>
      </c>
      <c r="B124" s="79" t="s">
        <v>314</v>
      </c>
      <c r="C124" s="80" t="n">
        <v>2021</v>
      </c>
      <c r="D124" s="80" t="n">
        <v>1</v>
      </c>
      <c r="E124" s="81" t="n">
        <v>44286</v>
      </c>
      <c r="F124" s="79" t="s">
        <v>271</v>
      </c>
      <c r="G124" s="79" t="s">
        <v>272</v>
      </c>
      <c r="H124" s="79" t="s">
        <v>268</v>
      </c>
      <c r="I124" s="82" t="n">
        <v>21325.358</v>
      </c>
      <c r="J124" s="82" t="n">
        <v>8010.618</v>
      </c>
      <c r="K124" s="82" t="n">
        <v>1586163000</v>
      </c>
      <c r="L124" s="83" t="n">
        <v>0.4</v>
      </c>
      <c r="M124" s="82" t="n">
        <v>3980.0002</v>
      </c>
      <c r="N124" s="82" t="n">
        <v>0</v>
      </c>
      <c r="O124" s="82" t="n">
        <v>68155.287</v>
      </c>
      <c r="P124" s="83" t="n">
        <v>0</v>
      </c>
      <c r="Q124" s="83" t="n">
        <v>29.5</v>
      </c>
      <c r="R124" s="47" t="n">
        <v>22</v>
      </c>
      <c r="S124" s="66" t="s">
        <v>418</v>
      </c>
    </row>
    <row r="125" customFormat="false" ht="15" hidden="false" customHeight="false" outlineLevel="0" collapsed="false">
      <c r="A125" s="79" t="s">
        <v>236</v>
      </c>
      <c r="B125" s="79" t="s">
        <v>316</v>
      </c>
      <c r="C125" s="80" t="n">
        <v>2020</v>
      </c>
      <c r="D125" s="80" t="n">
        <v>4</v>
      </c>
      <c r="E125" s="81" t="n">
        <v>44196</v>
      </c>
      <c r="F125" s="79" t="s">
        <v>271</v>
      </c>
      <c r="G125" s="79" t="s">
        <v>272</v>
      </c>
      <c r="H125" s="79" t="s">
        <v>268</v>
      </c>
      <c r="I125" s="82" t="n">
        <v>20347.852</v>
      </c>
      <c r="J125" s="82" t="n">
        <v>6192.481</v>
      </c>
      <c r="K125" s="82" t="n">
        <v>350410000</v>
      </c>
      <c r="L125" s="83" t="n">
        <v>0.09</v>
      </c>
      <c r="M125" s="82" t="n">
        <v>3980.0002</v>
      </c>
      <c r="N125" s="82" t="n">
        <v>0</v>
      </c>
      <c r="O125" s="82" t="n">
        <v>65449.119</v>
      </c>
      <c r="P125" s="83" t="n">
        <v>0</v>
      </c>
      <c r="Q125" s="83" t="n">
        <v>29.05</v>
      </c>
      <c r="R125" s="47" t="n">
        <v>23</v>
      </c>
      <c r="S125" s="66" t="s">
        <v>419</v>
      </c>
    </row>
    <row r="126" customFormat="false" ht="15" hidden="false" customHeight="false" outlineLevel="0" collapsed="false">
      <c r="A126" s="79" t="s">
        <v>236</v>
      </c>
      <c r="B126" s="79" t="s">
        <v>318</v>
      </c>
      <c r="C126" s="80" t="n">
        <v>2020</v>
      </c>
      <c r="D126" s="80" t="n">
        <v>3</v>
      </c>
      <c r="E126" s="81" t="n">
        <v>44104</v>
      </c>
      <c r="F126" s="79" t="s">
        <v>271</v>
      </c>
      <c r="G126" s="79" t="s">
        <v>272</v>
      </c>
      <c r="H126" s="79" t="s">
        <v>268</v>
      </c>
      <c r="I126" s="82" t="n">
        <v>16033.721</v>
      </c>
      <c r="J126" s="82" t="n">
        <v>4323.031</v>
      </c>
      <c r="K126" s="82" t="n">
        <v>331124000</v>
      </c>
      <c r="L126" s="83" t="n">
        <v>0.08</v>
      </c>
      <c r="M126" s="82" t="n">
        <v>3980.0002</v>
      </c>
      <c r="N126" s="82" t="n">
        <v>0</v>
      </c>
      <c r="O126" s="82" t="n">
        <v>60413.681</v>
      </c>
      <c r="P126" s="83"/>
      <c r="Q126" s="83" t="n">
        <v>13.95</v>
      </c>
      <c r="R126" s="47" t="n">
        <v>24</v>
      </c>
      <c r="S126" s="66" t="s">
        <v>420</v>
      </c>
    </row>
    <row r="127" customFormat="false" ht="15" hidden="false" customHeight="false" outlineLevel="0" collapsed="false">
      <c r="A127" s="79" t="s">
        <v>205</v>
      </c>
      <c r="B127" s="79" t="s">
        <v>265</v>
      </c>
      <c r="C127" s="80" t="n">
        <v>2026</v>
      </c>
      <c r="D127" s="80" t="n">
        <v>3</v>
      </c>
      <c r="E127" s="81" t="n">
        <v>46295</v>
      </c>
      <c r="F127" s="79" t="s">
        <v>266</v>
      </c>
      <c r="G127" s="79" t="s">
        <v>267</v>
      </c>
      <c r="H127" s="79" t="s">
        <v>268</v>
      </c>
      <c r="I127" s="82"/>
      <c r="J127" s="82"/>
      <c r="K127" s="82"/>
      <c r="L127" s="83" t="n">
        <v>8.21666</v>
      </c>
      <c r="M127" s="82"/>
      <c r="N127" s="82"/>
      <c r="O127" s="82"/>
      <c r="P127" s="83"/>
      <c r="Q127" s="83"/>
      <c r="R127" s="47" t="n">
        <v>0</v>
      </c>
      <c r="S127" s="66" t="s">
        <v>421</v>
      </c>
    </row>
    <row r="128" customFormat="false" ht="15" hidden="false" customHeight="false" outlineLevel="0" collapsed="false">
      <c r="A128" s="79" t="s">
        <v>205</v>
      </c>
      <c r="B128" s="79" t="s">
        <v>270</v>
      </c>
      <c r="C128" s="80" t="n">
        <v>2026</v>
      </c>
      <c r="D128" s="80" t="n">
        <v>2</v>
      </c>
      <c r="E128" s="81" t="n">
        <v>46203</v>
      </c>
      <c r="F128" s="79" t="s">
        <v>271</v>
      </c>
      <c r="G128" s="79" t="s">
        <v>272</v>
      </c>
      <c r="H128" s="79" t="s">
        <v>268</v>
      </c>
      <c r="I128" s="82" t="n">
        <v>144214.433</v>
      </c>
      <c r="J128" s="82" t="n">
        <v>13873.129</v>
      </c>
      <c r="K128" s="82" t="n">
        <v>6606413000</v>
      </c>
      <c r="L128" s="83" t="n">
        <v>9.86</v>
      </c>
      <c r="M128" s="82" t="n">
        <v>669.8889</v>
      </c>
      <c r="N128" s="82" t="n">
        <v>0</v>
      </c>
      <c r="O128" s="82" t="n">
        <v>66520.674</v>
      </c>
      <c r="P128" s="83" t="n">
        <v>0</v>
      </c>
      <c r="Q128" s="83" t="n">
        <v>344</v>
      </c>
      <c r="R128" s="47" t="n">
        <v>1</v>
      </c>
      <c r="S128" s="66" t="s">
        <v>422</v>
      </c>
    </row>
    <row r="129" customFormat="false" ht="15" hidden="false" customHeight="false" outlineLevel="0" collapsed="false">
      <c r="A129" s="79" t="s">
        <v>205</v>
      </c>
      <c r="B129" s="79" t="s">
        <v>274</v>
      </c>
      <c r="C129" s="80" t="n">
        <v>2026</v>
      </c>
      <c r="D129" s="80" t="n">
        <v>1</v>
      </c>
      <c r="E129" s="81" t="n">
        <v>46112</v>
      </c>
      <c r="F129" s="79" t="s">
        <v>271</v>
      </c>
      <c r="G129" s="79" t="s">
        <v>272</v>
      </c>
      <c r="H129" s="79" t="s">
        <v>268</v>
      </c>
      <c r="I129" s="82" t="n">
        <v>105057.33</v>
      </c>
      <c r="J129" s="82" t="n">
        <v>12614.63</v>
      </c>
      <c r="K129" s="82" t="n">
        <v>5268403000</v>
      </c>
      <c r="L129" s="83" t="n">
        <v>7.86</v>
      </c>
      <c r="M129" s="82" t="n">
        <v>669.8889</v>
      </c>
      <c r="N129" s="82" t="n">
        <v>0</v>
      </c>
      <c r="O129" s="82" t="n">
        <v>64567.23</v>
      </c>
      <c r="P129" s="83" t="n">
        <v>0</v>
      </c>
      <c r="Q129" s="83" t="n">
        <v>222.5</v>
      </c>
      <c r="R129" s="47" t="n">
        <v>2</v>
      </c>
      <c r="S129" s="66" t="s">
        <v>423</v>
      </c>
    </row>
    <row r="130" customFormat="false" ht="15" hidden="false" customHeight="false" outlineLevel="0" collapsed="false">
      <c r="A130" s="79" t="s">
        <v>205</v>
      </c>
      <c r="B130" s="79" t="s">
        <v>276</v>
      </c>
      <c r="C130" s="80" t="n">
        <v>2025</v>
      </c>
      <c r="D130" s="80" t="n">
        <v>4</v>
      </c>
      <c r="E130" s="81" t="n">
        <v>46022</v>
      </c>
      <c r="F130" s="79" t="s">
        <v>271</v>
      </c>
      <c r="G130" s="79" t="s">
        <v>272</v>
      </c>
      <c r="H130" s="79" t="s">
        <v>268</v>
      </c>
      <c r="I130" s="82" t="n">
        <v>89349.64</v>
      </c>
      <c r="J130" s="82" t="n">
        <v>9188.814</v>
      </c>
      <c r="K130" s="82" t="n">
        <v>2968601000</v>
      </c>
      <c r="L130" s="83" t="n">
        <v>4.43</v>
      </c>
      <c r="M130" s="82" t="n">
        <v>669.8889</v>
      </c>
      <c r="N130" s="82" t="n">
        <v>0</v>
      </c>
      <c r="O130" s="82" t="n">
        <v>59100.16</v>
      </c>
      <c r="P130" s="83" t="n">
        <v>0</v>
      </c>
      <c r="Q130" s="83" t="n">
        <v>249.5</v>
      </c>
      <c r="R130" s="47" t="n">
        <v>3</v>
      </c>
      <c r="S130" s="66" t="s">
        <v>424</v>
      </c>
    </row>
    <row r="131" customFormat="false" ht="15" hidden="false" customHeight="false" outlineLevel="0" collapsed="false">
      <c r="A131" s="79" t="s">
        <v>205</v>
      </c>
      <c r="B131" s="79" t="s">
        <v>278</v>
      </c>
      <c r="C131" s="80" t="n">
        <v>2025</v>
      </c>
      <c r="D131" s="80" t="n">
        <v>3</v>
      </c>
      <c r="E131" s="81" t="n">
        <v>45930</v>
      </c>
      <c r="F131" s="79" t="s">
        <v>271</v>
      </c>
      <c r="G131" s="79" t="s">
        <v>272</v>
      </c>
      <c r="H131" s="79" t="s">
        <v>268</v>
      </c>
      <c r="I131" s="82" t="n">
        <v>79581.474</v>
      </c>
      <c r="J131" s="82" t="n">
        <v>7883.025</v>
      </c>
      <c r="K131" s="82" t="n">
        <v>3055597000</v>
      </c>
      <c r="L131" s="83" t="n">
        <v>4.56</v>
      </c>
      <c r="M131" s="82" t="n">
        <v>669.8889</v>
      </c>
      <c r="N131" s="82" t="n">
        <v>0</v>
      </c>
      <c r="O131" s="82" t="n">
        <v>55473.452</v>
      </c>
      <c r="P131" s="83" t="n">
        <v>10</v>
      </c>
      <c r="Q131" s="83" t="n">
        <v>299</v>
      </c>
      <c r="R131" s="47" t="n">
        <v>4</v>
      </c>
      <c r="S131" s="66" t="s">
        <v>425</v>
      </c>
    </row>
    <row r="132" customFormat="false" ht="15" hidden="false" customHeight="false" outlineLevel="0" collapsed="false">
      <c r="A132" s="79" t="s">
        <v>205</v>
      </c>
      <c r="B132" s="79" t="s">
        <v>280</v>
      </c>
      <c r="C132" s="80" t="n">
        <v>2025</v>
      </c>
      <c r="D132" s="80" t="n">
        <v>2</v>
      </c>
      <c r="E132" s="81" t="n">
        <v>45838</v>
      </c>
      <c r="F132" s="79" t="s">
        <v>271</v>
      </c>
      <c r="G132" s="79" t="s">
        <v>272</v>
      </c>
      <c r="H132" s="79" t="s">
        <v>268</v>
      </c>
      <c r="I132" s="82" t="n">
        <v>102258.116</v>
      </c>
      <c r="J132" s="82" t="n">
        <v>9632.946</v>
      </c>
      <c r="K132" s="82" t="n">
        <v>3049557000</v>
      </c>
      <c r="L132" s="83" t="n">
        <v>4.55</v>
      </c>
      <c r="M132" s="82" t="n">
        <v>669.8889</v>
      </c>
      <c r="N132" s="82" t="n">
        <v>0</v>
      </c>
      <c r="O132" s="82" t="n">
        <v>51995.535</v>
      </c>
      <c r="P132" s="83" t="n">
        <v>0</v>
      </c>
      <c r="Q132" s="83" t="n">
        <v>283</v>
      </c>
      <c r="R132" s="47" t="n">
        <v>5</v>
      </c>
      <c r="S132" s="66" t="s">
        <v>426</v>
      </c>
    </row>
    <row r="133" customFormat="false" ht="15" hidden="false" customHeight="false" outlineLevel="0" collapsed="false">
      <c r="A133" s="79" t="s">
        <v>205</v>
      </c>
      <c r="B133" s="79" t="s">
        <v>282</v>
      </c>
      <c r="C133" s="80" t="n">
        <v>2025</v>
      </c>
      <c r="D133" s="80" t="n">
        <v>1</v>
      </c>
      <c r="E133" s="81" t="n">
        <v>45747</v>
      </c>
      <c r="F133" s="79" t="s">
        <v>271</v>
      </c>
      <c r="G133" s="79" t="s">
        <v>272</v>
      </c>
      <c r="H133" s="79" t="s">
        <v>268</v>
      </c>
      <c r="I133" s="82" t="n">
        <v>65747.43</v>
      </c>
      <c r="J133" s="82" t="n">
        <v>8480.311</v>
      </c>
      <c r="K133" s="82" t="n">
        <v>3116119000</v>
      </c>
      <c r="L133" s="83" t="n">
        <v>4.65</v>
      </c>
      <c r="M133" s="82" t="n">
        <v>669.8889</v>
      </c>
      <c r="N133" s="82" t="n">
        <v>0</v>
      </c>
      <c r="O133" s="82" t="n">
        <v>56959.796</v>
      </c>
      <c r="P133" s="83" t="n">
        <v>0</v>
      </c>
      <c r="Q133" s="83" t="n">
        <v>242</v>
      </c>
      <c r="R133" s="47" t="n">
        <v>6</v>
      </c>
      <c r="S133" s="66" t="s">
        <v>427</v>
      </c>
    </row>
    <row r="134" customFormat="false" ht="15" hidden="false" customHeight="false" outlineLevel="0" collapsed="false">
      <c r="A134" s="79" t="s">
        <v>205</v>
      </c>
      <c r="B134" s="79" t="s">
        <v>284</v>
      </c>
      <c r="C134" s="80" t="n">
        <v>2024</v>
      </c>
      <c r="D134" s="80" t="n">
        <v>4</v>
      </c>
      <c r="E134" s="81" t="n">
        <v>45657</v>
      </c>
      <c r="F134" s="79" t="s">
        <v>271</v>
      </c>
      <c r="G134" s="79" t="s">
        <v>272</v>
      </c>
      <c r="H134" s="79" t="s">
        <v>268</v>
      </c>
      <c r="I134" s="82" t="n">
        <v>65615.165</v>
      </c>
      <c r="J134" s="82" t="n">
        <v>6638.606</v>
      </c>
      <c r="K134" s="82" t="n">
        <v>2875586000</v>
      </c>
      <c r="L134" s="83" t="n">
        <v>4.31</v>
      </c>
      <c r="M134" s="82" t="n">
        <v>669.8889</v>
      </c>
      <c r="N134" s="82" t="n">
        <v>0</v>
      </c>
      <c r="O134" s="82" t="n">
        <v>53683.149</v>
      </c>
      <c r="P134" s="83" t="n">
        <v>0</v>
      </c>
      <c r="Q134" s="83" t="n">
        <v>272.5</v>
      </c>
      <c r="R134" s="47" t="n">
        <v>7</v>
      </c>
      <c r="S134" s="66" t="s">
        <v>428</v>
      </c>
    </row>
    <row r="135" customFormat="false" ht="15" hidden="false" customHeight="false" outlineLevel="0" collapsed="false">
      <c r="A135" s="79" t="s">
        <v>205</v>
      </c>
      <c r="B135" s="79" t="s">
        <v>286</v>
      </c>
      <c r="C135" s="80" t="n">
        <v>2024</v>
      </c>
      <c r="D135" s="80" t="n">
        <v>3</v>
      </c>
      <c r="E135" s="81" t="n">
        <v>45565</v>
      </c>
      <c r="F135" s="79" t="s">
        <v>271</v>
      </c>
      <c r="G135" s="79" t="s">
        <v>272</v>
      </c>
      <c r="H135" s="79" t="s">
        <v>268</v>
      </c>
      <c r="I135" s="82" t="n">
        <v>70445.855</v>
      </c>
      <c r="J135" s="82" t="n">
        <v>7240.434</v>
      </c>
      <c r="K135" s="82" t="n">
        <v>1927469000</v>
      </c>
      <c r="L135" s="83" t="n">
        <v>2.91</v>
      </c>
      <c r="M135" s="82" t="n">
        <v>669.8889</v>
      </c>
      <c r="N135" s="82" t="n">
        <v>0</v>
      </c>
      <c r="O135" s="82" t="n">
        <v>50811.773</v>
      </c>
      <c r="P135" s="83" t="n">
        <v>6.35794327</v>
      </c>
      <c r="Q135" s="83" t="n">
        <v>258.5</v>
      </c>
      <c r="R135" s="47" t="n">
        <v>8</v>
      </c>
      <c r="S135" s="66" t="s">
        <v>429</v>
      </c>
    </row>
    <row r="136" customFormat="false" ht="15" hidden="false" customHeight="false" outlineLevel="0" collapsed="false">
      <c r="A136" s="79" t="s">
        <v>205</v>
      </c>
      <c r="B136" s="79" t="s">
        <v>288</v>
      </c>
      <c r="C136" s="80" t="n">
        <v>2024</v>
      </c>
      <c r="D136" s="80" t="n">
        <v>2</v>
      </c>
      <c r="E136" s="81" t="n">
        <v>45473</v>
      </c>
      <c r="F136" s="79" t="s">
        <v>271</v>
      </c>
      <c r="G136" s="79" t="s">
        <v>272</v>
      </c>
      <c r="H136" s="79" t="s">
        <v>268</v>
      </c>
      <c r="I136" s="82" t="n">
        <v>73923.373</v>
      </c>
      <c r="J136" s="82" t="n">
        <v>7980.081</v>
      </c>
      <c r="K136" s="82" t="n">
        <v>2961709000</v>
      </c>
      <c r="L136" s="83" t="n">
        <v>4.66</v>
      </c>
      <c r="M136" s="82" t="n">
        <v>635.6889</v>
      </c>
      <c r="N136" s="82" t="n">
        <v>0</v>
      </c>
      <c r="O136" s="82" t="n">
        <v>38669.224</v>
      </c>
      <c r="P136" s="83" t="n">
        <v>0</v>
      </c>
      <c r="Q136" s="83" t="n">
        <v>305.5</v>
      </c>
      <c r="R136" s="47" t="n">
        <v>9</v>
      </c>
      <c r="S136" s="66" t="s">
        <v>430</v>
      </c>
    </row>
    <row r="137" customFormat="false" ht="15" hidden="false" customHeight="false" outlineLevel="0" collapsed="false">
      <c r="A137" s="79" t="s">
        <v>205</v>
      </c>
      <c r="B137" s="79" t="s">
        <v>290</v>
      </c>
      <c r="C137" s="80" t="n">
        <v>2024</v>
      </c>
      <c r="D137" s="80" t="n">
        <v>1</v>
      </c>
      <c r="E137" s="81" t="n">
        <v>45382</v>
      </c>
      <c r="F137" s="79" t="s">
        <v>271</v>
      </c>
      <c r="G137" s="79" t="s">
        <v>272</v>
      </c>
      <c r="H137" s="79" t="s">
        <v>268</v>
      </c>
      <c r="I137" s="82" t="n">
        <v>55164.386</v>
      </c>
      <c r="J137" s="82" t="n">
        <v>6233.366</v>
      </c>
      <c r="K137" s="82" t="n">
        <v>2023776000</v>
      </c>
      <c r="L137" s="83" t="n">
        <v>3.18</v>
      </c>
      <c r="M137" s="82" t="n">
        <v>635.6889</v>
      </c>
      <c r="N137" s="82" t="n">
        <v>0</v>
      </c>
      <c r="O137" s="82" t="n">
        <v>39680.092</v>
      </c>
      <c r="P137" s="83" t="n">
        <v>0</v>
      </c>
      <c r="Q137" s="83" t="n">
        <v>316</v>
      </c>
      <c r="R137" s="47" t="n">
        <v>10</v>
      </c>
      <c r="S137" s="66" t="s">
        <v>431</v>
      </c>
    </row>
    <row r="138" customFormat="false" ht="15" hidden="false" customHeight="false" outlineLevel="0" collapsed="false">
      <c r="A138" s="79" t="s">
        <v>205</v>
      </c>
      <c r="B138" s="79" t="s">
        <v>292</v>
      </c>
      <c r="C138" s="80" t="n">
        <v>2023</v>
      </c>
      <c r="D138" s="80" t="n">
        <v>4</v>
      </c>
      <c r="E138" s="81" t="n">
        <v>45291</v>
      </c>
      <c r="F138" s="79" t="s">
        <v>271</v>
      </c>
      <c r="G138" s="79" t="s">
        <v>272</v>
      </c>
      <c r="H138" s="79" t="s">
        <v>268</v>
      </c>
      <c r="I138" s="82" t="n">
        <v>45596.208</v>
      </c>
      <c r="J138" s="82" t="n">
        <v>5027.834</v>
      </c>
      <c r="K138" s="82" t="n">
        <v>1349949000</v>
      </c>
      <c r="L138" s="83" t="n">
        <v>2.12</v>
      </c>
      <c r="M138" s="82" t="n">
        <v>635.6889</v>
      </c>
      <c r="N138" s="82" t="n">
        <v>0</v>
      </c>
      <c r="O138" s="82" t="n">
        <v>37472.81</v>
      </c>
      <c r="P138" s="83" t="n">
        <v>0</v>
      </c>
      <c r="Q138" s="83" t="n">
        <v>266</v>
      </c>
      <c r="R138" s="47" t="n">
        <v>11</v>
      </c>
      <c r="S138" s="66" t="s">
        <v>432</v>
      </c>
    </row>
    <row r="139" customFormat="false" ht="15" hidden="false" customHeight="false" outlineLevel="0" collapsed="false">
      <c r="A139" s="79" t="s">
        <v>205</v>
      </c>
      <c r="B139" s="79" t="s">
        <v>294</v>
      </c>
      <c r="C139" s="80" t="n">
        <v>2023</v>
      </c>
      <c r="D139" s="80" t="n">
        <v>3</v>
      </c>
      <c r="E139" s="81" t="n">
        <v>45199</v>
      </c>
      <c r="F139" s="79" t="s">
        <v>271</v>
      </c>
      <c r="G139" s="79" t="s">
        <v>272</v>
      </c>
      <c r="H139" s="79" t="s">
        <v>268</v>
      </c>
      <c r="I139" s="82" t="n">
        <v>37013.385</v>
      </c>
      <c r="J139" s="82" t="n">
        <v>4912.395</v>
      </c>
      <c r="K139" s="82" t="n">
        <v>1478792000</v>
      </c>
      <c r="L139" s="83" t="n">
        <v>2.33</v>
      </c>
      <c r="M139" s="82" t="n">
        <v>635.6889</v>
      </c>
      <c r="N139" s="82" t="n">
        <v>0</v>
      </c>
      <c r="O139" s="82" t="n">
        <v>36095.549</v>
      </c>
      <c r="P139" s="83" t="n">
        <v>6.2</v>
      </c>
      <c r="Q139" s="83" t="n">
        <v>281.5</v>
      </c>
      <c r="R139" s="47" t="n">
        <v>12</v>
      </c>
      <c r="S139" s="66" t="s">
        <v>433</v>
      </c>
    </row>
    <row r="140" customFormat="false" ht="15" hidden="false" customHeight="false" outlineLevel="0" collapsed="false">
      <c r="A140" s="79" t="s">
        <v>205</v>
      </c>
      <c r="B140" s="79" t="s">
        <v>296</v>
      </c>
      <c r="C140" s="80" t="n">
        <v>2023</v>
      </c>
      <c r="D140" s="80" t="n">
        <v>2</v>
      </c>
      <c r="E140" s="81" t="n">
        <v>45107</v>
      </c>
      <c r="F140" s="79" t="s">
        <v>271</v>
      </c>
      <c r="G140" s="79" t="s">
        <v>272</v>
      </c>
      <c r="H140" s="79" t="s">
        <v>268</v>
      </c>
      <c r="I140" s="82" t="n">
        <v>26133.8</v>
      </c>
      <c r="J140" s="82" t="n">
        <v>3089.603</v>
      </c>
      <c r="K140" s="82" t="n">
        <v>889526000</v>
      </c>
      <c r="L140" s="83" t="n">
        <v>1.4</v>
      </c>
      <c r="M140" s="82" t="n">
        <v>635.6889</v>
      </c>
      <c r="N140" s="82" t="n">
        <v>0</v>
      </c>
      <c r="O140" s="82" t="n">
        <v>33896.131</v>
      </c>
      <c r="P140" s="83" t="n">
        <v>0</v>
      </c>
      <c r="Q140" s="83" t="n">
        <v>243.5</v>
      </c>
      <c r="R140" s="47" t="n">
        <v>13</v>
      </c>
      <c r="S140" s="66" t="s">
        <v>434</v>
      </c>
    </row>
    <row r="141" customFormat="false" ht="15" hidden="false" customHeight="false" outlineLevel="0" collapsed="false">
      <c r="A141" s="79" t="s">
        <v>205</v>
      </c>
      <c r="B141" s="79" t="s">
        <v>298</v>
      </c>
      <c r="C141" s="80" t="n">
        <v>2023</v>
      </c>
      <c r="D141" s="80" t="n">
        <v>1</v>
      </c>
      <c r="E141" s="81" t="n">
        <v>45016</v>
      </c>
      <c r="F141" s="79" t="s">
        <v>271</v>
      </c>
      <c r="G141" s="79" t="s">
        <v>272</v>
      </c>
      <c r="H141" s="79" t="s">
        <v>268</v>
      </c>
      <c r="I141" s="82" t="n">
        <v>28030.016</v>
      </c>
      <c r="J141" s="82" t="n">
        <v>3545.609</v>
      </c>
      <c r="K141" s="82" t="n">
        <v>1024712000</v>
      </c>
      <c r="L141" s="83" t="n">
        <v>1.61</v>
      </c>
      <c r="M141" s="82" t="n">
        <v>635.6889</v>
      </c>
      <c r="N141" s="82" t="n">
        <v>0</v>
      </c>
      <c r="O141" s="82" t="n">
        <v>37140.104</v>
      </c>
      <c r="P141" s="83" t="n">
        <v>0</v>
      </c>
      <c r="Q141" s="83" t="n">
        <v>133.5</v>
      </c>
      <c r="R141" s="47" t="n">
        <v>14</v>
      </c>
      <c r="S141" s="66" t="s">
        <v>435</v>
      </c>
    </row>
    <row r="142" customFormat="false" ht="15" hidden="false" customHeight="false" outlineLevel="0" collapsed="false">
      <c r="A142" s="79" t="s">
        <v>205</v>
      </c>
      <c r="B142" s="79" t="s">
        <v>300</v>
      </c>
      <c r="C142" s="80" t="n">
        <v>2022</v>
      </c>
      <c r="D142" s="80" t="n">
        <v>4</v>
      </c>
      <c r="E142" s="81" t="n">
        <v>44926</v>
      </c>
      <c r="F142" s="79" t="s">
        <v>271</v>
      </c>
      <c r="G142" s="79" t="s">
        <v>272</v>
      </c>
      <c r="H142" s="79" t="s">
        <v>268</v>
      </c>
      <c r="I142" s="82" t="n">
        <v>27799.638</v>
      </c>
      <c r="J142" s="82" t="n">
        <v>2597.068</v>
      </c>
      <c r="K142" s="82" t="n">
        <v>1320675000</v>
      </c>
      <c r="L142" s="83" t="n">
        <v>2.07</v>
      </c>
      <c r="M142" s="82" t="n">
        <v>635.6889</v>
      </c>
      <c r="N142" s="82" t="n">
        <v>0</v>
      </c>
      <c r="O142" s="82" t="n">
        <v>35933.474</v>
      </c>
      <c r="P142" s="83" t="n">
        <v>0</v>
      </c>
      <c r="Q142" s="83" t="n">
        <v>106.5</v>
      </c>
      <c r="R142" s="47" t="n">
        <v>15</v>
      </c>
      <c r="S142" s="66" t="s">
        <v>436</v>
      </c>
    </row>
    <row r="143" customFormat="false" ht="15" hidden="false" customHeight="false" outlineLevel="0" collapsed="false">
      <c r="A143" s="79" t="s">
        <v>205</v>
      </c>
      <c r="B143" s="79" t="s">
        <v>302</v>
      </c>
      <c r="C143" s="80" t="n">
        <v>2022</v>
      </c>
      <c r="D143" s="80" t="n">
        <v>3</v>
      </c>
      <c r="E143" s="81" t="n">
        <v>44834</v>
      </c>
      <c r="F143" s="79" t="s">
        <v>271</v>
      </c>
      <c r="G143" s="79" t="s">
        <v>272</v>
      </c>
      <c r="H143" s="79" t="s">
        <v>268</v>
      </c>
      <c r="I143" s="82" t="n">
        <v>24192.106</v>
      </c>
      <c r="J143" s="82" t="n">
        <v>3000.83</v>
      </c>
      <c r="K143" s="82" t="n">
        <v>1169192000</v>
      </c>
      <c r="L143" s="83" t="n">
        <v>1.84</v>
      </c>
      <c r="M143" s="82" t="n">
        <v>635.6889</v>
      </c>
      <c r="N143" s="82" t="n">
        <v>705000</v>
      </c>
      <c r="O143" s="82" t="n">
        <v>34620.655</v>
      </c>
      <c r="P143" s="83" t="n">
        <v>12</v>
      </c>
      <c r="Q143" s="83" t="n">
        <v>88.3</v>
      </c>
      <c r="R143" s="47" t="n">
        <v>16</v>
      </c>
      <c r="S143" s="66" t="s">
        <v>437</v>
      </c>
    </row>
    <row r="144" customFormat="false" ht="15" hidden="false" customHeight="false" outlineLevel="0" collapsed="false">
      <c r="A144" s="79" t="s">
        <v>205</v>
      </c>
      <c r="B144" s="79" t="s">
        <v>304</v>
      </c>
      <c r="C144" s="80" t="n">
        <v>2022</v>
      </c>
      <c r="D144" s="80" t="n">
        <v>2</v>
      </c>
      <c r="E144" s="81" t="n">
        <v>44742</v>
      </c>
      <c r="F144" s="79" t="s">
        <v>271</v>
      </c>
      <c r="G144" s="79" t="s">
        <v>272</v>
      </c>
      <c r="H144" s="79" t="s">
        <v>268</v>
      </c>
      <c r="I144" s="82" t="n">
        <v>22661.655</v>
      </c>
      <c r="J144" s="82" t="n">
        <v>3142.711</v>
      </c>
      <c r="K144" s="82" t="n">
        <v>981736000</v>
      </c>
      <c r="L144" s="83" t="n">
        <v>1.55</v>
      </c>
      <c r="M144" s="82" t="n">
        <v>635.6889</v>
      </c>
      <c r="N144" s="82" t="n">
        <v>705000</v>
      </c>
      <c r="O144" s="82" t="n">
        <v>33376.05</v>
      </c>
      <c r="P144" s="83" t="n">
        <v>0</v>
      </c>
      <c r="Q144" s="83" t="n">
        <v>88.7</v>
      </c>
      <c r="R144" s="47" t="n">
        <v>17</v>
      </c>
      <c r="S144" s="66" t="s">
        <v>438</v>
      </c>
    </row>
    <row r="145" customFormat="false" ht="15" hidden="false" customHeight="false" outlineLevel="0" collapsed="false">
      <c r="A145" s="79" t="s">
        <v>205</v>
      </c>
      <c r="B145" s="79" t="s">
        <v>306</v>
      </c>
      <c r="C145" s="80" t="n">
        <v>2022</v>
      </c>
      <c r="D145" s="80" t="n">
        <v>1</v>
      </c>
      <c r="E145" s="81" t="n">
        <v>44651</v>
      </c>
      <c r="F145" s="79" t="s">
        <v>271</v>
      </c>
      <c r="G145" s="79" t="s">
        <v>272</v>
      </c>
      <c r="H145" s="79" t="s">
        <v>268</v>
      </c>
      <c r="I145" s="82" t="n">
        <v>32610.245</v>
      </c>
      <c r="J145" s="82" t="n">
        <v>7875.469</v>
      </c>
      <c r="K145" s="82" t="n">
        <v>3066918000</v>
      </c>
      <c r="L145" s="83" t="n">
        <v>4.83</v>
      </c>
      <c r="M145" s="82" t="n">
        <v>635.6889</v>
      </c>
      <c r="N145" s="82" t="n">
        <v>705000</v>
      </c>
      <c r="O145" s="82" t="n">
        <v>40589.071</v>
      </c>
      <c r="P145" s="83" t="n">
        <v>0</v>
      </c>
      <c r="Q145" s="83" t="n">
        <v>130</v>
      </c>
      <c r="R145" s="47" t="n">
        <v>18</v>
      </c>
      <c r="S145" s="66" t="s">
        <v>439</v>
      </c>
    </row>
    <row r="146" customFormat="false" ht="15" hidden="false" customHeight="false" outlineLevel="0" collapsed="false">
      <c r="A146" s="79" t="s">
        <v>205</v>
      </c>
      <c r="B146" s="79" t="s">
        <v>308</v>
      </c>
      <c r="C146" s="80" t="n">
        <v>2021</v>
      </c>
      <c r="D146" s="80" t="n">
        <v>4</v>
      </c>
      <c r="E146" s="81" t="n">
        <v>44561</v>
      </c>
      <c r="F146" s="79" t="s">
        <v>271</v>
      </c>
      <c r="G146" s="79" t="s">
        <v>272</v>
      </c>
      <c r="H146" s="79" t="s">
        <v>268</v>
      </c>
      <c r="I146" s="82" t="n">
        <v>30456.56</v>
      </c>
      <c r="J146" s="82" t="n">
        <v>6996.093</v>
      </c>
      <c r="K146" s="82" t="n">
        <v>3700358000</v>
      </c>
      <c r="L146" s="83" t="n">
        <v>5.83</v>
      </c>
      <c r="M146" s="82" t="n">
        <v>635.6889</v>
      </c>
      <c r="N146" s="82" t="n">
        <v>705000</v>
      </c>
      <c r="O146" s="82" t="n">
        <v>37487.984</v>
      </c>
      <c r="P146" s="83" t="n">
        <v>0</v>
      </c>
      <c r="Q146" s="83" t="n">
        <v>155.5</v>
      </c>
      <c r="R146" s="47" t="n">
        <v>19</v>
      </c>
      <c r="S146" s="66" t="s">
        <v>440</v>
      </c>
    </row>
    <row r="147" customFormat="false" ht="15" hidden="false" customHeight="false" outlineLevel="0" collapsed="false">
      <c r="A147" s="79" t="s">
        <v>205</v>
      </c>
      <c r="B147" s="79" t="s">
        <v>310</v>
      </c>
      <c r="C147" s="80" t="n">
        <v>2021</v>
      </c>
      <c r="D147" s="80" t="n">
        <v>3</v>
      </c>
      <c r="E147" s="81" t="n">
        <v>44469</v>
      </c>
      <c r="F147" s="79" t="s">
        <v>271</v>
      </c>
      <c r="G147" s="79" t="s">
        <v>272</v>
      </c>
      <c r="H147" s="79" t="s">
        <v>268</v>
      </c>
      <c r="I147" s="82" t="n">
        <v>31294.579</v>
      </c>
      <c r="J147" s="82" t="n">
        <v>7262.884</v>
      </c>
      <c r="K147" s="82" t="n">
        <v>3590838000</v>
      </c>
      <c r="L147" s="83" t="n">
        <v>5.66</v>
      </c>
      <c r="M147" s="82" t="n">
        <v>635.6889</v>
      </c>
      <c r="N147" s="82" t="n">
        <v>3000000</v>
      </c>
      <c r="O147" s="82" t="n">
        <v>33154.257</v>
      </c>
      <c r="P147" s="83" t="n">
        <v>5</v>
      </c>
      <c r="Q147" s="83" t="n">
        <v>86.8</v>
      </c>
      <c r="R147" s="47" t="n">
        <v>20</v>
      </c>
      <c r="S147" s="66" t="s">
        <v>441</v>
      </c>
    </row>
    <row r="148" customFormat="false" ht="15" hidden="false" customHeight="false" outlineLevel="0" collapsed="false">
      <c r="A148" s="79" t="s">
        <v>205</v>
      </c>
      <c r="B148" s="79" t="s">
        <v>312</v>
      </c>
      <c r="C148" s="80" t="n">
        <v>2021</v>
      </c>
      <c r="D148" s="80" t="n">
        <v>2</v>
      </c>
      <c r="E148" s="81" t="n">
        <v>44377</v>
      </c>
      <c r="F148" s="79" t="s">
        <v>271</v>
      </c>
      <c r="G148" s="79" t="s">
        <v>272</v>
      </c>
      <c r="H148" s="79" t="s">
        <v>268</v>
      </c>
      <c r="I148" s="82" t="n">
        <v>31787.258</v>
      </c>
      <c r="J148" s="82" t="n">
        <v>8496.576</v>
      </c>
      <c r="K148" s="82" t="n">
        <v>3287454000</v>
      </c>
      <c r="L148" s="83" t="n">
        <v>5.17</v>
      </c>
      <c r="M148" s="82" t="n">
        <v>635.6889</v>
      </c>
      <c r="N148" s="82" t="n">
        <v>0</v>
      </c>
      <c r="O148" s="82" t="n">
        <v>30601.393</v>
      </c>
      <c r="P148" s="83" t="n">
        <v>0</v>
      </c>
      <c r="Q148" s="83" t="n">
        <v>107.5</v>
      </c>
      <c r="R148" s="47" t="n">
        <v>21</v>
      </c>
      <c r="S148" s="66" t="s">
        <v>442</v>
      </c>
    </row>
    <row r="149" customFormat="false" ht="15" hidden="false" customHeight="false" outlineLevel="0" collapsed="false">
      <c r="A149" s="79" t="s">
        <v>205</v>
      </c>
      <c r="B149" s="79" t="s">
        <v>314</v>
      </c>
      <c r="C149" s="80" t="n">
        <v>2021</v>
      </c>
      <c r="D149" s="80" t="n">
        <v>1</v>
      </c>
      <c r="E149" s="81" t="n">
        <v>44286</v>
      </c>
      <c r="F149" s="79" t="s">
        <v>271</v>
      </c>
      <c r="G149" s="79" t="s">
        <v>272</v>
      </c>
      <c r="H149" s="79" t="s">
        <v>268</v>
      </c>
      <c r="I149" s="82" t="n">
        <v>28366.96</v>
      </c>
      <c r="J149" s="82" t="n">
        <v>6834.479</v>
      </c>
      <c r="K149" s="82" t="n">
        <v>2759310000</v>
      </c>
      <c r="L149" s="83" t="n">
        <v>4.34</v>
      </c>
      <c r="M149" s="82" t="n">
        <v>635.6889</v>
      </c>
      <c r="N149" s="82" t="n">
        <v>0</v>
      </c>
      <c r="O149" s="82" t="n">
        <v>30758.585</v>
      </c>
      <c r="P149" s="83" t="n">
        <v>0</v>
      </c>
      <c r="Q149" s="83" t="n">
        <v>99.8</v>
      </c>
      <c r="R149" s="47" t="n">
        <v>22</v>
      </c>
      <c r="S149" s="66" t="s">
        <v>443</v>
      </c>
    </row>
    <row r="150" customFormat="false" ht="15" hidden="false" customHeight="false" outlineLevel="0" collapsed="false">
      <c r="A150" s="79" t="s">
        <v>205</v>
      </c>
      <c r="B150" s="79" t="s">
        <v>316</v>
      </c>
      <c r="C150" s="80" t="n">
        <v>2020</v>
      </c>
      <c r="D150" s="80" t="n">
        <v>4</v>
      </c>
      <c r="E150" s="81" t="n">
        <v>44196</v>
      </c>
      <c r="F150" s="79" t="s">
        <v>271</v>
      </c>
      <c r="G150" s="79" t="s">
        <v>272</v>
      </c>
      <c r="H150" s="79" t="s">
        <v>268</v>
      </c>
      <c r="I150" s="82" t="n">
        <v>23457.829</v>
      </c>
      <c r="J150" s="82" t="n">
        <v>4172.639</v>
      </c>
      <c r="K150" s="82" t="n">
        <v>1101549000</v>
      </c>
      <c r="L150" s="83" t="n">
        <v>1.73</v>
      </c>
      <c r="M150" s="82" t="n">
        <v>635.6889</v>
      </c>
      <c r="N150" s="82" t="n">
        <v>0</v>
      </c>
      <c r="O150" s="82" t="n">
        <v>27395.191</v>
      </c>
      <c r="P150" s="83" t="n">
        <v>0</v>
      </c>
      <c r="Q150" s="83" t="n">
        <v>77.8</v>
      </c>
      <c r="R150" s="47" t="n">
        <v>23</v>
      </c>
      <c r="S150" s="66" t="s">
        <v>444</v>
      </c>
    </row>
    <row r="151" customFormat="false" ht="15" hidden="false" customHeight="false" outlineLevel="0" collapsed="false">
      <c r="A151" s="79" t="s">
        <v>205</v>
      </c>
      <c r="B151" s="79" t="s">
        <v>318</v>
      </c>
      <c r="C151" s="80" t="n">
        <v>2020</v>
      </c>
      <c r="D151" s="80" t="n">
        <v>3</v>
      </c>
      <c r="E151" s="81" t="n">
        <v>44104</v>
      </c>
      <c r="F151" s="79" t="s">
        <v>271</v>
      </c>
      <c r="G151" s="79" t="s">
        <v>272</v>
      </c>
      <c r="H151" s="79" t="s">
        <v>268</v>
      </c>
      <c r="I151" s="82" t="n">
        <v>23003.636</v>
      </c>
      <c r="J151" s="82" t="n">
        <v>3981.726</v>
      </c>
      <c r="K151" s="82" t="n">
        <v>1424622000</v>
      </c>
      <c r="L151" s="83" t="n">
        <v>2.24</v>
      </c>
      <c r="M151" s="82" t="n">
        <v>635.6889</v>
      </c>
      <c r="N151" s="82" t="n">
        <v>0</v>
      </c>
      <c r="O151" s="82" t="n">
        <v>25570.471</v>
      </c>
      <c r="P151" s="83"/>
      <c r="Q151" s="83" t="n">
        <v>75.5</v>
      </c>
      <c r="R151" s="47" t="n">
        <v>24</v>
      </c>
      <c r="S151" s="66" t="s">
        <v>445</v>
      </c>
    </row>
    <row r="152" customFormat="false" ht="15" hidden="false" customHeight="false" outlineLevel="0" collapsed="false">
      <c r="A152" s="79" t="s">
        <v>182</v>
      </c>
      <c r="B152" s="79" t="s">
        <v>265</v>
      </c>
      <c r="C152" s="80" t="n">
        <v>2026</v>
      </c>
      <c r="D152" s="80" t="n">
        <v>3</v>
      </c>
      <c r="E152" s="81" t="n">
        <v>46295</v>
      </c>
      <c r="F152" s="79" t="s">
        <v>266</v>
      </c>
      <c r="G152" s="79" t="s">
        <v>267</v>
      </c>
      <c r="H152" s="79" t="s">
        <v>268</v>
      </c>
      <c r="I152" s="82"/>
      <c r="J152" s="82"/>
      <c r="K152" s="82"/>
      <c r="L152" s="83" t="n">
        <v>20.84785</v>
      </c>
      <c r="M152" s="82"/>
      <c r="N152" s="82"/>
      <c r="O152" s="82"/>
      <c r="P152" s="83"/>
      <c r="Q152" s="83"/>
      <c r="R152" s="47" t="n">
        <v>0</v>
      </c>
      <c r="S152" s="66" t="s">
        <v>446</v>
      </c>
    </row>
    <row r="153" customFormat="false" ht="15" hidden="false" customHeight="false" outlineLevel="0" collapsed="false">
      <c r="A153" s="79" t="s">
        <v>182</v>
      </c>
      <c r="B153" s="79" t="s">
        <v>270</v>
      </c>
      <c r="C153" s="80" t="n">
        <v>2026</v>
      </c>
      <c r="D153" s="80" t="n">
        <v>2</v>
      </c>
      <c r="E153" s="81" t="n">
        <v>46203</v>
      </c>
      <c r="F153" s="79" t="s">
        <v>271</v>
      </c>
      <c r="G153" s="79" t="s">
        <v>272</v>
      </c>
      <c r="H153" s="79" t="s">
        <v>268</v>
      </c>
      <c r="I153" s="82" t="n">
        <v>82549.073</v>
      </c>
      <c r="J153" s="82" t="n">
        <v>65617.46</v>
      </c>
      <c r="K153" s="82" t="n">
        <v>50192038000</v>
      </c>
      <c r="L153" s="83" t="n">
        <v>14.66</v>
      </c>
      <c r="M153" s="82" t="n">
        <v>3450.2059</v>
      </c>
      <c r="N153" s="82" t="n">
        <v>0</v>
      </c>
      <c r="O153" s="82" t="n">
        <v>322560.603</v>
      </c>
      <c r="P153" s="83" t="n">
        <v>0</v>
      </c>
      <c r="Q153" s="83" t="n">
        <v>452.5</v>
      </c>
      <c r="R153" s="47" t="n">
        <v>1</v>
      </c>
      <c r="S153" s="66" t="s">
        <v>447</v>
      </c>
    </row>
    <row r="154" customFormat="false" ht="15" hidden="false" customHeight="false" outlineLevel="0" collapsed="false">
      <c r="A154" s="79" t="s">
        <v>182</v>
      </c>
      <c r="B154" s="79" t="s">
        <v>274</v>
      </c>
      <c r="C154" s="80" t="n">
        <v>2026</v>
      </c>
      <c r="D154" s="80" t="n">
        <v>1</v>
      </c>
      <c r="E154" s="81" t="n">
        <v>46112</v>
      </c>
      <c r="F154" s="79" t="s">
        <v>271</v>
      </c>
      <c r="G154" s="79" t="s">
        <v>272</v>
      </c>
      <c r="H154" s="79" t="s">
        <v>268</v>
      </c>
      <c r="I154" s="82" t="n">
        <v>49086.932</v>
      </c>
      <c r="J154" s="82" t="n">
        <v>33325.482</v>
      </c>
      <c r="K154" s="82" t="n">
        <v>26059487000</v>
      </c>
      <c r="L154" s="83" t="n">
        <v>8.41</v>
      </c>
      <c r="M154" s="82" t="n">
        <v>3098.6279</v>
      </c>
      <c r="N154" s="82" t="n">
        <v>0</v>
      </c>
      <c r="O154" s="82" t="n">
        <v>192900.167</v>
      </c>
      <c r="P154" s="83" t="n">
        <v>0</v>
      </c>
      <c r="Q154" s="83" t="n">
        <v>198.5</v>
      </c>
      <c r="R154" s="47" t="n">
        <v>2</v>
      </c>
      <c r="S154" s="66" t="s">
        <v>448</v>
      </c>
    </row>
    <row r="155" customFormat="false" ht="15" hidden="false" customHeight="false" outlineLevel="0" collapsed="false">
      <c r="A155" s="79" t="s">
        <v>182</v>
      </c>
      <c r="B155" s="79" t="s">
        <v>276</v>
      </c>
      <c r="C155" s="80" t="n">
        <v>2025</v>
      </c>
      <c r="D155" s="80" t="n">
        <v>4</v>
      </c>
      <c r="E155" s="81" t="n">
        <v>46022</v>
      </c>
      <c r="F155" s="79" t="s">
        <v>271</v>
      </c>
      <c r="G155" s="79" t="s">
        <v>272</v>
      </c>
      <c r="H155" s="79" t="s">
        <v>268</v>
      </c>
      <c r="I155" s="82" t="n">
        <v>30093.618</v>
      </c>
      <c r="J155" s="82" t="n">
        <v>14760.844</v>
      </c>
      <c r="K155" s="82" t="n">
        <v>11093190000</v>
      </c>
      <c r="L155" s="83" t="n">
        <v>3.58</v>
      </c>
      <c r="M155" s="82" t="n">
        <v>3098.6279</v>
      </c>
      <c r="N155" s="82" t="n">
        <v>0</v>
      </c>
      <c r="O155" s="82" t="n">
        <v>170399.852</v>
      </c>
      <c r="P155" s="83" t="n">
        <v>0</v>
      </c>
      <c r="Q155" s="83" t="n">
        <v>193</v>
      </c>
      <c r="R155" s="47" t="n">
        <v>3</v>
      </c>
      <c r="S155" s="66" t="s">
        <v>449</v>
      </c>
    </row>
    <row r="156" customFormat="false" ht="15" hidden="false" customHeight="false" outlineLevel="0" collapsed="false">
      <c r="A156" s="79" t="s">
        <v>182</v>
      </c>
      <c r="B156" s="79" t="s">
        <v>278</v>
      </c>
      <c r="C156" s="80" t="n">
        <v>2025</v>
      </c>
      <c r="D156" s="80" t="n">
        <v>3</v>
      </c>
      <c r="E156" s="81" t="n">
        <v>45930</v>
      </c>
      <c r="F156" s="79" t="s">
        <v>271</v>
      </c>
      <c r="G156" s="79" t="s">
        <v>272</v>
      </c>
      <c r="H156" s="79" t="s">
        <v>268</v>
      </c>
      <c r="I156" s="82" t="n">
        <v>18778.868</v>
      </c>
      <c r="J156" s="82" t="n">
        <v>3463.871</v>
      </c>
      <c r="K156" s="82" t="n">
        <v>1563334000</v>
      </c>
      <c r="L156" s="83" t="n">
        <v>0.5</v>
      </c>
      <c r="M156" s="82" t="n">
        <v>3098.6279</v>
      </c>
      <c r="N156" s="82" t="n">
        <v>0</v>
      </c>
      <c r="O156" s="82" t="n">
        <v>157342.861</v>
      </c>
      <c r="P156" s="83" t="n">
        <v>0</v>
      </c>
      <c r="Q156" s="83" t="n">
        <v>73</v>
      </c>
      <c r="R156" s="47" t="n">
        <v>4</v>
      </c>
      <c r="S156" s="66" t="s">
        <v>450</v>
      </c>
    </row>
    <row r="157" customFormat="false" ht="15" hidden="false" customHeight="false" outlineLevel="0" collapsed="false">
      <c r="A157" s="79" t="s">
        <v>182</v>
      </c>
      <c r="B157" s="79" t="s">
        <v>280</v>
      </c>
      <c r="C157" s="80" t="n">
        <v>2025</v>
      </c>
      <c r="D157" s="80" t="n">
        <v>2</v>
      </c>
      <c r="E157" s="81" t="n">
        <v>45838</v>
      </c>
      <c r="F157" s="79" t="s">
        <v>271</v>
      </c>
      <c r="G157" s="79" t="s">
        <v>272</v>
      </c>
      <c r="H157" s="79" t="s">
        <v>268</v>
      </c>
      <c r="I157" s="82" t="n">
        <v>10526.094</v>
      </c>
      <c r="J157" s="82" t="n">
        <v>-2163.843</v>
      </c>
      <c r="K157" s="82" t="n">
        <v>-4102113000</v>
      </c>
      <c r="L157" s="83" t="n">
        <v>-1.32</v>
      </c>
      <c r="M157" s="82" t="n">
        <v>3098.6279</v>
      </c>
      <c r="N157" s="82" t="n">
        <v>0</v>
      </c>
      <c r="O157" s="82" t="n">
        <v>154665.851</v>
      </c>
      <c r="P157" s="83" t="n">
        <v>0</v>
      </c>
      <c r="Q157" s="83" t="n">
        <v>51.2</v>
      </c>
      <c r="R157" s="47" t="n">
        <v>5</v>
      </c>
      <c r="S157" s="66" t="s">
        <v>451</v>
      </c>
    </row>
    <row r="158" customFormat="false" ht="15" hidden="false" customHeight="false" outlineLevel="0" collapsed="false">
      <c r="A158" s="79" t="s">
        <v>182</v>
      </c>
      <c r="B158" s="79" t="s">
        <v>282</v>
      </c>
      <c r="C158" s="80" t="n">
        <v>2025</v>
      </c>
      <c r="D158" s="80" t="n">
        <v>1</v>
      </c>
      <c r="E158" s="81" t="n">
        <v>45747</v>
      </c>
      <c r="F158" s="79" t="s">
        <v>271</v>
      </c>
      <c r="G158" s="79" t="s">
        <v>272</v>
      </c>
      <c r="H158" s="79" t="s">
        <v>268</v>
      </c>
      <c r="I158" s="82" t="n">
        <v>7187.94</v>
      </c>
      <c r="J158" s="82" t="n">
        <v>-1074.672</v>
      </c>
      <c r="K158" s="82" t="n">
        <v>-1940639000</v>
      </c>
      <c r="L158" s="83" t="n">
        <v>-0.63</v>
      </c>
      <c r="M158" s="82" t="n">
        <v>3098.6279</v>
      </c>
      <c r="N158" s="82" t="n">
        <v>0</v>
      </c>
      <c r="O158" s="82" t="n">
        <v>163871.441</v>
      </c>
      <c r="P158" s="83" t="n">
        <v>0</v>
      </c>
      <c r="Q158" s="83" t="n">
        <v>37.4</v>
      </c>
      <c r="R158" s="47" t="n">
        <v>6</v>
      </c>
      <c r="S158" s="66" t="s">
        <v>452</v>
      </c>
    </row>
    <row r="159" customFormat="false" ht="15" hidden="false" customHeight="false" outlineLevel="0" collapsed="false">
      <c r="A159" s="79" t="s">
        <v>182</v>
      </c>
      <c r="B159" s="79" t="s">
        <v>284</v>
      </c>
      <c r="C159" s="80" t="n">
        <v>2024</v>
      </c>
      <c r="D159" s="80" t="n">
        <v>4</v>
      </c>
      <c r="E159" s="81" t="n">
        <v>45657</v>
      </c>
      <c r="F159" s="79" t="s">
        <v>271</v>
      </c>
      <c r="G159" s="79" t="s">
        <v>272</v>
      </c>
      <c r="H159" s="79" t="s">
        <v>268</v>
      </c>
      <c r="I159" s="82" t="n">
        <v>6575.094</v>
      </c>
      <c r="J159" s="82" t="n">
        <v>-694.55</v>
      </c>
      <c r="K159" s="82" t="n">
        <v>-1573687000</v>
      </c>
      <c r="L159" s="83" t="n">
        <v>-0.51</v>
      </c>
      <c r="M159" s="82" t="n">
        <v>3098.6279</v>
      </c>
      <c r="N159" s="82" t="n">
        <v>0</v>
      </c>
      <c r="O159" s="82" t="n">
        <v>165053.275</v>
      </c>
      <c r="P159" s="83" t="n">
        <v>0</v>
      </c>
      <c r="Q159" s="83" t="n">
        <v>29.25</v>
      </c>
      <c r="R159" s="47" t="n">
        <v>7</v>
      </c>
      <c r="S159" s="66" t="s">
        <v>453</v>
      </c>
    </row>
    <row r="160" customFormat="false" ht="15" hidden="false" customHeight="false" outlineLevel="0" collapsed="false">
      <c r="A160" s="79" t="s">
        <v>182</v>
      </c>
      <c r="B160" s="79" t="s">
        <v>286</v>
      </c>
      <c r="C160" s="80" t="n">
        <v>2024</v>
      </c>
      <c r="D160" s="80" t="n">
        <v>3</v>
      </c>
      <c r="E160" s="81" t="n">
        <v>45565</v>
      </c>
      <c r="F160" s="79" t="s">
        <v>271</v>
      </c>
      <c r="G160" s="79" t="s">
        <v>272</v>
      </c>
      <c r="H160" s="79" t="s">
        <v>268</v>
      </c>
      <c r="I160" s="82" t="n">
        <v>8132.593</v>
      </c>
      <c r="J160" s="82" t="n">
        <v>263.625</v>
      </c>
      <c r="K160" s="82" t="n">
        <v>-1486690000</v>
      </c>
      <c r="L160" s="83" t="n">
        <v>-0.48</v>
      </c>
      <c r="M160" s="82" t="n">
        <v>3098.6279</v>
      </c>
      <c r="N160" s="82" t="n">
        <v>0</v>
      </c>
      <c r="O160" s="82" t="n">
        <v>164753.756</v>
      </c>
      <c r="P160" s="83" t="n">
        <v>0</v>
      </c>
      <c r="Q160" s="83" t="n">
        <v>47.35</v>
      </c>
      <c r="R160" s="47" t="n">
        <v>8</v>
      </c>
      <c r="S160" s="66" t="s">
        <v>454</v>
      </c>
    </row>
    <row r="161" customFormat="false" ht="15" hidden="false" customHeight="false" outlineLevel="0" collapsed="false">
      <c r="A161" s="79" t="s">
        <v>182</v>
      </c>
      <c r="B161" s="79" t="s">
        <v>288</v>
      </c>
      <c r="C161" s="80" t="n">
        <v>2024</v>
      </c>
      <c r="D161" s="80" t="n">
        <v>2</v>
      </c>
      <c r="E161" s="81" t="n">
        <v>45473</v>
      </c>
      <c r="F161" s="79" t="s">
        <v>271</v>
      </c>
      <c r="G161" s="79" t="s">
        <v>272</v>
      </c>
      <c r="H161" s="79" t="s">
        <v>268</v>
      </c>
      <c r="I161" s="82" t="n">
        <v>9921.043</v>
      </c>
      <c r="J161" s="82" t="n">
        <v>286.964</v>
      </c>
      <c r="K161" s="82" t="n">
        <v>-814485000</v>
      </c>
      <c r="L161" s="83" t="n">
        <v>-0.26</v>
      </c>
      <c r="M161" s="82"/>
      <c r="N161" s="82"/>
      <c r="O161" s="82"/>
      <c r="P161" s="83" t="n">
        <v>0</v>
      </c>
      <c r="Q161" s="83" t="n">
        <v>69.7</v>
      </c>
      <c r="R161" s="47" t="n">
        <v>9</v>
      </c>
      <c r="S161" s="66" t="s">
        <v>455</v>
      </c>
    </row>
    <row r="162" customFormat="false" ht="15" hidden="false" customHeight="false" outlineLevel="0" collapsed="false">
      <c r="A162" s="79" t="s">
        <v>182</v>
      </c>
      <c r="B162" s="79" t="s">
        <v>290</v>
      </c>
      <c r="C162" s="80" t="n">
        <v>2024</v>
      </c>
      <c r="D162" s="80" t="n">
        <v>1</v>
      </c>
      <c r="E162" s="81" t="n">
        <v>45382</v>
      </c>
      <c r="F162" s="79" t="s">
        <v>271</v>
      </c>
      <c r="G162" s="79" t="s">
        <v>272</v>
      </c>
      <c r="H162" s="79" t="s">
        <v>268</v>
      </c>
      <c r="I162" s="82" t="n">
        <v>9502.937</v>
      </c>
      <c r="J162" s="82" t="n">
        <v>-276.624</v>
      </c>
      <c r="K162" s="82" t="n">
        <v>-1208488000</v>
      </c>
      <c r="L162" s="83" t="n">
        <v>-0.39</v>
      </c>
      <c r="M162" s="82" t="n">
        <v>3098.2509</v>
      </c>
      <c r="N162" s="82" t="n">
        <v>0</v>
      </c>
      <c r="O162" s="82" t="n">
        <v>167821.174</v>
      </c>
      <c r="P162" s="83" t="n">
        <v>0</v>
      </c>
      <c r="Q162" s="83" t="n">
        <v>67.7</v>
      </c>
      <c r="R162" s="47" t="n">
        <v>10</v>
      </c>
      <c r="S162" s="66" t="s">
        <v>456</v>
      </c>
    </row>
    <row r="163" customFormat="false" ht="15" hidden="false" customHeight="false" outlineLevel="0" collapsed="false">
      <c r="A163" s="79" t="s">
        <v>182</v>
      </c>
      <c r="B163" s="79" t="s">
        <v>292</v>
      </c>
      <c r="C163" s="80" t="n">
        <v>2023</v>
      </c>
      <c r="D163" s="80" t="n">
        <v>4</v>
      </c>
      <c r="E163" s="81" t="n">
        <v>45291</v>
      </c>
      <c r="F163" s="79" t="s">
        <v>271</v>
      </c>
      <c r="G163" s="79" t="s">
        <v>272</v>
      </c>
      <c r="H163" s="79" t="s">
        <v>268</v>
      </c>
      <c r="I163" s="82" t="n">
        <v>8703.978</v>
      </c>
      <c r="J163" s="82" t="n">
        <v>-1187.708</v>
      </c>
      <c r="K163" s="82" t="n">
        <v>-2479502000</v>
      </c>
      <c r="L163" s="83" t="n">
        <v>-0.8</v>
      </c>
      <c r="M163" s="82" t="n">
        <v>3098.1209</v>
      </c>
      <c r="N163" s="82" t="n">
        <v>0</v>
      </c>
      <c r="O163" s="82" t="n">
        <v>166924.155</v>
      </c>
      <c r="P163" s="83" t="n">
        <v>0</v>
      </c>
      <c r="Q163" s="83" t="n">
        <v>78</v>
      </c>
      <c r="R163" s="47" t="n">
        <v>11</v>
      </c>
      <c r="S163" s="66" t="s">
        <v>457</v>
      </c>
    </row>
    <row r="164" customFormat="false" ht="15" hidden="false" customHeight="false" outlineLevel="0" collapsed="false">
      <c r="A164" s="79" t="s">
        <v>182</v>
      </c>
      <c r="B164" s="79" t="s">
        <v>294</v>
      </c>
      <c r="C164" s="80" t="n">
        <v>2023</v>
      </c>
      <c r="D164" s="80" t="n">
        <v>3</v>
      </c>
      <c r="E164" s="81" t="n">
        <v>45199</v>
      </c>
      <c r="F164" s="79" t="s">
        <v>271</v>
      </c>
      <c r="G164" s="79" t="s">
        <v>272</v>
      </c>
      <c r="H164" s="79" t="s">
        <v>268</v>
      </c>
      <c r="I164" s="82" t="n">
        <v>7736.374</v>
      </c>
      <c r="J164" s="82" t="n">
        <v>-1952.67</v>
      </c>
      <c r="K164" s="82" t="n">
        <v>-2504571000</v>
      </c>
      <c r="L164" s="83" t="n">
        <v>-0.81</v>
      </c>
      <c r="M164" s="82" t="n">
        <v>3098.0689</v>
      </c>
      <c r="N164" s="82" t="n">
        <v>0</v>
      </c>
      <c r="O164" s="82" t="n">
        <v>172009.061</v>
      </c>
      <c r="P164" s="83" t="n">
        <v>0</v>
      </c>
      <c r="Q164" s="83" t="n">
        <v>65.6</v>
      </c>
      <c r="R164" s="47" t="n">
        <v>12</v>
      </c>
      <c r="S164" s="66" t="s">
        <v>458</v>
      </c>
    </row>
    <row r="165" customFormat="false" ht="15" hidden="false" customHeight="false" outlineLevel="0" collapsed="false">
      <c r="A165" s="79" t="s">
        <v>182</v>
      </c>
      <c r="B165" s="79" t="s">
        <v>296</v>
      </c>
      <c r="C165" s="80" t="n">
        <v>2023</v>
      </c>
      <c r="D165" s="80" t="n">
        <v>2</v>
      </c>
      <c r="E165" s="81" t="n">
        <v>45107</v>
      </c>
      <c r="F165" s="79" t="s">
        <v>271</v>
      </c>
      <c r="G165" s="79" t="s">
        <v>272</v>
      </c>
      <c r="H165" s="79" t="s">
        <v>268</v>
      </c>
      <c r="I165" s="82" t="n">
        <v>7027.071</v>
      </c>
      <c r="J165" s="82" t="n">
        <v>-788.302</v>
      </c>
      <c r="K165" s="82" t="n">
        <v>-770874000</v>
      </c>
      <c r="L165" s="83" t="n">
        <v>-0.25</v>
      </c>
      <c r="M165" s="82" t="n">
        <v>3098.0429</v>
      </c>
      <c r="N165" s="82" t="n">
        <v>0</v>
      </c>
      <c r="O165" s="82" t="n">
        <v>172633.829</v>
      </c>
      <c r="P165" s="83" t="n">
        <v>2.13036346</v>
      </c>
      <c r="Q165" s="83" t="n">
        <v>70.8</v>
      </c>
      <c r="R165" s="47" t="n">
        <v>13</v>
      </c>
      <c r="S165" s="66" t="s">
        <v>459</v>
      </c>
    </row>
    <row r="166" customFormat="false" ht="15" hidden="false" customHeight="false" outlineLevel="0" collapsed="false">
      <c r="A166" s="79" t="s">
        <v>182</v>
      </c>
      <c r="B166" s="79" t="s">
        <v>298</v>
      </c>
      <c r="C166" s="80" t="n">
        <v>2023</v>
      </c>
      <c r="D166" s="80" t="n">
        <v>1</v>
      </c>
      <c r="E166" s="81" t="n">
        <v>45016</v>
      </c>
      <c r="F166" s="79" t="s">
        <v>271</v>
      </c>
      <c r="G166" s="79" t="s">
        <v>272</v>
      </c>
      <c r="H166" s="79" t="s">
        <v>268</v>
      </c>
      <c r="I166" s="82" t="n">
        <v>6424.883</v>
      </c>
      <c r="J166" s="82" t="n">
        <v>-554.16</v>
      </c>
      <c r="K166" s="82" t="n">
        <v>-1684687000</v>
      </c>
      <c r="L166" s="83" t="n">
        <v>-0.54</v>
      </c>
      <c r="M166" s="82" t="n">
        <v>3098.0429</v>
      </c>
      <c r="N166" s="82" t="n">
        <v>0</v>
      </c>
      <c r="O166" s="82" t="n">
        <v>172301.376</v>
      </c>
      <c r="P166" s="83" t="n">
        <v>0</v>
      </c>
      <c r="Q166" s="83" t="n">
        <v>66.5</v>
      </c>
      <c r="R166" s="47" t="n">
        <v>14</v>
      </c>
      <c r="S166" s="66" t="s">
        <v>460</v>
      </c>
    </row>
    <row r="167" customFormat="false" ht="15" hidden="false" customHeight="false" outlineLevel="0" collapsed="false">
      <c r="A167" s="79" t="s">
        <v>182</v>
      </c>
      <c r="B167" s="79" t="s">
        <v>300</v>
      </c>
      <c r="C167" s="80" t="n">
        <v>2022</v>
      </c>
      <c r="D167" s="80" t="n">
        <v>4</v>
      </c>
      <c r="E167" s="81" t="n">
        <v>44926</v>
      </c>
      <c r="F167" s="79" t="s">
        <v>271</v>
      </c>
      <c r="G167" s="79" t="s">
        <v>272</v>
      </c>
      <c r="H167" s="79" t="s">
        <v>268</v>
      </c>
      <c r="I167" s="82" t="n">
        <v>7953.553</v>
      </c>
      <c r="J167" s="82" t="n">
        <v>1036.908</v>
      </c>
      <c r="K167" s="82" t="n">
        <v>-1146420000</v>
      </c>
      <c r="L167" s="83" t="n">
        <v>-0.37</v>
      </c>
      <c r="M167" s="82" t="n">
        <v>3098.0079</v>
      </c>
      <c r="N167" s="82" t="n">
        <v>0</v>
      </c>
      <c r="O167" s="82" t="n">
        <v>180958.05</v>
      </c>
      <c r="P167" s="83" t="n">
        <v>0</v>
      </c>
      <c r="Q167" s="83" t="n">
        <v>51.2</v>
      </c>
      <c r="R167" s="47" t="n">
        <v>15</v>
      </c>
      <c r="S167" s="66" t="s">
        <v>461</v>
      </c>
    </row>
    <row r="168" customFormat="false" ht="15" hidden="false" customHeight="false" outlineLevel="0" collapsed="false">
      <c r="A168" s="79" t="s">
        <v>182</v>
      </c>
      <c r="B168" s="79" t="s">
        <v>302</v>
      </c>
      <c r="C168" s="80" t="n">
        <v>2022</v>
      </c>
      <c r="D168" s="80" t="n">
        <v>3</v>
      </c>
      <c r="E168" s="81" t="n">
        <v>44834</v>
      </c>
      <c r="F168" s="79" t="s">
        <v>271</v>
      </c>
      <c r="G168" s="79" t="s">
        <v>272</v>
      </c>
      <c r="H168" s="79" t="s">
        <v>268</v>
      </c>
      <c r="I168" s="82" t="n">
        <v>11021.725</v>
      </c>
      <c r="J168" s="82" t="n">
        <v>3596.56</v>
      </c>
      <c r="K168" s="82" t="n">
        <v>2640591000</v>
      </c>
      <c r="L168" s="83" t="n">
        <v>0.85</v>
      </c>
      <c r="M168" s="82" t="n">
        <v>3097.6779</v>
      </c>
      <c r="N168" s="82" t="n">
        <v>0</v>
      </c>
      <c r="O168" s="82" t="n">
        <v>183672.406</v>
      </c>
      <c r="P168" s="83" t="n">
        <v>0</v>
      </c>
      <c r="Q168" s="83" t="n">
        <v>48.95</v>
      </c>
      <c r="R168" s="47" t="n">
        <v>16</v>
      </c>
      <c r="S168" s="66" t="s">
        <v>462</v>
      </c>
    </row>
    <row r="169" customFormat="false" ht="15" hidden="false" customHeight="false" outlineLevel="0" collapsed="false">
      <c r="A169" s="79" t="s">
        <v>182</v>
      </c>
      <c r="B169" s="79" t="s">
        <v>304</v>
      </c>
      <c r="C169" s="80" t="n">
        <v>2022</v>
      </c>
      <c r="D169" s="80" t="n">
        <v>2</v>
      </c>
      <c r="E169" s="81" t="n">
        <v>44742</v>
      </c>
      <c r="F169" s="79" t="s">
        <v>271</v>
      </c>
      <c r="G169" s="79" t="s">
        <v>272</v>
      </c>
      <c r="H169" s="79" t="s">
        <v>268</v>
      </c>
      <c r="I169" s="82" t="n">
        <v>18030.672</v>
      </c>
      <c r="J169" s="82" t="n">
        <v>7958.199</v>
      </c>
      <c r="K169" s="82" t="n">
        <v>6574723000</v>
      </c>
      <c r="L169" s="83" t="n">
        <v>2.12</v>
      </c>
      <c r="M169" s="82" t="n">
        <v>3097.1219</v>
      </c>
      <c r="N169" s="82" t="n">
        <v>0</v>
      </c>
      <c r="O169" s="82" t="n">
        <v>177797.022</v>
      </c>
      <c r="P169" s="83" t="n">
        <v>3.70281307</v>
      </c>
      <c r="Q169" s="83" t="n">
        <v>49.4</v>
      </c>
      <c r="R169" s="47" t="n">
        <v>17</v>
      </c>
      <c r="S169" s="66" t="s">
        <v>463</v>
      </c>
    </row>
    <row r="170" customFormat="false" ht="15" hidden="false" customHeight="false" outlineLevel="0" collapsed="false">
      <c r="A170" s="79" t="s">
        <v>182</v>
      </c>
      <c r="B170" s="79" t="s">
        <v>306</v>
      </c>
      <c r="C170" s="80" t="n">
        <v>2022</v>
      </c>
      <c r="D170" s="80" t="n">
        <v>1</v>
      </c>
      <c r="E170" s="81" t="n">
        <v>44651</v>
      </c>
      <c r="F170" s="79" t="s">
        <v>271</v>
      </c>
      <c r="G170" s="79" t="s">
        <v>272</v>
      </c>
      <c r="H170" s="79" t="s">
        <v>268</v>
      </c>
      <c r="I170" s="82" t="n">
        <v>19946.325</v>
      </c>
      <c r="J170" s="82" t="n">
        <v>8750.427</v>
      </c>
      <c r="K170" s="82" t="n">
        <v>6550137000</v>
      </c>
      <c r="L170" s="83" t="n">
        <v>2.11</v>
      </c>
      <c r="M170" s="82" t="n">
        <v>3097.0709</v>
      </c>
      <c r="N170" s="82" t="n">
        <v>0</v>
      </c>
      <c r="O170" s="82" t="n">
        <v>181014.516</v>
      </c>
      <c r="P170" s="83" t="n">
        <v>0</v>
      </c>
      <c r="Q170" s="83" t="n">
        <v>69.2</v>
      </c>
      <c r="R170" s="47" t="n">
        <v>18</v>
      </c>
      <c r="S170" s="66" t="s">
        <v>464</v>
      </c>
    </row>
    <row r="171" customFormat="false" ht="15" hidden="false" customHeight="false" outlineLevel="0" collapsed="false">
      <c r="A171" s="79" t="s">
        <v>182</v>
      </c>
      <c r="B171" s="79" t="s">
        <v>308</v>
      </c>
      <c r="C171" s="80" t="n">
        <v>2021</v>
      </c>
      <c r="D171" s="80" t="n">
        <v>4</v>
      </c>
      <c r="E171" s="81" t="n">
        <v>44561</v>
      </c>
      <c r="F171" s="79" t="s">
        <v>271</v>
      </c>
      <c r="G171" s="79" t="s">
        <v>272</v>
      </c>
      <c r="H171" s="79" t="s">
        <v>268</v>
      </c>
      <c r="I171" s="82" t="n">
        <v>21398.949</v>
      </c>
      <c r="J171" s="82" t="n">
        <v>10563.413</v>
      </c>
      <c r="K171" s="82" t="n">
        <v>6454120000</v>
      </c>
      <c r="L171" s="83" t="n">
        <v>2.09</v>
      </c>
      <c r="M171" s="82" t="n">
        <v>3096.8749</v>
      </c>
      <c r="N171" s="82" t="n">
        <v>0</v>
      </c>
      <c r="O171" s="82" t="n">
        <v>172978.068</v>
      </c>
      <c r="P171" s="83" t="n">
        <v>0</v>
      </c>
      <c r="Q171" s="83" t="n">
        <v>78.1</v>
      </c>
      <c r="R171" s="47" t="n">
        <v>19</v>
      </c>
      <c r="S171" s="66" t="s">
        <v>465</v>
      </c>
    </row>
    <row r="172" customFormat="false" ht="15" hidden="false" customHeight="false" outlineLevel="0" collapsed="false">
      <c r="A172" s="79" t="s">
        <v>182</v>
      </c>
      <c r="B172" s="79" t="s">
        <v>310</v>
      </c>
      <c r="C172" s="80" t="n">
        <v>2021</v>
      </c>
      <c r="D172" s="80" t="n">
        <v>3</v>
      </c>
      <c r="E172" s="81" t="n">
        <v>44469</v>
      </c>
      <c r="F172" s="79" t="s">
        <v>271</v>
      </c>
      <c r="G172" s="79" t="s">
        <v>272</v>
      </c>
      <c r="H172" s="79" t="s">
        <v>268</v>
      </c>
      <c r="I172" s="82" t="n">
        <v>23837.128</v>
      </c>
      <c r="J172" s="82" t="n">
        <v>11735.197</v>
      </c>
      <c r="K172" s="82" t="n">
        <v>7527195000</v>
      </c>
      <c r="L172" s="83" t="n">
        <v>2.44</v>
      </c>
      <c r="M172" s="82" t="n">
        <v>3097.0839</v>
      </c>
      <c r="N172" s="82" t="n">
        <v>6590000</v>
      </c>
      <c r="O172" s="82" t="n">
        <v>166512.713</v>
      </c>
      <c r="P172" s="83" t="n">
        <v>1.29660236</v>
      </c>
      <c r="Q172" s="83" t="n">
        <v>65.9</v>
      </c>
      <c r="R172" s="47" t="n">
        <v>20</v>
      </c>
      <c r="S172" s="66" t="s">
        <v>466</v>
      </c>
    </row>
    <row r="173" customFormat="false" ht="15" hidden="false" customHeight="false" outlineLevel="0" collapsed="false">
      <c r="A173" s="79" t="s">
        <v>182</v>
      </c>
      <c r="B173" s="79" t="s">
        <v>312</v>
      </c>
      <c r="C173" s="80" t="n">
        <v>2021</v>
      </c>
      <c r="D173" s="80" t="n">
        <v>2</v>
      </c>
      <c r="E173" s="81" t="n">
        <v>44377</v>
      </c>
      <c r="F173" s="79" t="s">
        <v>271</v>
      </c>
      <c r="G173" s="79" t="s">
        <v>272</v>
      </c>
      <c r="H173" s="79" t="s">
        <v>268</v>
      </c>
      <c r="I173" s="82" t="n">
        <v>22637.468</v>
      </c>
      <c r="J173" s="82" t="n">
        <v>9583.326</v>
      </c>
      <c r="K173" s="82" t="n">
        <v>6163367000</v>
      </c>
      <c r="L173" s="83" t="n">
        <v>2</v>
      </c>
      <c r="M173" s="82" t="n">
        <v>3097.0119</v>
      </c>
      <c r="N173" s="82" t="n">
        <v>12098000</v>
      </c>
      <c r="O173" s="82" t="n">
        <v>158647.283</v>
      </c>
      <c r="P173" s="83" t="n">
        <v>0</v>
      </c>
      <c r="Q173" s="83" t="n">
        <v>79.7</v>
      </c>
      <c r="R173" s="47" t="n">
        <v>21</v>
      </c>
      <c r="S173" s="66" t="s">
        <v>467</v>
      </c>
    </row>
    <row r="174" customFormat="false" ht="15" hidden="false" customHeight="false" outlineLevel="0" collapsed="false">
      <c r="A174" s="79" t="s">
        <v>182</v>
      </c>
      <c r="B174" s="79" t="s">
        <v>314</v>
      </c>
      <c r="C174" s="80" t="n">
        <v>2021</v>
      </c>
      <c r="D174" s="80" t="n">
        <v>1</v>
      </c>
      <c r="E174" s="81" t="n">
        <v>44286</v>
      </c>
      <c r="F174" s="79" t="s">
        <v>271</v>
      </c>
      <c r="G174" s="79" t="s">
        <v>272</v>
      </c>
      <c r="H174" s="79" t="s">
        <v>268</v>
      </c>
      <c r="I174" s="82" t="n">
        <v>17730.613</v>
      </c>
      <c r="J174" s="82" t="n">
        <v>5162.012</v>
      </c>
      <c r="K174" s="82" t="n">
        <v>2704333000</v>
      </c>
      <c r="L174" s="83" t="n">
        <v>0.88</v>
      </c>
      <c r="M174" s="82" t="n">
        <v>3096.4349</v>
      </c>
      <c r="N174" s="82" t="n">
        <v>12098000</v>
      </c>
      <c r="O174" s="82" t="n">
        <v>157319.61</v>
      </c>
      <c r="P174" s="83" t="n">
        <v>0</v>
      </c>
      <c r="Q174" s="83" t="n">
        <v>91.9</v>
      </c>
      <c r="R174" s="47" t="n">
        <v>22</v>
      </c>
      <c r="S174" s="66" t="s">
        <v>468</v>
      </c>
    </row>
    <row r="175" customFormat="false" ht="15" hidden="false" customHeight="false" outlineLevel="0" collapsed="false">
      <c r="A175" s="79" t="s">
        <v>182</v>
      </c>
      <c r="B175" s="79" t="s">
        <v>316</v>
      </c>
      <c r="C175" s="80" t="n">
        <v>2020</v>
      </c>
      <c r="D175" s="80" t="n">
        <v>4</v>
      </c>
      <c r="E175" s="81" t="n">
        <v>44196</v>
      </c>
      <c r="F175" s="79" t="s">
        <v>271</v>
      </c>
      <c r="G175" s="79" t="s">
        <v>272</v>
      </c>
      <c r="H175" s="79" t="s">
        <v>268</v>
      </c>
      <c r="I175" s="82" t="n">
        <v>14773.42</v>
      </c>
      <c r="J175" s="82" t="n">
        <v>3251.465</v>
      </c>
      <c r="K175" s="82" t="n">
        <v>924149000</v>
      </c>
      <c r="L175" s="83" t="n">
        <v>0.3</v>
      </c>
      <c r="M175" s="82" t="n">
        <v>3093.5939</v>
      </c>
      <c r="N175" s="82" t="n">
        <v>20000000</v>
      </c>
      <c r="O175" s="82" t="n">
        <v>153812.027</v>
      </c>
      <c r="P175" s="83" t="n">
        <v>0</v>
      </c>
      <c r="Q175" s="83" t="n">
        <v>86.8</v>
      </c>
      <c r="R175" s="47" t="n">
        <v>23</v>
      </c>
      <c r="S175" s="66" t="s">
        <v>469</v>
      </c>
    </row>
    <row r="176" customFormat="false" ht="15" hidden="false" customHeight="false" outlineLevel="0" collapsed="false">
      <c r="A176" s="79" t="s">
        <v>182</v>
      </c>
      <c r="B176" s="79" t="s">
        <v>318</v>
      </c>
      <c r="C176" s="80" t="n">
        <v>2020</v>
      </c>
      <c r="D176" s="80" t="n">
        <v>3</v>
      </c>
      <c r="E176" s="81" t="n">
        <v>44104</v>
      </c>
      <c r="F176" s="79" t="s">
        <v>271</v>
      </c>
      <c r="G176" s="79" t="s">
        <v>272</v>
      </c>
      <c r="H176" s="79" t="s">
        <v>268</v>
      </c>
      <c r="I176" s="82" t="n">
        <v>15323.867</v>
      </c>
      <c r="J176" s="82" t="n">
        <v>3961.743</v>
      </c>
      <c r="K176" s="82" t="n">
        <v>1613376000</v>
      </c>
      <c r="L176" s="83" t="n">
        <v>0.53</v>
      </c>
      <c r="M176" s="82" t="n">
        <v>3092.6119</v>
      </c>
      <c r="N176" s="82" t="n">
        <v>20000000</v>
      </c>
      <c r="O176" s="82" t="n">
        <v>153398.569</v>
      </c>
      <c r="P176" s="83"/>
      <c r="Q176" s="83" t="n">
        <v>57.5</v>
      </c>
      <c r="R176" s="47" t="n">
        <v>24</v>
      </c>
      <c r="S176" s="66" t="s">
        <v>470</v>
      </c>
    </row>
    <row r="177" customFormat="false" ht="15" hidden="false" customHeight="false" outlineLevel="0" collapsed="false">
      <c r="A177" s="79" t="s">
        <v>471</v>
      </c>
      <c r="B177" s="79" t="s">
        <v>265</v>
      </c>
      <c r="C177" s="80" t="n">
        <v>2026</v>
      </c>
      <c r="D177" s="80" t="n">
        <v>3</v>
      </c>
      <c r="E177" s="81" t="n">
        <v>46295</v>
      </c>
      <c r="F177" s="79" t="s">
        <v>266</v>
      </c>
      <c r="G177" s="79" t="s">
        <v>267</v>
      </c>
      <c r="H177" s="79" t="s">
        <v>268</v>
      </c>
      <c r="I177" s="82"/>
      <c r="J177" s="82"/>
      <c r="K177" s="82"/>
      <c r="L177" s="83" t="n">
        <v>0.44998</v>
      </c>
      <c r="M177" s="82"/>
      <c r="N177" s="82"/>
      <c r="O177" s="82"/>
      <c r="P177" s="83"/>
      <c r="Q177" s="83"/>
      <c r="R177" s="47" t="n">
        <v>0</v>
      </c>
      <c r="S177" s="66" t="s">
        <v>472</v>
      </c>
    </row>
    <row r="178" customFormat="false" ht="15" hidden="false" customHeight="false" outlineLevel="0" collapsed="false">
      <c r="A178" s="79" t="s">
        <v>471</v>
      </c>
      <c r="B178" s="79" t="s">
        <v>270</v>
      </c>
      <c r="C178" s="80" t="n">
        <v>2026</v>
      </c>
      <c r="D178" s="80" t="n">
        <v>2</v>
      </c>
      <c r="E178" s="81" t="n">
        <v>46203</v>
      </c>
      <c r="F178" s="79" t="s">
        <v>271</v>
      </c>
      <c r="G178" s="79" t="s">
        <v>272</v>
      </c>
      <c r="H178" s="79" t="s">
        <v>268</v>
      </c>
      <c r="I178" s="82" t="n">
        <v>70891.194</v>
      </c>
      <c r="J178" s="82" t="n">
        <v>9248.151</v>
      </c>
      <c r="K178" s="82" t="n">
        <v>1343092000</v>
      </c>
      <c r="L178" s="83" t="n">
        <v>0.18</v>
      </c>
      <c r="M178" s="82" t="n">
        <v>7547.099</v>
      </c>
      <c r="N178" s="82" t="n">
        <v>0</v>
      </c>
      <c r="O178" s="82" t="n">
        <v>154397.339</v>
      </c>
      <c r="P178" s="83" t="n">
        <v>0</v>
      </c>
      <c r="Q178" s="83" t="n">
        <v>32.7</v>
      </c>
      <c r="R178" s="47" t="n">
        <v>1</v>
      </c>
      <c r="S178" s="66" t="s">
        <v>473</v>
      </c>
    </row>
    <row r="179" customFormat="false" ht="15" hidden="false" customHeight="false" outlineLevel="0" collapsed="false">
      <c r="A179" s="79" t="s">
        <v>471</v>
      </c>
      <c r="B179" s="79" t="s">
        <v>274</v>
      </c>
      <c r="C179" s="80" t="n">
        <v>2026</v>
      </c>
      <c r="D179" s="80" t="n">
        <v>1</v>
      </c>
      <c r="E179" s="81" t="n">
        <v>46112</v>
      </c>
      <c r="F179" s="79" t="s">
        <v>271</v>
      </c>
      <c r="G179" s="79" t="s">
        <v>272</v>
      </c>
      <c r="H179" s="79" t="s">
        <v>268</v>
      </c>
      <c r="I179" s="82" t="n">
        <v>69031.355</v>
      </c>
      <c r="J179" s="82" t="n">
        <v>8183.487</v>
      </c>
      <c r="K179" s="82" t="n">
        <v>-1143537000</v>
      </c>
      <c r="L179" s="83" t="n">
        <v>-0.15</v>
      </c>
      <c r="M179" s="82" t="n">
        <v>7547.099</v>
      </c>
      <c r="N179" s="82" t="n">
        <v>0</v>
      </c>
      <c r="O179" s="82" t="n">
        <v>149525.667</v>
      </c>
      <c r="P179" s="83" t="n">
        <v>0</v>
      </c>
      <c r="Q179" s="83" t="n">
        <v>14.5</v>
      </c>
      <c r="R179" s="47" t="n">
        <v>2</v>
      </c>
      <c r="S179" s="66" t="s">
        <v>474</v>
      </c>
    </row>
    <row r="180" customFormat="false" ht="15" hidden="false" customHeight="false" outlineLevel="0" collapsed="false">
      <c r="A180" s="79" t="s">
        <v>471</v>
      </c>
      <c r="B180" s="79" t="s">
        <v>276</v>
      </c>
      <c r="C180" s="80" t="n">
        <v>2025</v>
      </c>
      <c r="D180" s="80" t="n">
        <v>4</v>
      </c>
      <c r="E180" s="81" t="n">
        <v>46022</v>
      </c>
      <c r="F180" s="79" t="s">
        <v>271</v>
      </c>
      <c r="G180" s="79" t="s">
        <v>272</v>
      </c>
      <c r="H180" s="79" t="s">
        <v>268</v>
      </c>
      <c r="I180" s="82" t="n">
        <v>70141.567</v>
      </c>
      <c r="J180" s="82" t="n">
        <v>7524.762</v>
      </c>
      <c r="K180" s="82" t="n">
        <v>2882023000</v>
      </c>
      <c r="L180" s="83" t="n">
        <v>0.38</v>
      </c>
      <c r="M180" s="82" t="n">
        <v>7547.099</v>
      </c>
      <c r="N180" s="82" t="n">
        <v>0</v>
      </c>
      <c r="O180" s="82" t="n">
        <v>151999.444</v>
      </c>
      <c r="P180" s="83" t="n">
        <v>0</v>
      </c>
      <c r="Q180" s="83" t="n">
        <v>12.25</v>
      </c>
      <c r="R180" s="47" t="n">
        <v>3</v>
      </c>
      <c r="S180" s="66" t="s">
        <v>475</v>
      </c>
    </row>
    <row r="181" customFormat="false" ht="15" hidden="false" customHeight="false" outlineLevel="0" collapsed="false">
      <c r="A181" s="79" t="s">
        <v>471</v>
      </c>
      <c r="B181" s="79" t="s">
        <v>278</v>
      </c>
      <c r="C181" s="80" t="n">
        <v>2025</v>
      </c>
      <c r="D181" s="80" t="n">
        <v>3</v>
      </c>
      <c r="E181" s="81" t="n">
        <v>45930</v>
      </c>
      <c r="F181" s="79" t="s">
        <v>271</v>
      </c>
      <c r="G181" s="79" t="s">
        <v>272</v>
      </c>
      <c r="H181" s="79" t="s">
        <v>268</v>
      </c>
      <c r="I181" s="82" t="n">
        <v>69907.556</v>
      </c>
      <c r="J181" s="82" t="n">
        <v>6689.609</v>
      </c>
      <c r="K181" s="82" t="n">
        <v>-1280274000</v>
      </c>
      <c r="L181" s="83" t="n">
        <v>-0.17</v>
      </c>
      <c r="M181" s="82" t="n">
        <v>7547.099</v>
      </c>
      <c r="N181" s="82" t="n">
        <v>0</v>
      </c>
      <c r="O181" s="82" t="n">
        <v>147535.287</v>
      </c>
      <c r="P181" s="83" t="n">
        <v>0.30480112</v>
      </c>
      <c r="Q181" s="83" t="n">
        <v>13.65</v>
      </c>
      <c r="R181" s="47" t="n">
        <v>4</v>
      </c>
      <c r="S181" s="66" t="s">
        <v>476</v>
      </c>
    </row>
    <row r="182" customFormat="false" ht="15" hidden="false" customHeight="false" outlineLevel="0" collapsed="false">
      <c r="A182" s="79" t="s">
        <v>471</v>
      </c>
      <c r="B182" s="79" t="s">
        <v>280</v>
      </c>
      <c r="C182" s="80" t="n">
        <v>2025</v>
      </c>
      <c r="D182" s="80" t="n">
        <v>2</v>
      </c>
      <c r="E182" s="81" t="n">
        <v>45838</v>
      </c>
      <c r="F182" s="79" t="s">
        <v>271</v>
      </c>
      <c r="G182" s="79" t="s">
        <v>272</v>
      </c>
      <c r="H182" s="79" t="s">
        <v>268</v>
      </c>
      <c r="I182" s="82" t="n">
        <v>69236.749</v>
      </c>
      <c r="J182" s="82" t="n">
        <v>9361.983</v>
      </c>
      <c r="K182" s="82" t="n">
        <v>1947871000</v>
      </c>
      <c r="L182" s="83" t="n">
        <v>0.26</v>
      </c>
      <c r="M182" s="82" t="n">
        <v>7547.099</v>
      </c>
      <c r="N182" s="82" t="n">
        <v>0</v>
      </c>
      <c r="O182" s="82" t="n">
        <v>147558.293</v>
      </c>
      <c r="P182" s="83" t="n">
        <v>0</v>
      </c>
      <c r="Q182" s="83" t="n">
        <v>12.35</v>
      </c>
      <c r="R182" s="47" t="n">
        <v>5</v>
      </c>
      <c r="S182" s="66" t="s">
        <v>477</v>
      </c>
    </row>
    <row r="183" customFormat="false" ht="15" hidden="false" customHeight="false" outlineLevel="0" collapsed="false">
      <c r="A183" s="79" t="s">
        <v>471</v>
      </c>
      <c r="B183" s="79" t="s">
        <v>282</v>
      </c>
      <c r="C183" s="80" t="n">
        <v>2025</v>
      </c>
      <c r="D183" s="80" t="n">
        <v>1</v>
      </c>
      <c r="E183" s="81" t="n">
        <v>45747</v>
      </c>
      <c r="F183" s="79" t="s">
        <v>271</v>
      </c>
      <c r="G183" s="79" t="s">
        <v>272</v>
      </c>
      <c r="H183" s="79" t="s">
        <v>268</v>
      </c>
      <c r="I183" s="82" t="n">
        <v>72101.871</v>
      </c>
      <c r="J183" s="82" t="n">
        <v>8778.454</v>
      </c>
      <c r="K183" s="82" t="n">
        <v>3293741000</v>
      </c>
      <c r="L183" s="83" t="n">
        <v>0.43</v>
      </c>
      <c r="M183" s="82" t="n">
        <v>7667.881</v>
      </c>
      <c r="N183" s="82" t="n">
        <v>120782000</v>
      </c>
      <c r="O183" s="82" t="n">
        <v>152400.261</v>
      </c>
      <c r="P183" s="83" t="n">
        <v>0</v>
      </c>
      <c r="Q183" s="83" t="n">
        <v>13.45</v>
      </c>
      <c r="R183" s="47" t="n">
        <v>6</v>
      </c>
      <c r="S183" s="66" t="s">
        <v>478</v>
      </c>
    </row>
    <row r="184" customFormat="false" ht="15" hidden="false" customHeight="false" outlineLevel="0" collapsed="false">
      <c r="A184" s="79" t="s">
        <v>471</v>
      </c>
      <c r="B184" s="79" t="s">
        <v>284</v>
      </c>
      <c r="C184" s="80" t="n">
        <v>2024</v>
      </c>
      <c r="D184" s="80" t="n">
        <v>4</v>
      </c>
      <c r="E184" s="81" t="n">
        <v>45657</v>
      </c>
      <c r="F184" s="79" t="s">
        <v>271</v>
      </c>
      <c r="G184" s="79" t="s">
        <v>272</v>
      </c>
      <c r="H184" s="79" t="s">
        <v>268</v>
      </c>
      <c r="I184" s="82" t="n">
        <v>68692.009</v>
      </c>
      <c r="J184" s="82" t="n">
        <v>5445.537</v>
      </c>
      <c r="K184" s="82" t="n">
        <v>1619337000</v>
      </c>
      <c r="L184" s="83" t="n">
        <v>0.21</v>
      </c>
      <c r="M184" s="82" t="n">
        <v>7667.881</v>
      </c>
      <c r="N184" s="82" t="n">
        <v>0</v>
      </c>
      <c r="O184" s="82" t="n">
        <v>153297.72</v>
      </c>
      <c r="P184" s="83" t="n">
        <v>0</v>
      </c>
      <c r="Q184" s="83" t="n">
        <v>14.65</v>
      </c>
      <c r="R184" s="47" t="n">
        <v>7</v>
      </c>
      <c r="S184" s="66" t="s">
        <v>479</v>
      </c>
    </row>
    <row r="185" customFormat="false" ht="15" hidden="false" customHeight="false" outlineLevel="0" collapsed="false">
      <c r="A185" s="79" t="s">
        <v>471</v>
      </c>
      <c r="B185" s="79" t="s">
        <v>286</v>
      </c>
      <c r="C185" s="80" t="n">
        <v>2024</v>
      </c>
      <c r="D185" s="80" t="n">
        <v>3</v>
      </c>
      <c r="E185" s="81" t="n">
        <v>45565</v>
      </c>
      <c r="F185" s="79" t="s">
        <v>271</v>
      </c>
      <c r="G185" s="79" t="s">
        <v>272</v>
      </c>
      <c r="H185" s="79" t="s">
        <v>268</v>
      </c>
      <c r="I185" s="82" t="n">
        <v>77748.135</v>
      </c>
      <c r="J185" s="82" t="n">
        <v>8454.177</v>
      </c>
      <c r="K185" s="82" t="n">
        <v>-925674000</v>
      </c>
      <c r="L185" s="83" t="n">
        <v>-0.12</v>
      </c>
      <c r="M185" s="82" t="n">
        <v>7699.3961</v>
      </c>
      <c r="N185" s="82" t="n">
        <v>31515120</v>
      </c>
      <c r="O185" s="82" t="n">
        <v>150663.124</v>
      </c>
      <c r="P185" s="83" t="n">
        <v>0.9</v>
      </c>
      <c r="Q185" s="83" t="n">
        <v>17.05</v>
      </c>
      <c r="R185" s="47" t="n">
        <v>8</v>
      </c>
      <c r="S185" s="66" t="s">
        <v>480</v>
      </c>
    </row>
    <row r="186" customFormat="false" ht="15" hidden="false" customHeight="false" outlineLevel="0" collapsed="false">
      <c r="A186" s="79" t="s">
        <v>471</v>
      </c>
      <c r="B186" s="79" t="s">
        <v>288</v>
      </c>
      <c r="C186" s="80" t="n">
        <v>2024</v>
      </c>
      <c r="D186" s="80" t="n">
        <v>2</v>
      </c>
      <c r="E186" s="81" t="n">
        <v>45473</v>
      </c>
      <c r="F186" s="79" t="s">
        <v>271</v>
      </c>
      <c r="G186" s="79" t="s">
        <v>272</v>
      </c>
      <c r="H186" s="79" t="s">
        <v>268</v>
      </c>
      <c r="I186" s="82" t="n">
        <v>74327.946</v>
      </c>
      <c r="J186" s="82" t="n">
        <v>8354.64</v>
      </c>
      <c r="K186" s="82" t="n">
        <v>-231320000</v>
      </c>
      <c r="L186" s="83" t="n">
        <v>-0.03</v>
      </c>
      <c r="M186" s="82" t="n">
        <v>7699.3961</v>
      </c>
      <c r="N186" s="82" t="n">
        <v>31515120</v>
      </c>
      <c r="O186" s="82" t="n">
        <v>150719.88</v>
      </c>
      <c r="P186" s="83" t="n">
        <v>0</v>
      </c>
      <c r="Q186" s="83" t="n">
        <v>17.8</v>
      </c>
      <c r="R186" s="47" t="n">
        <v>9</v>
      </c>
      <c r="S186" s="66" t="s">
        <v>481</v>
      </c>
    </row>
    <row r="187" customFormat="false" ht="15" hidden="false" customHeight="false" outlineLevel="0" collapsed="false">
      <c r="A187" s="79" t="s">
        <v>471</v>
      </c>
      <c r="B187" s="79" t="s">
        <v>290</v>
      </c>
      <c r="C187" s="80" t="n">
        <v>2024</v>
      </c>
      <c r="D187" s="80" t="n">
        <v>1</v>
      </c>
      <c r="E187" s="81" t="n">
        <v>45382</v>
      </c>
      <c r="F187" s="79" t="s">
        <v>271</v>
      </c>
      <c r="G187" s="79" t="s">
        <v>272</v>
      </c>
      <c r="H187" s="79" t="s">
        <v>268</v>
      </c>
      <c r="I187" s="82" t="n">
        <v>59477.331</v>
      </c>
      <c r="J187" s="82" t="n">
        <v>1961.642</v>
      </c>
      <c r="K187" s="82" t="n">
        <v>-3526510000</v>
      </c>
      <c r="L187" s="83" t="n">
        <v>-0.46</v>
      </c>
      <c r="M187" s="82" t="n">
        <v>7699.3961</v>
      </c>
      <c r="N187" s="82" t="n">
        <v>31515120</v>
      </c>
      <c r="O187" s="82" t="n">
        <v>150449.364</v>
      </c>
      <c r="P187" s="83" t="n">
        <v>0</v>
      </c>
      <c r="Q187" s="83" t="n">
        <v>17.9</v>
      </c>
      <c r="R187" s="47" t="n">
        <v>10</v>
      </c>
      <c r="S187" s="66" t="s">
        <v>482</v>
      </c>
    </row>
    <row r="188" customFormat="false" ht="15" hidden="false" customHeight="false" outlineLevel="0" collapsed="false">
      <c r="A188" s="79" t="s">
        <v>471</v>
      </c>
      <c r="B188" s="79" t="s">
        <v>292</v>
      </c>
      <c r="C188" s="80" t="n">
        <v>2023</v>
      </c>
      <c r="D188" s="80" t="n">
        <v>4</v>
      </c>
      <c r="E188" s="81" t="n">
        <v>45291</v>
      </c>
      <c r="F188" s="79" t="s">
        <v>271</v>
      </c>
      <c r="G188" s="79" t="s">
        <v>272</v>
      </c>
      <c r="H188" s="79" t="s">
        <v>268</v>
      </c>
      <c r="I188" s="82" t="n">
        <v>63345.797</v>
      </c>
      <c r="J188" s="82" t="n">
        <v>2133.568</v>
      </c>
      <c r="K188" s="82" t="n">
        <v>-1509971000</v>
      </c>
      <c r="L188" s="83" t="n">
        <v>-0.19</v>
      </c>
      <c r="M188" s="82" t="n">
        <v>7699.3961</v>
      </c>
      <c r="N188" s="82" t="n">
        <v>31515120</v>
      </c>
      <c r="O188" s="82" t="n">
        <v>159167.207</v>
      </c>
      <c r="P188" s="83" t="n">
        <v>0</v>
      </c>
      <c r="Q188" s="83" t="n">
        <v>18.15</v>
      </c>
      <c r="R188" s="47" t="n">
        <v>11</v>
      </c>
      <c r="S188" s="66" t="s">
        <v>483</v>
      </c>
    </row>
    <row r="189" customFormat="false" ht="15" hidden="false" customHeight="false" outlineLevel="0" collapsed="false">
      <c r="A189" s="79" t="s">
        <v>471</v>
      </c>
      <c r="B189" s="79" t="s">
        <v>294</v>
      </c>
      <c r="C189" s="80" t="n">
        <v>2023</v>
      </c>
      <c r="D189" s="80" t="n">
        <v>3</v>
      </c>
      <c r="E189" s="81" t="n">
        <v>45199</v>
      </c>
      <c r="F189" s="79" t="s">
        <v>271</v>
      </c>
      <c r="G189" s="79" t="s">
        <v>272</v>
      </c>
      <c r="H189" s="79" t="s">
        <v>268</v>
      </c>
      <c r="I189" s="82" t="n">
        <v>70109.826</v>
      </c>
      <c r="J189" s="82" t="n">
        <v>5341.595</v>
      </c>
      <c r="K189" s="82" t="n">
        <v>-975348000</v>
      </c>
      <c r="L189" s="83" t="n">
        <v>-0.13</v>
      </c>
      <c r="M189" s="82" t="n">
        <v>7699.3961</v>
      </c>
      <c r="N189" s="82" t="n">
        <v>31515120</v>
      </c>
      <c r="O189" s="82" t="n">
        <v>162877.643</v>
      </c>
      <c r="P189" s="83" t="n">
        <v>0.8</v>
      </c>
      <c r="Q189" s="83" t="n">
        <v>16.4</v>
      </c>
      <c r="R189" s="47" t="n">
        <v>12</v>
      </c>
      <c r="S189" s="66" t="s">
        <v>484</v>
      </c>
    </row>
    <row r="190" customFormat="false" ht="15" hidden="false" customHeight="false" outlineLevel="0" collapsed="false">
      <c r="A190" s="79" t="s">
        <v>471</v>
      </c>
      <c r="B190" s="79" t="s">
        <v>296</v>
      </c>
      <c r="C190" s="80" t="n">
        <v>2023</v>
      </c>
      <c r="D190" s="80" t="n">
        <v>2</v>
      </c>
      <c r="E190" s="81" t="n">
        <v>45107</v>
      </c>
      <c r="F190" s="79" t="s">
        <v>271</v>
      </c>
      <c r="G190" s="79" t="s">
        <v>272</v>
      </c>
      <c r="H190" s="79" t="s">
        <v>268</v>
      </c>
      <c r="I190" s="82" t="n">
        <v>63320.505</v>
      </c>
      <c r="J190" s="82" t="n">
        <v>1991.95</v>
      </c>
      <c r="K190" s="82" t="n">
        <v>-4807335000</v>
      </c>
      <c r="L190" s="83" t="n">
        <v>-0.63</v>
      </c>
      <c r="M190" s="82" t="n">
        <v>7699.3961</v>
      </c>
      <c r="N190" s="82" t="n">
        <v>31515120</v>
      </c>
      <c r="O190" s="82" t="n">
        <v>162668.371</v>
      </c>
      <c r="P190" s="83" t="n">
        <v>0</v>
      </c>
      <c r="Q190" s="83" t="n">
        <v>18.6</v>
      </c>
      <c r="R190" s="47" t="n">
        <v>13</v>
      </c>
      <c r="S190" s="66" t="s">
        <v>485</v>
      </c>
    </row>
    <row r="191" customFormat="false" ht="15" hidden="false" customHeight="false" outlineLevel="0" collapsed="false">
      <c r="A191" s="79" t="s">
        <v>471</v>
      </c>
      <c r="B191" s="79" t="s">
        <v>298</v>
      </c>
      <c r="C191" s="80" t="n">
        <v>2023</v>
      </c>
      <c r="D191" s="80" t="n">
        <v>1</v>
      </c>
      <c r="E191" s="81" t="n">
        <v>45016</v>
      </c>
      <c r="F191" s="79" t="s">
        <v>271</v>
      </c>
      <c r="G191" s="79" t="s">
        <v>272</v>
      </c>
      <c r="H191" s="79" t="s">
        <v>268</v>
      </c>
      <c r="I191" s="82" t="n">
        <v>51188.309</v>
      </c>
      <c r="J191" s="82" t="n">
        <v>-4856.745</v>
      </c>
      <c r="K191" s="82" t="n">
        <v>-10910620000</v>
      </c>
      <c r="L191" s="83" t="n">
        <v>-1.42</v>
      </c>
      <c r="M191" s="82" t="n">
        <v>7699.3961</v>
      </c>
      <c r="N191" s="82" t="n">
        <v>31515120</v>
      </c>
      <c r="O191" s="82" t="n">
        <v>168807.722</v>
      </c>
      <c r="P191" s="83" t="n">
        <v>0</v>
      </c>
      <c r="Q191" s="83" t="n">
        <v>18.4</v>
      </c>
      <c r="R191" s="47" t="n">
        <v>14</v>
      </c>
      <c r="S191" s="66" t="s">
        <v>486</v>
      </c>
    </row>
    <row r="192" customFormat="false" ht="15" hidden="false" customHeight="false" outlineLevel="0" collapsed="false">
      <c r="A192" s="79" t="s">
        <v>471</v>
      </c>
      <c r="B192" s="79" t="s">
        <v>300</v>
      </c>
      <c r="C192" s="80" t="n">
        <v>2022</v>
      </c>
      <c r="D192" s="80" t="n">
        <v>4</v>
      </c>
      <c r="E192" s="81" t="n">
        <v>44926</v>
      </c>
      <c r="F192" s="79" t="s">
        <v>271</v>
      </c>
      <c r="G192" s="79" t="s">
        <v>272</v>
      </c>
      <c r="H192" s="79" t="s">
        <v>268</v>
      </c>
      <c r="I192" s="82" t="n">
        <v>52648.029</v>
      </c>
      <c r="J192" s="82" t="n">
        <v>-4587.325</v>
      </c>
      <c r="K192" s="82" t="n">
        <v>-10207671000</v>
      </c>
      <c r="L192" s="83" t="n">
        <v>-1.21</v>
      </c>
      <c r="M192" s="82" t="n">
        <v>7699.3961</v>
      </c>
      <c r="N192" s="82" t="n">
        <v>38737040</v>
      </c>
      <c r="O192" s="82" t="n">
        <v>185099.091</v>
      </c>
      <c r="P192" s="83" t="n">
        <v>0</v>
      </c>
      <c r="Q192" s="83" t="n">
        <v>15</v>
      </c>
      <c r="R192" s="47" t="n">
        <v>15</v>
      </c>
      <c r="S192" s="66" t="s">
        <v>487</v>
      </c>
    </row>
    <row r="193" customFormat="false" ht="15" hidden="false" customHeight="false" outlineLevel="0" collapsed="false">
      <c r="A193" s="79" t="s">
        <v>471</v>
      </c>
      <c r="B193" s="79" t="s">
        <v>302</v>
      </c>
      <c r="C193" s="80" t="n">
        <v>2022</v>
      </c>
      <c r="D193" s="80" t="n">
        <v>3</v>
      </c>
      <c r="E193" s="81" t="n">
        <v>44834</v>
      </c>
      <c r="F193" s="79" t="s">
        <v>271</v>
      </c>
      <c r="G193" s="79" t="s">
        <v>272</v>
      </c>
      <c r="H193" s="79" t="s">
        <v>268</v>
      </c>
      <c r="I193" s="82" t="n">
        <v>49732.341</v>
      </c>
      <c r="J193" s="82" t="n">
        <v>-7264.142</v>
      </c>
      <c r="K193" s="82" t="n">
        <v>-10425620000</v>
      </c>
      <c r="L193" s="83" t="n">
        <v>-1.23</v>
      </c>
      <c r="M193" s="82" t="n">
        <v>7699.3961</v>
      </c>
      <c r="N193" s="82" t="n">
        <v>48421300</v>
      </c>
      <c r="O193" s="82" t="n">
        <v>196538.21</v>
      </c>
      <c r="P193" s="83" t="n">
        <v>1</v>
      </c>
      <c r="Q193" s="83" t="n">
        <v>14.7</v>
      </c>
      <c r="R193" s="47" t="n">
        <v>16</v>
      </c>
      <c r="S193" s="66" t="s">
        <v>488</v>
      </c>
    </row>
    <row r="194" customFormat="false" ht="15" hidden="false" customHeight="false" outlineLevel="0" collapsed="false">
      <c r="A194" s="79" t="s">
        <v>471</v>
      </c>
      <c r="B194" s="79" t="s">
        <v>304</v>
      </c>
      <c r="C194" s="80" t="n">
        <v>2022</v>
      </c>
      <c r="D194" s="80" t="n">
        <v>2</v>
      </c>
      <c r="E194" s="81" t="n">
        <v>44742</v>
      </c>
      <c r="F194" s="79" t="s">
        <v>271</v>
      </c>
      <c r="G194" s="79" t="s">
        <v>272</v>
      </c>
      <c r="H194" s="79" t="s">
        <v>268</v>
      </c>
      <c r="I194" s="82" t="n">
        <v>62884.442</v>
      </c>
      <c r="J194" s="82" t="n">
        <v>1724.758</v>
      </c>
      <c r="K194" s="82" t="n">
        <v>-5632459000</v>
      </c>
      <c r="L194" s="83" t="n">
        <v>-0.59</v>
      </c>
      <c r="M194" s="82" t="n">
        <v>9624.2451</v>
      </c>
      <c r="N194" s="82" t="n">
        <v>48421300</v>
      </c>
      <c r="O194" s="82" t="n">
        <v>223150.062</v>
      </c>
      <c r="P194" s="83" t="n">
        <v>0</v>
      </c>
      <c r="Q194" s="83" t="n">
        <v>16.3</v>
      </c>
      <c r="R194" s="47" t="n">
        <v>17</v>
      </c>
      <c r="S194" s="66" t="s">
        <v>489</v>
      </c>
    </row>
    <row r="195" customFormat="false" ht="15" hidden="false" customHeight="false" outlineLevel="0" collapsed="false">
      <c r="A195" s="79" t="s">
        <v>471</v>
      </c>
      <c r="B195" s="79" t="s">
        <v>306</v>
      </c>
      <c r="C195" s="80" t="n">
        <v>2022</v>
      </c>
      <c r="D195" s="80" t="n">
        <v>1</v>
      </c>
      <c r="E195" s="81" t="n">
        <v>44651</v>
      </c>
      <c r="F195" s="79" t="s">
        <v>271</v>
      </c>
      <c r="G195" s="79" t="s">
        <v>272</v>
      </c>
      <c r="H195" s="79" t="s">
        <v>268</v>
      </c>
      <c r="I195" s="82" t="n">
        <v>81527.862</v>
      </c>
      <c r="J195" s="82" t="n">
        <v>11694.217</v>
      </c>
      <c r="K195" s="82" t="n">
        <v>5164376000</v>
      </c>
      <c r="L195" s="83" t="n">
        <v>0.54</v>
      </c>
      <c r="M195" s="82" t="n">
        <v>9624.2451</v>
      </c>
      <c r="N195" s="82" t="n">
        <v>48421300</v>
      </c>
      <c r="O195" s="82" t="n">
        <v>229820.936</v>
      </c>
      <c r="P195" s="83" t="n">
        <v>0</v>
      </c>
      <c r="Q195" s="83" t="n">
        <v>19.85</v>
      </c>
      <c r="R195" s="47" t="n">
        <v>18</v>
      </c>
      <c r="S195" s="66" t="s">
        <v>490</v>
      </c>
    </row>
    <row r="196" customFormat="false" ht="15" hidden="false" customHeight="false" outlineLevel="0" collapsed="false">
      <c r="A196" s="79" t="s">
        <v>471</v>
      </c>
      <c r="B196" s="79" t="s">
        <v>308</v>
      </c>
      <c r="C196" s="80" t="n">
        <v>2021</v>
      </c>
      <c r="D196" s="80" t="n">
        <v>4</v>
      </c>
      <c r="E196" s="81" t="n">
        <v>44561</v>
      </c>
      <c r="F196" s="79" t="s">
        <v>271</v>
      </c>
      <c r="G196" s="79" t="s">
        <v>272</v>
      </c>
      <c r="H196" s="79" t="s">
        <v>268</v>
      </c>
      <c r="I196" s="82" t="n">
        <v>93034.036</v>
      </c>
      <c r="J196" s="82" t="n">
        <v>17602.355</v>
      </c>
      <c r="K196" s="82" t="n">
        <v>10655334000</v>
      </c>
      <c r="L196" s="83" t="n">
        <v>1.11</v>
      </c>
      <c r="M196" s="82" t="n">
        <v>9624.2451</v>
      </c>
      <c r="N196" s="82" t="n">
        <v>54199200</v>
      </c>
      <c r="O196" s="82" t="n">
        <v>231787.04</v>
      </c>
      <c r="P196" s="83" t="n">
        <v>0</v>
      </c>
      <c r="Q196" s="83" t="n">
        <v>22.9</v>
      </c>
      <c r="R196" s="47" t="n">
        <v>19</v>
      </c>
      <c r="S196" s="66" t="s">
        <v>491</v>
      </c>
    </row>
    <row r="197" customFormat="false" ht="15" hidden="false" customHeight="false" outlineLevel="0" collapsed="false">
      <c r="A197" s="79" t="s">
        <v>471</v>
      </c>
      <c r="B197" s="79" t="s">
        <v>310</v>
      </c>
      <c r="C197" s="80" t="n">
        <v>2021</v>
      </c>
      <c r="D197" s="80" t="n">
        <v>3</v>
      </c>
      <c r="E197" s="81" t="n">
        <v>44469</v>
      </c>
      <c r="F197" s="79" t="s">
        <v>271</v>
      </c>
      <c r="G197" s="79" t="s">
        <v>272</v>
      </c>
      <c r="H197" s="79" t="s">
        <v>268</v>
      </c>
      <c r="I197" s="82" t="n">
        <v>99054.986</v>
      </c>
      <c r="J197" s="82" t="n">
        <v>27413.425</v>
      </c>
      <c r="K197" s="82" t="n">
        <v>19310255000</v>
      </c>
      <c r="L197" s="83" t="n">
        <v>2.03</v>
      </c>
      <c r="M197" s="82" t="n">
        <v>9624.2451</v>
      </c>
      <c r="N197" s="82" t="n">
        <v>54199200</v>
      </c>
      <c r="O197" s="82" t="n">
        <v>229773.257</v>
      </c>
      <c r="P197" s="83" t="n">
        <v>0</v>
      </c>
      <c r="Q197" s="83" t="n">
        <v>17.65</v>
      </c>
      <c r="R197" s="47" t="n">
        <v>20</v>
      </c>
      <c r="S197" s="66" t="s">
        <v>492</v>
      </c>
    </row>
    <row r="198" customFormat="false" ht="15" hidden="false" customHeight="false" outlineLevel="0" collapsed="false">
      <c r="A198" s="79" t="s">
        <v>471</v>
      </c>
      <c r="B198" s="79" t="s">
        <v>312</v>
      </c>
      <c r="C198" s="80" t="n">
        <v>2021</v>
      </c>
      <c r="D198" s="80" t="n">
        <v>2</v>
      </c>
      <c r="E198" s="81" t="n">
        <v>44377</v>
      </c>
      <c r="F198" s="79" t="s">
        <v>271</v>
      </c>
      <c r="G198" s="79" t="s">
        <v>272</v>
      </c>
      <c r="H198" s="79" t="s">
        <v>268</v>
      </c>
      <c r="I198" s="82" t="n">
        <v>95655.5</v>
      </c>
      <c r="J198" s="82" t="n">
        <v>27489.144</v>
      </c>
      <c r="K198" s="82" t="n">
        <v>19530948000</v>
      </c>
      <c r="L198" s="83" t="n">
        <v>2.06</v>
      </c>
      <c r="M198" s="82" t="n">
        <v>9624.2451</v>
      </c>
      <c r="N198" s="82" t="n">
        <v>121022000</v>
      </c>
      <c r="O198" s="82" t="n">
        <v>209765.587</v>
      </c>
      <c r="P198" s="83" t="n">
        <v>0.3</v>
      </c>
      <c r="Q198" s="83" t="n">
        <v>22.65</v>
      </c>
      <c r="R198" s="47" t="n">
        <v>21</v>
      </c>
      <c r="S198" s="66" t="s">
        <v>493</v>
      </c>
    </row>
    <row r="199" customFormat="false" ht="15" hidden="false" customHeight="false" outlineLevel="0" collapsed="false">
      <c r="A199" s="79" t="s">
        <v>471</v>
      </c>
      <c r="B199" s="79" t="s">
        <v>314</v>
      </c>
      <c r="C199" s="80" t="n">
        <v>2021</v>
      </c>
      <c r="D199" s="80" t="n">
        <v>1</v>
      </c>
      <c r="E199" s="81" t="n">
        <v>44286</v>
      </c>
      <c r="F199" s="79" t="s">
        <v>271</v>
      </c>
      <c r="G199" s="79" t="s">
        <v>272</v>
      </c>
      <c r="H199" s="79" t="s">
        <v>268</v>
      </c>
      <c r="I199" s="82" t="n">
        <v>82940.619</v>
      </c>
      <c r="J199" s="82" t="n">
        <v>18262.833</v>
      </c>
      <c r="K199" s="82" t="n">
        <v>11834091000</v>
      </c>
      <c r="L199" s="83" t="n">
        <v>1.25</v>
      </c>
      <c r="M199" s="82" t="n">
        <v>9624.2451</v>
      </c>
      <c r="N199" s="82" t="n">
        <v>121022000</v>
      </c>
      <c r="O199" s="82" t="n">
        <v>191115.034</v>
      </c>
      <c r="P199" s="83" t="n">
        <v>0</v>
      </c>
      <c r="Q199" s="83" t="n">
        <v>21.05</v>
      </c>
      <c r="R199" s="47" t="n">
        <v>22</v>
      </c>
      <c r="S199" s="66" t="s">
        <v>494</v>
      </c>
    </row>
    <row r="200" customFormat="false" ht="15" hidden="false" customHeight="false" outlineLevel="0" collapsed="false">
      <c r="A200" s="79" t="s">
        <v>471</v>
      </c>
      <c r="B200" s="79" t="s">
        <v>316</v>
      </c>
      <c r="C200" s="80" t="n">
        <v>2020</v>
      </c>
      <c r="D200" s="80" t="n">
        <v>4</v>
      </c>
      <c r="E200" s="81" t="n">
        <v>44196</v>
      </c>
      <c r="F200" s="79" t="s">
        <v>271</v>
      </c>
      <c r="G200" s="79" t="s">
        <v>272</v>
      </c>
      <c r="H200" s="79" t="s">
        <v>268</v>
      </c>
      <c r="I200" s="82" t="n">
        <v>80535.02</v>
      </c>
      <c r="J200" s="82" t="n">
        <v>13647.657</v>
      </c>
      <c r="K200" s="82" t="n">
        <v>8435114000</v>
      </c>
      <c r="L200" s="83" t="n">
        <v>0.89</v>
      </c>
      <c r="M200" s="82" t="n">
        <v>9624.2451</v>
      </c>
      <c r="N200" s="82" t="n">
        <v>125000000</v>
      </c>
      <c r="O200" s="82" t="n">
        <v>182804.691</v>
      </c>
      <c r="P200" s="83" t="n">
        <v>0</v>
      </c>
      <c r="Q200" s="83" t="n">
        <v>14</v>
      </c>
      <c r="R200" s="47" t="n">
        <v>23</v>
      </c>
      <c r="S200" s="66" t="s">
        <v>495</v>
      </c>
    </row>
    <row r="201" customFormat="false" ht="15" hidden="false" customHeight="false" outlineLevel="0" collapsed="false">
      <c r="A201" s="79" t="s">
        <v>471</v>
      </c>
      <c r="B201" s="79" t="s">
        <v>318</v>
      </c>
      <c r="C201" s="80" t="n">
        <v>2020</v>
      </c>
      <c r="D201" s="80" t="n">
        <v>3</v>
      </c>
      <c r="E201" s="81" t="n">
        <v>44104</v>
      </c>
      <c r="F201" s="79" t="s">
        <v>271</v>
      </c>
      <c r="G201" s="79" t="s">
        <v>272</v>
      </c>
      <c r="H201" s="79" t="s">
        <v>268</v>
      </c>
      <c r="I201" s="82" t="n">
        <v>73229.997</v>
      </c>
      <c r="J201" s="82" t="n">
        <v>7757.136</v>
      </c>
      <c r="K201" s="82" t="n">
        <v>2893732000</v>
      </c>
      <c r="L201" s="83" t="n">
        <v>0.3</v>
      </c>
      <c r="M201" s="82" t="n">
        <v>9624.2451</v>
      </c>
      <c r="N201" s="82" t="n">
        <v>125000000</v>
      </c>
      <c r="O201" s="82" t="n">
        <v>169931.962</v>
      </c>
      <c r="P201" s="83"/>
      <c r="Q201" s="83" t="n">
        <v>11.2</v>
      </c>
      <c r="R201" s="47" t="n">
        <v>24</v>
      </c>
      <c r="S201" s="66" t="s">
        <v>496</v>
      </c>
    </row>
    <row r="202" customFormat="false" ht="15" hidden="false" customHeight="false" outlineLevel="0" collapsed="false">
      <c r="A202" s="79" t="s">
        <v>222</v>
      </c>
      <c r="B202" s="79" t="s">
        <v>265</v>
      </c>
      <c r="C202" s="80" t="n">
        <v>2026</v>
      </c>
      <c r="D202" s="80" t="n">
        <v>3</v>
      </c>
      <c r="E202" s="81" t="n">
        <v>46295</v>
      </c>
      <c r="F202" s="79" t="s">
        <v>266</v>
      </c>
      <c r="G202" s="79" t="s">
        <v>267</v>
      </c>
      <c r="H202" s="79" t="s">
        <v>268</v>
      </c>
      <c r="I202" s="82"/>
      <c r="J202" s="82"/>
      <c r="K202" s="82"/>
      <c r="L202" s="83" t="n">
        <v>15.43434</v>
      </c>
      <c r="M202" s="82"/>
      <c r="N202" s="82"/>
      <c r="O202" s="82"/>
      <c r="P202" s="83"/>
      <c r="Q202" s="83"/>
      <c r="R202" s="47" t="n">
        <v>0</v>
      </c>
      <c r="S202" s="66" t="s">
        <v>497</v>
      </c>
    </row>
    <row r="203" customFormat="false" ht="15" hidden="false" customHeight="false" outlineLevel="0" collapsed="false">
      <c r="A203" s="79" t="s">
        <v>222</v>
      </c>
      <c r="B203" s="79" t="s">
        <v>270</v>
      </c>
      <c r="C203" s="80" t="n">
        <v>2026</v>
      </c>
      <c r="D203" s="80" t="n">
        <v>2</v>
      </c>
      <c r="E203" s="81" t="n">
        <v>46203</v>
      </c>
      <c r="F203" s="79" t="s">
        <v>271</v>
      </c>
      <c r="G203" s="79" t="s">
        <v>272</v>
      </c>
      <c r="H203" s="79" t="s">
        <v>268</v>
      </c>
      <c r="I203" s="82" t="n">
        <v>152182.611</v>
      </c>
      <c r="J203" s="82" t="n">
        <v>70307.616</v>
      </c>
      <c r="K203" s="82" t="n">
        <v>24334734000</v>
      </c>
      <c r="L203" s="83" t="n">
        <v>15.28</v>
      </c>
      <c r="M203" s="82" t="n">
        <v>1603.8954</v>
      </c>
      <c r="N203" s="82" t="n">
        <v>7794085</v>
      </c>
      <c r="O203" s="82" t="n">
        <v>424190.236</v>
      </c>
      <c r="P203" s="83" t="n">
        <v>0</v>
      </c>
      <c r="Q203" s="83" t="n">
        <v>4245</v>
      </c>
      <c r="R203" s="47" t="n">
        <v>1</v>
      </c>
      <c r="S203" s="66" t="s">
        <v>498</v>
      </c>
    </row>
    <row r="204" customFormat="false" ht="15" hidden="false" customHeight="false" outlineLevel="0" collapsed="false">
      <c r="A204" s="79" t="s">
        <v>222</v>
      </c>
      <c r="B204" s="79" t="s">
        <v>274</v>
      </c>
      <c r="C204" s="80" t="n">
        <v>2026</v>
      </c>
      <c r="D204" s="80" t="n">
        <v>1</v>
      </c>
      <c r="E204" s="81" t="n">
        <v>46112</v>
      </c>
      <c r="F204" s="79" t="s">
        <v>271</v>
      </c>
      <c r="G204" s="79" t="s">
        <v>272</v>
      </c>
      <c r="H204" s="79" t="s">
        <v>268</v>
      </c>
      <c r="I204" s="82" t="n">
        <v>149150.51</v>
      </c>
      <c r="J204" s="82" t="n">
        <v>69055.353</v>
      </c>
      <c r="K204" s="82" t="n">
        <v>24153980000</v>
      </c>
      <c r="L204" s="83" t="n">
        <v>15.17</v>
      </c>
      <c r="M204" s="82" t="n">
        <v>1603.9043</v>
      </c>
      <c r="N204" s="82" t="n">
        <v>7794085</v>
      </c>
      <c r="O204" s="82" t="n">
        <v>390280.147</v>
      </c>
      <c r="P204" s="83" t="n">
        <v>29</v>
      </c>
      <c r="Q204" s="83" t="n">
        <v>1490</v>
      </c>
      <c r="R204" s="47" t="n">
        <v>2</v>
      </c>
      <c r="S204" s="66" t="s">
        <v>499</v>
      </c>
    </row>
    <row r="205" customFormat="false" ht="15" hidden="false" customHeight="false" outlineLevel="0" collapsed="false">
      <c r="A205" s="79" t="s">
        <v>222</v>
      </c>
      <c r="B205" s="79" t="s">
        <v>276</v>
      </c>
      <c r="C205" s="80" t="n">
        <v>2025</v>
      </c>
      <c r="D205" s="80" t="n">
        <v>4</v>
      </c>
      <c r="E205" s="81" t="n">
        <v>46022</v>
      </c>
      <c r="F205" s="79" t="s">
        <v>271</v>
      </c>
      <c r="G205" s="79" t="s">
        <v>272</v>
      </c>
      <c r="H205" s="79" t="s">
        <v>268</v>
      </c>
      <c r="I205" s="82" t="n">
        <v>150188.01</v>
      </c>
      <c r="J205" s="82" t="n">
        <v>69280.908</v>
      </c>
      <c r="K205" s="82" t="n">
        <v>22925050000</v>
      </c>
      <c r="L205" s="83" t="n">
        <v>14.4</v>
      </c>
      <c r="M205" s="82" t="n">
        <v>1603.9122</v>
      </c>
      <c r="N205" s="82" t="n">
        <v>7794085</v>
      </c>
      <c r="O205" s="82" t="n">
        <v>400600.988</v>
      </c>
      <c r="P205" s="83" t="n">
        <v>0</v>
      </c>
      <c r="Q205" s="83" t="n">
        <v>1430</v>
      </c>
      <c r="R205" s="47" t="n">
        <v>3</v>
      </c>
      <c r="S205" s="66" t="s">
        <v>500</v>
      </c>
    </row>
    <row r="206" customFormat="false" ht="15" hidden="false" customHeight="false" outlineLevel="0" collapsed="false">
      <c r="A206" s="79" t="s">
        <v>222</v>
      </c>
      <c r="B206" s="79" t="s">
        <v>278</v>
      </c>
      <c r="C206" s="80" t="n">
        <v>2025</v>
      </c>
      <c r="D206" s="80" t="n">
        <v>3</v>
      </c>
      <c r="E206" s="81" t="n">
        <v>45930</v>
      </c>
      <c r="F206" s="79" t="s">
        <v>271</v>
      </c>
      <c r="G206" s="79" t="s">
        <v>272</v>
      </c>
      <c r="H206" s="79" t="s">
        <v>268</v>
      </c>
      <c r="I206" s="82" t="n">
        <v>142096.864</v>
      </c>
      <c r="J206" s="82" t="n">
        <v>66111.891</v>
      </c>
      <c r="K206" s="82" t="n">
        <v>25221028000</v>
      </c>
      <c r="L206" s="83" t="n">
        <v>15.84</v>
      </c>
      <c r="M206" s="82" t="n">
        <v>1603.9286</v>
      </c>
      <c r="N206" s="82" t="n">
        <v>7794085</v>
      </c>
      <c r="O206" s="82" t="n">
        <v>420132.553</v>
      </c>
      <c r="P206" s="83" t="n">
        <v>25.00021747</v>
      </c>
      <c r="Q206" s="83" t="n">
        <v>1315</v>
      </c>
      <c r="R206" s="47" t="n">
        <v>4</v>
      </c>
      <c r="S206" s="66" t="s">
        <v>501</v>
      </c>
    </row>
    <row r="207" customFormat="false" ht="15" hidden="false" customHeight="false" outlineLevel="0" collapsed="false">
      <c r="A207" s="79" t="s">
        <v>222</v>
      </c>
      <c r="B207" s="79" t="s">
        <v>280</v>
      </c>
      <c r="C207" s="80" t="n">
        <v>2025</v>
      </c>
      <c r="D207" s="80" t="n">
        <v>2</v>
      </c>
      <c r="E207" s="81" t="n">
        <v>45838</v>
      </c>
      <c r="F207" s="79" t="s">
        <v>271</v>
      </c>
      <c r="G207" s="79" t="s">
        <v>272</v>
      </c>
      <c r="H207" s="79" t="s">
        <v>268</v>
      </c>
      <c r="I207" s="82" t="n">
        <v>150368.571</v>
      </c>
      <c r="J207" s="82" t="n">
        <v>73877.65</v>
      </c>
      <c r="K207" s="82" t="n">
        <v>27848264000</v>
      </c>
      <c r="L207" s="83" t="n">
        <v>17.5</v>
      </c>
      <c r="M207" s="82" t="n">
        <v>1601.658</v>
      </c>
      <c r="N207" s="82" t="n">
        <v>7794085</v>
      </c>
      <c r="O207" s="82" t="n">
        <v>376391.299</v>
      </c>
      <c r="P207" s="83" t="n">
        <v>0</v>
      </c>
      <c r="Q207" s="83" t="n">
        <v>1250</v>
      </c>
      <c r="R207" s="47" t="n">
        <v>5</v>
      </c>
      <c r="S207" s="66" t="s">
        <v>502</v>
      </c>
    </row>
    <row r="208" customFormat="false" ht="15" hidden="false" customHeight="false" outlineLevel="0" collapsed="false">
      <c r="A208" s="79" t="s">
        <v>222</v>
      </c>
      <c r="B208" s="79" t="s">
        <v>282</v>
      </c>
      <c r="C208" s="80" t="n">
        <v>2025</v>
      </c>
      <c r="D208" s="80" t="n">
        <v>1</v>
      </c>
      <c r="E208" s="81" t="n">
        <v>45747</v>
      </c>
      <c r="F208" s="79" t="s">
        <v>271</v>
      </c>
      <c r="G208" s="79" t="s">
        <v>272</v>
      </c>
      <c r="H208" s="79" t="s">
        <v>268</v>
      </c>
      <c r="I208" s="82" t="n">
        <v>153312.237</v>
      </c>
      <c r="J208" s="82" t="n">
        <v>73809.492</v>
      </c>
      <c r="K208" s="82" t="n">
        <v>29324913000</v>
      </c>
      <c r="L208" s="83" t="n">
        <v>18.43</v>
      </c>
      <c r="M208" s="82" t="n">
        <v>1601.6624</v>
      </c>
      <c r="N208" s="82" t="n">
        <v>7794085</v>
      </c>
      <c r="O208" s="82" t="n">
        <v>387769.593</v>
      </c>
      <c r="P208" s="83" t="n">
        <v>29</v>
      </c>
      <c r="Q208" s="83" t="n">
        <v>1390</v>
      </c>
      <c r="R208" s="47" t="n">
        <v>6</v>
      </c>
      <c r="S208" s="66" t="s">
        <v>503</v>
      </c>
    </row>
    <row r="209" customFormat="false" ht="15" hidden="false" customHeight="false" outlineLevel="0" collapsed="false">
      <c r="A209" s="79" t="s">
        <v>222</v>
      </c>
      <c r="B209" s="79" t="s">
        <v>284</v>
      </c>
      <c r="C209" s="80" t="n">
        <v>2024</v>
      </c>
      <c r="D209" s="80" t="n">
        <v>4</v>
      </c>
      <c r="E209" s="81" t="n">
        <v>45657</v>
      </c>
      <c r="F209" s="79" t="s">
        <v>271</v>
      </c>
      <c r="G209" s="79" t="s">
        <v>272</v>
      </c>
      <c r="H209" s="79" t="s">
        <v>268</v>
      </c>
      <c r="I209" s="82" t="n">
        <v>138043.124</v>
      </c>
      <c r="J209" s="82" t="n">
        <v>67001.128</v>
      </c>
      <c r="K209" s="82" t="n">
        <v>23789123000</v>
      </c>
      <c r="L209" s="83" t="n">
        <v>14.94</v>
      </c>
      <c r="M209" s="82" t="n">
        <v>1601.688</v>
      </c>
      <c r="N209" s="82" t="n">
        <v>7794085</v>
      </c>
      <c r="O209" s="82" t="n">
        <v>396627.077</v>
      </c>
      <c r="P209" s="83" t="n">
        <v>0</v>
      </c>
      <c r="Q209" s="83" t="n">
        <v>1415</v>
      </c>
      <c r="R209" s="47" t="n">
        <v>7</v>
      </c>
      <c r="S209" s="66" t="s">
        <v>504</v>
      </c>
    </row>
    <row r="210" customFormat="false" ht="15" hidden="false" customHeight="false" outlineLevel="0" collapsed="false">
      <c r="A210" s="79" t="s">
        <v>222</v>
      </c>
      <c r="B210" s="79" t="s">
        <v>286</v>
      </c>
      <c r="C210" s="80" t="n">
        <v>2024</v>
      </c>
      <c r="D210" s="80" t="n">
        <v>3</v>
      </c>
      <c r="E210" s="81" t="n">
        <v>45565</v>
      </c>
      <c r="F210" s="79" t="s">
        <v>271</v>
      </c>
      <c r="G210" s="79" t="s">
        <v>272</v>
      </c>
      <c r="H210" s="79" t="s">
        <v>268</v>
      </c>
      <c r="I210" s="82" t="n">
        <v>131813.494</v>
      </c>
      <c r="J210" s="82" t="n">
        <v>64347.621</v>
      </c>
      <c r="K210" s="82" t="n">
        <v>25346282000</v>
      </c>
      <c r="L210" s="83" t="n">
        <v>15.94</v>
      </c>
      <c r="M210" s="82" t="n">
        <v>1601.6943</v>
      </c>
      <c r="N210" s="82" t="n">
        <v>7794085</v>
      </c>
      <c r="O210" s="82" t="n">
        <v>415151.895</v>
      </c>
      <c r="P210" s="83" t="n">
        <v>30.40530874</v>
      </c>
      <c r="Q210" s="83" t="n">
        <v>1175</v>
      </c>
      <c r="R210" s="47" t="n">
        <v>8</v>
      </c>
      <c r="S210" s="66" t="s">
        <v>505</v>
      </c>
    </row>
    <row r="211" customFormat="false" ht="15" hidden="false" customHeight="false" outlineLevel="0" collapsed="false">
      <c r="A211" s="79" t="s">
        <v>222</v>
      </c>
      <c r="B211" s="79" t="s">
        <v>288</v>
      </c>
      <c r="C211" s="80" t="n">
        <v>2024</v>
      </c>
      <c r="D211" s="80" t="n">
        <v>2</v>
      </c>
      <c r="E211" s="81" t="n">
        <v>45473</v>
      </c>
      <c r="F211" s="79" t="s">
        <v>271</v>
      </c>
      <c r="G211" s="79" t="s">
        <v>272</v>
      </c>
      <c r="H211" s="79" t="s">
        <v>268</v>
      </c>
      <c r="I211" s="82" t="n">
        <v>127271.121</v>
      </c>
      <c r="J211" s="82" t="n">
        <v>62136.422</v>
      </c>
      <c r="K211" s="82" t="n">
        <v>25715520000</v>
      </c>
      <c r="L211" s="83" t="n">
        <v>16.19</v>
      </c>
      <c r="M211" s="82" t="n">
        <v>1599.3441</v>
      </c>
      <c r="N211" s="82" t="n">
        <v>7794085</v>
      </c>
      <c r="O211" s="82" t="n">
        <v>384604.973</v>
      </c>
      <c r="P211" s="83" t="n">
        <v>0</v>
      </c>
      <c r="Q211" s="83" t="n">
        <v>1400</v>
      </c>
      <c r="R211" s="47" t="n">
        <v>9</v>
      </c>
      <c r="S211" s="66" t="s">
        <v>506</v>
      </c>
    </row>
    <row r="212" customFormat="false" ht="15" hidden="false" customHeight="false" outlineLevel="0" collapsed="false">
      <c r="A212" s="79" t="s">
        <v>222</v>
      </c>
      <c r="B212" s="79" t="s">
        <v>290</v>
      </c>
      <c r="C212" s="80" t="n">
        <v>2024</v>
      </c>
      <c r="D212" s="80" t="n">
        <v>1</v>
      </c>
      <c r="E212" s="81" t="n">
        <v>45382</v>
      </c>
      <c r="F212" s="79" t="s">
        <v>271</v>
      </c>
      <c r="G212" s="79" t="s">
        <v>272</v>
      </c>
      <c r="H212" s="79" t="s">
        <v>268</v>
      </c>
      <c r="I212" s="82" t="n">
        <v>133458.147</v>
      </c>
      <c r="J212" s="82" t="n">
        <v>69900.53</v>
      </c>
      <c r="K212" s="82" t="n">
        <v>31535653000</v>
      </c>
      <c r="L212" s="83" t="n">
        <v>19.85</v>
      </c>
      <c r="M212" s="82" t="n">
        <v>1599.6234</v>
      </c>
      <c r="N212" s="82" t="n">
        <v>7794085</v>
      </c>
      <c r="O212" s="82" t="n">
        <v>368929.013</v>
      </c>
      <c r="P212" s="83" t="n">
        <v>24.6</v>
      </c>
      <c r="Q212" s="83" t="n">
        <v>1195</v>
      </c>
      <c r="R212" s="47" t="n">
        <v>10</v>
      </c>
      <c r="S212" s="66" t="s">
        <v>507</v>
      </c>
    </row>
    <row r="213" customFormat="false" ht="15" hidden="false" customHeight="false" outlineLevel="0" collapsed="false">
      <c r="A213" s="79" t="s">
        <v>222</v>
      </c>
      <c r="B213" s="79" t="s">
        <v>292</v>
      </c>
      <c r="C213" s="80" t="n">
        <v>2023</v>
      </c>
      <c r="D213" s="80" t="n">
        <v>4</v>
      </c>
      <c r="E213" s="81" t="n">
        <v>45291</v>
      </c>
      <c r="F213" s="79" t="s">
        <v>271</v>
      </c>
      <c r="G213" s="79" t="s">
        <v>272</v>
      </c>
      <c r="H213" s="79" t="s">
        <v>268</v>
      </c>
      <c r="I213" s="82" t="n">
        <v>129562.005</v>
      </c>
      <c r="J213" s="82" t="n">
        <v>62616.388</v>
      </c>
      <c r="K213" s="82" t="n">
        <v>25662657000</v>
      </c>
      <c r="L213" s="83" t="n">
        <v>16.16</v>
      </c>
      <c r="M213" s="82" t="n">
        <v>1599.6475</v>
      </c>
      <c r="N213" s="82" t="n">
        <v>7794085</v>
      </c>
      <c r="O213" s="82" t="n">
        <v>368205.782</v>
      </c>
      <c r="P213" s="83" t="n">
        <v>0</v>
      </c>
      <c r="Q213" s="83" t="n">
        <v>1015</v>
      </c>
      <c r="R213" s="47" t="n">
        <v>11</v>
      </c>
      <c r="S213" s="66" t="s">
        <v>508</v>
      </c>
    </row>
    <row r="214" customFormat="false" ht="15" hidden="false" customHeight="false" outlineLevel="0" collapsed="false">
      <c r="A214" s="79" t="s">
        <v>222</v>
      </c>
      <c r="B214" s="79" t="s">
        <v>294</v>
      </c>
      <c r="C214" s="80" t="n">
        <v>2023</v>
      </c>
      <c r="D214" s="80" t="n">
        <v>3</v>
      </c>
      <c r="E214" s="81" t="n">
        <v>45199</v>
      </c>
      <c r="F214" s="79" t="s">
        <v>271</v>
      </c>
      <c r="G214" s="79" t="s">
        <v>272</v>
      </c>
      <c r="H214" s="79" t="s">
        <v>268</v>
      </c>
      <c r="I214" s="82" t="n">
        <v>110097.528</v>
      </c>
      <c r="J214" s="82" t="n">
        <v>52192.346</v>
      </c>
      <c r="K214" s="82" t="n">
        <v>18477639000</v>
      </c>
      <c r="L214" s="83" t="n">
        <v>11.64</v>
      </c>
      <c r="M214" s="82" t="n">
        <v>1599.5071</v>
      </c>
      <c r="N214" s="82" t="n">
        <v>7794085</v>
      </c>
      <c r="O214" s="82" t="n">
        <v>392262.645</v>
      </c>
      <c r="P214" s="83" t="n">
        <v>0</v>
      </c>
      <c r="Q214" s="83" t="n">
        <v>735</v>
      </c>
      <c r="R214" s="47" t="n">
        <v>12</v>
      </c>
      <c r="S214" s="66" t="s">
        <v>509</v>
      </c>
    </row>
    <row r="215" customFormat="false" ht="15" hidden="false" customHeight="false" outlineLevel="0" collapsed="false">
      <c r="A215" s="79" t="s">
        <v>222</v>
      </c>
      <c r="B215" s="79" t="s">
        <v>296</v>
      </c>
      <c r="C215" s="80" t="n">
        <v>2023</v>
      </c>
      <c r="D215" s="80" t="n">
        <v>2</v>
      </c>
      <c r="E215" s="81" t="n">
        <v>45107</v>
      </c>
      <c r="F215" s="79" t="s">
        <v>271</v>
      </c>
      <c r="G215" s="79" t="s">
        <v>272</v>
      </c>
      <c r="H215" s="79" t="s">
        <v>268</v>
      </c>
      <c r="I215" s="82" t="n">
        <v>98135.284</v>
      </c>
      <c r="J215" s="82" t="n">
        <v>46646.062</v>
      </c>
      <c r="K215" s="82" t="n">
        <v>15964792000</v>
      </c>
      <c r="L215" s="83" t="n">
        <v>10.07</v>
      </c>
      <c r="M215" s="82" t="n">
        <v>1599.645</v>
      </c>
      <c r="N215" s="82" t="n">
        <v>7794085</v>
      </c>
      <c r="O215" s="82" t="n">
        <v>363818.746</v>
      </c>
      <c r="P215" s="83" t="n">
        <v>76.00660606</v>
      </c>
      <c r="Q215" s="83" t="n">
        <v>688</v>
      </c>
      <c r="R215" s="47" t="n">
        <v>13</v>
      </c>
      <c r="S215" s="66" t="s">
        <v>510</v>
      </c>
    </row>
    <row r="216" customFormat="false" ht="15" hidden="false" customHeight="false" outlineLevel="0" collapsed="false">
      <c r="A216" s="79" t="s">
        <v>222</v>
      </c>
      <c r="B216" s="79" t="s">
        <v>298</v>
      </c>
      <c r="C216" s="80" t="n">
        <v>2023</v>
      </c>
      <c r="D216" s="80" t="n">
        <v>1</v>
      </c>
      <c r="E216" s="81" t="n">
        <v>45016</v>
      </c>
      <c r="F216" s="79" t="s">
        <v>271</v>
      </c>
      <c r="G216" s="79" t="s">
        <v>272</v>
      </c>
      <c r="H216" s="79" t="s">
        <v>268</v>
      </c>
      <c r="I216" s="82" t="n">
        <v>95651.513</v>
      </c>
      <c r="J216" s="82" t="n">
        <v>45912.242</v>
      </c>
      <c r="K216" s="82" t="n">
        <v>16873549000</v>
      </c>
      <c r="L216" s="83" t="n">
        <v>10.64</v>
      </c>
      <c r="M216" s="82" t="n">
        <v>1599.6292</v>
      </c>
      <c r="N216" s="82" t="n">
        <v>7794085</v>
      </c>
      <c r="O216" s="82" t="n">
        <v>336478.182</v>
      </c>
      <c r="P216" s="83" t="n">
        <v>0</v>
      </c>
      <c r="Q216" s="83" t="n">
        <v>787</v>
      </c>
      <c r="R216" s="47" t="n">
        <v>14</v>
      </c>
      <c r="S216" s="66" t="s">
        <v>511</v>
      </c>
    </row>
    <row r="217" customFormat="false" ht="15" hidden="false" customHeight="false" outlineLevel="0" collapsed="false">
      <c r="A217" s="79" t="s">
        <v>222</v>
      </c>
      <c r="B217" s="79" t="s">
        <v>300</v>
      </c>
      <c r="C217" s="80" t="n">
        <v>2022</v>
      </c>
      <c r="D217" s="80" t="n">
        <v>4</v>
      </c>
      <c r="E217" s="81" t="n">
        <v>44926</v>
      </c>
      <c r="F217" s="79" t="s">
        <v>271</v>
      </c>
      <c r="G217" s="79" t="s">
        <v>272</v>
      </c>
      <c r="H217" s="79" t="s">
        <v>268</v>
      </c>
      <c r="I217" s="82" t="n">
        <v>108194.084</v>
      </c>
      <c r="J217" s="82" t="n">
        <v>52261.366</v>
      </c>
      <c r="K217" s="82" t="n">
        <v>18488077000</v>
      </c>
      <c r="L217" s="83" t="n">
        <v>11.64</v>
      </c>
      <c r="M217" s="82" t="n">
        <v>1599.4353</v>
      </c>
      <c r="N217" s="82" t="n">
        <v>7794085</v>
      </c>
      <c r="O217" s="82" t="n">
        <v>440109.29</v>
      </c>
      <c r="P217" s="83" t="n">
        <v>0</v>
      </c>
      <c r="Q217" s="83" t="n">
        <v>625</v>
      </c>
      <c r="R217" s="47" t="n">
        <v>15</v>
      </c>
      <c r="S217" s="66" t="s">
        <v>512</v>
      </c>
    </row>
    <row r="218" customFormat="false" ht="15" hidden="false" customHeight="false" outlineLevel="0" collapsed="false">
      <c r="A218" s="79" t="s">
        <v>222</v>
      </c>
      <c r="B218" s="79" t="s">
        <v>302</v>
      </c>
      <c r="C218" s="80" t="n">
        <v>2022</v>
      </c>
      <c r="D218" s="80" t="n">
        <v>3</v>
      </c>
      <c r="E218" s="81" t="n">
        <v>44834</v>
      </c>
      <c r="F218" s="79" t="s">
        <v>271</v>
      </c>
      <c r="G218" s="79" t="s">
        <v>272</v>
      </c>
      <c r="H218" s="79" t="s">
        <v>268</v>
      </c>
      <c r="I218" s="82" t="n">
        <v>142161.276</v>
      </c>
      <c r="J218" s="82" t="n">
        <v>70095.409</v>
      </c>
      <c r="K218" s="82" t="n">
        <v>30954628000</v>
      </c>
      <c r="L218" s="83" t="n">
        <v>19.54</v>
      </c>
      <c r="M218" s="82" t="n">
        <v>1599.3096</v>
      </c>
      <c r="N218" s="82" t="n">
        <v>7794085</v>
      </c>
      <c r="O218" s="82" t="n">
        <v>425428.069</v>
      </c>
      <c r="P218" s="83" t="n">
        <v>0</v>
      </c>
      <c r="Q218" s="83" t="n">
        <v>551</v>
      </c>
      <c r="R218" s="47" t="n">
        <v>16</v>
      </c>
      <c r="S218" s="66" t="s">
        <v>513</v>
      </c>
    </row>
    <row r="219" customFormat="false" ht="15" hidden="false" customHeight="false" outlineLevel="0" collapsed="false">
      <c r="A219" s="79" t="s">
        <v>222</v>
      </c>
      <c r="B219" s="79" t="s">
        <v>304</v>
      </c>
      <c r="C219" s="80" t="n">
        <v>2022</v>
      </c>
      <c r="D219" s="80" t="n">
        <v>2</v>
      </c>
      <c r="E219" s="81" t="n">
        <v>44742</v>
      </c>
      <c r="F219" s="79" t="s">
        <v>271</v>
      </c>
      <c r="G219" s="79" t="s">
        <v>272</v>
      </c>
      <c r="H219" s="79" t="s">
        <v>268</v>
      </c>
      <c r="I219" s="82" t="n">
        <v>155729.821</v>
      </c>
      <c r="J219" s="82" t="n">
        <v>76764.285</v>
      </c>
      <c r="K219" s="82" t="n">
        <v>35437018000</v>
      </c>
      <c r="L219" s="83" t="n">
        <v>22.39</v>
      </c>
      <c r="M219" s="82" t="n">
        <v>1599.0852</v>
      </c>
      <c r="N219" s="82" t="n">
        <v>7794085</v>
      </c>
      <c r="O219" s="82" t="n">
        <v>390120.582</v>
      </c>
      <c r="P219" s="83" t="n">
        <v>73.0010604</v>
      </c>
      <c r="Q219" s="83" t="n">
        <v>651</v>
      </c>
      <c r="R219" s="47" t="n">
        <v>17</v>
      </c>
      <c r="S219" s="66" t="s">
        <v>514</v>
      </c>
    </row>
    <row r="220" customFormat="false" ht="15" hidden="false" customHeight="false" outlineLevel="0" collapsed="false">
      <c r="A220" s="79" t="s">
        <v>222</v>
      </c>
      <c r="B220" s="79" t="s">
        <v>306</v>
      </c>
      <c r="C220" s="80" t="n">
        <v>2022</v>
      </c>
      <c r="D220" s="80" t="n">
        <v>1</v>
      </c>
      <c r="E220" s="81" t="n">
        <v>44651</v>
      </c>
      <c r="F220" s="79" t="s">
        <v>271</v>
      </c>
      <c r="G220" s="79" t="s">
        <v>272</v>
      </c>
      <c r="H220" s="79" t="s">
        <v>268</v>
      </c>
      <c r="I220" s="82" t="n">
        <v>142710.849</v>
      </c>
      <c r="J220" s="82" t="n">
        <v>71783.375</v>
      </c>
      <c r="K220" s="82" t="n">
        <v>33261383000</v>
      </c>
      <c r="L220" s="83" t="n">
        <v>21.02</v>
      </c>
      <c r="M220" s="82" t="n">
        <v>1599.0298</v>
      </c>
      <c r="N220" s="82" t="n">
        <v>7794085</v>
      </c>
      <c r="O220" s="82" t="n">
        <v>454487.407</v>
      </c>
      <c r="P220" s="83" t="n">
        <v>0</v>
      </c>
      <c r="Q220" s="83" t="n">
        <v>905</v>
      </c>
      <c r="R220" s="47" t="n">
        <v>18</v>
      </c>
      <c r="S220" s="66" t="s">
        <v>515</v>
      </c>
    </row>
    <row r="221" customFormat="false" ht="15" hidden="false" customHeight="false" outlineLevel="0" collapsed="false">
      <c r="A221" s="79" t="s">
        <v>222</v>
      </c>
      <c r="B221" s="79" t="s">
        <v>308</v>
      </c>
      <c r="C221" s="80" t="n">
        <v>2021</v>
      </c>
      <c r="D221" s="80" t="n">
        <v>4</v>
      </c>
      <c r="E221" s="81" t="n">
        <v>44561</v>
      </c>
      <c r="F221" s="79" t="s">
        <v>271</v>
      </c>
      <c r="G221" s="79" t="s">
        <v>272</v>
      </c>
      <c r="H221" s="79" t="s">
        <v>268</v>
      </c>
      <c r="I221" s="82" t="n">
        <v>128653.877</v>
      </c>
      <c r="J221" s="82" t="n">
        <v>63829.667</v>
      </c>
      <c r="K221" s="82" t="n">
        <v>30050902000</v>
      </c>
      <c r="L221" s="83" t="n">
        <v>18.99</v>
      </c>
      <c r="M221" s="82" t="n">
        <v>1598.842</v>
      </c>
      <c r="N221" s="82" t="n">
        <v>7794085</v>
      </c>
      <c r="O221" s="82" t="n">
        <v>432015.296</v>
      </c>
      <c r="P221" s="83" t="n">
        <v>0</v>
      </c>
      <c r="Q221" s="83" t="n">
        <v>1190</v>
      </c>
      <c r="R221" s="47" t="n">
        <v>19</v>
      </c>
      <c r="S221" s="66" t="s">
        <v>516</v>
      </c>
    </row>
    <row r="222" customFormat="false" ht="15" hidden="false" customHeight="false" outlineLevel="0" collapsed="false">
      <c r="A222" s="79" t="s">
        <v>222</v>
      </c>
      <c r="B222" s="79" t="s">
        <v>310</v>
      </c>
      <c r="C222" s="80" t="n">
        <v>2021</v>
      </c>
      <c r="D222" s="80" t="n">
        <v>3</v>
      </c>
      <c r="E222" s="81" t="n">
        <v>44469</v>
      </c>
      <c r="F222" s="79" t="s">
        <v>271</v>
      </c>
      <c r="G222" s="79" t="s">
        <v>272</v>
      </c>
      <c r="H222" s="79" t="s">
        <v>268</v>
      </c>
      <c r="I222" s="82" t="n">
        <v>131074.32</v>
      </c>
      <c r="J222" s="82" t="n">
        <v>61216.107</v>
      </c>
      <c r="K222" s="82" t="n">
        <v>28287255000</v>
      </c>
      <c r="L222" s="83" t="n">
        <v>17.92</v>
      </c>
      <c r="M222" s="82" t="n">
        <v>1598.7603</v>
      </c>
      <c r="N222" s="82" t="n">
        <v>7794085</v>
      </c>
      <c r="O222" s="82" t="n">
        <v>397619.303</v>
      </c>
      <c r="P222" s="83" t="n">
        <v>37</v>
      </c>
      <c r="Q222" s="83" t="n">
        <v>905</v>
      </c>
      <c r="R222" s="47" t="n">
        <v>20</v>
      </c>
      <c r="S222" s="66" t="s">
        <v>517</v>
      </c>
    </row>
    <row r="223" customFormat="false" ht="15" hidden="false" customHeight="false" outlineLevel="0" collapsed="false">
      <c r="A223" s="79" t="s">
        <v>222</v>
      </c>
      <c r="B223" s="79" t="s">
        <v>312</v>
      </c>
      <c r="C223" s="80" t="n">
        <v>2021</v>
      </c>
      <c r="D223" s="80" t="n">
        <v>2</v>
      </c>
      <c r="E223" s="81" t="n">
        <v>44377</v>
      </c>
      <c r="F223" s="79" t="s">
        <v>271</v>
      </c>
      <c r="G223" s="79" t="s">
        <v>272</v>
      </c>
      <c r="H223" s="79" t="s">
        <v>268</v>
      </c>
      <c r="I223" s="82" t="n">
        <v>125653.403</v>
      </c>
      <c r="J223" s="82" t="n">
        <v>58038.437</v>
      </c>
      <c r="K223" s="82" t="n">
        <v>27510672000</v>
      </c>
      <c r="L223" s="83" t="n">
        <v>17.44</v>
      </c>
      <c r="M223" s="82" t="n">
        <v>1590.3358</v>
      </c>
      <c r="N223" s="82" t="n">
        <v>7794085</v>
      </c>
      <c r="O223" s="82" t="n">
        <v>386270.096</v>
      </c>
      <c r="P223" s="83" t="n">
        <v>0</v>
      </c>
      <c r="Q223" s="83" t="n">
        <v>962</v>
      </c>
      <c r="R223" s="47" t="n">
        <v>21</v>
      </c>
      <c r="S223" s="66" t="s">
        <v>518</v>
      </c>
    </row>
    <row r="224" customFormat="false" ht="15" hidden="false" customHeight="false" outlineLevel="0" collapsed="false">
      <c r="A224" s="79" t="s">
        <v>222</v>
      </c>
      <c r="B224" s="79" t="s">
        <v>314</v>
      </c>
      <c r="C224" s="80" t="n">
        <v>2021</v>
      </c>
      <c r="D224" s="80" t="n">
        <v>1</v>
      </c>
      <c r="E224" s="81" t="n">
        <v>44286</v>
      </c>
      <c r="F224" s="79" t="s">
        <v>271</v>
      </c>
      <c r="G224" s="79" t="s">
        <v>272</v>
      </c>
      <c r="H224" s="79" t="s">
        <v>268</v>
      </c>
      <c r="I224" s="82" t="n">
        <v>108032.982</v>
      </c>
      <c r="J224" s="82" t="n">
        <v>48520.384</v>
      </c>
      <c r="K224" s="82" t="n">
        <v>25572233000</v>
      </c>
      <c r="L224" s="83" t="n">
        <v>16.21</v>
      </c>
      <c r="M224" s="82" t="n">
        <v>1590.2506</v>
      </c>
      <c r="N224" s="82" t="n">
        <v>7794085</v>
      </c>
      <c r="O224" s="82" t="n">
        <v>411747.869</v>
      </c>
      <c r="P224" s="83" t="n">
        <v>0</v>
      </c>
      <c r="Q224" s="83" t="n">
        <v>969</v>
      </c>
      <c r="R224" s="47" t="n">
        <v>22</v>
      </c>
      <c r="S224" s="66" t="s">
        <v>519</v>
      </c>
    </row>
    <row r="225" customFormat="false" ht="15" hidden="false" customHeight="false" outlineLevel="0" collapsed="false">
      <c r="A225" s="79" t="s">
        <v>222</v>
      </c>
      <c r="B225" s="79" t="s">
        <v>316</v>
      </c>
      <c r="C225" s="80" t="n">
        <v>2020</v>
      </c>
      <c r="D225" s="80" t="n">
        <v>4</v>
      </c>
      <c r="E225" s="81" t="n">
        <v>44196</v>
      </c>
      <c r="F225" s="79" t="s">
        <v>271</v>
      </c>
      <c r="G225" s="79" t="s">
        <v>272</v>
      </c>
      <c r="H225" s="79" t="s">
        <v>268</v>
      </c>
      <c r="I225" s="82" t="n">
        <v>96405.226</v>
      </c>
      <c r="J225" s="82" t="n">
        <v>42863.458</v>
      </c>
      <c r="K225" s="82" t="n">
        <v>14746407000</v>
      </c>
      <c r="L225" s="83" t="n">
        <v>9.36</v>
      </c>
      <c r="M225" s="82" t="n">
        <v>1590.0622</v>
      </c>
      <c r="N225" s="82" t="n">
        <v>7794085</v>
      </c>
      <c r="O225" s="82" t="n">
        <v>371833.821</v>
      </c>
      <c r="P225" s="83" t="n">
        <v>0</v>
      </c>
      <c r="Q225" s="83" t="n">
        <v>747</v>
      </c>
      <c r="R225" s="47" t="n">
        <v>23</v>
      </c>
      <c r="S225" s="66" t="s">
        <v>520</v>
      </c>
    </row>
    <row r="226" customFormat="false" ht="15" hidden="false" customHeight="false" outlineLevel="0" collapsed="false">
      <c r="A226" s="79" t="s">
        <v>222</v>
      </c>
      <c r="B226" s="79" t="s">
        <v>318</v>
      </c>
      <c r="C226" s="80" t="n">
        <v>2020</v>
      </c>
      <c r="D226" s="80" t="n">
        <v>3</v>
      </c>
      <c r="E226" s="81" t="n">
        <v>44104</v>
      </c>
      <c r="F226" s="79" t="s">
        <v>271</v>
      </c>
      <c r="G226" s="79" t="s">
        <v>272</v>
      </c>
      <c r="H226" s="79" t="s">
        <v>268</v>
      </c>
      <c r="I226" s="82" t="n">
        <v>97274.734</v>
      </c>
      <c r="J226" s="82" t="n">
        <v>43028.418</v>
      </c>
      <c r="K226" s="82" t="n">
        <v>13251148000</v>
      </c>
      <c r="L226" s="83" t="n">
        <v>8.42</v>
      </c>
      <c r="M226" s="82" t="n">
        <v>1588.7666</v>
      </c>
      <c r="N226" s="82" t="n">
        <v>7924085</v>
      </c>
      <c r="O226" s="82" t="n">
        <v>338321.833</v>
      </c>
      <c r="P226" s="83"/>
      <c r="Q226" s="83" t="n">
        <v>607</v>
      </c>
      <c r="R226" s="47" t="n">
        <v>24</v>
      </c>
      <c r="S226" s="66" t="s">
        <v>521</v>
      </c>
    </row>
    <row r="227" customFormat="false" ht="15" hidden="false" customHeight="false" outlineLevel="0" collapsed="false">
      <c r="A227" s="79" t="s">
        <v>190</v>
      </c>
      <c r="B227" s="79" t="s">
        <v>265</v>
      </c>
      <c r="C227" s="80" t="n">
        <v>2026</v>
      </c>
      <c r="D227" s="80" t="n">
        <v>3</v>
      </c>
      <c r="E227" s="81" t="n">
        <v>46295</v>
      </c>
      <c r="F227" s="79" t="s">
        <v>266</v>
      </c>
      <c r="G227" s="79" t="s">
        <v>267</v>
      </c>
      <c r="H227" s="79" t="s">
        <v>268</v>
      </c>
      <c r="I227" s="82"/>
      <c r="J227" s="82"/>
      <c r="K227" s="82"/>
      <c r="L227" s="83" t="n">
        <v>1.43429</v>
      </c>
      <c r="M227" s="82"/>
      <c r="N227" s="82"/>
      <c r="O227" s="82"/>
      <c r="P227" s="83"/>
      <c r="Q227" s="83"/>
      <c r="R227" s="47" t="n">
        <v>0</v>
      </c>
      <c r="S227" s="66" t="s">
        <v>522</v>
      </c>
    </row>
    <row r="228" customFormat="false" ht="15" hidden="false" customHeight="false" outlineLevel="0" collapsed="false">
      <c r="A228" s="79" t="s">
        <v>190</v>
      </c>
      <c r="B228" s="79" t="s">
        <v>270</v>
      </c>
      <c r="C228" s="80" t="n">
        <v>2026</v>
      </c>
      <c r="D228" s="80" t="n">
        <v>2</v>
      </c>
      <c r="E228" s="81" t="n">
        <v>46203</v>
      </c>
      <c r="F228" s="79" t="s">
        <v>271</v>
      </c>
      <c r="G228" s="79" t="s">
        <v>272</v>
      </c>
      <c r="H228" s="79" t="s">
        <v>268</v>
      </c>
      <c r="I228" s="82" t="n">
        <v>965.373</v>
      </c>
      <c r="J228" s="82" t="n">
        <v>372.706</v>
      </c>
      <c r="K228" s="82" t="n">
        <v>213588000</v>
      </c>
      <c r="L228" s="83" t="n">
        <v>1.15</v>
      </c>
      <c r="M228" s="82" t="n">
        <v>184.9059</v>
      </c>
      <c r="N228" s="82" t="n">
        <v>0</v>
      </c>
      <c r="O228" s="82" t="n">
        <v>3693.109</v>
      </c>
      <c r="P228" s="83" t="n">
        <v>2.62055653</v>
      </c>
      <c r="Q228" s="83" t="n">
        <v>347</v>
      </c>
      <c r="R228" s="47" t="n">
        <v>1</v>
      </c>
      <c r="S228" s="66" t="s">
        <v>523</v>
      </c>
    </row>
    <row r="229" customFormat="false" ht="15" hidden="false" customHeight="false" outlineLevel="0" collapsed="false">
      <c r="A229" s="79" t="s">
        <v>190</v>
      </c>
      <c r="B229" s="79" t="s">
        <v>274</v>
      </c>
      <c r="C229" s="80" t="n">
        <v>2026</v>
      </c>
      <c r="D229" s="80" t="n">
        <v>1</v>
      </c>
      <c r="E229" s="81" t="n">
        <v>46112</v>
      </c>
      <c r="F229" s="79" t="s">
        <v>271</v>
      </c>
      <c r="G229" s="79" t="s">
        <v>272</v>
      </c>
      <c r="H229" s="79" t="s">
        <v>268</v>
      </c>
      <c r="I229" s="82" t="n">
        <v>959.31</v>
      </c>
      <c r="J229" s="82" t="n">
        <v>365.431</v>
      </c>
      <c r="K229" s="82" t="n">
        <v>195085000</v>
      </c>
      <c r="L229" s="83" t="n">
        <v>1.06</v>
      </c>
      <c r="M229" s="82" t="n">
        <v>184.9059</v>
      </c>
      <c r="N229" s="82" t="n">
        <v>0</v>
      </c>
      <c r="O229" s="82" t="n">
        <v>3667.225</v>
      </c>
      <c r="P229" s="83" t="n">
        <v>0</v>
      </c>
      <c r="Q229" s="83" t="n">
        <v>246.5</v>
      </c>
      <c r="R229" s="47" t="n">
        <v>2</v>
      </c>
      <c r="S229" s="66" t="s">
        <v>524</v>
      </c>
    </row>
    <row r="230" customFormat="false" ht="15" hidden="false" customHeight="false" outlineLevel="0" collapsed="false">
      <c r="A230" s="79" t="s">
        <v>190</v>
      </c>
      <c r="B230" s="79" t="s">
        <v>276</v>
      </c>
      <c r="C230" s="80" t="n">
        <v>2025</v>
      </c>
      <c r="D230" s="80" t="n">
        <v>4</v>
      </c>
      <c r="E230" s="81" t="n">
        <v>46022</v>
      </c>
      <c r="F230" s="79" t="s">
        <v>271</v>
      </c>
      <c r="G230" s="79" t="s">
        <v>272</v>
      </c>
      <c r="H230" s="79" t="s">
        <v>268</v>
      </c>
      <c r="I230" s="82" t="n">
        <v>959.589</v>
      </c>
      <c r="J230" s="82" t="n">
        <v>357.593</v>
      </c>
      <c r="K230" s="82" t="n">
        <v>193882000</v>
      </c>
      <c r="L230" s="83" t="n">
        <v>1.05</v>
      </c>
      <c r="M230" s="82" t="n">
        <v>184.9059</v>
      </c>
      <c r="N230" s="82" t="n">
        <v>0</v>
      </c>
      <c r="O230" s="82" t="n">
        <v>3294.696</v>
      </c>
      <c r="P230" s="83" t="n">
        <v>0</v>
      </c>
      <c r="Q230" s="83" t="n">
        <v>151.5</v>
      </c>
      <c r="R230" s="47" t="n">
        <v>3</v>
      </c>
      <c r="S230" s="66" t="s">
        <v>525</v>
      </c>
    </row>
    <row r="231" customFormat="false" ht="15" hidden="false" customHeight="false" outlineLevel="0" collapsed="false">
      <c r="A231" s="79" t="s">
        <v>190</v>
      </c>
      <c r="B231" s="79" t="s">
        <v>278</v>
      </c>
      <c r="C231" s="80" t="n">
        <v>2025</v>
      </c>
      <c r="D231" s="80" t="n">
        <v>3</v>
      </c>
      <c r="E231" s="81" t="n">
        <v>45930</v>
      </c>
      <c r="F231" s="79" t="s">
        <v>271</v>
      </c>
      <c r="G231" s="79" t="s">
        <v>272</v>
      </c>
      <c r="H231" s="79" t="s">
        <v>268</v>
      </c>
      <c r="I231" s="82" t="n">
        <v>912.804</v>
      </c>
      <c r="J231" s="82" t="n">
        <v>299.917</v>
      </c>
      <c r="K231" s="82" t="n">
        <v>160464000</v>
      </c>
      <c r="L231" s="83" t="n">
        <v>0.86</v>
      </c>
      <c r="M231" s="82" t="n">
        <v>184.9059</v>
      </c>
      <c r="N231" s="82" t="n">
        <v>0</v>
      </c>
      <c r="O231" s="82" t="n">
        <v>3104.723</v>
      </c>
      <c r="P231" s="83" t="n">
        <v>0</v>
      </c>
      <c r="Q231" s="83" t="n">
        <v>161</v>
      </c>
      <c r="R231" s="47" t="n">
        <v>4</v>
      </c>
      <c r="S231" s="66" t="s">
        <v>526</v>
      </c>
    </row>
    <row r="232" customFormat="false" ht="15" hidden="false" customHeight="false" outlineLevel="0" collapsed="false">
      <c r="A232" s="79" t="s">
        <v>190</v>
      </c>
      <c r="B232" s="79" t="s">
        <v>280</v>
      </c>
      <c r="C232" s="80" t="n">
        <v>2025</v>
      </c>
      <c r="D232" s="80" t="n">
        <v>2</v>
      </c>
      <c r="E232" s="81" t="n">
        <v>45838</v>
      </c>
      <c r="F232" s="79" t="s">
        <v>271</v>
      </c>
      <c r="G232" s="79" t="s">
        <v>272</v>
      </c>
      <c r="H232" s="79" t="s">
        <v>268</v>
      </c>
      <c r="I232" s="82" t="n">
        <v>714.087</v>
      </c>
      <c r="J232" s="82" t="n">
        <v>245.545</v>
      </c>
      <c r="K232" s="82" t="n">
        <v>36309000</v>
      </c>
      <c r="L232" s="83" t="n">
        <v>0.2</v>
      </c>
      <c r="M232" s="82" t="n">
        <v>184.9059</v>
      </c>
      <c r="N232" s="82" t="n">
        <v>1012000</v>
      </c>
      <c r="O232" s="82" t="n">
        <v>2832.433</v>
      </c>
      <c r="P232" s="83" t="n">
        <v>3.21761015</v>
      </c>
      <c r="Q232" s="83" t="n">
        <v>125</v>
      </c>
      <c r="R232" s="47" t="n">
        <v>5</v>
      </c>
      <c r="S232" s="66" t="s">
        <v>527</v>
      </c>
    </row>
    <row r="233" customFormat="false" ht="15" hidden="false" customHeight="false" outlineLevel="0" collapsed="false">
      <c r="A233" s="79" t="s">
        <v>190</v>
      </c>
      <c r="B233" s="79" t="s">
        <v>282</v>
      </c>
      <c r="C233" s="80" t="n">
        <v>2025</v>
      </c>
      <c r="D233" s="80" t="n">
        <v>1</v>
      </c>
      <c r="E233" s="81" t="n">
        <v>45747</v>
      </c>
      <c r="F233" s="79" t="s">
        <v>271</v>
      </c>
      <c r="G233" s="79" t="s">
        <v>272</v>
      </c>
      <c r="H233" s="79" t="s">
        <v>268</v>
      </c>
      <c r="I233" s="82" t="n">
        <v>793.663</v>
      </c>
      <c r="J233" s="82" t="n">
        <v>316.671</v>
      </c>
      <c r="K233" s="82" t="n">
        <v>157287000</v>
      </c>
      <c r="L233" s="83" t="n">
        <v>0.85</v>
      </c>
      <c r="M233" s="82" t="n">
        <v>184.9059</v>
      </c>
      <c r="N233" s="82" t="n">
        <v>0</v>
      </c>
      <c r="O233" s="82" t="n">
        <v>3486.629</v>
      </c>
      <c r="P233" s="83" t="n">
        <v>0</v>
      </c>
      <c r="Q233" s="83" t="n">
        <v>113.5</v>
      </c>
      <c r="R233" s="47" t="n">
        <v>6</v>
      </c>
      <c r="S233" s="66" t="s">
        <v>528</v>
      </c>
    </row>
    <row r="234" customFormat="false" ht="15" hidden="false" customHeight="false" outlineLevel="0" collapsed="false">
      <c r="A234" s="79" t="s">
        <v>190</v>
      </c>
      <c r="B234" s="79" t="s">
        <v>284</v>
      </c>
      <c r="C234" s="80" t="n">
        <v>2024</v>
      </c>
      <c r="D234" s="80" t="n">
        <v>4</v>
      </c>
      <c r="E234" s="81" t="n">
        <v>45657</v>
      </c>
      <c r="F234" s="79" t="s">
        <v>271</v>
      </c>
      <c r="G234" s="79" t="s">
        <v>272</v>
      </c>
      <c r="H234" s="79" t="s">
        <v>268</v>
      </c>
      <c r="I234" s="82" t="n">
        <v>722.474</v>
      </c>
      <c r="J234" s="82" t="n">
        <v>260.149</v>
      </c>
      <c r="K234" s="82" t="n">
        <v>132861000</v>
      </c>
      <c r="L234" s="83" t="n">
        <v>0.72</v>
      </c>
      <c r="M234" s="82" t="n">
        <v>184.9059</v>
      </c>
      <c r="N234" s="82" t="n">
        <v>0</v>
      </c>
      <c r="O234" s="82" t="n">
        <v>3329.342</v>
      </c>
      <c r="P234" s="83" t="n">
        <v>0</v>
      </c>
      <c r="Q234" s="83" t="n">
        <v>166.5</v>
      </c>
      <c r="R234" s="47" t="n">
        <v>7</v>
      </c>
      <c r="S234" s="66" t="s">
        <v>529</v>
      </c>
    </row>
    <row r="235" customFormat="false" ht="15" hidden="false" customHeight="false" outlineLevel="0" collapsed="false">
      <c r="A235" s="79" t="s">
        <v>190</v>
      </c>
      <c r="B235" s="79" t="s">
        <v>286</v>
      </c>
      <c r="C235" s="80" t="n">
        <v>2024</v>
      </c>
      <c r="D235" s="80" t="n">
        <v>3</v>
      </c>
      <c r="E235" s="81" t="n">
        <v>45565</v>
      </c>
      <c r="F235" s="79" t="s">
        <v>271</v>
      </c>
      <c r="G235" s="79" t="s">
        <v>272</v>
      </c>
      <c r="H235" s="79" t="s">
        <v>268</v>
      </c>
      <c r="I235" s="82" t="n">
        <v>805.747</v>
      </c>
      <c r="J235" s="82" t="n">
        <v>330.538</v>
      </c>
      <c r="K235" s="82" t="n">
        <v>144407000</v>
      </c>
      <c r="L235" s="83" t="n">
        <v>0.78</v>
      </c>
      <c r="M235" s="82" t="n">
        <v>184.9059</v>
      </c>
      <c r="N235" s="82" t="n">
        <v>0</v>
      </c>
      <c r="O235" s="82" t="n">
        <v>3200.742</v>
      </c>
      <c r="P235" s="83" t="n">
        <v>0</v>
      </c>
      <c r="Q235" s="83" t="n">
        <v>166</v>
      </c>
      <c r="R235" s="47" t="n">
        <v>8</v>
      </c>
      <c r="S235" s="66" t="s">
        <v>530</v>
      </c>
    </row>
    <row r="236" customFormat="false" ht="15" hidden="false" customHeight="false" outlineLevel="0" collapsed="false">
      <c r="A236" s="79" t="s">
        <v>190</v>
      </c>
      <c r="B236" s="79" t="s">
        <v>288</v>
      </c>
      <c r="C236" s="80" t="n">
        <v>2024</v>
      </c>
      <c r="D236" s="80" t="n">
        <v>2</v>
      </c>
      <c r="E236" s="81" t="n">
        <v>45473</v>
      </c>
      <c r="F236" s="79" t="s">
        <v>271</v>
      </c>
      <c r="G236" s="79" t="s">
        <v>272</v>
      </c>
      <c r="H236" s="79" t="s">
        <v>268</v>
      </c>
      <c r="I236" s="82" t="n">
        <v>875.601</v>
      </c>
      <c r="J236" s="82" t="n">
        <v>346.96</v>
      </c>
      <c r="K236" s="82" t="n">
        <v>200826000</v>
      </c>
      <c r="L236" s="83" t="n">
        <v>1.09</v>
      </c>
      <c r="M236" s="82" t="n">
        <v>184.9059</v>
      </c>
      <c r="N236" s="82" t="n">
        <v>0</v>
      </c>
      <c r="O236" s="82" t="n">
        <v>3056.335</v>
      </c>
      <c r="P236" s="83" t="n">
        <v>2.2</v>
      </c>
      <c r="Q236" s="83" t="n">
        <v>165</v>
      </c>
      <c r="R236" s="47" t="n">
        <v>9</v>
      </c>
      <c r="S236" s="66" t="s">
        <v>531</v>
      </c>
    </row>
    <row r="237" customFormat="false" ht="15" hidden="false" customHeight="false" outlineLevel="0" collapsed="false">
      <c r="A237" s="79" t="s">
        <v>190</v>
      </c>
      <c r="B237" s="79" t="s">
        <v>290</v>
      </c>
      <c r="C237" s="80" t="n">
        <v>2024</v>
      </c>
      <c r="D237" s="80" t="n">
        <v>1</v>
      </c>
      <c r="E237" s="81" t="n">
        <v>45382</v>
      </c>
      <c r="F237" s="79" t="s">
        <v>271</v>
      </c>
      <c r="G237" s="79" t="s">
        <v>272</v>
      </c>
      <c r="H237" s="79" t="s">
        <v>268</v>
      </c>
      <c r="I237" s="82" t="n">
        <v>837.395</v>
      </c>
      <c r="J237" s="82" t="n">
        <v>341.317</v>
      </c>
      <c r="K237" s="82" t="n">
        <v>192961000</v>
      </c>
      <c r="L237" s="83" t="n">
        <v>1.04</v>
      </c>
      <c r="M237" s="82" t="n">
        <v>184.9059</v>
      </c>
      <c r="N237" s="82" t="n">
        <v>0</v>
      </c>
      <c r="O237" s="82" t="n">
        <v>3262.302</v>
      </c>
      <c r="P237" s="83" t="n">
        <v>0</v>
      </c>
      <c r="Q237" s="83" t="n">
        <v>169.5</v>
      </c>
      <c r="R237" s="47" t="n">
        <v>10</v>
      </c>
      <c r="S237" s="66" t="s">
        <v>532</v>
      </c>
    </row>
    <row r="238" customFormat="false" ht="15" hidden="false" customHeight="false" outlineLevel="0" collapsed="false">
      <c r="A238" s="79" t="s">
        <v>190</v>
      </c>
      <c r="B238" s="79" t="s">
        <v>292</v>
      </c>
      <c r="C238" s="80" t="n">
        <v>2023</v>
      </c>
      <c r="D238" s="80" t="n">
        <v>4</v>
      </c>
      <c r="E238" s="81" t="n">
        <v>45291</v>
      </c>
      <c r="F238" s="79" t="s">
        <v>271</v>
      </c>
      <c r="G238" s="79" t="s">
        <v>272</v>
      </c>
      <c r="H238" s="79" t="s">
        <v>268</v>
      </c>
      <c r="I238" s="82" t="n">
        <v>936.937</v>
      </c>
      <c r="J238" s="82" t="n">
        <v>411.959</v>
      </c>
      <c r="K238" s="82" t="n">
        <v>188378000</v>
      </c>
      <c r="L238" s="83" t="n">
        <v>1.01</v>
      </c>
      <c r="M238" s="82" t="n">
        <v>184.9059</v>
      </c>
      <c r="N238" s="82" t="n">
        <v>0</v>
      </c>
      <c r="O238" s="82" t="n">
        <v>3069.341</v>
      </c>
      <c r="P238" s="83" t="n">
        <v>0</v>
      </c>
      <c r="Q238" s="83" t="n">
        <v>160.5</v>
      </c>
      <c r="R238" s="47" t="n">
        <v>11</v>
      </c>
      <c r="S238" s="66" t="s">
        <v>533</v>
      </c>
    </row>
    <row r="239" customFormat="false" ht="15" hidden="false" customHeight="false" outlineLevel="0" collapsed="false">
      <c r="A239" s="79" t="s">
        <v>190</v>
      </c>
      <c r="B239" s="79" t="s">
        <v>294</v>
      </c>
      <c r="C239" s="80" t="n">
        <v>2023</v>
      </c>
      <c r="D239" s="80" t="n">
        <v>3</v>
      </c>
      <c r="E239" s="81" t="n">
        <v>45199</v>
      </c>
      <c r="F239" s="79" t="s">
        <v>271</v>
      </c>
      <c r="G239" s="79" t="s">
        <v>272</v>
      </c>
      <c r="H239" s="79" t="s">
        <v>268</v>
      </c>
      <c r="I239" s="82" t="n">
        <v>768.427</v>
      </c>
      <c r="J239" s="82" t="n">
        <v>307.139</v>
      </c>
      <c r="K239" s="82" t="n">
        <v>143945000</v>
      </c>
      <c r="L239" s="83" t="n">
        <v>0.78</v>
      </c>
      <c r="M239" s="82" t="n">
        <v>184.9059</v>
      </c>
      <c r="N239" s="82" t="n">
        <v>0</v>
      </c>
      <c r="O239" s="82" t="n">
        <v>2919.16</v>
      </c>
      <c r="P239" s="83" t="n">
        <v>0</v>
      </c>
      <c r="Q239" s="83" t="n">
        <v>148</v>
      </c>
      <c r="R239" s="47" t="n">
        <v>12</v>
      </c>
      <c r="S239" s="66" t="s">
        <v>534</v>
      </c>
    </row>
    <row r="240" customFormat="false" ht="15" hidden="false" customHeight="false" outlineLevel="0" collapsed="false">
      <c r="A240" s="79" t="s">
        <v>190</v>
      </c>
      <c r="B240" s="79" t="s">
        <v>296</v>
      </c>
      <c r="C240" s="80" t="n">
        <v>2023</v>
      </c>
      <c r="D240" s="80" t="n">
        <v>2</v>
      </c>
      <c r="E240" s="81" t="n">
        <v>45107</v>
      </c>
      <c r="F240" s="79" t="s">
        <v>271</v>
      </c>
      <c r="G240" s="79" t="s">
        <v>272</v>
      </c>
      <c r="H240" s="79" t="s">
        <v>268</v>
      </c>
      <c r="I240" s="82" t="n">
        <v>594.323</v>
      </c>
      <c r="J240" s="82" t="n">
        <v>235.781</v>
      </c>
      <c r="K240" s="82" t="n">
        <v>106159000</v>
      </c>
      <c r="L240" s="83" t="n">
        <v>0.57</v>
      </c>
      <c r="M240" s="82" t="n">
        <v>184.9059</v>
      </c>
      <c r="N240" s="82" t="n">
        <v>0</v>
      </c>
      <c r="O240" s="82" t="n">
        <v>2775.215</v>
      </c>
      <c r="P240" s="83" t="n">
        <v>2.3</v>
      </c>
      <c r="Q240" s="83" t="n">
        <v>116.5</v>
      </c>
      <c r="R240" s="47" t="n">
        <v>13</v>
      </c>
      <c r="S240" s="66" t="s">
        <v>535</v>
      </c>
    </row>
    <row r="241" customFormat="false" ht="15" hidden="false" customHeight="false" outlineLevel="0" collapsed="false">
      <c r="A241" s="79" t="s">
        <v>190</v>
      </c>
      <c r="B241" s="79" t="s">
        <v>298</v>
      </c>
      <c r="C241" s="80" t="n">
        <v>2023</v>
      </c>
      <c r="D241" s="80" t="n">
        <v>1</v>
      </c>
      <c r="E241" s="81" t="n">
        <v>45016</v>
      </c>
      <c r="F241" s="79" t="s">
        <v>271</v>
      </c>
      <c r="G241" s="79" t="s">
        <v>272</v>
      </c>
      <c r="H241" s="79" t="s">
        <v>268</v>
      </c>
      <c r="I241" s="82" t="n">
        <v>394.417</v>
      </c>
      <c r="J241" s="82" t="n">
        <v>154.035</v>
      </c>
      <c r="K241" s="82" t="n">
        <v>11750000</v>
      </c>
      <c r="L241" s="83" t="n">
        <v>0.06</v>
      </c>
      <c r="M241" s="82" t="n">
        <v>184.9059</v>
      </c>
      <c r="N241" s="82" t="n">
        <v>0</v>
      </c>
      <c r="O241" s="82" t="n">
        <v>3094.34</v>
      </c>
      <c r="P241" s="83" t="n">
        <v>0</v>
      </c>
      <c r="Q241" s="83" t="n">
        <v>92.3</v>
      </c>
      <c r="R241" s="47" t="n">
        <v>14</v>
      </c>
      <c r="S241" s="66" t="s">
        <v>536</v>
      </c>
    </row>
    <row r="242" customFormat="false" ht="15" hidden="false" customHeight="false" outlineLevel="0" collapsed="false">
      <c r="A242" s="79" t="s">
        <v>190</v>
      </c>
      <c r="B242" s="79" t="s">
        <v>300</v>
      </c>
      <c r="C242" s="80" t="n">
        <v>2022</v>
      </c>
      <c r="D242" s="80" t="n">
        <v>4</v>
      </c>
      <c r="E242" s="81" t="n">
        <v>44926</v>
      </c>
      <c r="F242" s="79" t="s">
        <v>271</v>
      </c>
      <c r="G242" s="79" t="s">
        <v>272</v>
      </c>
      <c r="H242" s="79" t="s">
        <v>268</v>
      </c>
      <c r="I242" s="82" t="n">
        <v>506.067</v>
      </c>
      <c r="J242" s="82" t="n">
        <v>201.013</v>
      </c>
      <c r="K242" s="82" t="n">
        <v>37033000</v>
      </c>
      <c r="L242" s="83" t="n">
        <v>0.2</v>
      </c>
      <c r="M242" s="82" t="n">
        <v>184.9059</v>
      </c>
      <c r="N242" s="82" t="n">
        <v>0</v>
      </c>
      <c r="O242" s="82" t="n">
        <v>3082.59</v>
      </c>
      <c r="P242" s="83" t="n">
        <v>0</v>
      </c>
      <c r="Q242" s="83" t="n">
        <v>69</v>
      </c>
      <c r="R242" s="47" t="n">
        <v>15</v>
      </c>
      <c r="S242" s="66" t="s">
        <v>537</v>
      </c>
    </row>
    <row r="243" customFormat="false" ht="15" hidden="false" customHeight="false" outlineLevel="0" collapsed="false">
      <c r="A243" s="79" t="s">
        <v>190</v>
      </c>
      <c r="B243" s="79" t="s">
        <v>302</v>
      </c>
      <c r="C243" s="80" t="n">
        <v>2022</v>
      </c>
      <c r="D243" s="80" t="n">
        <v>3</v>
      </c>
      <c r="E243" s="81" t="n">
        <v>44834</v>
      </c>
      <c r="F243" s="79" t="s">
        <v>271</v>
      </c>
      <c r="G243" s="79" t="s">
        <v>272</v>
      </c>
      <c r="H243" s="79" t="s">
        <v>268</v>
      </c>
      <c r="I243" s="82" t="n">
        <v>522.089</v>
      </c>
      <c r="J243" s="82" t="n">
        <v>221.557</v>
      </c>
      <c r="K243" s="82" t="n">
        <v>105773000</v>
      </c>
      <c r="L243" s="83" t="n">
        <v>0.57</v>
      </c>
      <c r="M243" s="82" t="n">
        <v>184.9059</v>
      </c>
      <c r="N243" s="82" t="n">
        <v>0</v>
      </c>
      <c r="O243" s="82" t="n">
        <v>3045.985</v>
      </c>
      <c r="P243" s="83" t="n">
        <v>0</v>
      </c>
      <c r="Q243" s="83" t="n">
        <v>56.6</v>
      </c>
      <c r="R243" s="47" t="n">
        <v>16</v>
      </c>
      <c r="S243" s="66" t="s">
        <v>538</v>
      </c>
    </row>
    <row r="244" customFormat="false" ht="15" hidden="false" customHeight="false" outlineLevel="0" collapsed="false">
      <c r="A244" s="79" t="s">
        <v>190</v>
      </c>
      <c r="B244" s="79" t="s">
        <v>304</v>
      </c>
      <c r="C244" s="80" t="n">
        <v>2022</v>
      </c>
      <c r="D244" s="80" t="n">
        <v>2</v>
      </c>
      <c r="E244" s="81" t="n">
        <v>44742</v>
      </c>
      <c r="F244" s="79" t="s">
        <v>271</v>
      </c>
      <c r="G244" s="79" t="s">
        <v>272</v>
      </c>
      <c r="H244" s="79" t="s">
        <v>268</v>
      </c>
      <c r="I244" s="82" t="n">
        <v>736.276</v>
      </c>
      <c r="J244" s="82" t="n">
        <v>303.299</v>
      </c>
      <c r="K244" s="82" t="n">
        <v>184441000</v>
      </c>
      <c r="L244" s="83" t="n">
        <v>1</v>
      </c>
      <c r="M244" s="82" t="n">
        <v>184.9059</v>
      </c>
      <c r="N244" s="82" t="n">
        <v>0</v>
      </c>
      <c r="O244" s="82" t="n">
        <v>2940.212</v>
      </c>
      <c r="P244" s="83" t="n">
        <v>4</v>
      </c>
      <c r="Q244" s="83" t="n">
        <v>72</v>
      </c>
      <c r="R244" s="47" t="n">
        <v>17</v>
      </c>
      <c r="S244" s="66" t="s">
        <v>539</v>
      </c>
    </row>
    <row r="245" customFormat="false" ht="15" hidden="false" customHeight="false" outlineLevel="0" collapsed="false">
      <c r="A245" s="79" t="s">
        <v>190</v>
      </c>
      <c r="B245" s="79" t="s">
        <v>306</v>
      </c>
      <c r="C245" s="80" t="n">
        <v>2022</v>
      </c>
      <c r="D245" s="80" t="n">
        <v>1</v>
      </c>
      <c r="E245" s="81" t="n">
        <v>44651</v>
      </c>
      <c r="F245" s="79" t="s">
        <v>271</v>
      </c>
      <c r="G245" s="79" t="s">
        <v>272</v>
      </c>
      <c r="H245" s="79" t="s">
        <v>268</v>
      </c>
      <c r="I245" s="82" t="n">
        <v>839.197</v>
      </c>
      <c r="J245" s="82" t="n">
        <v>363.138</v>
      </c>
      <c r="K245" s="82" t="n">
        <v>217481000</v>
      </c>
      <c r="L245" s="83" t="n">
        <v>1.18</v>
      </c>
      <c r="M245" s="82" t="n">
        <v>184.9059</v>
      </c>
      <c r="N245" s="82" t="n">
        <v>0</v>
      </c>
      <c r="O245" s="82" t="n">
        <v>3495.395</v>
      </c>
      <c r="P245" s="83" t="n">
        <v>0</v>
      </c>
      <c r="Q245" s="83" t="n">
        <v>113.5</v>
      </c>
      <c r="R245" s="47" t="n">
        <v>18</v>
      </c>
      <c r="S245" s="66" t="s">
        <v>540</v>
      </c>
    </row>
    <row r="246" customFormat="false" ht="15" hidden="false" customHeight="false" outlineLevel="0" collapsed="false">
      <c r="A246" s="79" t="s">
        <v>190</v>
      </c>
      <c r="B246" s="79" t="s">
        <v>308</v>
      </c>
      <c r="C246" s="80" t="n">
        <v>2021</v>
      </c>
      <c r="D246" s="80" t="n">
        <v>4</v>
      </c>
      <c r="E246" s="81" t="n">
        <v>44561</v>
      </c>
      <c r="F246" s="79" t="s">
        <v>271</v>
      </c>
      <c r="G246" s="79" t="s">
        <v>272</v>
      </c>
      <c r="H246" s="79" t="s">
        <v>268</v>
      </c>
      <c r="I246" s="82" t="n">
        <v>875.843</v>
      </c>
      <c r="J246" s="82" t="n">
        <v>347.262</v>
      </c>
      <c r="K246" s="82" t="n">
        <v>191791000</v>
      </c>
      <c r="L246" s="83" t="n">
        <v>1.03</v>
      </c>
      <c r="M246" s="82" t="n">
        <v>184.9059</v>
      </c>
      <c r="N246" s="82" t="n">
        <v>0</v>
      </c>
      <c r="O246" s="82" t="n">
        <v>3277.914</v>
      </c>
      <c r="P246" s="83" t="n">
        <v>0</v>
      </c>
      <c r="Q246" s="83" t="n">
        <v>144</v>
      </c>
      <c r="R246" s="47" t="n">
        <v>19</v>
      </c>
      <c r="S246" s="66" t="s">
        <v>541</v>
      </c>
    </row>
    <row r="247" customFormat="false" ht="15" hidden="false" customHeight="false" outlineLevel="0" collapsed="false">
      <c r="A247" s="79" t="s">
        <v>190</v>
      </c>
      <c r="B247" s="79" t="s">
        <v>310</v>
      </c>
      <c r="C247" s="80" t="n">
        <v>2021</v>
      </c>
      <c r="D247" s="80" t="n">
        <v>3</v>
      </c>
      <c r="E247" s="81" t="n">
        <v>44469</v>
      </c>
      <c r="F247" s="79" t="s">
        <v>271</v>
      </c>
      <c r="G247" s="79" t="s">
        <v>272</v>
      </c>
      <c r="H247" s="79" t="s">
        <v>268</v>
      </c>
      <c r="I247" s="82" t="n">
        <v>947.399</v>
      </c>
      <c r="J247" s="82" t="n">
        <v>402.279</v>
      </c>
      <c r="K247" s="82" t="n">
        <v>211771000</v>
      </c>
      <c r="L247" s="83" t="n">
        <v>1.15</v>
      </c>
      <c r="M247" s="82" t="n">
        <v>184.9059</v>
      </c>
      <c r="N247" s="82" t="n">
        <v>0</v>
      </c>
      <c r="O247" s="82" t="n">
        <v>3086.103</v>
      </c>
      <c r="P247" s="83" t="n">
        <v>2.59</v>
      </c>
      <c r="Q247" s="83" t="n">
        <v>118</v>
      </c>
      <c r="R247" s="47" t="n">
        <v>20</v>
      </c>
      <c r="S247" s="66" t="s">
        <v>542</v>
      </c>
    </row>
    <row r="248" customFormat="false" ht="15" hidden="false" customHeight="false" outlineLevel="0" collapsed="false">
      <c r="A248" s="79" t="s">
        <v>190</v>
      </c>
      <c r="B248" s="79" t="s">
        <v>312</v>
      </c>
      <c r="C248" s="80" t="n">
        <v>2021</v>
      </c>
      <c r="D248" s="80" t="n">
        <v>2</v>
      </c>
      <c r="E248" s="81" t="n">
        <v>44377</v>
      </c>
      <c r="F248" s="79" t="s">
        <v>271</v>
      </c>
      <c r="G248" s="79" t="s">
        <v>272</v>
      </c>
      <c r="H248" s="79" t="s">
        <v>268</v>
      </c>
      <c r="I248" s="82" t="n">
        <v>896.062</v>
      </c>
      <c r="J248" s="82" t="n">
        <v>390.922</v>
      </c>
      <c r="K248" s="82" t="n">
        <v>226778000</v>
      </c>
      <c r="L248" s="83" t="n">
        <v>1.23</v>
      </c>
      <c r="M248" s="82" t="n">
        <v>184.9059</v>
      </c>
      <c r="N248" s="82" t="n">
        <v>0</v>
      </c>
      <c r="O248" s="82" t="n">
        <v>3353.238</v>
      </c>
      <c r="P248" s="83" t="n">
        <v>0</v>
      </c>
      <c r="Q248" s="83" t="n">
        <v>134</v>
      </c>
      <c r="R248" s="47" t="n">
        <v>21</v>
      </c>
      <c r="S248" s="66" t="s">
        <v>543</v>
      </c>
    </row>
    <row r="249" customFormat="false" ht="15" hidden="false" customHeight="false" outlineLevel="0" collapsed="false">
      <c r="A249" s="79" t="s">
        <v>190</v>
      </c>
      <c r="B249" s="79" t="s">
        <v>314</v>
      </c>
      <c r="C249" s="80" t="n">
        <v>2021</v>
      </c>
      <c r="D249" s="80" t="n">
        <v>1</v>
      </c>
      <c r="E249" s="81" t="n">
        <v>44286</v>
      </c>
      <c r="F249" s="79" t="s">
        <v>271</v>
      </c>
      <c r="G249" s="79" t="s">
        <v>272</v>
      </c>
      <c r="H249" s="79" t="s">
        <v>268</v>
      </c>
      <c r="I249" s="82" t="n">
        <v>889.217</v>
      </c>
      <c r="J249" s="82" t="n">
        <v>379.25</v>
      </c>
      <c r="K249" s="82" t="n">
        <v>224741000</v>
      </c>
      <c r="L249" s="83" t="n">
        <v>1.22</v>
      </c>
      <c r="M249" s="82" t="n">
        <v>184.9059</v>
      </c>
      <c r="N249" s="82" t="n">
        <v>0</v>
      </c>
      <c r="O249" s="82" t="n">
        <v>3126.46</v>
      </c>
      <c r="P249" s="83" t="n">
        <v>0</v>
      </c>
      <c r="Q249" s="83" t="n">
        <v>118.5</v>
      </c>
      <c r="R249" s="47" t="n">
        <v>22</v>
      </c>
      <c r="S249" s="66" t="s">
        <v>544</v>
      </c>
    </row>
    <row r="250" customFormat="false" ht="15" hidden="false" customHeight="false" outlineLevel="0" collapsed="false">
      <c r="A250" s="79" t="s">
        <v>190</v>
      </c>
      <c r="B250" s="79" t="s">
        <v>316</v>
      </c>
      <c r="C250" s="80" t="n">
        <v>2020</v>
      </c>
      <c r="D250" s="80" t="n">
        <v>4</v>
      </c>
      <c r="E250" s="81" t="n">
        <v>44196</v>
      </c>
      <c r="F250" s="79" t="s">
        <v>271</v>
      </c>
      <c r="G250" s="79" t="s">
        <v>272</v>
      </c>
      <c r="H250" s="79" t="s">
        <v>268</v>
      </c>
      <c r="I250" s="82" t="n">
        <v>757.232</v>
      </c>
      <c r="J250" s="82" t="n">
        <v>315.349</v>
      </c>
      <c r="K250" s="82" t="n">
        <v>145795000</v>
      </c>
      <c r="L250" s="83" t="n">
        <v>0.79</v>
      </c>
      <c r="M250" s="82" t="n">
        <v>184.9059</v>
      </c>
      <c r="N250" s="82" t="n">
        <v>0</v>
      </c>
      <c r="O250" s="82" t="n">
        <v>2901.719</v>
      </c>
      <c r="P250" s="83" t="n">
        <v>0</v>
      </c>
      <c r="Q250" s="83" t="n">
        <v>112</v>
      </c>
      <c r="R250" s="47" t="n">
        <v>23</v>
      </c>
      <c r="S250" s="66" t="s">
        <v>545</v>
      </c>
    </row>
    <row r="251" customFormat="false" ht="15" hidden="false" customHeight="false" outlineLevel="0" collapsed="false">
      <c r="A251" s="79" t="s">
        <v>190</v>
      </c>
      <c r="B251" s="79" t="s">
        <v>318</v>
      </c>
      <c r="C251" s="80" t="n">
        <v>2020</v>
      </c>
      <c r="D251" s="80" t="n">
        <v>3</v>
      </c>
      <c r="E251" s="81" t="n">
        <v>44104</v>
      </c>
      <c r="F251" s="79" t="s">
        <v>271</v>
      </c>
      <c r="G251" s="79" t="s">
        <v>272</v>
      </c>
      <c r="H251" s="79" t="s">
        <v>268</v>
      </c>
      <c r="I251" s="82" t="n">
        <v>644.391</v>
      </c>
      <c r="J251" s="82" t="n">
        <v>270.365</v>
      </c>
      <c r="K251" s="82" t="n">
        <v>112847000</v>
      </c>
      <c r="L251" s="83" t="n">
        <v>0.61</v>
      </c>
      <c r="M251" s="82" t="n">
        <v>184.9059</v>
      </c>
      <c r="N251" s="82" t="n">
        <v>0</v>
      </c>
      <c r="O251" s="82" t="n">
        <v>2755.453</v>
      </c>
      <c r="P251" s="83"/>
      <c r="Q251" s="83" t="n">
        <v>78.5</v>
      </c>
      <c r="R251" s="47" t="n">
        <v>24</v>
      </c>
      <c r="S251" s="66" t="s">
        <v>546</v>
      </c>
    </row>
    <row r="252" customFormat="false" ht="15" hidden="false" customHeight="false" outlineLevel="0" collapsed="false">
      <c r="A252" s="79" t="s">
        <v>224</v>
      </c>
      <c r="B252" s="79" t="s">
        <v>270</v>
      </c>
      <c r="C252" s="80" t="n">
        <v>2026</v>
      </c>
      <c r="D252" s="80" t="n">
        <v>2</v>
      </c>
      <c r="E252" s="81" t="n">
        <v>46203</v>
      </c>
      <c r="F252" s="79" t="s">
        <v>271</v>
      </c>
      <c r="G252" s="79" t="s">
        <v>272</v>
      </c>
      <c r="H252" s="79" t="s">
        <v>268</v>
      </c>
      <c r="I252" s="82" t="n">
        <v>2505.685</v>
      </c>
      <c r="J252" s="82" t="n">
        <v>307.826</v>
      </c>
      <c r="K252" s="82" t="n">
        <v>154132000</v>
      </c>
      <c r="L252" s="83" t="n">
        <v>1.64</v>
      </c>
      <c r="M252" s="82" t="n">
        <v>93.946</v>
      </c>
      <c r="N252" s="82" t="n">
        <v>0</v>
      </c>
      <c r="O252" s="82" t="n">
        <v>1363.333</v>
      </c>
      <c r="P252" s="83" t="n">
        <v>0</v>
      </c>
      <c r="Q252" s="83" t="n">
        <v>71.2</v>
      </c>
      <c r="R252" s="47" t="n">
        <v>1</v>
      </c>
      <c r="S252" s="66" t="s">
        <v>547</v>
      </c>
    </row>
    <row r="253" customFormat="false" ht="15" hidden="false" customHeight="false" outlineLevel="0" collapsed="false">
      <c r="A253" s="79" t="s">
        <v>224</v>
      </c>
      <c r="B253" s="79" t="s">
        <v>274</v>
      </c>
      <c r="C253" s="80" t="n">
        <v>2026</v>
      </c>
      <c r="D253" s="80" t="n">
        <v>1</v>
      </c>
      <c r="E253" s="81" t="n">
        <v>46112</v>
      </c>
      <c r="F253" s="79" t="s">
        <v>271</v>
      </c>
      <c r="G253" s="79" t="s">
        <v>272</v>
      </c>
      <c r="H253" s="79" t="s">
        <v>268</v>
      </c>
      <c r="I253" s="82" t="n">
        <v>1569.188</v>
      </c>
      <c r="J253" s="82" t="n">
        <v>167.121</v>
      </c>
      <c r="K253" s="82" t="n">
        <v>107791000</v>
      </c>
      <c r="L253" s="83" t="n">
        <v>1.15</v>
      </c>
      <c r="M253" s="82" t="n">
        <v>93.946</v>
      </c>
      <c r="N253" s="82" t="n">
        <v>0</v>
      </c>
      <c r="O253" s="82" t="n">
        <v>1204.572</v>
      </c>
      <c r="P253" s="83" t="n">
        <v>0</v>
      </c>
      <c r="Q253" s="83" t="n">
        <v>52</v>
      </c>
      <c r="R253" s="47" t="n">
        <v>2</v>
      </c>
      <c r="S253" s="66" t="s">
        <v>548</v>
      </c>
    </row>
    <row r="254" customFormat="false" ht="15" hidden="false" customHeight="false" outlineLevel="0" collapsed="false">
      <c r="A254" s="79" t="s">
        <v>224</v>
      </c>
      <c r="B254" s="79" t="s">
        <v>276</v>
      </c>
      <c r="C254" s="80" t="n">
        <v>2025</v>
      </c>
      <c r="D254" s="80" t="n">
        <v>4</v>
      </c>
      <c r="E254" s="81" t="n">
        <v>46022</v>
      </c>
      <c r="F254" s="79" t="s">
        <v>271</v>
      </c>
      <c r="G254" s="79" t="s">
        <v>272</v>
      </c>
      <c r="H254" s="79" t="s">
        <v>268</v>
      </c>
      <c r="I254" s="82" t="n">
        <v>927.974</v>
      </c>
      <c r="J254" s="82" t="n">
        <v>96.891</v>
      </c>
      <c r="K254" s="82" t="n">
        <v>29162000</v>
      </c>
      <c r="L254" s="83" t="n">
        <v>0.34</v>
      </c>
      <c r="M254" s="82" t="n">
        <v>93.946</v>
      </c>
      <c r="N254" s="82" t="n">
        <v>0</v>
      </c>
      <c r="O254" s="82" t="n">
        <v>1086.602</v>
      </c>
      <c r="P254" s="83" t="n">
        <v>0</v>
      </c>
      <c r="Q254" s="83" t="n">
        <v>58</v>
      </c>
      <c r="R254" s="47" t="n">
        <v>3</v>
      </c>
      <c r="S254" s="66" t="s">
        <v>549</v>
      </c>
    </row>
    <row r="255" customFormat="false" ht="15" hidden="false" customHeight="false" outlineLevel="0" collapsed="false">
      <c r="A255" s="79" t="s">
        <v>224</v>
      </c>
      <c r="B255" s="79" t="s">
        <v>278</v>
      </c>
      <c r="C255" s="80" t="n">
        <v>2025</v>
      </c>
      <c r="D255" s="80" t="n">
        <v>3</v>
      </c>
      <c r="E255" s="81" t="n">
        <v>45930</v>
      </c>
      <c r="F255" s="79" t="s">
        <v>271</v>
      </c>
      <c r="G255" s="79" t="s">
        <v>272</v>
      </c>
      <c r="H255" s="79" t="s">
        <v>268</v>
      </c>
      <c r="I255" s="82" t="n">
        <v>1951.552</v>
      </c>
      <c r="J255" s="82" t="n">
        <v>93.037</v>
      </c>
      <c r="K255" s="82" t="n">
        <v>-36226000</v>
      </c>
      <c r="L255" s="83" t="n">
        <v>-0.43</v>
      </c>
      <c r="M255" s="82" t="n">
        <v>83.946</v>
      </c>
      <c r="N255" s="82" t="n">
        <v>0</v>
      </c>
      <c r="O255" s="82" t="n">
        <v>580.488</v>
      </c>
      <c r="P255" s="83" t="n">
        <v>0</v>
      </c>
      <c r="Q255" s="83" t="n">
        <v>54.6</v>
      </c>
      <c r="R255" s="47" t="n">
        <v>4</v>
      </c>
      <c r="S255" s="66" t="s">
        <v>550</v>
      </c>
    </row>
    <row r="256" customFormat="false" ht="15" hidden="false" customHeight="false" outlineLevel="0" collapsed="false">
      <c r="A256" s="79" t="s">
        <v>224</v>
      </c>
      <c r="B256" s="79" t="s">
        <v>280</v>
      </c>
      <c r="C256" s="80" t="n">
        <v>2025</v>
      </c>
      <c r="D256" s="80" t="n">
        <v>2</v>
      </c>
      <c r="E256" s="81" t="n">
        <v>45838</v>
      </c>
      <c r="F256" s="79" t="s">
        <v>271</v>
      </c>
      <c r="G256" s="79" t="s">
        <v>272</v>
      </c>
      <c r="H256" s="79" t="s">
        <v>268</v>
      </c>
      <c r="I256" s="82" t="n">
        <v>736.097</v>
      </c>
      <c r="J256" s="82" t="n">
        <v>73.176</v>
      </c>
      <c r="K256" s="82" t="n">
        <v>22985000</v>
      </c>
      <c r="L256" s="83" t="n">
        <v>0.27</v>
      </c>
      <c r="M256" s="82" t="n">
        <v>83.946</v>
      </c>
      <c r="N256" s="82" t="n">
        <v>0</v>
      </c>
      <c r="O256" s="82" t="n">
        <v>598.27</v>
      </c>
      <c r="P256" s="83" t="n">
        <v>0</v>
      </c>
      <c r="Q256" s="83" t="n">
        <v>60.5</v>
      </c>
      <c r="R256" s="47" t="n">
        <v>5</v>
      </c>
      <c r="S256" s="66" t="s">
        <v>551</v>
      </c>
    </row>
    <row r="257" customFormat="false" ht="15" hidden="false" customHeight="false" outlineLevel="0" collapsed="false">
      <c r="A257" s="79" t="s">
        <v>224</v>
      </c>
      <c r="B257" s="79" t="s">
        <v>282</v>
      </c>
      <c r="C257" s="80" t="n">
        <v>2025</v>
      </c>
      <c r="D257" s="80" t="n">
        <v>1</v>
      </c>
      <c r="E257" s="81" t="n">
        <v>45747</v>
      </c>
      <c r="F257" s="79" t="s">
        <v>271</v>
      </c>
      <c r="G257" s="79" t="s">
        <v>272</v>
      </c>
      <c r="H257" s="79" t="s">
        <v>268</v>
      </c>
      <c r="I257" s="82" t="n">
        <v>820.337</v>
      </c>
      <c r="J257" s="82" t="n">
        <v>172.492</v>
      </c>
      <c r="K257" s="82" t="n">
        <v>20532000</v>
      </c>
      <c r="L257" s="83" t="n">
        <v>0.24</v>
      </c>
      <c r="M257" s="82" t="n">
        <v>83.946</v>
      </c>
      <c r="N257" s="82" t="n">
        <v>0</v>
      </c>
      <c r="O257" s="82" t="n">
        <v>617.364</v>
      </c>
      <c r="P257" s="83" t="n">
        <v>0</v>
      </c>
      <c r="Q257" s="83" t="n">
        <v>54.7</v>
      </c>
      <c r="R257" s="47" t="n">
        <v>6</v>
      </c>
      <c r="S257" s="66" t="s">
        <v>552</v>
      </c>
    </row>
    <row r="258" customFormat="false" ht="15" hidden="false" customHeight="false" outlineLevel="0" collapsed="false">
      <c r="A258" s="79" t="s">
        <v>224</v>
      </c>
      <c r="B258" s="79" t="s">
        <v>284</v>
      </c>
      <c r="C258" s="80" t="n">
        <v>2024</v>
      </c>
      <c r="D258" s="80" t="n">
        <v>4</v>
      </c>
      <c r="E258" s="81" t="n">
        <v>45657</v>
      </c>
      <c r="F258" s="79" t="s">
        <v>271</v>
      </c>
      <c r="G258" s="79" t="s">
        <v>272</v>
      </c>
      <c r="H258" s="79" t="s">
        <v>268</v>
      </c>
      <c r="I258" s="82" t="n">
        <v>1628.362</v>
      </c>
      <c r="J258" s="82" t="n">
        <v>138.328</v>
      </c>
      <c r="K258" s="82" t="n">
        <v>-130119000</v>
      </c>
      <c r="L258" s="83" t="n">
        <v>-1.55</v>
      </c>
      <c r="M258" s="82" t="n">
        <v>83.946</v>
      </c>
      <c r="N258" s="82" t="n">
        <v>0</v>
      </c>
      <c r="O258" s="82" t="n">
        <v>584.156</v>
      </c>
      <c r="P258" s="83" t="n">
        <v>0</v>
      </c>
      <c r="Q258" s="83" t="n">
        <v>75.1</v>
      </c>
      <c r="R258" s="47" t="n">
        <v>7</v>
      </c>
      <c r="S258" s="66" t="s">
        <v>553</v>
      </c>
    </row>
    <row r="259" customFormat="false" ht="15" hidden="false" customHeight="false" outlineLevel="0" collapsed="false">
      <c r="A259" s="79" t="s">
        <v>224</v>
      </c>
      <c r="B259" s="79" t="s">
        <v>286</v>
      </c>
      <c r="C259" s="80" t="n">
        <v>2024</v>
      </c>
      <c r="D259" s="80" t="n">
        <v>3</v>
      </c>
      <c r="E259" s="81" t="n">
        <v>45565</v>
      </c>
      <c r="F259" s="79" t="s">
        <v>271</v>
      </c>
      <c r="G259" s="79" t="s">
        <v>272</v>
      </c>
      <c r="H259" s="79" t="s">
        <v>268</v>
      </c>
      <c r="I259" s="82" t="n">
        <v>1008.25</v>
      </c>
      <c r="J259" s="82" t="n">
        <v>70.596</v>
      </c>
      <c r="K259" s="82" t="n">
        <v>-94083000</v>
      </c>
      <c r="L259" s="83" t="n">
        <v>-1.12</v>
      </c>
      <c r="M259" s="82" t="n">
        <v>83.946</v>
      </c>
      <c r="N259" s="82" t="n">
        <v>0</v>
      </c>
      <c r="O259" s="82" t="n">
        <v>717.704</v>
      </c>
      <c r="P259" s="83" t="n">
        <v>0</v>
      </c>
      <c r="Q259" s="83" t="n">
        <v>89.2</v>
      </c>
      <c r="R259" s="47" t="n">
        <v>8</v>
      </c>
      <c r="S259" s="66" t="s">
        <v>554</v>
      </c>
    </row>
    <row r="260" customFormat="false" ht="15" hidden="false" customHeight="false" outlineLevel="0" collapsed="false">
      <c r="A260" s="79" t="s">
        <v>224</v>
      </c>
      <c r="B260" s="79" t="s">
        <v>288</v>
      </c>
      <c r="C260" s="80" t="n">
        <v>2024</v>
      </c>
      <c r="D260" s="80" t="n">
        <v>2</v>
      </c>
      <c r="E260" s="81" t="n">
        <v>45473</v>
      </c>
      <c r="F260" s="79" t="s">
        <v>271</v>
      </c>
      <c r="G260" s="79" t="s">
        <v>272</v>
      </c>
      <c r="H260" s="79" t="s">
        <v>268</v>
      </c>
      <c r="I260" s="82" t="n">
        <v>719.381</v>
      </c>
      <c r="J260" s="82" t="n">
        <v>64.159</v>
      </c>
      <c r="K260" s="82" t="n">
        <v>-133045000</v>
      </c>
      <c r="L260" s="83" t="n">
        <v>-1.59</v>
      </c>
      <c r="M260" s="82" t="n">
        <v>83.946</v>
      </c>
      <c r="N260" s="82" t="n">
        <v>0</v>
      </c>
      <c r="O260" s="82" t="n">
        <v>804.648</v>
      </c>
      <c r="P260" s="83" t="n">
        <v>0</v>
      </c>
      <c r="Q260" s="83" t="n">
        <v>124</v>
      </c>
      <c r="R260" s="47" t="n">
        <v>9</v>
      </c>
      <c r="S260" s="66" t="s">
        <v>555</v>
      </c>
    </row>
    <row r="261" customFormat="false" ht="15" hidden="false" customHeight="false" outlineLevel="0" collapsed="false">
      <c r="A261" s="79" t="s">
        <v>224</v>
      </c>
      <c r="B261" s="79" t="s">
        <v>290</v>
      </c>
      <c r="C261" s="80" t="n">
        <v>2024</v>
      </c>
      <c r="D261" s="80" t="n">
        <v>1</v>
      </c>
      <c r="E261" s="81" t="n">
        <v>45382</v>
      </c>
      <c r="F261" s="79" t="s">
        <v>271</v>
      </c>
      <c r="G261" s="79" t="s">
        <v>272</v>
      </c>
      <c r="H261" s="79" t="s">
        <v>268</v>
      </c>
      <c r="I261" s="82" t="n">
        <v>939.815</v>
      </c>
      <c r="J261" s="82" t="n">
        <v>94.951</v>
      </c>
      <c r="K261" s="82" t="n">
        <v>-83964000</v>
      </c>
      <c r="L261" s="83" t="n">
        <v>-1</v>
      </c>
      <c r="M261" s="82" t="n">
        <v>83.946</v>
      </c>
      <c r="N261" s="82" t="n">
        <v>0</v>
      </c>
      <c r="O261" s="82" t="n">
        <v>934.625</v>
      </c>
      <c r="P261" s="83" t="n">
        <v>0</v>
      </c>
      <c r="Q261" s="83" t="n">
        <v>120.5</v>
      </c>
      <c r="R261" s="47" t="n">
        <v>10</v>
      </c>
      <c r="S261" s="66" t="s">
        <v>556</v>
      </c>
    </row>
    <row r="262" customFormat="false" ht="15" hidden="false" customHeight="false" outlineLevel="0" collapsed="false">
      <c r="A262" s="79" t="s">
        <v>224</v>
      </c>
      <c r="B262" s="79" t="s">
        <v>292</v>
      </c>
      <c r="C262" s="80" t="n">
        <v>2023</v>
      </c>
      <c r="D262" s="80" t="n">
        <v>4</v>
      </c>
      <c r="E262" s="81" t="n">
        <v>45291</v>
      </c>
      <c r="F262" s="79" t="s">
        <v>271</v>
      </c>
      <c r="G262" s="79" t="s">
        <v>272</v>
      </c>
      <c r="H262" s="79" t="s">
        <v>268</v>
      </c>
      <c r="I262" s="82" t="n">
        <v>1721.824</v>
      </c>
      <c r="J262" s="82" t="n">
        <v>321.484</v>
      </c>
      <c r="K262" s="82" t="n">
        <v>726000</v>
      </c>
      <c r="L262" s="83" t="n">
        <v>0.19</v>
      </c>
      <c r="M262" s="82" t="n">
        <v>83.946</v>
      </c>
      <c r="N262" s="82" t="n">
        <v>0</v>
      </c>
      <c r="O262" s="82" t="n">
        <v>1011.087</v>
      </c>
      <c r="P262" s="83" t="n">
        <v>0</v>
      </c>
      <c r="Q262" s="83" t="n">
        <v>63.4</v>
      </c>
      <c r="R262" s="47" t="n">
        <v>11</v>
      </c>
      <c r="S262" s="66" t="s">
        <v>557</v>
      </c>
    </row>
    <row r="263" customFormat="false" ht="15" hidden="false" customHeight="false" outlineLevel="0" collapsed="false">
      <c r="A263" s="79" t="s">
        <v>224</v>
      </c>
      <c r="B263" s="79" t="s">
        <v>294</v>
      </c>
      <c r="C263" s="80" t="n">
        <v>2023</v>
      </c>
      <c r="D263" s="80" t="n">
        <v>3</v>
      </c>
      <c r="E263" s="81" t="n">
        <v>45199</v>
      </c>
      <c r="F263" s="79" t="s">
        <v>271</v>
      </c>
      <c r="G263" s="79" t="s">
        <v>272</v>
      </c>
      <c r="H263" s="79" t="s">
        <v>268</v>
      </c>
      <c r="I263" s="82" t="n">
        <v>965.575</v>
      </c>
      <c r="J263" s="82" t="n">
        <v>144.429</v>
      </c>
      <c r="K263" s="82" t="n">
        <v>-34228000</v>
      </c>
      <c r="L263" s="83" t="n">
        <v>-0.58</v>
      </c>
      <c r="M263" s="82" t="n">
        <v>58.946</v>
      </c>
      <c r="N263" s="82" t="n">
        <v>0</v>
      </c>
      <c r="O263" s="82" t="n">
        <v>350.347</v>
      </c>
      <c r="P263" s="83" t="n">
        <v>0</v>
      </c>
      <c r="Q263" s="83" t="n">
        <v>36.9</v>
      </c>
      <c r="R263" s="47" t="n">
        <v>12</v>
      </c>
      <c r="S263" s="66" t="s">
        <v>558</v>
      </c>
    </row>
    <row r="264" customFormat="false" ht="15" hidden="false" customHeight="false" outlineLevel="0" collapsed="false">
      <c r="A264" s="79" t="s">
        <v>224</v>
      </c>
      <c r="B264" s="79" t="s">
        <v>296</v>
      </c>
      <c r="C264" s="80" t="n">
        <v>2023</v>
      </c>
      <c r="D264" s="80" t="n">
        <v>2</v>
      </c>
      <c r="E264" s="81" t="n">
        <v>45107</v>
      </c>
      <c r="F264" s="79" t="s">
        <v>271</v>
      </c>
      <c r="G264" s="79" t="s">
        <v>272</v>
      </c>
      <c r="H264" s="79" t="s">
        <v>268</v>
      </c>
      <c r="I264" s="82" t="n">
        <v>814.62</v>
      </c>
      <c r="J264" s="82" t="n">
        <v>90.879</v>
      </c>
      <c r="K264" s="82" t="n">
        <v>-57149000</v>
      </c>
      <c r="L264" s="83" t="n">
        <v>-0.97</v>
      </c>
      <c r="M264" s="82" t="n">
        <v>58.946</v>
      </c>
      <c r="N264" s="82" t="n">
        <v>0</v>
      </c>
      <c r="O264" s="82" t="n">
        <v>373.878</v>
      </c>
      <c r="P264" s="83" t="n">
        <v>0</v>
      </c>
      <c r="Q264" s="83" t="n">
        <v>35.85</v>
      </c>
      <c r="R264" s="47" t="n">
        <v>13</v>
      </c>
      <c r="S264" s="66" t="s">
        <v>559</v>
      </c>
    </row>
    <row r="265" customFormat="false" ht="15" hidden="false" customHeight="false" outlineLevel="0" collapsed="false">
      <c r="A265" s="79" t="s">
        <v>224</v>
      </c>
      <c r="B265" s="79" t="s">
        <v>298</v>
      </c>
      <c r="C265" s="80" t="n">
        <v>2023</v>
      </c>
      <c r="D265" s="80" t="n">
        <v>1</v>
      </c>
      <c r="E265" s="81" t="n">
        <v>45016</v>
      </c>
      <c r="F265" s="79" t="s">
        <v>271</v>
      </c>
      <c r="G265" s="79" t="s">
        <v>272</v>
      </c>
      <c r="H265" s="79" t="s">
        <v>268</v>
      </c>
      <c r="I265" s="82" t="n">
        <v>774.098</v>
      </c>
      <c r="J265" s="82" t="n">
        <v>71.487</v>
      </c>
      <c r="K265" s="82" t="n">
        <v>-69078000</v>
      </c>
      <c r="L265" s="83" t="n">
        <v>-1.17</v>
      </c>
      <c r="M265" s="82" t="n">
        <v>58.946</v>
      </c>
      <c r="N265" s="82" t="n">
        <v>0</v>
      </c>
      <c r="O265" s="82" t="n">
        <v>442.555</v>
      </c>
      <c r="P265" s="83" t="n">
        <v>0</v>
      </c>
      <c r="Q265" s="83" t="n">
        <v>39.4</v>
      </c>
      <c r="R265" s="47" t="n">
        <v>14</v>
      </c>
      <c r="S265" s="66" t="s">
        <v>560</v>
      </c>
    </row>
    <row r="266" customFormat="false" ht="15" hidden="false" customHeight="false" outlineLevel="0" collapsed="false">
      <c r="A266" s="79" t="s">
        <v>224</v>
      </c>
      <c r="B266" s="79" t="s">
        <v>300</v>
      </c>
      <c r="C266" s="80" t="n">
        <v>2022</v>
      </c>
      <c r="D266" s="80" t="n">
        <v>4</v>
      </c>
      <c r="E266" s="81" t="n">
        <v>44926</v>
      </c>
      <c r="F266" s="79" t="s">
        <v>271</v>
      </c>
      <c r="G266" s="79" t="s">
        <v>272</v>
      </c>
      <c r="H266" s="79" t="s">
        <v>268</v>
      </c>
      <c r="I266" s="82" t="n">
        <v>1084.05</v>
      </c>
      <c r="J266" s="82" t="n">
        <v>85.857</v>
      </c>
      <c r="K266" s="82" t="n">
        <v>-90091000</v>
      </c>
      <c r="L266" s="83" t="n">
        <v>-1.53</v>
      </c>
      <c r="M266" s="82" t="n">
        <v>58.946</v>
      </c>
      <c r="N266" s="82" t="n">
        <v>0</v>
      </c>
      <c r="O266" s="82" t="n">
        <v>510.135</v>
      </c>
      <c r="P266" s="83" t="n">
        <v>0</v>
      </c>
      <c r="Q266" s="83" t="n">
        <v>38</v>
      </c>
      <c r="R266" s="47" t="n">
        <v>15</v>
      </c>
      <c r="S266" s="66" t="s">
        <v>561</v>
      </c>
    </row>
    <row r="267" customFormat="false" ht="15" hidden="false" customHeight="false" outlineLevel="0" collapsed="false">
      <c r="A267" s="79" t="s">
        <v>224</v>
      </c>
      <c r="B267" s="79" t="s">
        <v>302</v>
      </c>
      <c r="C267" s="80" t="n">
        <v>2022</v>
      </c>
      <c r="D267" s="80" t="n">
        <v>3</v>
      </c>
      <c r="E267" s="81" t="n">
        <v>44834</v>
      </c>
      <c r="F267" s="79" t="s">
        <v>271</v>
      </c>
      <c r="G267" s="79" t="s">
        <v>272</v>
      </c>
      <c r="H267" s="79" t="s">
        <v>268</v>
      </c>
      <c r="I267" s="82" t="n">
        <v>1615.905</v>
      </c>
      <c r="J267" s="82" t="n">
        <v>252.777</v>
      </c>
      <c r="K267" s="82" t="n">
        <v>-64050000</v>
      </c>
      <c r="L267" s="83" t="n">
        <v>-1.09</v>
      </c>
      <c r="M267" s="82" t="n">
        <v>58.946</v>
      </c>
      <c r="N267" s="82" t="n">
        <v>0</v>
      </c>
      <c r="O267" s="82" t="n">
        <v>605.131</v>
      </c>
      <c r="P267" s="83" t="n">
        <v>1</v>
      </c>
      <c r="Q267" s="83" t="n">
        <v>25.15</v>
      </c>
      <c r="R267" s="47" t="n">
        <v>16</v>
      </c>
      <c r="S267" s="66" t="s">
        <v>562</v>
      </c>
    </row>
    <row r="268" customFormat="false" ht="15" hidden="false" customHeight="false" outlineLevel="0" collapsed="false">
      <c r="A268" s="79" t="s">
        <v>224</v>
      </c>
      <c r="B268" s="79" t="s">
        <v>304</v>
      </c>
      <c r="C268" s="80" t="n">
        <v>2022</v>
      </c>
      <c r="D268" s="80" t="n">
        <v>2</v>
      </c>
      <c r="E268" s="81" t="n">
        <v>44742</v>
      </c>
      <c r="F268" s="79" t="s">
        <v>271</v>
      </c>
      <c r="G268" s="79" t="s">
        <v>272</v>
      </c>
      <c r="H268" s="79" t="s">
        <v>268</v>
      </c>
      <c r="I268" s="82" t="n">
        <v>1100.07</v>
      </c>
      <c r="J268" s="82" t="n">
        <v>82.444</v>
      </c>
      <c r="K268" s="82" t="n">
        <v>-66698000</v>
      </c>
      <c r="L268" s="83" t="n">
        <v>-1.25</v>
      </c>
      <c r="M268" s="82" t="n">
        <v>53.5873</v>
      </c>
      <c r="N268" s="82" t="n">
        <v>0</v>
      </c>
      <c r="O268" s="82" t="n">
        <v>664.945</v>
      </c>
      <c r="P268" s="83" t="n">
        <v>0</v>
      </c>
      <c r="Q268" s="83" t="n">
        <v>34.65</v>
      </c>
      <c r="R268" s="47" t="n">
        <v>17</v>
      </c>
      <c r="S268" s="66" t="s">
        <v>563</v>
      </c>
    </row>
    <row r="269" customFormat="false" ht="15" hidden="false" customHeight="false" outlineLevel="0" collapsed="false">
      <c r="A269" s="79" t="s">
        <v>224</v>
      </c>
      <c r="B269" s="79" t="s">
        <v>306</v>
      </c>
      <c r="C269" s="80" t="n">
        <v>2022</v>
      </c>
      <c r="D269" s="80" t="n">
        <v>1</v>
      </c>
      <c r="E269" s="81" t="n">
        <v>44651</v>
      </c>
      <c r="F269" s="79" t="s">
        <v>271</v>
      </c>
      <c r="G269" s="79" t="s">
        <v>272</v>
      </c>
      <c r="H269" s="79" t="s">
        <v>268</v>
      </c>
      <c r="I269" s="82" t="n">
        <v>1511.393</v>
      </c>
      <c r="J269" s="82" t="n">
        <v>185.733</v>
      </c>
      <c r="K269" s="82" t="n">
        <v>25026000</v>
      </c>
      <c r="L269" s="83" t="n">
        <v>0.47</v>
      </c>
      <c r="M269" s="82" t="n">
        <v>53.5873</v>
      </c>
      <c r="N269" s="82" t="n">
        <v>0</v>
      </c>
      <c r="O269" s="82" t="n">
        <v>793.029</v>
      </c>
      <c r="P269" s="83" t="n">
        <v>0</v>
      </c>
      <c r="Q269" s="83" t="n">
        <v>67.1</v>
      </c>
      <c r="R269" s="47" t="n">
        <v>18</v>
      </c>
      <c r="S269" s="66" t="s">
        <v>564</v>
      </c>
    </row>
    <row r="270" customFormat="false" ht="15" hidden="false" customHeight="false" outlineLevel="0" collapsed="false">
      <c r="A270" s="79" t="s">
        <v>224</v>
      </c>
      <c r="B270" s="79" t="s">
        <v>308</v>
      </c>
      <c r="C270" s="80" t="n">
        <v>2021</v>
      </c>
      <c r="D270" s="80" t="n">
        <v>4</v>
      </c>
      <c r="E270" s="81" t="n">
        <v>44561</v>
      </c>
      <c r="F270" s="79" t="s">
        <v>271</v>
      </c>
      <c r="G270" s="79" t="s">
        <v>272</v>
      </c>
      <c r="H270" s="79" t="s">
        <v>268</v>
      </c>
      <c r="I270" s="82" t="n">
        <v>2100.66</v>
      </c>
      <c r="J270" s="82" t="n">
        <v>312.998</v>
      </c>
      <c r="K270" s="82" t="n">
        <v>80127000</v>
      </c>
      <c r="L270" s="83" t="n">
        <v>1.49</v>
      </c>
      <c r="M270" s="82" t="n">
        <v>53.5873</v>
      </c>
      <c r="N270" s="82" t="n">
        <v>0</v>
      </c>
      <c r="O270" s="82" t="n">
        <v>753.552</v>
      </c>
      <c r="P270" s="83" t="n">
        <v>0</v>
      </c>
      <c r="Q270" s="83" t="n">
        <v>78.8</v>
      </c>
      <c r="R270" s="47" t="n">
        <v>19</v>
      </c>
      <c r="S270" s="66" t="s">
        <v>565</v>
      </c>
    </row>
    <row r="271" customFormat="false" ht="15" hidden="false" customHeight="false" outlineLevel="0" collapsed="false">
      <c r="A271" s="79" t="s">
        <v>224</v>
      </c>
      <c r="B271" s="79" t="s">
        <v>310</v>
      </c>
      <c r="C271" s="80" t="n">
        <v>2021</v>
      </c>
      <c r="D271" s="80" t="n">
        <v>3</v>
      </c>
      <c r="E271" s="81" t="n">
        <v>44469</v>
      </c>
      <c r="F271" s="79" t="s">
        <v>271</v>
      </c>
      <c r="G271" s="79" t="s">
        <v>272</v>
      </c>
      <c r="H271" s="79" t="s">
        <v>268</v>
      </c>
      <c r="I271" s="82" t="n">
        <v>2225.886</v>
      </c>
      <c r="J271" s="82" t="n">
        <v>342.797</v>
      </c>
      <c r="K271" s="82" t="n">
        <v>87871000</v>
      </c>
      <c r="L271" s="83" t="n">
        <v>1.64</v>
      </c>
      <c r="M271" s="82" t="n">
        <v>53.5873</v>
      </c>
      <c r="N271" s="82" t="n">
        <v>0</v>
      </c>
      <c r="O271" s="82" t="n">
        <v>668.642</v>
      </c>
      <c r="P271" s="83" t="n">
        <v>0</v>
      </c>
      <c r="Q271" s="83" t="n">
        <v>58.6</v>
      </c>
      <c r="R271" s="47" t="n">
        <v>20</v>
      </c>
      <c r="S271" s="66" t="s">
        <v>566</v>
      </c>
    </row>
    <row r="272" customFormat="false" ht="15" hidden="false" customHeight="false" outlineLevel="0" collapsed="false">
      <c r="A272" s="79" t="s">
        <v>224</v>
      </c>
      <c r="B272" s="79" t="s">
        <v>312</v>
      </c>
      <c r="C272" s="80" t="n">
        <v>2021</v>
      </c>
      <c r="D272" s="80" t="n">
        <v>2</v>
      </c>
      <c r="E272" s="81" t="n">
        <v>44377</v>
      </c>
      <c r="F272" s="79" t="s">
        <v>271</v>
      </c>
      <c r="G272" s="79" t="s">
        <v>272</v>
      </c>
      <c r="H272" s="79" t="s">
        <v>268</v>
      </c>
      <c r="I272" s="82" t="n">
        <v>2857.154</v>
      </c>
      <c r="J272" s="82" t="n">
        <v>671.089</v>
      </c>
      <c r="K272" s="82" t="n">
        <v>200324000</v>
      </c>
      <c r="L272" s="83" t="n">
        <v>3.74</v>
      </c>
      <c r="M272" s="82" t="n">
        <v>53.5873</v>
      </c>
      <c r="N272" s="82" t="n">
        <v>0</v>
      </c>
      <c r="O272" s="82" t="n">
        <v>581.761</v>
      </c>
      <c r="P272" s="83" t="n">
        <v>0</v>
      </c>
      <c r="Q272" s="83" t="n">
        <v>77.2</v>
      </c>
      <c r="R272" s="47" t="n">
        <v>21</v>
      </c>
      <c r="S272" s="66" t="s">
        <v>567</v>
      </c>
    </row>
    <row r="273" customFormat="false" ht="15" hidden="false" customHeight="false" outlineLevel="0" collapsed="false">
      <c r="A273" s="79" t="s">
        <v>224</v>
      </c>
      <c r="B273" s="79" t="s">
        <v>314</v>
      </c>
      <c r="C273" s="80" t="n">
        <v>2021</v>
      </c>
      <c r="D273" s="80" t="n">
        <v>1</v>
      </c>
      <c r="E273" s="81" t="n">
        <v>44286</v>
      </c>
      <c r="F273" s="79" t="s">
        <v>271</v>
      </c>
      <c r="G273" s="79" t="s">
        <v>272</v>
      </c>
      <c r="H273" s="79" t="s">
        <v>268</v>
      </c>
      <c r="I273" s="82" t="n">
        <v>1639.356</v>
      </c>
      <c r="J273" s="82" t="n">
        <v>242.754</v>
      </c>
      <c r="K273" s="82" t="n">
        <v>66934000</v>
      </c>
      <c r="L273" s="83" t="n">
        <v>1.25</v>
      </c>
      <c r="M273" s="82" t="n">
        <v>53.5873</v>
      </c>
      <c r="N273" s="82" t="n">
        <v>0</v>
      </c>
      <c r="O273" s="82" t="n">
        <v>382.735</v>
      </c>
      <c r="P273" s="83" t="n">
        <v>0</v>
      </c>
      <c r="Q273" s="83" t="n">
        <v>43.55</v>
      </c>
      <c r="R273" s="47" t="n">
        <v>22</v>
      </c>
      <c r="S273" s="66" t="s">
        <v>568</v>
      </c>
    </row>
    <row r="274" customFormat="false" ht="15" hidden="false" customHeight="false" outlineLevel="0" collapsed="false">
      <c r="A274" s="79" t="s">
        <v>224</v>
      </c>
      <c r="B274" s="79" t="s">
        <v>316</v>
      </c>
      <c r="C274" s="80" t="n">
        <v>2020</v>
      </c>
      <c r="D274" s="80" t="n">
        <v>4</v>
      </c>
      <c r="E274" s="81" t="n">
        <v>44196</v>
      </c>
      <c r="F274" s="79" t="s">
        <v>271</v>
      </c>
      <c r="G274" s="79" t="s">
        <v>272</v>
      </c>
      <c r="H274" s="79" t="s">
        <v>268</v>
      </c>
      <c r="I274" s="82" t="n">
        <v>1529.874</v>
      </c>
      <c r="J274" s="82" t="n">
        <v>187.039</v>
      </c>
      <c r="K274" s="82" t="n">
        <v>31153000</v>
      </c>
      <c r="L274" s="83" t="n">
        <v>0.58</v>
      </c>
      <c r="M274" s="82" t="n">
        <v>53.5873</v>
      </c>
      <c r="N274" s="82" t="n">
        <v>0</v>
      </c>
      <c r="O274" s="82" t="n">
        <v>317.322</v>
      </c>
      <c r="P274" s="83" t="n">
        <v>0</v>
      </c>
      <c r="Q274" s="83" t="n">
        <v>21.95</v>
      </c>
      <c r="R274" s="47" t="n">
        <v>23</v>
      </c>
      <c r="S274" s="66" t="s">
        <v>569</v>
      </c>
    </row>
    <row r="275" customFormat="false" ht="15" hidden="false" customHeight="false" outlineLevel="0" collapsed="false">
      <c r="A275" s="79" t="s">
        <v>224</v>
      </c>
      <c r="B275" s="79" t="s">
        <v>318</v>
      </c>
      <c r="C275" s="80" t="n">
        <v>2020</v>
      </c>
      <c r="D275" s="80" t="n">
        <v>3</v>
      </c>
      <c r="E275" s="81" t="n">
        <v>44104</v>
      </c>
      <c r="F275" s="79" t="s">
        <v>271</v>
      </c>
      <c r="G275" s="79" t="s">
        <v>272</v>
      </c>
      <c r="H275" s="79" t="s">
        <v>268</v>
      </c>
      <c r="I275" s="82" t="n">
        <v>1175.849</v>
      </c>
      <c r="J275" s="82" t="n">
        <v>130.817</v>
      </c>
      <c r="K275" s="82" t="n">
        <v>-6053000</v>
      </c>
      <c r="L275" s="83" t="n">
        <v>-0.11</v>
      </c>
      <c r="M275" s="82" t="n">
        <v>53.5873</v>
      </c>
      <c r="N275" s="82" t="n">
        <v>0</v>
      </c>
      <c r="O275" s="82" t="n">
        <v>280.658</v>
      </c>
      <c r="P275" s="83"/>
      <c r="Q275" s="83" t="n">
        <v>14.35</v>
      </c>
      <c r="R275" s="47" t="n">
        <v>24</v>
      </c>
      <c r="S275" s="66" t="s">
        <v>570</v>
      </c>
    </row>
    <row r="276" customFormat="false" ht="15" hidden="false" customHeight="false" outlineLevel="0" collapsed="false">
      <c r="A276" s="79" t="s">
        <v>195</v>
      </c>
      <c r="B276" s="79" t="s">
        <v>265</v>
      </c>
      <c r="C276" s="80" t="n">
        <v>2026</v>
      </c>
      <c r="D276" s="80" t="n">
        <v>3</v>
      </c>
      <c r="E276" s="81" t="n">
        <v>46295</v>
      </c>
      <c r="F276" s="79" t="s">
        <v>266</v>
      </c>
      <c r="G276" s="79" t="s">
        <v>267</v>
      </c>
      <c r="H276" s="79" t="s">
        <v>268</v>
      </c>
      <c r="I276" s="82"/>
      <c r="J276" s="82"/>
      <c r="K276" s="82"/>
      <c r="L276" s="83" t="n">
        <v>9.57273</v>
      </c>
      <c r="M276" s="82"/>
      <c r="N276" s="82"/>
      <c r="O276" s="82"/>
      <c r="P276" s="83"/>
      <c r="Q276" s="83"/>
      <c r="R276" s="47" t="n">
        <v>0</v>
      </c>
      <c r="S276" s="66" t="s">
        <v>571</v>
      </c>
    </row>
    <row r="277" customFormat="false" ht="15" hidden="false" customHeight="false" outlineLevel="0" collapsed="false">
      <c r="A277" s="79" t="s">
        <v>195</v>
      </c>
      <c r="B277" s="79" t="s">
        <v>270</v>
      </c>
      <c r="C277" s="80" t="n">
        <v>2026</v>
      </c>
      <c r="D277" s="80" t="n">
        <v>2</v>
      </c>
      <c r="E277" s="81" t="n">
        <v>46203</v>
      </c>
      <c r="F277" s="79" t="s">
        <v>271</v>
      </c>
      <c r="G277" s="79" t="s">
        <v>272</v>
      </c>
      <c r="H277" s="79" t="s">
        <v>268</v>
      </c>
      <c r="I277" s="82" t="n">
        <v>28660.098</v>
      </c>
      <c r="J277" s="82" t="n">
        <v>12156.801</v>
      </c>
      <c r="K277" s="82" t="n">
        <v>6327860000</v>
      </c>
      <c r="L277" s="83" t="n">
        <v>10.4</v>
      </c>
      <c r="M277" s="82" t="n">
        <v>608.5115</v>
      </c>
      <c r="N277" s="82" t="n">
        <v>0</v>
      </c>
      <c r="O277" s="82" t="n">
        <v>68961.06</v>
      </c>
      <c r="P277" s="83" t="n">
        <v>0</v>
      </c>
      <c r="Q277" s="83" t="n">
        <v>535</v>
      </c>
      <c r="R277" s="47" t="n">
        <v>1</v>
      </c>
      <c r="S277" s="66" t="s">
        <v>572</v>
      </c>
    </row>
    <row r="278" customFormat="false" ht="15" hidden="false" customHeight="false" outlineLevel="0" collapsed="false">
      <c r="A278" s="79" t="s">
        <v>195</v>
      </c>
      <c r="B278" s="79" t="s">
        <v>274</v>
      </c>
      <c r="C278" s="80" t="n">
        <v>2026</v>
      </c>
      <c r="D278" s="80" t="n">
        <v>1</v>
      </c>
      <c r="E278" s="81" t="n">
        <v>46112</v>
      </c>
      <c r="F278" s="79" t="s">
        <v>271</v>
      </c>
      <c r="G278" s="79" t="s">
        <v>272</v>
      </c>
      <c r="H278" s="79" t="s">
        <v>268</v>
      </c>
      <c r="I278" s="82" t="n">
        <v>23145.303</v>
      </c>
      <c r="J278" s="82" t="n">
        <v>9039.901</v>
      </c>
      <c r="K278" s="82" t="n">
        <v>3767112000</v>
      </c>
      <c r="L278" s="83" t="n">
        <v>6.19</v>
      </c>
      <c r="M278" s="82" t="n">
        <v>608.5115</v>
      </c>
      <c r="N278" s="82" t="n">
        <v>0</v>
      </c>
      <c r="O278" s="82" t="n">
        <v>71927.815</v>
      </c>
      <c r="P278" s="83" t="n">
        <v>0</v>
      </c>
      <c r="Q278" s="83" t="n">
        <v>379.5</v>
      </c>
      <c r="R278" s="47" t="n">
        <v>2</v>
      </c>
      <c r="S278" s="66" t="s">
        <v>573</v>
      </c>
    </row>
    <row r="279" customFormat="false" ht="15" hidden="false" customHeight="false" outlineLevel="0" collapsed="false">
      <c r="A279" s="79" t="s">
        <v>195</v>
      </c>
      <c r="B279" s="79" t="s">
        <v>276</v>
      </c>
      <c r="C279" s="80" t="n">
        <v>2025</v>
      </c>
      <c r="D279" s="80" t="n">
        <v>4</v>
      </c>
      <c r="E279" s="81" t="n">
        <v>46022</v>
      </c>
      <c r="F279" s="79" t="s">
        <v>271</v>
      </c>
      <c r="G279" s="79" t="s">
        <v>272</v>
      </c>
      <c r="H279" s="79" t="s">
        <v>268</v>
      </c>
      <c r="I279" s="82" t="n">
        <v>22817.209</v>
      </c>
      <c r="J279" s="82" t="n">
        <v>8712.827</v>
      </c>
      <c r="K279" s="82" t="n">
        <v>3689810000</v>
      </c>
      <c r="L279" s="83" t="n">
        <v>6.07</v>
      </c>
      <c r="M279" s="82" t="n">
        <v>608.5115</v>
      </c>
      <c r="N279" s="82" t="n">
        <v>0</v>
      </c>
      <c r="O279" s="82" t="n">
        <v>67739.247</v>
      </c>
      <c r="P279" s="83" t="n">
        <v>0</v>
      </c>
      <c r="Q279" s="83" t="n">
        <v>374</v>
      </c>
      <c r="R279" s="47" t="n">
        <v>3</v>
      </c>
      <c r="S279" s="66" t="s">
        <v>574</v>
      </c>
    </row>
    <row r="280" customFormat="false" ht="15" hidden="false" customHeight="false" outlineLevel="0" collapsed="false">
      <c r="A280" s="79" t="s">
        <v>195</v>
      </c>
      <c r="B280" s="79" t="s">
        <v>278</v>
      </c>
      <c r="C280" s="80" t="n">
        <v>2025</v>
      </c>
      <c r="D280" s="80" t="n">
        <v>3</v>
      </c>
      <c r="E280" s="81" t="n">
        <v>45930</v>
      </c>
      <c r="F280" s="79" t="s">
        <v>271</v>
      </c>
      <c r="G280" s="79" t="s">
        <v>272</v>
      </c>
      <c r="H280" s="79" t="s">
        <v>268</v>
      </c>
      <c r="I280" s="82" t="n">
        <v>24573.67</v>
      </c>
      <c r="J280" s="82" t="n">
        <v>8918.821</v>
      </c>
      <c r="K280" s="82" t="n">
        <v>3654824000</v>
      </c>
      <c r="L280" s="83" t="n">
        <v>6.01</v>
      </c>
      <c r="M280" s="82" t="n">
        <v>608.5115</v>
      </c>
      <c r="N280" s="82" t="n">
        <v>0</v>
      </c>
      <c r="O280" s="82" t="n">
        <v>63580.896</v>
      </c>
      <c r="P280" s="83" t="n">
        <v>28</v>
      </c>
      <c r="Q280" s="83" t="n">
        <v>426.5</v>
      </c>
      <c r="R280" s="47" t="n">
        <v>4</v>
      </c>
      <c r="S280" s="66" t="s">
        <v>575</v>
      </c>
    </row>
    <row r="281" customFormat="false" ht="15" hidden="false" customHeight="false" outlineLevel="0" collapsed="false">
      <c r="A281" s="79" t="s">
        <v>195</v>
      </c>
      <c r="B281" s="79" t="s">
        <v>280</v>
      </c>
      <c r="C281" s="80" t="n">
        <v>2025</v>
      </c>
      <c r="D281" s="80" t="n">
        <v>2</v>
      </c>
      <c r="E281" s="81" t="n">
        <v>45838</v>
      </c>
      <c r="F281" s="79" t="s">
        <v>271</v>
      </c>
      <c r="G281" s="79" t="s">
        <v>272</v>
      </c>
      <c r="H281" s="79" t="s">
        <v>268</v>
      </c>
      <c r="I281" s="82" t="n">
        <v>26152.063</v>
      </c>
      <c r="J281" s="82" t="n">
        <v>9493.648</v>
      </c>
      <c r="K281" s="82" t="n">
        <v>3739254000</v>
      </c>
      <c r="L281" s="83" t="n">
        <v>6.14</v>
      </c>
      <c r="M281" s="82" t="n">
        <v>608.5115</v>
      </c>
      <c r="N281" s="82" t="n">
        <v>0</v>
      </c>
      <c r="O281" s="82" t="n">
        <v>59641.644</v>
      </c>
      <c r="P281" s="83" t="n">
        <v>0</v>
      </c>
      <c r="Q281" s="83" t="n">
        <v>545</v>
      </c>
      <c r="R281" s="47" t="n">
        <v>5</v>
      </c>
      <c r="S281" s="66" t="s">
        <v>576</v>
      </c>
    </row>
    <row r="282" customFormat="false" ht="15" hidden="false" customHeight="false" outlineLevel="0" collapsed="false">
      <c r="A282" s="79" t="s">
        <v>195</v>
      </c>
      <c r="B282" s="79" t="s">
        <v>282</v>
      </c>
      <c r="C282" s="80" t="n">
        <v>2025</v>
      </c>
      <c r="D282" s="80" t="n">
        <v>1</v>
      </c>
      <c r="E282" s="81" t="n">
        <v>45747</v>
      </c>
      <c r="F282" s="79" t="s">
        <v>271</v>
      </c>
      <c r="G282" s="79" t="s">
        <v>272</v>
      </c>
      <c r="H282" s="79" t="s">
        <v>268</v>
      </c>
      <c r="I282" s="82" t="n">
        <v>27120.202</v>
      </c>
      <c r="J282" s="82" t="n">
        <v>10782.716</v>
      </c>
      <c r="K282" s="82" t="n">
        <v>5263805000</v>
      </c>
      <c r="L282" s="83" t="n">
        <v>8.65</v>
      </c>
      <c r="M282" s="82" t="n">
        <v>608.5115</v>
      </c>
      <c r="N282" s="82" t="n">
        <v>0</v>
      </c>
      <c r="O282" s="82" t="n">
        <v>73131.074</v>
      </c>
      <c r="P282" s="83" t="n">
        <v>0</v>
      </c>
      <c r="Q282" s="83" t="n">
        <v>545</v>
      </c>
      <c r="R282" s="47" t="n">
        <v>6</v>
      </c>
      <c r="S282" s="66" t="s">
        <v>577</v>
      </c>
    </row>
    <row r="283" customFormat="false" ht="15" hidden="false" customHeight="false" outlineLevel="0" collapsed="false">
      <c r="A283" s="79" t="s">
        <v>195</v>
      </c>
      <c r="B283" s="79" t="s">
        <v>284</v>
      </c>
      <c r="C283" s="80" t="n">
        <v>2024</v>
      </c>
      <c r="D283" s="80" t="n">
        <v>4</v>
      </c>
      <c r="E283" s="81" t="n">
        <v>45657</v>
      </c>
      <c r="F283" s="79" t="s">
        <v>271</v>
      </c>
      <c r="G283" s="79" t="s">
        <v>272</v>
      </c>
      <c r="H283" s="79" t="s">
        <v>268</v>
      </c>
      <c r="I283" s="82" t="n">
        <v>25262.519</v>
      </c>
      <c r="J283" s="82" t="n">
        <v>9980.564</v>
      </c>
      <c r="K283" s="82" t="n">
        <v>4801366000</v>
      </c>
      <c r="L283" s="83" t="n">
        <v>7.89</v>
      </c>
      <c r="M283" s="82" t="n">
        <v>608.5115</v>
      </c>
      <c r="N283" s="82" t="n">
        <v>0</v>
      </c>
      <c r="O283" s="82" t="n">
        <v>67923.372</v>
      </c>
      <c r="P283" s="83" t="n">
        <v>0</v>
      </c>
      <c r="Q283" s="83" t="n">
        <v>502</v>
      </c>
      <c r="R283" s="47" t="n">
        <v>7</v>
      </c>
      <c r="S283" s="66" t="s">
        <v>578</v>
      </c>
    </row>
    <row r="284" customFormat="false" ht="15" hidden="false" customHeight="false" outlineLevel="0" collapsed="false">
      <c r="A284" s="79" t="s">
        <v>195</v>
      </c>
      <c r="B284" s="79" t="s">
        <v>286</v>
      </c>
      <c r="C284" s="80" t="n">
        <v>2024</v>
      </c>
      <c r="D284" s="80" t="n">
        <v>3</v>
      </c>
      <c r="E284" s="81" t="n">
        <v>45565</v>
      </c>
      <c r="F284" s="79" t="s">
        <v>271</v>
      </c>
      <c r="G284" s="79" t="s">
        <v>272</v>
      </c>
      <c r="H284" s="79" t="s">
        <v>268</v>
      </c>
      <c r="I284" s="82" t="n">
        <v>27866.328</v>
      </c>
      <c r="J284" s="82" t="n">
        <v>11073.966</v>
      </c>
      <c r="K284" s="82" t="n">
        <v>5258457000</v>
      </c>
      <c r="L284" s="83" t="n">
        <v>8.64</v>
      </c>
      <c r="M284" s="82" t="n">
        <v>608.5115</v>
      </c>
      <c r="N284" s="82" t="n">
        <v>0</v>
      </c>
      <c r="O284" s="82" t="n">
        <v>63457.777</v>
      </c>
      <c r="P284" s="83" t="n">
        <v>32</v>
      </c>
      <c r="Q284" s="83" t="n">
        <v>518</v>
      </c>
      <c r="R284" s="47" t="n">
        <v>8</v>
      </c>
      <c r="S284" s="66" t="s">
        <v>579</v>
      </c>
    </row>
    <row r="285" customFormat="false" ht="15" hidden="false" customHeight="false" outlineLevel="0" collapsed="false">
      <c r="A285" s="79" t="s">
        <v>195</v>
      </c>
      <c r="B285" s="79" t="s">
        <v>288</v>
      </c>
      <c r="C285" s="80" t="n">
        <v>2024</v>
      </c>
      <c r="D285" s="80" t="n">
        <v>2</v>
      </c>
      <c r="E285" s="81" t="n">
        <v>45473</v>
      </c>
      <c r="F285" s="79" t="s">
        <v>271</v>
      </c>
      <c r="G285" s="79" t="s">
        <v>272</v>
      </c>
      <c r="H285" s="79" t="s">
        <v>268</v>
      </c>
      <c r="I285" s="82" t="n">
        <v>25231.019</v>
      </c>
      <c r="J285" s="82" t="n">
        <v>10380.151</v>
      </c>
      <c r="K285" s="82" t="n">
        <v>5388565000</v>
      </c>
      <c r="L285" s="83" t="n">
        <v>8.86</v>
      </c>
      <c r="M285" s="82" t="n">
        <v>608.5115</v>
      </c>
      <c r="N285" s="82" t="n">
        <v>0</v>
      </c>
      <c r="O285" s="82" t="n">
        <v>58153.523</v>
      </c>
      <c r="P285" s="83" t="n">
        <v>0</v>
      </c>
      <c r="Q285" s="83" t="n">
        <v>606</v>
      </c>
      <c r="R285" s="47" t="n">
        <v>9</v>
      </c>
      <c r="S285" s="66" t="s">
        <v>580</v>
      </c>
    </row>
    <row r="286" customFormat="false" ht="15" hidden="false" customHeight="false" outlineLevel="0" collapsed="false">
      <c r="A286" s="79" t="s">
        <v>195</v>
      </c>
      <c r="B286" s="79" t="s">
        <v>290</v>
      </c>
      <c r="C286" s="80" t="n">
        <v>2024</v>
      </c>
      <c r="D286" s="80" t="n">
        <v>1</v>
      </c>
      <c r="E286" s="81" t="n">
        <v>45382</v>
      </c>
      <c r="F286" s="79" t="s">
        <v>271</v>
      </c>
      <c r="G286" s="79" t="s">
        <v>272</v>
      </c>
      <c r="H286" s="79" t="s">
        <v>268</v>
      </c>
      <c r="I286" s="82" t="n">
        <v>24427.885</v>
      </c>
      <c r="J286" s="82" t="n">
        <v>10037.675</v>
      </c>
      <c r="K286" s="82" t="n">
        <v>4893633000</v>
      </c>
      <c r="L286" s="83" t="n">
        <v>8.04</v>
      </c>
      <c r="M286" s="82" t="n">
        <v>608.5115</v>
      </c>
      <c r="N286" s="82" t="n">
        <v>0</v>
      </c>
      <c r="O286" s="82" t="n">
        <v>72098.281</v>
      </c>
      <c r="P286" s="83" t="n">
        <v>0</v>
      </c>
      <c r="Q286" s="83" t="n">
        <v>604</v>
      </c>
      <c r="R286" s="47" t="n">
        <v>10</v>
      </c>
      <c r="S286" s="66" t="s">
        <v>581</v>
      </c>
    </row>
    <row r="287" customFormat="false" ht="15" hidden="false" customHeight="false" outlineLevel="0" collapsed="false">
      <c r="A287" s="79" t="s">
        <v>195</v>
      </c>
      <c r="B287" s="79" t="s">
        <v>292</v>
      </c>
      <c r="C287" s="80" t="n">
        <v>2023</v>
      </c>
      <c r="D287" s="80" t="n">
        <v>4</v>
      </c>
      <c r="E287" s="81" t="n">
        <v>45291</v>
      </c>
      <c r="F287" s="79" t="s">
        <v>271</v>
      </c>
      <c r="G287" s="79" t="s">
        <v>272</v>
      </c>
      <c r="H287" s="79" t="s">
        <v>268</v>
      </c>
      <c r="I287" s="82" t="n">
        <v>27153.825</v>
      </c>
      <c r="J287" s="82" t="n">
        <v>11263.599</v>
      </c>
      <c r="K287" s="82" t="n">
        <v>5327953000</v>
      </c>
      <c r="L287" s="83" t="n">
        <v>8.76</v>
      </c>
      <c r="M287" s="82" t="n">
        <v>608.5115</v>
      </c>
      <c r="N287" s="82" t="n">
        <v>0</v>
      </c>
      <c r="O287" s="82" t="n">
        <v>67216.762</v>
      </c>
      <c r="P287" s="83" t="n">
        <v>0</v>
      </c>
      <c r="Q287" s="83" t="n">
        <v>517</v>
      </c>
      <c r="R287" s="47" t="n">
        <v>11</v>
      </c>
      <c r="S287" s="66" t="s">
        <v>582</v>
      </c>
    </row>
    <row r="288" customFormat="false" ht="15" hidden="false" customHeight="false" outlineLevel="0" collapsed="false">
      <c r="A288" s="79" t="s">
        <v>195</v>
      </c>
      <c r="B288" s="79" t="s">
        <v>294</v>
      </c>
      <c r="C288" s="80" t="n">
        <v>2023</v>
      </c>
      <c r="D288" s="80" t="n">
        <v>3</v>
      </c>
      <c r="E288" s="81" t="n">
        <v>45199</v>
      </c>
      <c r="F288" s="79" t="s">
        <v>271</v>
      </c>
      <c r="G288" s="79" t="s">
        <v>272</v>
      </c>
      <c r="H288" s="79" t="s">
        <v>268</v>
      </c>
      <c r="I288" s="82" t="n">
        <v>28929.962</v>
      </c>
      <c r="J288" s="82" t="n">
        <v>12222.668</v>
      </c>
      <c r="K288" s="82" t="n">
        <v>6365821000</v>
      </c>
      <c r="L288" s="83" t="n">
        <v>10.46</v>
      </c>
      <c r="M288" s="82" t="n">
        <v>608.5115</v>
      </c>
      <c r="N288" s="82" t="n">
        <v>0</v>
      </c>
      <c r="O288" s="82" t="n">
        <v>61657.439</v>
      </c>
      <c r="P288" s="83" t="n">
        <v>37</v>
      </c>
      <c r="Q288" s="83" t="n">
        <v>423</v>
      </c>
      <c r="R288" s="47" t="n">
        <v>12</v>
      </c>
      <c r="S288" s="66" t="s">
        <v>583</v>
      </c>
    </row>
    <row r="289" customFormat="false" ht="15" hidden="false" customHeight="false" outlineLevel="0" collapsed="false">
      <c r="A289" s="79" t="s">
        <v>195</v>
      </c>
      <c r="B289" s="79" t="s">
        <v>296</v>
      </c>
      <c r="C289" s="80" t="n">
        <v>2023</v>
      </c>
      <c r="D289" s="80" t="n">
        <v>2</v>
      </c>
      <c r="E289" s="81" t="n">
        <v>45107</v>
      </c>
      <c r="F289" s="79" t="s">
        <v>271</v>
      </c>
      <c r="G289" s="79" t="s">
        <v>272</v>
      </c>
      <c r="H289" s="79" t="s">
        <v>268</v>
      </c>
      <c r="I289" s="82" t="n">
        <v>30299.029</v>
      </c>
      <c r="J289" s="82" t="n">
        <v>12646.823</v>
      </c>
      <c r="K289" s="82" t="n">
        <v>6871899000</v>
      </c>
      <c r="L289" s="83" t="n">
        <v>11.29</v>
      </c>
      <c r="M289" s="82" t="n">
        <v>608.5115</v>
      </c>
      <c r="N289" s="82" t="n">
        <v>0</v>
      </c>
      <c r="O289" s="82" t="n">
        <v>55216.656</v>
      </c>
      <c r="P289" s="83" t="n">
        <v>0</v>
      </c>
      <c r="Q289" s="83" t="n">
        <v>426.5</v>
      </c>
      <c r="R289" s="47" t="n">
        <v>13</v>
      </c>
      <c r="S289" s="66" t="s">
        <v>584</v>
      </c>
    </row>
    <row r="290" customFormat="false" ht="15" hidden="false" customHeight="false" outlineLevel="0" collapsed="false">
      <c r="A290" s="79" t="s">
        <v>195</v>
      </c>
      <c r="B290" s="79" t="s">
        <v>298</v>
      </c>
      <c r="C290" s="80" t="n">
        <v>2023</v>
      </c>
      <c r="D290" s="80" t="n">
        <v>1</v>
      </c>
      <c r="E290" s="81" t="n">
        <v>45016</v>
      </c>
      <c r="F290" s="79" t="s">
        <v>271</v>
      </c>
      <c r="G290" s="79" t="s">
        <v>272</v>
      </c>
      <c r="H290" s="79" t="s">
        <v>268</v>
      </c>
      <c r="I290" s="82" t="n">
        <v>24045.882</v>
      </c>
      <c r="J290" s="82" t="n">
        <v>10078.803</v>
      </c>
      <c r="K290" s="82" t="n">
        <v>4751836000</v>
      </c>
      <c r="L290" s="83" t="n">
        <v>7.81</v>
      </c>
      <c r="M290" s="82" t="n">
        <v>608.5115</v>
      </c>
      <c r="N290" s="82" t="n">
        <v>0</v>
      </c>
      <c r="O290" s="82" t="n">
        <v>70945.808</v>
      </c>
      <c r="P290" s="83" t="n">
        <v>0</v>
      </c>
      <c r="Q290" s="83" t="n">
        <v>431.5</v>
      </c>
      <c r="R290" s="47" t="n">
        <v>14</v>
      </c>
      <c r="S290" s="66" t="s">
        <v>585</v>
      </c>
    </row>
    <row r="291" customFormat="false" ht="15" hidden="false" customHeight="false" outlineLevel="0" collapsed="false">
      <c r="A291" s="79" t="s">
        <v>195</v>
      </c>
      <c r="B291" s="79" t="s">
        <v>300</v>
      </c>
      <c r="C291" s="80" t="n">
        <v>2022</v>
      </c>
      <c r="D291" s="80" t="n">
        <v>4</v>
      </c>
      <c r="E291" s="81" t="n">
        <v>44926</v>
      </c>
      <c r="F291" s="79" t="s">
        <v>271</v>
      </c>
      <c r="G291" s="79" t="s">
        <v>272</v>
      </c>
      <c r="H291" s="79" t="s">
        <v>268</v>
      </c>
      <c r="I291" s="82" t="n">
        <v>22420.161</v>
      </c>
      <c r="J291" s="82" t="n">
        <v>9090.355</v>
      </c>
      <c r="K291" s="82" t="n">
        <v>4042779000</v>
      </c>
      <c r="L291" s="83" t="n">
        <v>6.64</v>
      </c>
      <c r="M291" s="82" t="n">
        <v>608.5115</v>
      </c>
      <c r="N291" s="82" t="n">
        <v>0</v>
      </c>
      <c r="O291" s="82" t="n">
        <v>65570.205</v>
      </c>
      <c r="P291" s="83" t="n">
        <v>0</v>
      </c>
      <c r="Q291" s="83" t="n">
        <v>315.5</v>
      </c>
      <c r="R291" s="47" t="n">
        <v>15</v>
      </c>
      <c r="S291" s="66" t="s">
        <v>586</v>
      </c>
    </row>
    <row r="292" customFormat="false" ht="15" hidden="false" customHeight="false" outlineLevel="0" collapsed="false">
      <c r="A292" s="79" t="s">
        <v>195</v>
      </c>
      <c r="B292" s="79" t="s">
        <v>302</v>
      </c>
      <c r="C292" s="80" t="n">
        <v>2022</v>
      </c>
      <c r="D292" s="80" t="n">
        <v>3</v>
      </c>
      <c r="E292" s="81" t="n">
        <v>44834</v>
      </c>
      <c r="F292" s="79" t="s">
        <v>271</v>
      </c>
      <c r="G292" s="79" t="s">
        <v>272</v>
      </c>
      <c r="H292" s="79" t="s">
        <v>268</v>
      </c>
      <c r="I292" s="82" t="n">
        <v>19563.686</v>
      </c>
      <c r="J292" s="82" t="n">
        <v>8344.293</v>
      </c>
      <c r="K292" s="82" t="n">
        <v>4305080000</v>
      </c>
      <c r="L292" s="83" t="n">
        <v>7.07</v>
      </c>
      <c r="M292" s="82" t="n">
        <v>608.5115</v>
      </c>
      <c r="N292" s="82" t="n">
        <v>0</v>
      </c>
      <c r="O292" s="82" t="n">
        <v>61301.496</v>
      </c>
      <c r="P292" s="83" t="n">
        <v>51.5</v>
      </c>
      <c r="Q292" s="83" t="n">
        <v>219</v>
      </c>
      <c r="R292" s="47" t="n">
        <v>16</v>
      </c>
      <c r="S292" s="66" t="s">
        <v>587</v>
      </c>
    </row>
    <row r="293" customFormat="false" ht="15" hidden="false" customHeight="false" outlineLevel="0" collapsed="false">
      <c r="A293" s="79" t="s">
        <v>195</v>
      </c>
      <c r="B293" s="79" t="s">
        <v>304</v>
      </c>
      <c r="C293" s="80" t="n">
        <v>2022</v>
      </c>
      <c r="D293" s="80" t="n">
        <v>2</v>
      </c>
      <c r="E293" s="81" t="n">
        <v>44742</v>
      </c>
      <c r="F293" s="79" t="s">
        <v>271</v>
      </c>
      <c r="G293" s="79" t="s">
        <v>272</v>
      </c>
      <c r="H293" s="79" t="s">
        <v>268</v>
      </c>
      <c r="I293" s="82" t="n">
        <v>31461.142</v>
      </c>
      <c r="J293" s="82" t="n">
        <v>14982.46</v>
      </c>
      <c r="K293" s="82" t="n">
        <v>8486735000</v>
      </c>
      <c r="L293" s="83" t="n">
        <v>13.95</v>
      </c>
      <c r="M293" s="82" t="n">
        <v>608.5115</v>
      </c>
      <c r="N293" s="82" t="n">
        <v>0</v>
      </c>
      <c r="O293" s="82" t="n">
        <v>57213.395</v>
      </c>
      <c r="P293" s="83" t="n">
        <v>0</v>
      </c>
      <c r="Q293" s="83" t="n">
        <v>302</v>
      </c>
      <c r="R293" s="47" t="n">
        <v>17</v>
      </c>
      <c r="S293" s="66" t="s">
        <v>588</v>
      </c>
    </row>
    <row r="294" customFormat="false" ht="15" hidden="false" customHeight="false" outlineLevel="0" collapsed="false">
      <c r="A294" s="79" t="s">
        <v>195</v>
      </c>
      <c r="B294" s="79" t="s">
        <v>306</v>
      </c>
      <c r="C294" s="80" t="n">
        <v>2022</v>
      </c>
      <c r="D294" s="80" t="n">
        <v>1</v>
      </c>
      <c r="E294" s="81" t="n">
        <v>44651</v>
      </c>
      <c r="F294" s="79" t="s">
        <v>271</v>
      </c>
      <c r="G294" s="79" t="s">
        <v>272</v>
      </c>
      <c r="H294" s="79" t="s">
        <v>268</v>
      </c>
      <c r="I294" s="82" t="n">
        <v>36511.685</v>
      </c>
      <c r="J294" s="82" t="n">
        <v>18524.079</v>
      </c>
      <c r="K294" s="82" t="n">
        <v>11134928000</v>
      </c>
      <c r="L294" s="83" t="n">
        <v>18.3</v>
      </c>
      <c r="M294" s="82" t="n">
        <v>608.5115</v>
      </c>
      <c r="N294" s="82" t="n">
        <v>0</v>
      </c>
      <c r="O294" s="82" t="n">
        <v>80907.797</v>
      </c>
      <c r="P294" s="83" t="n">
        <v>0</v>
      </c>
      <c r="Q294" s="83" t="n">
        <v>426.5</v>
      </c>
      <c r="R294" s="47" t="n">
        <v>18</v>
      </c>
      <c r="S294" s="66" t="s">
        <v>589</v>
      </c>
    </row>
    <row r="295" customFormat="false" ht="15" hidden="false" customHeight="false" outlineLevel="0" collapsed="false">
      <c r="A295" s="79" t="s">
        <v>195</v>
      </c>
      <c r="B295" s="79" t="s">
        <v>308</v>
      </c>
      <c r="C295" s="80" t="n">
        <v>2021</v>
      </c>
      <c r="D295" s="80" t="n">
        <v>4</v>
      </c>
      <c r="E295" s="81" t="n">
        <v>44561</v>
      </c>
      <c r="F295" s="79" t="s">
        <v>271</v>
      </c>
      <c r="G295" s="79" t="s">
        <v>272</v>
      </c>
      <c r="H295" s="79" t="s">
        <v>268</v>
      </c>
      <c r="I295" s="82" t="n">
        <v>36542.106</v>
      </c>
      <c r="J295" s="82" t="n">
        <v>18800.964</v>
      </c>
      <c r="K295" s="82" t="n">
        <v>10933240000</v>
      </c>
      <c r="L295" s="83" t="n">
        <v>17.97</v>
      </c>
      <c r="M295" s="82" t="n">
        <v>608.5115</v>
      </c>
      <c r="N295" s="82" t="n">
        <v>0</v>
      </c>
      <c r="O295" s="82" t="n">
        <v>70451.323</v>
      </c>
      <c r="P295" s="83" t="n">
        <v>0</v>
      </c>
      <c r="Q295" s="83" t="n">
        <v>539</v>
      </c>
      <c r="R295" s="47" t="n">
        <v>19</v>
      </c>
      <c r="S295" s="66" t="s">
        <v>590</v>
      </c>
    </row>
    <row r="296" customFormat="false" ht="15" hidden="false" customHeight="false" outlineLevel="0" collapsed="false">
      <c r="A296" s="79" t="s">
        <v>195</v>
      </c>
      <c r="B296" s="79" t="s">
        <v>310</v>
      </c>
      <c r="C296" s="80" t="n">
        <v>2021</v>
      </c>
      <c r="D296" s="80" t="n">
        <v>3</v>
      </c>
      <c r="E296" s="81" t="n">
        <v>44469</v>
      </c>
      <c r="F296" s="79" t="s">
        <v>271</v>
      </c>
      <c r="G296" s="79" t="s">
        <v>272</v>
      </c>
      <c r="H296" s="79" t="s">
        <v>268</v>
      </c>
      <c r="I296" s="82" t="n">
        <v>38345.587</v>
      </c>
      <c r="J296" s="82" t="n">
        <v>19917.256</v>
      </c>
      <c r="K296" s="82" t="n">
        <v>12271038000</v>
      </c>
      <c r="L296" s="83" t="n">
        <v>20.17</v>
      </c>
      <c r="M296" s="82" t="n">
        <v>608.5115</v>
      </c>
      <c r="N296" s="82" t="n">
        <v>0</v>
      </c>
      <c r="O296" s="82" t="n">
        <v>59279.226</v>
      </c>
      <c r="P296" s="83" t="n">
        <v>15.6</v>
      </c>
      <c r="Q296" s="83" t="n">
        <v>410</v>
      </c>
      <c r="R296" s="47" t="n">
        <v>20</v>
      </c>
      <c r="S296" s="66" t="s">
        <v>591</v>
      </c>
    </row>
    <row r="297" customFormat="false" ht="15" hidden="false" customHeight="false" outlineLevel="0" collapsed="false">
      <c r="A297" s="79" t="s">
        <v>195</v>
      </c>
      <c r="B297" s="79" t="s">
        <v>312</v>
      </c>
      <c r="C297" s="80" t="n">
        <v>2021</v>
      </c>
      <c r="D297" s="80" t="n">
        <v>2</v>
      </c>
      <c r="E297" s="81" t="n">
        <v>44377</v>
      </c>
      <c r="F297" s="79" t="s">
        <v>271</v>
      </c>
      <c r="G297" s="79" t="s">
        <v>272</v>
      </c>
      <c r="H297" s="79" t="s">
        <v>268</v>
      </c>
      <c r="I297" s="82" t="n">
        <v>34111.302</v>
      </c>
      <c r="J297" s="82" t="n">
        <v>17166.736</v>
      </c>
      <c r="K297" s="82" t="n">
        <v>9786068000</v>
      </c>
      <c r="L297" s="83" t="n">
        <v>16.08</v>
      </c>
      <c r="M297" s="82" t="n">
        <v>608.5115</v>
      </c>
      <c r="N297" s="82" t="n">
        <v>0</v>
      </c>
      <c r="O297" s="82" t="n">
        <v>46461.763</v>
      </c>
      <c r="P297" s="83" t="n">
        <v>0</v>
      </c>
      <c r="Q297" s="83" t="n">
        <v>499</v>
      </c>
      <c r="R297" s="47" t="n">
        <v>21</v>
      </c>
      <c r="S297" s="66" t="s">
        <v>592</v>
      </c>
    </row>
    <row r="298" customFormat="false" ht="15" hidden="false" customHeight="false" outlineLevel="0" collapsed="false">
      <c r="A298" s="79" t="s">
        <v>195</v>
      </c>
      <c r="B298" s="79" t="s">
        <v>314</v>
      </c>
      <c r="C298" s="80" t="n">
        <v>2021</v>
      </c>
      <c r="D298" s="80" t="n">
        <v>1</v>
      </c>
      <c r="E298" s="81" t="n">
        <v>44286</v>
      </c>
      <c r="F298" s="79" t="s">
        <v>271</v>
      </c>
      <c r="G298" s="79" t="s">
        <v>272</v>
      </c>
      <c r="H298" s="79" t="s">
        <v>268</v>
      </c>
      <c r="I298" s="82" t="n">
        <v>26366.515</v>
      </c>
      <c r="J298" s="82" t="n">
        <v>11506.568</v>
      </c>
      <c r="K298" s="82" t="n">
        <v>5875214000</v>
      </c>
      <c r="L298" s="83" t="n">
        <v>9.66</v>
      </c>
      <c r="M298" s="82" t="n">
        <v>608.5115</v>
      </c>
      <c r="N298" s="82" t="n">
        <v>0</v>
      </c>
      <c r="O298" s="82" t="n">
        <v>46019.727</v>
      </c>
      <c r="P298" s="83" t="n">
        <v>0</v>
      </c>
      <c r="Q298" s="83" t="n">
        <v>575</v>
      </c>
      <c r="R298" s="47" t="n">
        <v>22</v>
      </c>
      <c r="S298" s="66" t="s">
        <v>593</v>
      </c>
    </row>
    <row r="299" customFormat="false" ht="15" hidden="false" customHeight="false" outlineLevel="0" collapsed="false">
      <c r="A299" s="79" t="s">
        <v>195</v>
      </c>
      <c r="B299" s="79" t="s">
        <v>316</v>
      </c>
      <c r="C299" s="80" t="n">
        <v>2020</v>
      </c>
      <c r="D299" s="80" t="n">
        <v>4</v>
      </c>
      <c r="E299" s="81" t="n">
        <v>44196</v>
      </c>
      <c r="F299" s="79" t="s">
        <v>271</v>
      </c>
      <c r="G299" s="79" t="s">
        <v>272</v>
      </c>
      <c r="H299" s="79" t="s">
        <v>268</v>
      </c>
      <c r="I299" s="82" t="n">
        <v>22452.842</v>
      </c>
      <c r="J299" s="82" t="n">
        <v>8538.771</v>
      </c>
      <c r="K299" s="82" t="n">
        <v>3644209000</v>
      </c>
      <c r="L299" s="83" t="n">
        <v>5.99</v>
      </c>
      <c r="M299" s="82" t="n">
        <v>608.5115</v>
      </c>
      <c r="N299" s="82" t="n">
        <v>0</v>
      </c>
      <c r="O299" s="82" t="n">
        <v>39943.203</v>
      </c>
      <c r="P299" s="83" t="n">
        <v>0</v>
      </c>
      <c r="Q299" s="83" t="n">
        <v>369</v>
      </c>
      <c r="R299" s="47" t="n">
        <v>23</v>
      </c>
      <c r="S299" s="66" t="s">
        <v>594</v>
      </c>
    </row>
    <row r="300" customFormat="false" ht="15" hidden="false" customHeight="false" outlineLevel="0" collapsed="false">
      <c r="A300" s="79" t="s">
        <v>195</v>
      </c>
      <c r="B300" s="79" t="s">
        <v>318</v>
      </c>
      <c r="C300" s="80" t="n">
        <v>2020</v>
      </c>
      <c r="D300" s="80" t="n">
        <v>3</v>
      </c>
      <c r="E300" s="81" t="n">
        <v>44104</v>
      </c>
      <c r="F300" s="79" t="s">
        <v>271</v>
      </c>
      <c r="G300" s="79" t="s">
        <v>272</v>
      </c>
      <c r="H300" s="79" t="s">
        <v>268</v>
      </c>
      <c r="I300" s="82" t="n">
        <v>22001.236</v>
      </c>
      <c r="J300" s="82" t="n">
        <v>7580.021</v>
      </c>
      <c r="K300" s="82" t="n">
        <v>3405156000</v>
      </c>
      <c r="L300" s="83" t="n">
        <v>5.6</v>
      </c>
      <c r="M300" s="82" t="n">
        <v>608.5115</v>
      </c>
      <c r="N300" s="82" t="n">
        <v>0</v>
      </c>
      <c r="O300" s="82" t="n">
        <v>35469.351</v>
      </c>
      <c r="P300" s="83"/>
      <c r="Q300" s="83" t="n">
        <v>265.5</v>
      </c>
      <c r="R300" s="47" t="n">
        <v>24</v>
      </c>
      <c r="S300" s="66" t="s">
        <v>595</v>
      </c>
    </row>
    <row r="301" customFormat="false" ht="15" hidden="false" customHeight="false" outlineLevel="0" collapsed="false">
      <c r="A301" s="79" t="s">
        <v>210</v>
      </c>
      <c r="B301" s="79" t="s">
        <v>265</v>
      </c>
      <c r="C301" s="80" t="n">
        <v>2026</v>
      </c>
      <c r="D301" s="80" t="n">
        <v>3</v>
      </c>
      <c r="E301" s="81" t="n">
        <v>46295</v>
      </c>
      <c r="F301" s="79" t="s">
        <v>266</v>
      </c>
      <c r="G301" s="79" t="s">
        <v>267</v>
      </c>
      <c r="H301" s="79" t="s">
        <v>268</v>
      </c>
      <c r="I301" s="82"/>
      <c r="J301" s="82"/>
      <c r="K301" s="82"/>
      <c r="L301" s="83" t="n">
        <v>5.79</v>
      </c>
      <c r="M301" s="82"/>
      <c r="N301" s="82"/>
      <c r="O301" s="82"/>
      <c r="P301" s="83"/>
      <c r="Q301" s="83"/>
      <c r="R301" s="47" t="n">
        <v>0</v>
      </c>
      <c r="S301" s="66" t="s">
        <v>596</v>
      </c>
    </row>
    <row r="302" customFormat="false" ht="15" hidden="false" customHeight="false" outlineLevel="0" collapsed="false">
      <c r="A302" s="79" t="s">
        <v>210</v>
      </c>
      <c r="B302" s="79" t="s">
        <v>270</v>
      </c>
      <c r="C302" s="80" t="n">
        <v>2026</v>
      </c>
      <c r="D302" s="80" t="n">
        <v>2</v>
      </c>
      <c r="E302" s="81" t="n">
        <v>46203</v>
      </c>
      <c r="F302" s="79" t="s">
        <v>271</v>
      </c>
      <c r="G302" s="79" t="s">
        <v>272</v>
      </c>
      <c r="H302" s="79" t="s">
        <v>268</v>
      </c>
      <c r="I302" s="82" t="n">
        <v>1221.178</v>
      </c>
      <c r="J302" s="82" t="n">
        <v>701.611</v>
      </c>
      <c r="K302" s="82" t="n">
        <v>468487000</v>
      </c>
      <c r="L302" s="83" t="n">
        <v>4.62</v>
      </c>
      <c r="M302" s="82" t="n">
        <v>92.5173</v>
      </c>
      <c r="N302" s="82" t="n">
        <v>0</v>
      </c>
      <c r="O302" s="82" t="n">
        <v>4718.906</v>
      </c>
      <c r="P302" s="83" t="n">
        <v>0</v>
      </c>
      <c r="Q302" s="83" t="n">
        <v>2020</v>
      </c>
      <c r="R302" s="47" t="n">
        <v>1</v>
      </c>
      <c r="S302" s="66" t="s">
        <v>597</v>
      </c>
    </row>
    <row r="303" customFormat="false" ht="15" hidden="false" customHeight="false" outlineLevel="0" collapsed="false">
      <c r="A303" s="79" t="s">
        <v>210</v>
      </c>
      <c r="B303" s="79" t="s">
        <v>274</v>
      </c>
      <c r="C303" s="80" t="n">
        <v>2026</v>
      </c>
      <c r="D303" s="80" t="n">
        <v>1</v>
      </c>
      <c r="E303" s="81" t="n">
        <v>46112</v>
      </c>
      <c r="F303" s="79" t="s">
        <v>271</v>
      </c>
      <c r="G303" s="79" t="s">
        <v>272</v>
      </c>
      <c r="H303" s="79" t="s">
        <v>268</v>
      </c>
      <c r="I303" s="82" t="n">
        <v>904.389</v>
      </c>
      <c r="J303" s="82" t="n">
        <v>495.233</v>
      </c>
      <c r="K303" s="82" t="n">
        <v>317515000</v>
      </c>
      <c r="L303" s="83" t="n">
        <v>3.44</v>
      </c>
      <c r="M303" s="82" t="n">
        <v>92.5173</v>
      </c>
      <c r="N303" s="82" t="n">
        <v>0</v>
      </c>
      <c r="O303" s="82" t="n">
        <v>4239.556</v>
      </c>
      <c r="P303" s="83" t="n">
        <v>0</v>
      </c>
      <c r="Q303" s="83" t="n">
        <v>1575</v>
      </c>
      <c r="R303" s="47" t="n">
        <v>2</v>
      </c>
      <c r="S303" s="66" t="s">
        <v>598</v>
      </c>
    </row>
    <row r="304" customFormat="false" ht="15" hidden="false" customHeight="false" outlineLevel="0" collapsed="false">
      <c r="A304" s="79" t="s">
        <v>210</v>
      </c>
      <c r="B304" s="79" t="s">
        <v>276</v>
      </c>
      <c r="C304" s="80" t="n">
        <v>2025</v>
      </c>
      <c r="D304" s="80" t="n">
        <v>4</v>
      </c>
      <c r="E304" s="81" t="n">
        <v>46022</v>
      </c>
      <c r="F304" s="79" t="s">
        <v>271</v>
      </c>
      <c r="G304" s="79" t="s">
        <v>272</v>
      </c>
      <c r="H304" s="79" t="s">
        <v>268</v>
      </c>
      <c r="I304" s="82" t="n">
        <v>642.422</v>
      </c>
      <c r="J304" s="82" t="n">
        <v>312.659</v>
      </c>
      <c r="K304" s="82" t="n">
        <v>190333000</v>
      </c>
      <c r="L304" s="83" t="n">
        <v>2.07</v>
      </c>
      <c r="M304" s="82" t="n">
        <v>92.5214</v>
      </c>
      <c r="N304" s="82" t="n">
        <v>0</v>
      </c>
      <c r="O304" s="82" t="n">
        <v>4190.739</v>
      </c>
      <c r="P304" s="83" t="n">
        <v>0</v>
      </c>
      <c r="Q304" s="83" t="n">
        <v>613</v>
      </c>
      <c r="R304" s="47" t="n">
        <v>3</v>
      </c>
      <c r="S304" s="66" t="s">
        <v>599</v>
      </c>
    </row>
    <row r="305" customFormat="false" ht="15" hidden="false" customHeight="false" outlineLevel="0" collapsed="false">
      <c r="A305" s="79" t="s">
        <v>210</v>
      </c>
      <c r="B305" s="79" t="s">
        <v>278</v>
      </c>
      <c r="C305" s="80" t="n">
        <v>2025</v>
      </c>
      <c r="D305" s="80" t="n">
        <v>3</v>
      </c>
      <c r="E305" s="81" t="n">
        <v>45930</v>
      </c>
      <c r="F305" s="79" t="s">
        <v>271</v>
      </c>
      <c r="G305" s="79" t="s">
        <v>272</v>
      </c>
      <c r="H305" s="79" t="s">
        <v>268</v>
      </c>
      <c r="I305" s="82" t="n">
        <v>552.804</v>
      </c>
      <c r="J305" s="82" t="n">
        <v>241.218</v>
      </c>
      <c r="K305" s="82" t="n">
        <v>99013000</v>
      </c>
      <c r="L305" s="83" t="n">
        <v>1.08</v>
      </c>
      <c r="M305" s="82" t="n">
        <v>92.5214</v>
      </c>
      <c r="N305" s="82" t="n">
        <v>0</v>
      </c>
      <c r="O305" s="82" t="n">
        <v>3991.913</v>
      </c>
      <c r="P305" s="83" t="n">
        <v>0.50002215</v>
      </c>
      <c r="Q305" s="83" t="n">
        <v>455</v>
      </c>
      <c r="R305" s="47" t="n">
        <v>4</v>
      </c>
      <c r="S305" s="66" t="s">
        <v>600</v>
      </c>
    </row>
    <row r="306" customFormat="false" ht="15" hidden="false" customHeight="false" outlineLevel="0" collapsed="false">
      <c r="A306" s="79" t="s">
        <v>210</v>
      </c>
      <c r="B306" s="79" t="s">
        <v>280</v>
      </c>
      <c r="C306" s="80" t="n">
        <v>2025</v>
      </c>
      <c r="D306" s="80" t="n">
        <v>2</v>
      </c>
      <c r="E306" s="81" t="n">
        <v>45838</v>
      </c>
      <c r="F306" s="79" t="s">
        <v>271</v>
      </c>
      <c r="G306" s="79" t="s">
        <v>272</v>
      </c>
      <c r="H306" s="79" t="s">
        <v>268</v>
      </c>
      <c r="I306" s="82" t="n">
        <v>553.094</v>
      </c>
      <c r="J306" s="82" t="n">
        <v>239.659</v>
      </c>
      <c r="K306" s="82" t="n">
        <v>96786000</v>
      </c>
      <c r="L306" s="83" t="n">
        <v>1.05</v>
      </c>
      <c r="M306" s="82" t="n">
        <v>92.5214</v>
      </c>
      <c r="N306" s="82" t="n">
        <v>0</v>
      </c>
      <c r="O306" s="82" t="n">
        <v>3881.853</v>
      </c>
      <c r="P306" s="83" t="n">
        <v>0</v>
      </c>
      <c r="Q306" s="83" t="n">
        <v>327.5</v>
      </c>
      <c r="R306" s="47" t="n">
        <v>5</v>
      </c>
      <c r="S306" s="66" t="s">
        <v>601</v>
      </c>
    </row>
    <row r="307" customFormat="false" ht="15" hidden="false" customHeight="false" outlineLevel="0" collapsed="false">
      <c r="A307" s="79" t="s">
        <v>210</v>
      </c>
      <c r="B307" s="79" t="s">
        <v>282</v>
      </c>
      <c r="C307" s="80" t="n">
        <v>2025</v>
      </c>
      <c r="D307" s="80" t="n">
        <v>1</v>
      </c>
      <c r="E307" s="81" t="n">
        <v>45747</v>
      </c>
      <c r="F307" s="79" t="s">
        <v>271</v>
      </c>
      <c r="G307" s="79" t="s">
        <v>272</v>
      </c>
      <c r="H307" s="79" t="s">
        <v>268</v>
      </c>
      <c r="I307" s="82" t="n">
        <v>454.502</v>
      </c>
      <c r="J307" s="82" t="n">
        <v>147.013</v>
      </c>
      <c r="K307" s="82" t="n">
        <v>42269000</v>
      </c>
      <c r="L307" s="83" t="n">
        <v>0.46</v>
      </c>
      <c r="M307" s="82" t="n">
        <v>92.5312</v>
      </c>
      <c r="N307" s="82" t="n">
        <v>0</v>
      </c>
      <c r="O307" s="82" t="n">
        <v>3777.183</v>
      </c>
      <c r="P307" s="83" t="n">
        <v>0</v>
      </c>
      <c r="Q307" s="83" t="n">
        <v>283</v>
      </c>
      <c r="R307" s="47" t="n">
        <v>6</v>
      </c>
      <c r="S307" s="66" t="s">
        <v>602</v>
      </c>
    </row>
    <row r="308" customFormat="false" ht="15" hidden="false" customHeight="false" outlineLevel="0" collapsed="false">
      <c r="A308" s="79" t="s">
        <v>210</v>
      </c>
      <c r="B308" s="79" t="s">
        <v>284</v>
      </c>
      <c r="C308" s="80" t="n">
        <v>2024</v>
      </c>
      <c r="D308" s="80" t="n">
        <v>4</v>
      </c>
      <c r="E308" s="81" t="n">
        <v>45657</v>
      </c>
      <c r="F308" s="79" t="s">
        <v>271</v>
      </c>
      <c r="G308" s="79" t="s">
        <v>272</v>
      </c>
      <c r="H308" s="79" t="s">
        <v>268</v>
      </c>
      <c r="I308" s="82" t="n">
        <v>288.811</v>
      </c>
      <c r="J308" s="82" t="n">
        <v>90.098</v>
      </c>
      <c r="K308" s="82" t="n">
        <v>8158000</v>
      </c>
      <c r="L308" s="83" t="n">
        <v>0.09</v>
      </c>
      <c r="M308" s="82" t="n">
        <v>92.5312</v>
      </c>
      <c r="N308" s="82" t="n">
        <v>0</v>
      </c>
      <c r="O308" s="82" t="n">
        <v>3771.581</v>
      </c>
      <c r="P308" s="83" t="n">
        <v>0</v>
      </c>
      <c r="Q308" s="83" t="n">
        <v>387</v>
      </c>
      <c r="R308" s="47" t="n">
        <v>7</v>
      </c>
      <c r="S308" s="66" t="s">
        <v>603</v>
      </c>
    </row>
    <row r="309" customFormat="false" ht="15" hidden="false" customHeight="false" outlineLevel="0" collapsed="false">
      <c r="A309" s="79" t="s">
        <v>210</v>
      </c>
      <c r="B309" s="79" t="s">
        <v>286</v>
      </c>
      <c r="C309" s="80" t="n">
        <v>2024</v>
      </c>
      <c r="D309" s="80" t="n">
        <v>3</v>
      </c>
      <c r="E309" s="81" t="n">
        <v>45565</v>
      </c>
      <c r="F309" s="79" t="s">
        <v>271</v>
      </c>
      <c r="G309" s="79" t="s">
        <v>272</v>
      </c>
      <c r="H309" s="79" t="s">
        <v>268</v>
      </c>
      <c r="I309" s="82" t="n">
        <v>323.044</v>
      </c>
      <c r="J309" s="82" t="n">
        <v>89.125</v>
      </c>
      <c r="K309" s="82" t="n">
        <v>7992000</v>
      </c>
      <c r="L309" s="83" t="n">
        <v>0.09</v>
      </c>
      <c r="M309" s="82" t="n">
        <v>92.5312</v>
      </c>
      <c r="N309" s="82" t="n">
        <v>0</v>
      </c>
      <c r="O309" s="82" t="n">
        <v>3757.233</v>
      </c>
      <c r="P309" s="83" t="n">
        <v>0.4999733</v>
      </c>
      <c r="Q309" s="83" t="n">
        <v>295.5</v>
      </c>
      <c r="R309" s="47" t="n">
        <v>8</v>
      </c>
      <c r="S309" s="66" t="s">
        <v>604</v>
      </c>
    </row>
    <row r="310" customFormat="false" ht="15" hidden="false" customHeight="false" outlineLevel="0" collapsed="false">
      <c r="A310" s="79" t="s">
        <v>210</v>
      </c>
      <c r="B310" s="79" t="s">
        <v>288</v>
      </c>
      <c r="C310" s="80" t="n">
        <v>2024</v>
      </c>
      <c r="D310" s="80" t="n">
        <v>2</v>
      </c>
      <c r="E310" s="81" t="n">
        <v>45473</v>
      </c>
      <c r="F310" s="79" t="s">
        <v>271</v>
      </c>
      <c r="G310" s="79" t="s">
        <v>272</v>
      </c>
      <c r="H310" s="79" t="s">
        <v>268</v>
      </c>
      <c r="I310" s="82" t="n">
        <v>272.588</v>
      </c>
      <c r="J310" s="82" t="n">
        <v>39.755</v>
      </c>
      <c r="K310" s="82" t="n">
        <v>-30673000</v>
      </c>
      <c r="L310" s="83" t="n">
        <v>-0.33</v>
      </c>
      <c r="M310" s="82" t="n">
        <v>91.8477</v>
      </c>
      <c r="N310" s="82" t="n">
        <v>0</v>
      </c>
      <c r="O310" s="82" t="n">
        <v>3734.955</v>
      </c>
      <c r="P310" s="83" t="n">
        <v>0</v>
      </c>
      <c r="Q310" s="83" t="n">
        <v>168</v>
      </c>
      <c r="R310" s="47" t="n">
        <v>9</v>
      </c>
      <c r="S310" s="66" t="s">
        <v>605</v>
      </c>
    </row>
    <row r="311" customFormat="false" ht="15" hidden="false" customHeight="false" outlineLevel="0" collapsed="false">
      <c r="A311" s="79" t="s">
        <v>210</v>
      </c>
      <c r="B311" s="79" t="s">
        <v>290</v>
      </c>
      <c r="C311" s="80" t="n">
        <v>2024</v>
      </c>
      <c r="D311" s="80" t="n">
        <v>1</v>
      </c>
      <c r="E311" s="81" t="n">
        <v>45382</v>
      </c>
      <c r="F311" s="79" t="s">
        <v>271</v>
      </c>
      <c r="G311" s="79" t="s">
        <v>272</v>
      </c>
      <c r="H311" s="79" t="s">
        <v>268</v>
      </c>
      <c r="I311" s="82" t="n">
        <v>323.979</v>
      </c>
      <c r="J311" s="82" t="n">
        <v>19.909</v>
      </c>
      <c r="K311" s="82" t="n">
        <v>-40007000</v>
      </c>
      <c r="L311" s="83" t="n">
        <v>-0.44</v>
      </c>
      <c r="M311" s="82" t="n">
        <v>91.8477</v>
      </c>
      <c r="N311" s="82" t="n">
        <v>0</v>
      </c>
      <c r="O311" s="82" t="n">
        <v>3762.668</v>
      </c>
      <c r="P311" s="83" t="n">
        <v>0</v>
      </c>
      <c r="Q311" s="83" t="n">
        <v>135.5</v>
      </c>
      <c r="R311" s="47" t="n">
        <v>10</v>
      </c>
      <c r="S311" s="66" t="s">
        <v>606</v>
      </c>
    </row>
    <row r="312" customFormat="false" ht="15" hidden="false" customHeight="false" outlineLevel="0" collapsed="false">
      <c r="A312" s="79" t="s">
        <v>210</v>
      </c>
      <c r="B312" s="79" t="s">
        <v>292</v>
      </c>
      <c r="C312" s="80" t="n">
        <v>2023</v>
      </c>
      <c r="D312" s="80" t="n">
        <v>4</v>
      </c>
      <c r="E312" s="81" t="n">
        <v>45291</v>
      </c>
      <c r="F312" s="79" t="s">
        <v>271</v>
      </c>
      <c r="G312" s="79" t="s">
        <v>272</v>
      </c>
      <c r="H312" s="79" t="s">
        <v>268</v>
      </c>
      <c r="I312" s="82" t="n">
        <v>296.748</v>
      </c>
      <c r="J312" s="82" t="n">
        <v>78.67</v>
      </c>
      <c r="K312" s="82" t="n">
        <v>-30868000</v>
      </c>
      <c r="L312" s="83" t="n">
        <v>-0.33</v>
      </c>
      <c r="M312" s="82" t="n">
        <v>91.8617</v>
      </c>
      <c r="N312" s="82" t="n">
        <v>0</v>
      </c>
      <c r="O312" s="82" t="n">
        <v>3861.738</v>
      </c>
      <c r="P312" s="83" t="n">
        <v>0</v>
      </c>
      <c r="Q312" s="83" t="n">
        <v>106</v>
      </c>
      <c r="R312" s="47" t="n">
        <v>11</v>
      </c>
      <c r="S312" s="66" t="s">
        <v>607</v>
      </c>
    </row>
    <row r="313" customFormat="false" ht="15" hidden="false" customHeight="false" outlineLevel="0" collapsed="false">
      <c r="A313" s="79" t="s">
        <v>210</v>
      </c>
      <c r="B313" s="79" t="s">
        <v>294</v>
      </c>
      <c r="C313" s="80" t="n">
        <v>2023</v>
      </c>
      <c r="D313" s="80" t="n">
        <v>3</v>
      </c>
      <c r="E313" s="81" t="n">
        <v>45199</v>
      </c>
      <c r="F313" s="79" t="s">
        <v>271</v>
      </c>
      <c r="G313" s="79" t="s">
        <v>272</v>
      </c>
      <c r="H313" s="79" t="s">
        <v>268</v>
      </c>
      <c r="I313" s="82" t="n">
        <v>179.049</v>
      </c>
      <c r="J313" s="82" t="n">
        <v>-35.036</v>
      </c>
      <c r="K313" s="82" t="n">
        <v>-109601000</v>
      </c>
      <c r="L313" s="83" t="n">
        <v>-1.2</v>
      </c>
      <c r="M313" s="82" t="n">
        <v>91.8617</v>
      </c>
      <c r="N313" s="82" t="n">
        <v>0</v>
      </c>
      <c r="O313" s="82" t="n">
        <v>3888.611</v>
      </c>
      <c r="P313" s="83" t="n">
        <v>3.50022859</v>
      </c>
      <c r="Q313" s="83" t="n">
        <v>117</v>
      </c>
      <c r="R313" s="47" t="n">
        <v>12</v>
      </c>
      <c r="S313" s="66" t="s">
        <v>608</v>
      </c>
    </row>
    <row r="314" customFormat="false" ht="15" hidden="false" customHeight="false" outlineLevel="0" collapsed="false">
      <c r="A314" s="79" t="s">
        <v>210</v>
      </c>
      <c r="B314" s="79" t="s">
        <v>296</v>
      </c>
      <c r="C314" s="80" t="n">
        <v>2023</v>
      </c>
      <c r="D314" s="80" t="n">
        <v>2</v>
      </c>
      <c r="E314" s="81" t="n">
        <v>45107</v>
      </c>
      <c r="F314" s="79" t="s">
        <v>271</v>
      </c>
      <c r="G314" s="79" t="s">
        <v>272</v>
      </c>
      <c r="H314" s="79" t="s">
        <v>268</v>
      </c>
      <c r="I314" s="82" t="n">
        <v>252.818</v>
      </c>
      <c r="J314" s="82" t="n">
        <v>37.568</v>
      </c>
      <c r="K314" s="82" t="n">
        <v>-40863000</v>
      </c>
      <c r="L314" s="83" t="n">
        <v>-0.45</v>
      </c>
      <c r="M314" s="82" t="n">
        <v>91.8617</v>
      </c>
      <c r="N314" s="82" t="n">
        <v>0</v>
      </c>
      <c r="O314" s="82" t="n">
        <v>3976.044</v>
      </c>
      <c r="P314" s="83" t="n">
        <v>0</v>
      </c>
      <c r="Q314" s="83" t="n">
        <v>102</v>
      </c>
      <c r="R314" s="47" t="n">
        <v>13</v>
      </c>
      <c r="S314" s="66" t="s">
        <v>609</v>
      </c>
    </row>
    <row r="315" customFormat="false" ht="15" hidden="false" customHeight="false" outlineLevel="0" collapsed="false">
      <c r="A315" s="79" t="s">
        <v>210</v>
      </c>
      <c r="B315" s="79" t="s">
        <v>298</v>
      </c>
      <c r="C315" s="80" t="n">
        <v>2023</v>
      </c>
      <c r="D315" s="80" t="n">
        <v>1</v>
      </c>
      <c r="E315" s="81" t="n">
        <v>45016</v>
      </c>
      <c r="F315" s="79" t="s">
        <v>271</v>
      </c>
      <c r="G315" s="79" t="s">
        <v>272</v>
      </c>
      <c r="H315" s="79" t="s">
        <v>268</v>
      </c>
      <c r="I315" s="82" t="n">
        <v>327.423</v>
      </c>
      <c r="J315" s="82" t="n">
        <v>56.9</v>
      </c>
      <c r="K315" s="82" t="n">
        <v>-30173000</v>
      </c>
      <c r="L315" s="83" t="n">
        <v>-0.33</v>
      </c>
      <c r="M315" s="82" t="n">
        <v>91.8677</v>
      </c>
      <c r="N315" s="82" t="n">
        <v>0</v>
      </c>
      <c r="O315" s="82" t="n">
        <v>4011.293</v>
      </c>
      <c r="P315" s="83" t="n">
        <v>0</v>
      </c>
      <c r="Q315" s="83" t="n">
        <v>132.5</v>
      </c>
      <c r="R315" s="47" t="n">
        <v>14</v>
      </c>
      <c r="S315" s="66" t="s">
        <v>610</v>
      </c>
    </row>
    <row r="316" customFormat="false" ht="15" hidden="false" customHeight="false" outlineLevel="0" collapsed="false">
      <c r="A316" s="79" t="s">
        <v>210</v>
      </c>
      <c r="B316" s="79" t="s">
        <v>300</v>
      </c>
      <c r="C316" s="80" t="n">
        <v>2022</v>
      </c>
      <c r="D316" s="80" t="n">
        <v>4</v>
      </c>
      <c r="E316" s="81" t="n">
        <v>44926</v>
      </c>
      <c r="F316" s="79" t="s">
        <v>271</v>
      </c>
      <c r="G316" s="79" t="s">
        <v>272</v>
      </c>
      <c r="H316" s="79" t="s">
        <v>268</v>
      </c>
      <c r="I316" s="82" t="n">
        <v>668.518</v>
      </c>
      <c r="J316" s="82" t="n">
        <v>248.056</v>
      </c>
      <c r="K316" s="82" t="n">
        <v>117326000</v>
      </c>
      <c r="L316" s="83" t="n">
        <v>1.28</v>
      </c>
      <c r="M316" s="82" t="n">
        <v>91.8677</v>
      </c>
      <c r="N316" s="82" t="n">
        <v>0</v>
      </c>
      <c r="O316" s="82" t="n">
        <v>4356.539</v>
      </c>
      <c r="P316" s="83" t="n">
        <v>0</v>
      </c>
      <c r="Q316" s="83" t="n">
        <v>106</v>
      </c>
      <c r="R316" s="47" t="n">
        <v>15</v>
      </c>
      <c r="S316" s="66" t="s">
        <v>611</v>
      </c>
    </row>
    <row r="317" customFormat="false" ht="15" hidden="false" customHeight="false" outlineLevel="0" collapsed="false">
      <c r="A317" s="79" t="s">
        <v>210</v>
      </c>
      <c r="B317" s="79" t="s">
        <v>302</v>
      </c>
      <c r="C317" s="80" t="n">
        <v>2022</v>
      </c>
      <c r="D317" s="80" t="n">
        <v>3</v>
      </c>
      <c r="E317" s="81" t="n">
        <v>44834</v>
      </c>
      <c r="F317" s="79" t="s">
        <v>271</v>
      </c>
      <c r="G317" s="79" t="s">
        <v>272</v>
      </c>
      <c r="H317" s="79" t="s">
        <v>268</v>
      </c>
      <c r="I317" s="82" t="n">
        <v>661.065</v>
      </c>
      <c r="J317" s="82" t="n">
        <v>202.624</v>
      </c>
      <c r="K317" s="82" t="n">
        <v>102967000</v>
      </c>
      <c r="L317" s="83" t="n">
        <v>1.13</v>
      </c>
      <c r="M317" s="82" t="n">
        <v>91.8677</v>
      </c>
      <c r="N317" s="82" t="n">
        <v>0</v>
      </c>
      <c r="O317" s="82" t="n">
        <v>4232.707</v>
      </c>
      <c r="P317" s="83" t="n">
        <v>3.50001914</v>
      </c>
      <c r="Q317" s="83" t="n">
        <v>142.5</v>
      </c>
      <c r="R317" s="47" t="n">
        <v>16</v>
      </c>
      <c r="S317" s="66" t="s">
        <v>612</v>
      </c>
    </row>
    <row r="318" customFormat="false" ht="15" hidden="false" customHeight="false" outlineLevel="0" collapsed="false">
      <c r="A318" s="79" t="s">
        <v>210</v>
      </c>
      <c r="B318" s="79" t="s">
        <v>304</v>
      </c>
      <c r="C318" s="80" t="n">
        <v>2022</v>
      </c>
      <c r="D318" s="80" t="n">
        <v>2</v>
      </c>
      <c r="E318" s="81" t="n">
        <v>44742</v>
      </c>
      <c r="F318" s="79" t="s">
        <v>271</v>
      </c>
      <c r="G318" s="79" t="s">
        <v>272</v>
      </c>
      <c r="H318" s="79" t="s">
        <v>268</v>
      </c>
      <c r="I318" s="82" t="n">
        <v>600.751</v>
      </c>
      <c r="J318" s="82" t="n">
        <v>195.652</v>
      </c>
      <c r="K318" s="82" t="n">
        <v>89529000</v>
      </c>
      <c r="L318" s="83" t="n">
        <v>0.98</v>
      </c>
      <c r="M318" s="82" t="n">
        <v>91.3692</v>
      </c>
      <c r="N318" s="82" t="n">
        <v>0</v>
      </c>
      <c r="O318" s="82" t="n">
        <v>4083.82</v>
      </c>
      <c r="P318" s="83" t="n">
        <v>0</v>
      </c>
      <c r="Q318" s="83" t="n">
        <v>116</v>
      </c>
      <c r="R318" s="47" t="n">
        <v>17</v>
      </c>
      <c r="S318" s="66" t="s">
        <v>613</v>
      </c>
    </row>
    <row r="319" customFormat="false" ht="15" hidden="false" customHeight="false" outlineLevel="0" collapsed="false">
      <c r="A319" s="79" t="s">
        <v>210</v>
      </c>
      <c r="B319" s="79" t="s">
        <v>306</v>
      </c>
      <c r="C319" s="80" t="n">
        <v>2022</v>
      </c>
      <c r="D319" s="80" t="n">
        <v>1</v>
      </c>
      <c r="E319" s="81" t="n">
        <v>44651</v>
      </c>
      <c r="F319" s="79" t="s">
        <v>271</v>
      </c>
      <c r="G319" s="79" t="s">
        <v>272</v>
      </c>
      <c r="H319" s="79" t="s">
        <v>268</v>
      </c>
      <c r="I319" s="82" t="n">
        <v>450.551</v>
      </c>
      <c r="J319" s="82" t="n">
        <v>112.693</v>
      </c>
      <c r="K319" s="82" t="n">
        <v>19714000</v>
      </c>
      <c r="L319" s="83" t="n">
        <v>0.22</v>
      </c>
      <c r="M319" s="82" t="n">
        <v>91.3692</v>
      </c>
      <c r="N319" s="82" t="n">
        <v>0</v>
      </c>
      <c r="O319" s="82" t="n">
        <v>4303.043</v>
      </c>
      <c r="P319" s="83" t="n">
        <v>0</v>
      </c>
      <c r="Q319" s="83" t="n">
        <v>183.5</v>
      </c>
      <c r="R319" s="47" t="n">
        <v>18</v>
      </c>
      <c r="S319" s="66" t="s">
        <v>614</v>
      </c>
    </row>
    <row r="320" customFormat="false" ht="15" hidden="false" customHeight="false" outlineLevel="0" collapsed="false">
      <c r="A320" s="79" t="s">
        <v>210</v>
      </c>
      <c r="B320" s="79" t="s">
        <v>308</v>
      </c>
      <c r="C320" s="80" t="n">
        <v>2021</v>
      </c>
      <c r="D320" s="80" t="n">
        <v>4</v>
      </c>
      <c r="E320" s="81" t="n">
        <v>44561</v>
      </c>
      <c r="F320" s="79" t="s">
        <v>271</v>
      </c>
      <c r="G320" s="79" t="s">
        <v>272</v>
      </c>
      <c r="H320" s="79" t="s">
        <v>268</v>
      </c>
      <c r="I320" s="82" t="n">
        <v>346.639</v>
      </c>
      <c r="J320" s="82" t="n">
        <v>81.547</v>
      </c>
      <c r="K320" s="82" t="n">
        <v>6880000</v>
      </c>
      <c r="L320" s="83" t="n">
        <v>0.07</v>
      </c>
      <c r="M320" s="82" t="n">
        <v>91.3692</v>
      </c>
      <c r="N320" s="82" t="n">
        <v>0</v>
      </c>
      <c r="O320" s="82" t="n">
        <v>4272.289</v>
      </c>
      <c r="P320" s="83" t="n">
        <v>0</v>
      </c>
      <c r="Q320" s="83" t="n">
        <v>196.5</v>
      </c>
      <c r="R320" s="47" t="n">
        <v>19</v>
      </c>
      <c r="S320" s="66" t="s">
        <v>615</v>
      </c>
    </row>
    <row r="321" customFormat="false" ht="15" hidden="false" customHeight="false" outlineLevel="0" collapsed="false">
      <c r="A321" s="79" t="s">
        <v>210</v>
      </c>
      <c r="B321" s="79" t="s">
        <v>310</v>
      </c>
      <c r="C321" s="80" t="n">
        <v>2021</v>
      </c>
      <c r="D321" s="80" t="n">
        <v>3</v>
      </c>
      <c r="E321" s="81" t="n">
        <v>44469</v>
      </c>
      <c r="F321" s="79" t="s">
        <v>271</v>
      </c>
      <c r="G321" s="79" t="s">
        <v>272</v>
      </c>
      <c r="H321" s="79" t="s">
        <v>268</v>
      </c>
      <c r="I321" s="82" t="n">
        <v>382.074</v>
      </c>
      <c r="J321" s="82" t="n">
        <v>125.186</v>
      </c>
      <c r="K321" s="82" t="n">
        <v>31826000</v>
      </c>
      <c r="L321" s="83" t="n">
        <v>0.35</v>
      </c>
      <c r="M321" s="82" t="n">
        <v>91.3692</v>
      </c>
      <c r="N321" s="82" t="n">
        <v>0</v>
      </c>
      <c r="O321" s="82" t="n">
        <v>4256.041</v>
      </c>
      <c r="P321" s="83" t="n">
        <v>5</v>
      </c>
      <c r="Q321" s="83" t="n">
        <v>225</v>
      </c>
      <c r="R321" s="47" t="n">
        <v>20</v>
      </c>
      <c r="S321" s="66" t="s">
        <v>616</v>
      </c>
    </row>
    <row r="322" customFormat="false" ht="15" hidden="false" customHeight="false" outlineLevel="0" collapsed="false">
      <c r="A322" s="79" t="s">
        <v>210</v>
      </c>
      <c r="B322" s="79" t="s">
        <v>312</v>
      </c>
      <c r="C322" s="80" t="n">
        <v>2021</v>
      </c>
      <c r="D322" s="80" t="n">
        <v>2</v>
      </c>
      <c r="E322" s="81" t="n">
        <v>44377</v>
      </c>
      <c r="F322" s="79" t="s">
        <v>271</v>
      </c>
      <c r="G322" s="79" t="s">
        <v>272</v>
      </c>
      <c r="H322" s="79" t="s">
        <v>268</v>
      </c>
      <c r="I322" s="82" t="n">
        <v>539.995</v>
      </c>
      <c r="J322" s="82" t="n">
        <v>237.164</v>
      </c>
      <c r="K322" s="82" t="n">
        <v>105059000</v>
      </c>
      <c r="L322" s="83" t="n">
        <v>1.16</v>
      </c>
      <c r="M322" s="82" t="n">
        <v>91.3692</v>
      </c>
      <c r="N322" s="82" t="n">
        <v>0</v>
      </c>
      <c r="O322" s="82" t="n">
        <v>4213.175</v>
      </c>
      <c r="P322" s="83" t="n">
        <v>0</v>
      </c>
      <c r="Q322" s="83" t="n">
        <v>265</v>
      </c>
      <c r="R322" s="47" t="n">
        <v>21</v>
      </c>
      <c r="S322" s="66" t="s">
        <v>617</v>
      </c>
    </row>
    <row r="323" customFormat="false" ht="15" hidden="false" customHeight="false" outlineLevel="0" collapsed="false">
      <c r="A323" s="79" t="s">
        <v>210</v>
      </c>
      <c r="B323" s="79" t="s">
        <v>314</v>
      </c>
      <c r="C323" s="80" t="n">
        <v>2021</v>
      </c>
      <c r="D323" s="80" t="n">
        <v>1</v>
      </c>
      <c r="E323" s="81" t="n">
        <v>44286</v>
      </c>
      <c r="F323" s="79" t="s">
        <v>271</v>
      </c>
      <c r="G323" s="79" t="s">
        <v>272</v>
      </c>
      <c r="H323" s="79" t="s">
        <v>268</v>
      </c>
      <c r="I323" s="82" t="n">
        <v>603.995</v>
      </c>
      <c r="J323" s="82" t="n">
        <v>324.56</v>
      </c>
      <c r="K323" s="82" t="n">
        <v>193779000</v>
      </c>
      <c r="L323" s="83" t="n">
        <v>2.13</v>
      </c>
      <c r="M323" s="82" t="n">
        <v>91.3692</v>
      </c>
      <c r="N323" s="82" t="n">
        <v>0</v>
      </c>
      <c r="O323" s="82" t="n">
        <v>4553.921</v>
      </c>
      <c r="P323" s="83" t="n">
        <v>0</v>
      </c>
      <c r="Q323" s="83" t="n">
        <v>270</v>
      </c>
      <c r="R323" s="47" t="n">
        <v>22</v>
      </c>
      <c r="S323" s="66" t="s">
        <v>618</v>
      </c>
    </row>
    <row r="324" customFormat="false" ht="15" hidden="false" customHeight="false" outlineLevel="0" collapsed="false">
      <c r="A324" s="79" t="s">
        <v>210</v>
      </c>
      <c r="B324" s="79" t="s">
        <v>316</v>
      </c>
      <c r="C324" s="80" t="n">
        <v>2020</v>
      </c>
      <c r="D324" s="80" t="n">
        <v>4</v>
      </c>
      <c r="E324" s="81" t="n">
        <v>44196</v>
      </c>
      <c r="F324" s="79" t="s">
        <v>271</v>
      </c>
      <c r="G324" s="79" t="s">
        <v>272</v>
      </c>
      <c r="H324" s="79" t="s">
        <v>268</v>
      </c>
      <c r="I324" s="82" t="n">
        <v>686.242</v>
      </c>
      <c r="J324" s="82" t="n">
        <v>374.421</v>
      </c>
      <c r="K324" s="82" t="n">
        <v>227723000</v>
      </c>
      <c r="L324" s="83" t="n">
        <v>2.5</v>
      </c>
      <c r="M324" s="82" t="n">
        <v>91.3732</v>
      </c>
      <c r="N324" s="82" t="n">
        <v>0</v>
      </c>
      <c r="O324" s="82" t="n">
        <v>4349.102</v>
      </c>
      <c r="P324" s="83" t="n">
        <v>0</v>
      </c>
      <c r="Q324" s="83" t="n">
        <v>282.5</v>
      </c>
      <c r="R324" s="47" t="n">
        <v>23</v>
      </c>
      <c r="S324" s="66" t="s">
        <v>619</v>
      </c>
    </row>
    <row r="325" customFormat="false" ht="15" hidden="false" customHeight="false" outlineLevel="0" collapsed="false">
      <c r="A325" s="79" t="s">
        <v>210</v>
      </c>
      <c r="B325" s="79" t="s">
        <v>318</v>
      </c>
      <c r="C325" s="80" t="n">
        <v>2020</v>
      </c>
      <c r="D325" s="80" t="n">
        <v>3</v>
      </c>
      <c r="E325" s="81" t="n">
        <v>44104</v>
      </c>
      <c r="F325" s="79" t="s">
        <v>271</v>
      </c>
      <c r="G325" s="79" t="s">
        <v>272</v>
      </c>
      <c r="H325" s="79" t="s">
        <v>268</v>
      </c>
      <c r="I325" s="82" t="n">
        <v>602.681</v>
      </c>
      <c r="J325" s="82" t="n">
        <v>314.359</v>
      </c>
      <c r="K325" s="82" t="n">
        <v>176357000</v>
      </c>
      <c r="L325" s="83" t="n">
        <v>1.94</v>
      </c>
      <c r="M325" s="82" t="n">
        <v>91.3732</v>
      </c>
      <c r="N325" s="82" t="n">
        <v>0</v>
      </c>
      <c r="O325" s="82" t="n">
        <v>4112.239</v>
      </c>
      <c r="P325" s="83"/>
      <c r="Q325" s="83" t="n">
        <v>249</v>
      </c>
      <c r="R325" s="47" t="n">
        <v>24</v>
      </c>
      <c r="S325" s="66" t="s">
        <v>620</v>
      </c>
    </row>
    <row r="326" customFormat="false" ht="15" hidden="false" customHeight="false" outlineLevel="0" collapsed="false">
      <c r="A326" s="79" t="s">
        <v>230</v>
      </c>
      <c r="B326" s="79" t="s">
        <v>265</v>
      </c>
      <c r="C326" s="80" t="n">
        <v>2026</v>
      </c>
      <c r="D326" s="80" t="n">
        <v>3</v>
      </c>
      <c r="E326" s="81" t="n">
        <v>46295</v>
      </c>
      <c r="F326" s="79" t="s">
        <v>266</v>
      </c>
      <c r="G326" s="79" t="s">
        <v>267</v>
      </c>
      <c r="H326" s="79" t="s">
        <v>268</v>
      </c>
      <c r="I326" s="82"/>
      <c r="J326" s="82"/>
      <c r="K326" s="82"/>
      <c r="L326" s="83" t="n">
        <v>2.11774</v>
      </c>
      <c r="M326" s="82"/>
      <c r="N326" s="82"/>
      <c r="O326" s="82"/>
      <c r="P326" s="83"/>
      <c r="Q326" s="83"/>
      <c r="R326" s="47" t="n">
        <v>0</v>
      </c>
      <c r="S326" s="66" t="s">
        <v>621</v>
      </c>
    </row>
    <row r="327" customFormat="false" ht="15" hidden="false" customHeight="false" outlineLevel="0" collapsed="false">
      <c r="A327" s="79" t="s">
        <v>230</v>
      </c>
      <c r="B327" s="79" t="s">
        <v>270</v>
      </c>
      <c r="C327" s="80" t="n">
        <v>2026</v>
      </c>
      <c r="D327" s="80" t="n">
        <v>2</v>
      </c>
      <c r="E327" s="81" t="n">
        <v>46203</v>
      </c>
      <c r="F327" s="79" t="s">
        <v>271</v>
      </c>
      <c r="G327" s="79" t="s">
        <v>272</v>
      </c>
      <c r="H327" s="79" t="s">
        <v>268</v>
      </c>
      <c r="I327" s="82" t="n">
        <v>5257.268</v>
      </c>
      <c r="J327" s="82" t="n">
        <v>1484.625</v>
      </c>
      <c r="K327" s="82" t="n">
        <v>977100000</v>
      </c>
      <c r="L327" s="83" t="n">
        <v>2.3</v>
      </c>
      <c r="M327" s="82" t="n">
        <v>423.9404</v>
      </c>
      <c r="N327" s="82" t="n">
        <v>0</v>
      </c>
      <c r="O327" s="82" t="n">
        <v>43810.424</v>
      </c>
      <c r="P327" s="83" t="n">
        <v>2</v>
      </c>
      <c r="Q327" s="83" t="n">
        <v>426</v>
      </c>
      <c r="R327" s="47" t="n">
        <v>1</v>
      </c>
      <c r="S327" s="66" t="s">
        <v>622</v>
      </c>
    </row>
    <row r="328" customFormat="false" ht="15" hidden="false" customHeight="false" outlineLevel="0" collapsed="false">
      <c r="A328" s="79" t="s">
        <v>230</v>
      </c>
      <c r="B328" s="79" t="s">
        <v>274</v>
      </c>
      <c r="C328" s="80" t="n">
        <v>2026</v>
      </c>
      <c r="D328" s="80" t="n">
        <v>1</v>
      </c>
      <c r="E328" s="81" t="n">
        <v>46112</v>
      </c>
      <c r="F328" s="79" t="s">
        <v>271</v>
      </c>
      <c r="G328" s="79" t="s">
        <v>272</v>
      </c>
      <c r="H328" s="79" t="s">
        <v>268</v>
      </c>
      <c r="I328" s="82" t="n">
        <v>4590.06</v>
      </c>
      <c r="J328" s="82" t="n">
        <v>1208.999</v>
      </c>
      <c r="K328" s="82" t="n">
        <v>533291000</v>
      </c>
      <c r="L328" s="83" t="n">
        <v>1.26</v>
      </c>
      <c r="M328" s="82" t="n">
        <v>423.9404</v>
      </c>
      <c r="N328" s="82" t="n">
        <v>0</v>
      </c>
      <c r="O328" s="82" t="n">
        <v>40919.607</v>
      </c>
      <c r="P328" s="83" t="n">
        <v>0</v>
      </c>
      <c r="Q328" s="83" t="n">
        <v>351.5</v>
      </c>
      <c r="R328" s="47" t="n">
        <v>2</v>
      </c>
      <c r="S328" s="66" t="s">
        <v>623</v>
      </c>
    </row>
    <row r="329" customFormat="false" ht="15" hidden="false" customHeight="false" outlineLevel="0" collapsed="false">
      <c r="A329" s="79" t="s">
        <v>230</v>
      </c>
      <c r="B329" s="79" t="s">
        <v>276</v>
      </c>
      <c r="C329" s="80" t="n">
        <v>2025</v>
      </c>
      <c r="D329" s="80" t="n">
        <v>4</v>
      </c>
      <c r="E329" s="81" t="n">
        <v>46022</v>
      </c>
      <c r="F329" s="79" t="s">
        <v>271</v>
      </c>
      <c r="G329" s="79" t="s">
        <v>272</v>
      </c>
      <c r="H329" s="79" t="s">
        <v>268</v>
      </c>
      <c r="I329" s="82" t="n">
        <v>4794.454</v>
      </c>
      <c r="J329" s="82" t="n">
        <v>1524.547</v>
      </c>
      <c r="K329" s="82" t="n">
        <v>1028879000</v>
      </c>
      <c r="L329" s="83" t="n">
        <v>2.43</v>
      </c>
      <c r="M329" s="82" t="n">
        <v>423.9404</v>
      </c>
      <c r="N329" s="82" t="n">
        <v>0</v>
      </c>
      <c r="O329" s="82" t="n">
        <v>41545.262</v>
      </c>
      <c r="P329" s="83" t="n">
        <v>0</v>
      </c>
      <c r="Q329" s="83" t="n">
        <v>183</v>
      </c>
      <c r="R329" s="47" t="n">
        <v>3</v>
      </c>
      <c r="S329" s="66" t="s">
        <v>624</v>
      </c>
    </row>
    <row r="330" customFormat="false" ht="15" hidden="false" customHeight="false" outlineLevel="0" collapsed="false">
      <c r="A330" s="79" t="s">
        <v>230</v>
      </c>
      <c r="B330" s="79" t="s">
        <v>278</v>
      </c>
      <c r="C330" s="80" t="n">
        <v>2025</v>
      </c>
      <c r="D330" s="80" t="n">
        <v>3</v>
      </c>
      <c r="E330" s="81" t="n">
        <v>45930</v>
      </c>
      <c r="F330" s="79" t="s">
        <v>271</v>
      </c>
      <c r="G330" s="79" t="s">
        <v>272</v>
      </c>
      <c r="H330" s="79" t="s">
        <v>268</v>
      </c>
      <c r="I330" s="82" t="n">
        <v>4487.879</v>
      </c>
      <c r="J330" s="82" t="n">
        <v>1205.252</v>
      </c>
      <c r="K330" s="82" t="n">
        <v>1070260000</v>
      </c>
      <c r="L330" s="83" t="n">
        <v>2.52</v>
      </c>
      <c r="M330" s="82" t="n">
        <v>423.9404</v>
      </c>
      <c r="N330" s="82" t="n">
        <v>0</v>
      </c>
      <c r="O330" s="82" t="n">
        <v>39479.324</v>
      </c>
      <c r="P330" s="83" t="n">
        <v>0</v>
      </c>
      <c r="Q330" s="83" t="n">
        <v>92.9</v>
      </c>
      <c r="R330" s="47" t="n">
        <v>4</v>
      </c>
      <c r="S330" s="66" t="s">
        <v>625</v>
      </c>
    </row>
    <row r="331" customFormat="false" ht="15" hidden="false" customHeight="false" outlineLevel="0" collapsed="false">
      <c r="A331" s="79" t="s">
        <v>230</v>
      </c>
      <c r="B331" s="79" t="s">
        <v>280</v>
      </c>
      <c r="C331" s="80" t="n">
        <v>2025</v>
      </c>
      <c r="D331" s="80" t="n">
        <v>2</v>
      </c>
      <c r="E331" s="81" t="n">
        <v>45838</v>
      </c>
      <c r="F331" s="79" t="s">
        <v>271</v>
      </c>
      <c r="G331" s="79" t="s">
        <v>272</v>
      </c>
      <c r="H331" s="79" t="s">
        <v>268</v>
      </c>
      <c r="I331" s="82" t="n">
        <v>3780.398</v>
      </c>
      <c r="J331" s="82" t="n">
        <v>697.886</v>
      </c>
      <c r="K331" s="82" t="n">
        <v>-420966000</v>
      </c>
      <c r="L331" s="83" t="n">
        <v>-0.99</v>
      </c>
      <c r="M331" s="82" t="n">
        <v>423.9404</v>
      </c>
      <c r="N331" s="82" t="n">
        <v>0</v>
      </c>
      <c r="O331" s="82" t="n">
        <v>36532.157</v>
      </c>
      <c r="P331" s="83" t="n">
        <v>1</v>
      </c>
      <c r="Q331" s="83" t="n">
        <v>86.7</v>
      </c>
      <c r="R331" s="47" t="n">
        <v>5</v>
      </c>
      <c r="S331" s="66" t="s">
        <v>626</v>
      </c>
    </row>
    <row r="332" customFormat="false" ht="15" hidden="false" customHeight="false" outlineLevel="0" collapsed="false">
      <c r="A332" s="79" t="s">
        <v>230</v>
      </c>
      <c r="B332" s="79" t="s">
        <v>282</v>
      </c>
      <c r="C332" s="80" t="n">
        <v>2025</v>
      </c>
      <c r="D332" s="80" t="n">
        <v>1</v>
      </c>
      <c r="E332" s="81" t="n">
        <v>45747</v>
      </c>
      <c r="F332" s="79" t="s">
        <v>271</v>
      </c>
      <c r="G332" s="79" t="s">
        <v>272</v>
      </c>
      <c r="H332" s="79" t="s">
        <v>268</v>
      </c>
      <c r="I332" s="82" t="n">
        <v>3575.803</v>
      </c>
      <c r="J332" s="82" t="n">
        <v>598.408</v>
      </c>
      <c r="K332" s="82" t="n">
        <v>15628000</v>
      </c>
      <c r="L332" s="83" t="n">
        <v>0.04</v>
      </c>
      <c r="M332" s="82" t="n">
        <v>423.9404</v>
      </c>
      <c r="N332" s="82" t="n">
        <v>0</v>
      </c>
      <c r="O332" s="82" t="n">
        <v>36323.256</v>
      </c>
      <c r="P332" s="83" t="n">
        <v>0</v>
      </c>
      <c r="Q332" s="83" t="n">
        <v>98.5</v>
      </c>
      <c r="R332" s="47" t="n">
        <v>6</v>
      </c>
      <c r="S332" s="66" t="s">
        <v>627</v>
      </c>
    </row>
    <row r="333" customFormat="false" ht="15" hidden="false" customHeight="false" outlineLevel="0" collapsed="false">
      <c r="A333" s="79" t="s">
        <v>230</v>
      </c>
      <c r="B333" s="79" t="s">
        <v>284</v>
      </c>
      <c r="C333" s="80" t="n">
        <v>2024</v>
      </c>
      <c r="D333" s="80" t="n">
        <v>4</v>
      </c>
      <c r="E333" s="81" t="n">
        <v>45657</v>
      </c>
      <c r="F333" s="79" t="s">
        <v>271</v>
      </c>
      <c r="G333" s="79" t="s">
        <v>272</v>
      </c>
      <c r="H333" s="79" t="s">
        <v>268</v>
      </c>
      <c r="I333" s="82" t="n">
        <v>3706.065</v>
      </c>
      <c r="J333" s="82" t="n">
        <v>757.635</v>
      </c>
      <c r="K333" s="82" t="n">
        <v>-352207000</v>
      </c>
      <c r="L333" s="83" t="n">
        <v>-0.83</v>
      </c>
      <c r="M333" s="82" t="n">
        <v>423.9404</v>
      </c>
      <c r="N333" s="82" t="n">
        <v>0</v>
      </c>
      <c r="O333" s="82" t="n">
        <v>38118.104</v>
      </c>
      <c r="P333" s="83" t="n">
        <v>0</v>
      </c>
      <c r="Q333" s="83" t="n">
        <v>112</v>
      </c>
      <c r="R333" s="47" t="n">
        <v>7</v>
      </c>
      <c r="S333" s="66" t="s">
        <v>628</v>
      </c>
    </row>
    <row r="334" customFormat="false" ht="15" hidden="false" customHeight="false" outlineLevel="0" collapsed="false">
      <c r="A334" s="79" t="s">
        <v>230</v>
      </c>
      <c r="B334" s="79" t="s">
        <v>286</v>
      </c>
      <c r="C334" s="80" t="n">
        <v>2024</v>
      </c>
      <c r="D334" s="80" t="n">
        <v>3</v>
      </c>
      <c r="E334" s="81" t="n">
        <v>45565</v>
      </c>
      <c r="F334" s="79" t="s">
        <v>271</v>
      </c>
      <c r="G334" s="79" t="s">
        <v>272</v>
      </c>
      <c r="H334" s="79" t="s">
        <v>268</v>
      </c>
      <c r="I334" s="82" t="n">
        <v>4347.821</v>
      </c>
      <c r="J334" s="82" t="n">
        <v>938.128</v>
      </c>
      <c r="K334" s="82" t="n">
        <v>228323000</v>
      </c>
      <c r="L334" s="83" t="n">
        <v>0.54</v>
      </c>
      <c r="M334" s="82" t="n">
        <v>423.9404</v>
      </c>
      <c r="N334" s="82" t="n">
        <v>0</v>
      </c>
      <c r="O334" s="82" t="n">
        <v>37006.121</v>
      </c>
      <c r="P334" s="83" t="n">
        <v>0</v>
      </c>
      <c r="Q334" s="83" t="n">
        <v>136.5</v>
      </c>
      <c r="R334" s="47" t="n">
        <v>8</v>
      </c>
      <c r="S334" s="66" t="s">
        <v>629</v>
      </c>
    </row>
    <row r="335" customFormat="false" ht="15" hidden="false" customHeight="false" outlineLevel="0" collapsed="false">
      <c r="A335" s="79" t="s">
        <v>230</v>
      </c>
      <c r="B335" s="79" t="s">
        <v>288</v>
      </c>
      <c r="C335" s="80" t="n">
        <v>2024</v>
      </c>
      <c r="D335" s="80" t="n">
        <v>2</v>
      </c>
      <c r="E335" s="81" t="n">
        <v>45473</v>
      </c>
      <c r="F335" s="79" t="s">
        <v>271</v>
      </c>
      <c r="G335" s="79" t="s">
        <v>272</v>
      </c>
      <c r="H335" s="79" t="s">
        <v>268</v>
      </c>
      <c r="I335" s="82" t="n">
        <v>4961.426</v>
      </c>
      <c r="J335" s="82" t="n">
        <v>1351.539</v>
      </c>
      <c r="K335" s="82" t="n">
        <v>485291000</v>
      </c>
      <c r="L335" s="83" t="n">
        <v>1.14</v>
      </c>
      <c r="M335" s="82" t="n">
        <v>423.9404</v>
      </c>
      <c r="N335" s="82" t="n">
        <v>0</v>
      </c>
      <c r="O335" s="82" t="n">
        <v>36678.815</v>
      </c>
      <c r="P335" s="83" t="n">
        <v>0</v>
      </c>
      <c r="Q335" s="83" t="n">
        <v>174.5</v>
      </c>
      <c r="R335" s="47" t="n">
        <v>9</v>
      </c>
      <c r="S335" s="66" t="s">
        <v>630</v>
      </c>
    </row>
    <row r="336" customFormat="false" ht="15" hidden="false" customHeight="false" outlineLevel="0" collapsed="false">
      <c r="A336" s="79" t="s">
        <v>230</v>
      </c>
      <c r="B336" s="79" t="s">
        <v>290</v>
      </c>
      <c r="C336" s="80" t="n">
        <v>2024</v>
      </c>
      <c r="D336" s="80" t="n">
        <v>1</v>
      </c>
      <c r="E336" s="81" t="n">
        <v>45382</v>
      </c>
      <c r="F336" s="79" t="s">
        <v>271</v>
      </c>
      <c r="G336" s="79" t="s">
        <v>272</v>
      </c>
      <c r="H336" s="79" t="s">
        <v>268</v>
      </c>
      <c r="I336" s="82" t="n">
        <v>4442.401</v>
      </c>
      <c r="J336" s="82" t="n">
        <v>994.668</v>
      </c>
      <c r="K336" s="82" t="n">
        <v>406726000</v>
      </c>
      <c r="L336" s="83" t="n">
        <v>0.96</v>
      </c>
      <c r="M336" s="82" t="n">
        <v>423.9404</v>
      </c>
      <c r="N336" s="82" t="n">
        <v>0</v>
      </c>
      <c r="O336" s="82" t="n">
        <v>35304.197</v>
      </c>
      <c r="P336" s="83" t="n">
        <v>0</v>
      </c>
      <c r="Q336" s="83" t="n">
        <v>146</v>
      </c>
      <c r="R336" s="47" t="n">
        <v>10</v>
      </c>
      <c r="S336" s="66" t="s">
        <v>631</v>
      </c>
    </row>
    <row r="337" customFormat="false" ht="15" hidden="false" customHeight="false" outlineLevel="0" collapsed="false">
      <c r="A337" s="79" t="s">
        <v>230</v>
      </c>
      <c r="B337" s="79" t="s">
        <v>292</v>
      </c>
      <c r="C337" s="80" t="n">
        <v>2023</v>
      </c>
      <c r="D337" s="80" t="n">
        <v>4</v>
      </c>
      <c r="E337" s="81" t="n">
        <v>45291</v>
      </c>
      <c r="F337" s="79" t="s">
        <v>271</v>
      </c>
      <c r="G337" s="79" t="s">
        <v>272</v>
      </c>
      <c r="H337" s="79" t="s">
        <v>268</v>
      </c>
      <c r="I337" s="82" t="n">
        <v>4868.036</v>
      </c>
      <c r="J337" s="82" t="n">
        <v>1432.882</v>
      </c>
      <c r="K337" s="82" t="n">
        <v>385044000</v>
      </c>
      <c r="L337" s="83" t="n">
        <v>0.91</v>
      </c>
      <c r="M337" s="82" t="n">
        <v>423.9404</v>
      </c>
      <c r="N337" s="82" t="n">
        <v>0</v>
      </c>
      <c r="O337" s="82" t="n">
        <v>33955.197</v>
      </c>
      <c r="P337" s="83" t="n">
        <v>0</v>
      </c>
      <c r="Q337" s="83" t="n">
        <v>159</v>
      </c>
      <c r="R337" s="47" t="n">
        <v>11</v>
      </c>
      <c r="S337" s="66" t="s">
        <v>632</v>
      </c>
    </row>
    <row r="338" customFormat="false" ht="15" hidden="false" customHeight="false" outlineLevel="0" collapsed="false">
      <c r="A338" s="79" t="s">
        <v>230</v>
      </c>
      <c r="B338" s="79" t="s">
        <v>294</v>
      </c>
      <c r="C338" s="80" t="n">
        <v>2023</v>
      </c>
      <c r="D338" s="80" t="n">
        <v>3</v>
      </c>
      <c r="E338" s="81" t="n">
        <v>45199</v>
      </c>
      <c r="F338" s="79" t="s">
        <v>271</v>
      </c>
      <c r="G338" s="79" t="s">
        <v>272</v>
      </c>
      <c r="H338" s="79" t="s">
        <v>268</v>
      </c>
      <c r="I338" s="82" t="n">
        <v>4165.01</v>
      </c>
      <c r="J338" s="82" t="n">
        <v>919.242</v>
      </c>
      <c r="K338" s="82" t="n">
        <v>34033000</v>
      </c>
      <c r="L338" s="83" t="n">
        <v>0.08</v>
      </c>
      <c r="M338" s="82" t="n">
        <v>423.9404</v>
      </c>
      <c r="N338" s="82" t="n">
        <v>0</v>
      </c>
      <c r="O338" s="82" t="n">
        <v>33323.325</v>
      </c>
      <c r="P338" s="83" t="n">
        <v>2.5</v>
      </c>
      <c r="Q338" s="83" t="n">
        <v>129</v>
      </c>
      <c r="R338" s="47" t="n">
        <v>12</v>
      </c>
      <c r="S338" s="66" t="s">
        <v>633</v>
      </c>
    </row>
    <row r="339" customFormat="false" ht="15" hidden="false" customHeight="false" outlineLevel="0" collapsed="false">
      <c r="A339" s="79" t="s">
        <v>230</v>
      </c>
      <c r="B339" s="79" t="s">
        <v>296</v>
      </c>
      <c r="C339" s="80" t="n">
        <v>2023</v>
      </c>
      <c r="D339" s="80" t="n">
        <v>2</v>
      </c>
      <c r="E339" s="81" t="n">
        <v>45107</v>
      </c>
      <c r="F339" s="79" t="s">
        <v>271</v>
      </c>
      <c r="G339" s="79" t="s">
        <v>272</v>
      </c>
      <c r="H339" s="79" t="s">
        <v>268</v>
      </c>
      <c r="I339" s="82" t="n">
        <v>3943.894</v>
      </c>
      <c r="J339" s="82" t="n">
        <v>790.943</v>
      </c>
      <c r="K339" s="82" t="n">
        <v>-96923000</v>
      </c>
      <c r="L339" s="83" t="n">
        <v>-0.23</v>
      </c>
      <c r="M339" s="82" t="n">
        <v>423.9404</v>
      </c>
      <c r="N339" s="82" t="n">
        <v>0</v>
      </c>
      <c r="O339" s="82" t="n">
        <v>32476.936</v>
      </c>
      <c r="P339" s="83" t="n">
        <v>0</v>
      </c>
      <c r="Q339" s="83" t="n">
        <v>164</v>
      </c>
      <c r="R339" s="47" t="n">
        <v>13</v>
      </c>
      <c r="S339" s="66" t="s">
        <v>634</v>
      </c>
    </row>
    <row r="340" customFormat="false" ht="15" hidden="false" customHeight="false" outlineLevel="0" collapsed="false">
      <c r="A340" s="79" t="s">
        <v>230</v>
      </c>
      <c r="B340" s="79" t="s">
        <v>298</v>
      </c>
      <c r="C340" s="80" t="n">
        <v>2023</v>
      </c>
      <c r="D340" s="80" t="n">
        <v>1</v>
      </c>
      <c r="E340" s="81" t="n">
        <v>45016</v>
      </c>
      <c r="F340" s="79" t="s">
        <v>271</v>
      </c>
      <c r="G340" s="79" t="s">
        <v>272</v>
      </c>
      <c r="H340" s="79" t="s">
        <v>268</v>
      </c>
      <c r="I340" s="82" t="n">
        <v>2859.558</v>
      </c>
      <c r="J340" s="82" t="n">
        <v>326.098</v>
      </c>
      <c r="K340" s="82" t="n">
        <v>-401811000</v>
      </c>
      <c r="L340" s="83" t="n">
        <v>-0.95</v>
      </c>
      <c r="M340" s="82" t="n">
        <v>423.9404</v>
      </c>
      <c r="N340" s="82" t="n">
        <v>0</v>
      </c>
      <c r="O340" s="82" t="n">
        <v>32288.429</v>
      </c>
      <c r="P340" s="83" t="n">
        <v>0</v>
      </c>
      <c r="Q340" s="83" t="n">
        <v>182.5</v>
      </c>
      <c r="R340" s="47" t="n">
        <v>14</v>
      </c>
      <c r="S340" s="66" t="s">
        <v>635</v>
      </c>
    </row>
    <row r="341" customFormat="false" ht="15" hidden="false" customHeight="false" outlineLevel="0" collapsed="false">
      <c r="A341" s="79" t="s">
        <v>230</v>
      </c>
      <c r="B341" s="79" t="s">
        <v>300</v>
      </c>
      <c r="C341" s="80" t="n">
        <v>2022</v>
      </c>
      <c r="D341" s="80" t="n">
        <v>4</v>
      </c>
      <c r="E341" s="81" t="n">
        <v>44926</v>
      </c>
      <c r="F341" s="79" t="s">
        <v>271</v>
      </c>
      <c r="G341" s="79" t="s">
        <v>272</v>
      </c>
      <c r="H341" s="79" t="s">
        <v>268</v>
      </c>
      <c r="I341" s="82" t="n">
        <v>3531.276</v>
      </c>
      <c r="J341" s="82" t="n">
        <v>785.53</v>
      </c>
      <c r="K341" s="82" t="n">
        <v>-75891000</v>
      </c>
      <c r="L341" s="83" t="n">
        <v>-0.18</v>
      </c>
      <c r="M341" s="82" t="n">
        <v>423.9404</v>
      </c>
      <c r="N341" s="82" t="n">
        <v>0</v>
      </c>
      <c r="O341" s="82" t="n">
        <v>33328.536</v>
      </c>
      <c r="P341" s="83" t="n">
        <v>0</v>
      </c>
      <c r="Q341" s="83" t="n">
        <v>136.5</v>
      </c>
      <c r="R341" s="47" t="n">
        <v>15</v>
      </c>
      <c r="S341" s="66" t="s">
        <v>636</v>
      </c>
    </row>
    <row r="342" customFormat="false" ht="15" hidden="false" customHeight="false" outlineLevel="0" collapsed="false">
      <c r="A342" s="79" t="s">
        <v>230</v>
      </c>
      <c r="B342" s="79" t="s">
        <v>302</v>
      </c>
      <c r="C342" s="80" t="n">
        <v>2022</v>
      </c>
      <c r="D342" s="80" t="n">
        <v>3</v>
      </c>
      <c r="E342" s="81" t="n">
        <v>44834</v>
      </c>
      <c r="F342" s="79" t="s">
        <v>271</v>
      </c>
      <c r="G342" s="79" t="s">
        <v>272</v>
      </c>
      <c r="H342" s="79" t="s">
        <v>268</v>
      </c>
      <c r="I342" s="82" t="n">
        <v>3908.742</v>
      </c>
      <c r="J342" s="82" t="n">
        <v>624.334</v>
      </c>
      <c r="K342" s="82" t="n">
        <v>351809000</v>
      </c>
      <c r="L342" s="83" t="n">
        <v>0.83</v>
      </c>
      <c r="M342" s="82" t="n">
        <v>423.9404</v>
      </c>
      <c r="N342" s="82" t="n">
        <v>0</v>
      </c>
      <c r="O342" s="82" t="n">
        <v>33407.459</v>
      </c>
      <c r="P342" s="83" t="n">
        <v>8.00067934</v>
      </c>
      <c r="Q342" s="83" t="n">
        <v>123.5</v>
      </c>
      <c r="R342" s="47" t="n">
        <v>16</v>
      </c>
      <c r="S342" s="66" t="s">
        <v>637</v>
      </c>
    </row>
    <row r="343" customFormat="false" ht="15" hidden="false" customHeight="false" outlineLevel="0" collapsed="false">
      <c r="A343" s="79" t="s">
        <v>230</v>
      </c>
      <c r="B343" s="79" t="s">
        <v>304</v>
      </c>
      <c r="C343" s="80" t="n">
        <v>2022</v>
      </c>
      <c r="D343" s="80" t="n">
        <v>2</v>
      </c>
      <c r="E343" s="81" t="n">
        <v>44742</v>
      </c>
      <c r="F343" s="79" t="s">
        <v>271</v>
      </c>
      <c r="G343" s="79" t="s">
        <v>272</v>
      </c>
      <c r="H343" s="79" t="s">
        <v>268</v>
      </c>
      <c r="I343" s="82" t="n">
        <v>5297.325</v>
      </c>
      <c r="J343" s="82" t="n">
        <v>1600.707</v>
      </c>
      <c r="K343" s="82" t="n">
        <v>644030000</v>
      </c>
      <c r="L343" s="83" t="n">
        <v>1.52</v>
      </c>
      <c r="M343" s="82" t="n">
        <v>423.9764</v>
      </c>
      <c r="N343" s="82" t="n">
        <v>36000</v>
      </c>
      <c r="O343" s="82" t="n">
        <v>32928.827</v>
      </c>
      <c r="P343" s="83" t="n">
        <v>0</v>
      </c>
      <c r="Q343" s="83" t="n">
        <v>192.5</v>
      </c>
      <c r="R343" s="47" t="n">
        <v>17</v>
      </c>
      <c r="S343" s="66" t="s">
        <v>638</v>
      </c>
    </row>
    <row r="344" customFormat="false" ht="15" hidden="false" customHeight="false" outlineLevel="0" collapsed="false">
      <c r="A344" s="79" t="s">
        <v>230</v>
      </c>
      <c r="B344" s="79" t="s">
        <v>306</v>
      </c>
      <c r="C344" s="80" t="n">
        <v>2022</v>
      </c>
      <c r="D344" s="80" t="n">
        <v>1</v>
      </c>
      <c r="E344" s="81" t="n">
        <v>44651</v>
      </c>
      <c r="F344" s="79" t="s">
        <v>271</v>
      </c>
      <c r="G344" s="79" t="s">
        <v>272</v>
      </c>
      <c r="H344" s="79" t="s">
        <v>268</v>
      </c>
      <c r="I344" s="82" t="n">
        <v>5596.993</v>
      </c>
      <c r="J344" s="82" t="n">
        <v>1714.161</v>
      </c>
      <c r="K344" s="82" t="n">
        <v>882221000</v>
      </c>
      <c r="L344" s="83" t="n">
        <v>2.08</v>
      </c>
      <c r="M344" s="82" t="n">
        <v>423.9764</v>
      </c>
      <c r="N344" s="82" t="n">
        <v>0</v>
      </c>
      <c r="O344" s="82" t="n">
        <v>32738.626</v>
      </c>
      <c r="P344" s="83" t="n">
        <v>0</v>
      </c>
      <c r="Q344" s="83" t="n">
        <v>266</v>
      </c>
      <c r="R344" s="47" t="n">
        <v>18</v>
      </c>
      <c r="S344" s="66" t="s">
        <v>639</v>
      </c>
    </row>
    <row r="345" customFormat="false" ht="15" hidden="false" customHeight="false" outlineLevel="0" collapsed="false">
      <c r="A345" s="79" t="s">
        <v>230</v>
      </c>
      <c r="B345" s="79" t="s">
        <v>308</v>
      </c>
      <c r="C345" s="80" t="n">
        <v>2021</v>
      </c>
      <c r="D345" s="80" t="n">
        <v>4</v>
      </c>
      <c r="E345" s="81" t="n">
        <v>44561</v>
      </c>
      <c r="F345" s="79" t="s">
        <v>271</v>
      </c>
      <c r="G345" s="79" t="s">
        <v>272</v>
      </c>
      <c r="H345" s="79" t="s">
        <v>268</v>
      </c>
      <c r="I345" s="82" t="n">
        <v>7217.272</v>
      </c>
      <c r="J345" s="82" t="n">
        <v>2922.64</v>
      </c>
      <c r="K345" s="82" t="n">
        <v>1771889000</v>
      </c>
      <c r="L345" s="83" t="n">
        <v>4.19</v>
      </c>
      <c r="M345" s="82" t="n">
        <v>423.9764</v>
      </c>
      <c r="N345" s="82" t="n">
        <v>0</v>
      </c>
      <c r="O345" s="82" t="n">
        <v>34938.008</v>
      </c>
      <c r="P345" s="83" t="n">
        <v>0</v>
      </c>
      <c r="Q345" s="83" t="n">
        <v>374.5</v>
      </c>
      <c r="R345" s="47" t="n">
        <v>19</v>
      </c>
      <c r="S345" s="66" t="s">
        <v>640</v>
      </c>
    </row>
    <row r="346" customFormat="false" ht="15" hidden="false" customHeight="false" outlineLevel="0" collapsed="false">
      <c r="A346" s="79" t="s">
        <v>230</v>
      </c>
      <c r="B346" s="79" t="s">
        <v>310</v>
      </c>
      <c r="C346" s="80" t="n">
        <v>2021</v>
      </c>
      <c r="D346" s="80" t="n">
        <v>3</v>
      </c>
      <c r="E346" s="81" t="n">
        <v>44469</v>
      </c>
      <c r="F346" s="79" t="s">
        <v>271</v>
      </c>
      <c r="G346" s="79" t="s">
        <v>272</v>
      </c>
      <c r="H346" s="79" t="s">
        <v>268</v>
      </c>
      <c r="I346" s="82" t="n">
        <v>6761.092</v>
      </c>
      <c r="J346" s="82" t="n">
        <v>2623.396</v>
      </c>
      <c r="K346" s="82" t="n">
        <v>1551965000</v>
      </c>
      <c r="L346" s="83" t="n">
        <v>3.67</v>
      </c>
      <c r="M346" s="82" t="n">
        <v>424.0414</v>
      </c>
      <c r="N346" s="82" t="n">
        <v>65000</v>
      </c>
      <c r="O346" s="82" t="n">
        <v>32791.573</v>
      </c>
      <c r="P346" s="83" t="n">
        <v>10</v>
      </c>
      <c r="Q346" s="83" t="n">
        <v>310</v>
      </c>
      <c r="R346" s="47" t="n">
        <v>20</v>
      </c>
      <c r="S346" s="66" t="s">
        <v>641</v>
      </c>
    </row>
    <row r="347" customFormat="false" ht="15" hidden="false" customHeight="false" outlineLevel="0" collapsed="false">
      <c r="A347" s="79" t="s">
        <v>230</v>
      </c>
      <c r="B347" s="79" t="s">
        <v>312</v>
      </c>
      <c r="C347" s="80" t="n">
        <v>2021</v>
      </c>
      <c r="D347" s="80" t="n">
        <v>2</v>
      </c>
      <c r="E347" s="81" t="n">
        <v>44377</v>
      </c>
      <c r="F347" s="79" t="s">
        <v>271</v>
      </c>
      <c r="G347" s="79" t="s">
        <v>272</v>
      </c>
      <c r="H347" s="79" t="s">
        <v>268</v>
      </c>
      <c r="I347" s="82" t="n">
        <v>6194.629</v>
      </c>
      <c r="J347" s="82" t="n">
        <v>2212.324</v>
      </c>
      <c r="K347" s="82" t="n">
        <v>979684000</v>
      </c>
      <c r="L347" s="83" t="n">
        <v>2.32</v>
      </c>
      <c r="M347" s="82" t="n">
        <v>424.0414</v>
      </c>
      <c r="N347" s="82" t="n">
        <v>0</v>
      </c>
      <c r="O347" s="82" t="n">
        <v>32727.333</v>
      </c>
      <c r="P347" s="83" t="n">
        <v>0</v>
      </c>
      <c r="Q347" s="83" t="n">
        <v>375</v>
      </c>
      <c r="R347" s="47" t="n">
        <v>21</v>
      </c>
      <c r="S347" s="66" t="s">
        <v>642</v>
      </c>
    </row>
    <row r="348" customFormat="false" ht="15" hidden="false" customHeight="false" outlineLevel="0" collapsed="false">
      <c r="A348" s="79" t="s">
        <v>230</v>
      </c>
      <c r="B348" s="79" t="s">
        <v>314</v>
      </c>
      <c r="C348" s="80" t="n">
        <v>2021</v>
      </c>
      <c r="D348" s="80" t="n">
        <v>1</v>
      </c>
      <c r="E348" s="81" t="n">
        <v>44286</v>
      </c>
      <c r="F348" s="79" t="s">
        <v>271</v>
      </c>
      <c r="G348" s="79" t="s">
        <v>272</v>
      </c>
      <c r="H348" s="79" t="s">
        <v>268</v>
      </c>
      <c r="I348" s="82" t="n">
        <v>6009.383</v>
      </c>
      <c r="J348" s="82" t="n">
        <v>2011.734</v>
      </c>
      <c r="K348" s="82" t="n">
        <v>1151424000</v>
      </c>
      <c r="L348" s="83" t="n">
        <v>2.72</v>
      </c>
      <c r="M348" s="82" t="n">
        <v>424.0414</v>
      </c>
      <c r="N348" s="82" t="n">
        <v>0</v>
      </c>
      <c r="O348" s="82" t="n">
        <v>31643.468</v>
      </c>
      <c r="P348" s="83" t="n">
        <v>0</v>
      </c>
      <c r="Q348" s="83" t="n">
        <v>391</v>
      </c>
      <c r="R348" s="47" t="n">
        <v>22</v>
      </c>
      <c r="S348" s="66" t="s">
        <v>643</v>
      </c>
    </row>
    <row r="349" customFormat="false" ht="15" hidden="false" customHeight="false" outlineLevel="0" collapsed="false">
      <c r="A349" s="79" t="s">
        <v>230</v>
      </c>
      <c r="B349" s="79" t="s">
        <v>316</v>
      </c>
      <c r="C349" s="80" t="n">
        <v>2020</v>
      </c>
      <c r="D349" s="80" t="n">
        <v>4</v>
      </c>
      <c r="E349" s="81" t="n">
        <v>44196</v>
      </c>
      <c r="F349" s="79" t="s">
        <v>271</v>
      </c>
      <c r="G349" s="79" t="s">
        <v>272</v>
      </c>
      <c r="H349" s="79" t="s">
        <v>268</v>
      </c>
      <c r="I349" s="82" t="n">
        <v>6861.08</v>
      </c>
      <c r="J349" s="82" t="n">
        <v>2399.206</v>
      </c>
      <c r="K349" s="82" t="n">
        <v>1295534000</v>
      </c>
      <c r="L349" s="83" t="n">
        <v>3.07</v>
      </c>
      <c r="M349" s="82" t="n">
        <v>424.0564</v>
      </c>
      <c r="N349" s="82" t="n">
        <v>0</v>
      </c>
      <c r="O349" s="82" t="n">
        <v>34077.586</v>
      </c>
      <c r="P349" s="83" t="n">
        <v>0</v>
      </c>
      <c r="Q349" s="83" t="n">
        <v>346</v>
      </c>
      <c r="R349" s="47" t="n">
        <v>23</v>
      </c>
      <c r="S349" s="66" t="s">
        <v>644</v>
      </c>
    </row>
    <row r="350" customFormat="false" ht="15" hidden="false" customHeight="false" outlineLevel="0" collapsed="false">
      <c r="A350" s="79" t="s">
        <v>230</v>
      </c>
      <c r="B350" s="79" t="s">
        <v>318</v>
      </c>
      <c r="C350" s="80" t="n">
        <v>2020</v>
      </c>
      <c r="D350" s="80" t="n">
        <v>3</v>
      </c>
      <c r="E350" s="81" t="n">
        <v>44104</v>
      </c>
      <c r="F350" s="79" t="s">
        <v>271</v>
      </c>
      <c r="G350" s="79" t="s">
        <v>272</v>
      </c>
      <c r="H350" s="79" t="s">
        <v>268</v>
      </c>
      <c r="I350" s="82" t="n">
        <v>6566.378</v>
      </c>
      <c r="J350" s="82" t="n">
        <v>2851.066</v>
      </c>
      <c r="K350" s="82" t="n">
        <v>1978942000</v>
      </c>
      <c r="L350" s="83" t="n">
        <v>4.68</v>
      </c>
      <c r="M350" s="82" t="n">
        <v>424.0564</v>
      </c>
      <c r="N350" s="82" t="n">
        <v>0</v>
      </c>
      <c r="O350" s="82" t="n">
        <v>32000.49</v>
      </c>
      <c r="P350" s="83"/>
      <c r="Q350" s="83" t="n">
        <v>286.5</v>
      </c>
      <c r="R350" s="47" t="n">
        <v>24</v>
      </c>
      <c r="S350" s="66" t="s">
        <v>645</v>
      </c>
    </row>
    <row r="351" customFormat="false" ht="15" hidden="false" customHeight="false" outlineLevel="0" collapsed="false">
      <c r="A351" s="79" t="s">
        <v>212</v>
      </c>
      <c r="B351" s="79" t="s">
        <v>270</v>
      </c>
      <c r="C351" s="80" t="n">
        <v>2026</v>
      </c>
      <c r="D351" s="80" t="n">
        <v>2</v>
      </c>
      <c r="E351" s="81" t="n">
        <v>46203</v>
      </c>
      <c r="F351" s="79" t="s">
        <v>271</v>
      </c>
      <c r="G351" s="79" t="s">
        <v>272</v>
      </c>
      <c r="H351" s="79" t="s">
        <v>268</v>
      </c>
      <c r="I351" s="82" t="n">
        <v>591.851</v>
      </c>
      <c r="J351" s="82" t="n">
        <v>89.928</v>
      </c>
      <c r="K351" s="82" t="n">
        <v>87786000</v>
      </c>
      <c r="L351" s="83" t="n">
        <v>0.93</v>
      </c>
      <c r="M351" s="82" t="n">
        <v>80.5407</v>
      </c>
      <c r="N351" s="82" t="n">
        <v>0</v>
      </c>
      <c r="O351" s="82" t="n">
        <v>3286.121</v>
      </c>
      <c r="P351" s="83" t="n">
        <v>0</v>
      </c>
      <c r="Q351" s="83" t="n">
        <v>792</v>
      </c>
      <c r="R351" s="47" t="n">
        <v>1</v>
      </c>
      <c r="S351" s="66" t="s">
        <v>646</v>
      </c>
    </row>
    <row r="352" customFormat="false" ht="15" hidden="false" customHeight="false" outlineLevel="0" collapsed="false">
      <c r="A352" s="79" t="s">
        <v>212</v>
      </c>
      <c r="B352" s="79" t="s">
        <v>274</v>
      </c>
      <c r="C352" s="80" t="n">
        <v>2026</v>
      </c>
      <c r="D352" s="80" t="n">
        <v>1</v>
      </c>
      <c r="E352" s="81" t="n">
        <v>46112</v>
      </c>
      <c r="F352" s="79" t="s">
        <v>271</v>
      </c>
      <c r="G352" s="79" t="s">
        <v>272</v>
      </c>
      <c r="H352" s="79" t="s">
        <v>268</v>
      </c>
      <c r="I352" s="82" t="n">
        <v>656.095</v>
      </c>
      <c r="J352" s="82" t="n">
        <v>123.71</v>
      </c>
      <c r="K352" s="82" t="n">
        <v>243751000</v>
      </c>
      <c r="L352" s="83" t="n">
        <v>3.03</v>
      </c>
      <c r="M352" s="82" t="n">
        <v>80.5407</v>
      </c>
      <c r="N352" s="82" t="n">
        <v>0</v>
      </c>
      <c r="O352" s="82" t="n">
        <v>3192.94</v>
      </c>
      <c r="P352" s="83" t="n">
        <v>0</v>
      </c>
      <c r="Q352" s="83" t="n">
        <v>788</v>
      </c>
      <c r="R352" s="47" t="n">
        <v>2</v>
      </c>
      <c r="S352" s="66" t="s">
        <v>647</v>
      </c>
    </row>
    <row r="353" customFormat="false" ht="15" hidden="false" customHeight="false" outlineLevel="0" collapsed="false">
      <c r="A353" s="79" t="s">
        <v>212</v>
      </c>
      <c r="B353" s="79" t="s">
        <v>276</v>
      </c>
      <c r="C353" s="80" t="n">
        <v>2025</v>
      </c>
      <c r="D353" s="80" t="n">
        <v>4</v>
      </c>
      <c r="E353" s="81" t="n">
        <v>46022</v>
      </c>
      <c r="F353" s="79" t="s">
        <v>271</v>
      </c>
      <c r="G353" s="79" t="s">
        <v>272</v>
      </c>
      <c r="H353" s="79" t="s">
        <v>268</v>
      </c>
      <c r="I353" s="82" t="n">
        <v>622.905</v>
      </c>
      <c r="J353" s="82" t="n">
        <v>113.767</v>
      </c>
      <c r="K353" s="82" t="n">
        <v>234036000</v>
      </c>
      <c r="L353" s="83" t="n">
        <v>2.9</v>
      </c>
      <c r="M353" s="82" t="n">
        <v>80.5407</v>
      </c>
      <c r="N353" s="82" t="n">
        <v>0</v>
      </c>
      <c r="O353" s="82" t="n">
        <v>3073.169</v>
      </c>
      <c r="P353" s="83" t="n">
        <v>0</v>
      </c>
      <c r="Q353" s="83" t="n">
        <v>398.5</v>
      </c>
      <c r="R353" s="47" t="n">
        <v>3</v>
      </c>
      <c r="S353" s="66" t="s">
        <v>648</v>
      </c>
    </row>
    <row r="354" customFormat="false" ht="15" hidden="false" customHeight="false" outlineLevel="0" collapsed="false">
      <c r="A354" s="79" t="s">
        <v>212</v>
      </c>
      <c r="B354" s="79" t="s">
        <v>278</v>
      </c>
      <c r="C354" s="80" t="n">
        <v>2025</v>
      </c>
      <c r="D354" s="80" t="n">
        <v>3</v>
      </c>
      <c r="E354" s="81" t="n">
        <v>45930</v>
      </c>
      <c r="F354" s="79" t="s">
        <v>271</v>
      </c>
      <c r="G354" s="79" t="s">
        <v>272</v>
      </c>
      <c r="H354" s="79" t="s">
        <v>268</v>
      </c>
      <c r="I354" s="82" t="n">
        <v>540.351</v>
      </c>
      <c r="J354" s="82" t="n">
        <v>102.528</v>
      </c>
      <c r="K354" s="82" t="n">
        <v>223913000</v>
      </c>
      <c r="L354" s="83" t="n">
        <v>2.78</v>
      </c>
      <c r="M354" s="82" t="n">
        <v>80.5407</v>
      </c>
      <c r="N354" s="82" t="n">
        <v>0</v>
      </c>
      <c r="O354" s="82" t="n">
        <v>2814.763</v>
      </c>
      <c r="P354" s="83" t="n">
        <v>0</v>
      </c>
      <c r="Q354" s="83" t="n">
        <v>225</v>
      </c>
      <c r="R354" s="47" t="n">
        <v>4</v>
      </c>
      <c r="S354" s="66" t="s">
        <v>649</v>
      </c>
    </row>
    <row r="355" customFormat="false" ht="15" hidden="false" customHeight="false" outlineLevel="0" collapsed="false">
      <c r="A355" s="79" t="s">
        <v>212</v>
      </c>
      <c r="B355" s="79" t="s">
        <v>280</v>
      </c>
      <c r="C355" s="80" t="n">
        <v>2025</v>
      </c>
      <c r="D355" s="80" t="n">
        <v>2</v>
      </c>
      <c r="E355" s="81" t="n">
        <v>45838</v>
      </c>
      <c r="F355" s="79" t="s">
        <v>271</v>
      </c>
      <c r="G355" s="79" t="s">
        <v>272</v>
      </c>
      <c r="H355" s="79" t="s">
        <v>268</v>
      </c>
      <c r="I355" s="82" t="n">
        <v>538.484</v>
      </c>
      <c r="J355" s="82" t="n">
        <v>92.579</v>
      </c>
      <c r="K355" s="82" t="n">
        <v>-6005000</v>
      </c>
      <c r="L355" s="83" t="n">
        <v>-0.07</v>
      </c>
      <c r="M355" s="82" t="n">
        <v>80.5407</v>
      </c>
      <c r="N355" s="82" t="n">
        <v>0</v>
      </c>
      <c r="O355" s="82" t="n">
        <v>2568.744</v>
      </c>
      <c r="P355" s="83" t="n">
        <v>3</v>
      </c>
      <c r="Q355" s="83" t="n">
        <v>183</v>
      </c>
      <c r="R355" s="47" t="n">
        <v>5</v>
      </c>
      <c r="S355" s="66" t="s">
        <v>650</v>
      </c>
    </row>
    <row r="356" customFormat="false" ht="15" hidden="false" customHeight="false" outlineLevel="0" collapsed="false">
      <c r="A356" s="79" t="s">
        <v>212</v>
      </c>
      <c r="B356" s="79" t="s">
        <v>282</v>
      </c>
      <c r="C356" s="80" t="n">
        <v>2025</v>
      </c>
      <c r="D356" s="80" t="n">
        <v>1</v>
      </c>
      <c r="E356" s="81" t="n">
        <v>45747</v>
      </c>
      <c r="F356" s="79" t="s">
        <v>271</v>
      </c>
      <c r="G356" s="79" t="s">
        <v>272</v>
      </c>
      <c r="H356" s="79" t="s">
        <v>268</v>
      </c>
      <c r="I356" s="82" t="n">
        <v>523.911</v>
      </c>
      <c r="J356" s="82" t="n">
        <v>93.243</v>
      </c>
      <c r="K356" s="82" t="n">
        <v>49205000</v>
      </c>
      <c r="L356" s="83" t="n">
        <v>0.61</v>
      </c>
      <c r="M356" s="82" t="n">
        <v>80.5407</v>
      </c>
      <c r="N356" s="82" t="n">
        <v>0</v>
      </c>
      <c r="O356" s="82" t="n">
        <v>2648.894</v>
      </c>
      <c r="P356" s="83" t="n">
        <v>0</v>
      </c>
      <c r="Q356" s="83" t="n">
        <v>172.5</v>
      </c>
      <c r="R356" s="47" t="n">
        <v>6</v>
      </c>
      <c r="S356" s="66" t="s">
        <v>651</v>
      </c>
    </row>
    <row r="357" customFormat="false" ht="15" hidden="false" customHeight="false" outlineLevel="0" collapsed="false">
      <c r="A357" s="79" t="s">
        <v>212</v>
      </c>
      <c r="B357" s="79" t="s">
        <v>284</v>
      </c>
      <c r="C357" s="80" t="n">
        <v>2024</v>
      </c>
      <c r="D357" s="80" t="n">
        <v>4</v>
      </c>
      <c r="E357" s="81" t="n">
        <v>45657</v>
      </c>
      <c r="F357" s="79" t="s">
        <v>271</v>
      </c>
      <c r="G357" s="79" t="s">
        <v>272</v>
      </c>
      <c r="H357" s="79" t="s">
        <v>268</v>
      </c>
      <c r="I357" s="82" t="n">
        <v>476.6</v>
      </c>
      <c r="J357" s="82" t="n">
        <v>66.994</v>
      </c>
      <c r="K357" s="82" t="n">
        <v>146483000</v>
      </c>
      <c r="L357" s="83" t="n">
        <v>1.82</v>
      </c>
      <c r="M357" s="82" t="n">
        <v>80.5407</v>
      </c>
      <c r="N357" s="82" t="n">
        <v>0</v>
      </c>
      <c r="O357" s="82" t="n">
        <v>2837.169</v>
      </c>
      <c r="P357" s="83" t="n">
        <v>0</v>
      </c>
      <c r="Q357" s="83" t="n">
        <v>141.5</v>
      </c>
      <c r="R357" s="47" t="n">
        <v>7</v>
      </c>
      <c r="S357" s="66" t="s">
        <v>652</v>
      </c>
    </row>
    <row r="358" customFormat="false" ht="15" hidden="false" customHeight="false" outlineLevel="0" collapsed="false">
      <c r="A358" s="79" t="s">
        <v>212</v>
      </c>
      <c r="B358" s="79" t="s">
        <v>286</v>
      </c>
      <c r="C358" s="80" t="n">
        <v>2024</v>
      </c>
      <c r="D358" s="80" t="n">
        <v>3</v>
      </c>
      <c r="E358" s="81" t="n">
        <v>45565</v>
      </c>
      <c r="F358" s="79" t="s">
        <v>271</v>
      </c>
      <c r="G358" s="79" t="s">
        <v>272</v>
      </c>
      <c r="H358" s="79" t="s">
        <v>268</v>
      </c>
      <c r="I358" s="82" t="n">
        <v>456.423</v>
      </c>
      <c r="J358" s="82" t="n">
        <v>40.882</v>
      </c>
      <c r="K358" s="82" t="n">
        <v>21751000</v>
      </c>
      <c r="L358" s="83" t="n">
        <v>0.27</v>
      </c>
      <c r="M358" s="82" t="n">
        <v>80.5407</v>
      </c>
      <c r="N358" s="82" t="n">
        <v>0</v>
      </c>
      <c r="O358" s="82" t="n">
        <v>2674.148</v>
      </c>
      <c r="P358" s="83" t="n">
        <v>0</v>
      </c>
      <c r="Q358" s="83" t="n">
        <v>157.5</v>
      </c>
      <c r="R358" s="47" t="n">
        <v>8</v>
      </c>
      <c r="S358" s="66" t="s">
        <v>653</v>
      </c>
    </row>
    <row r="359" customFormat="false" ht="15" hidden="false" customHeight="false" outlineLevel="0" collapsed="false">
      <c r="A359" s="79" t="s">
        <v>212</v>
      </c>
      <c r="B359" s="79" t="s">
        <v>288</v>
      </c>
      <c r="C359" s="80" t="n">
        <v>2024</v>
      </c>
      <c r="D359" s="80" t="n">
        <v>2</v>
      </c>
      <c r="E359" s="81" t="n">
        <v>45473</v>
      </c>
      <c r="F359" s="79" t="s">
        <v>271</v>
      </c>
      <c r="G359" s="79" t="s">
        <v>272</v>
      </c>
      <c r="H359" s="79" t="s">
        <v>268</v>
      </c>
      <c r="I359" s="82" t="n">
        <v>459.447</v>
      </c>
      <c r="J359" s="82" t="n">
        <v>72.122</v>
      </c>
      <c r="K359" s="82" t="n">
        <v>159672000</v>
      </c>
      <c r="L359" s="83" t="n">
        <v>1.98</v>
      </c>
      <c r="M359" s="82" t="n">
        <v>80.5407</v>
      </c>
      <c r="N359" s="82" t="n">
        <v>0</v>
      </c>
      <c r="O359" s="82" t="n">
        <v>2656.906</v>
      </c>
      <c r="P359" s="83" t="n">
        <v>3.6</v>
      </c>
      <c r="Q359" s="83" t="n">
        <v>137</v>
      </c>
      <c r="R359" s="47" t="n">
        <v>9</v>
      </c>
      <c r="S359" s="66" t="s">
        <v>654</v>
      </c>
    </row>
    <row r="360" customFormat="false" ht="15" hidden="false" customHeight="false" outlineLevel="0" collapsed="false">
      <c r="A360" s="79" t="s">
        <v>212</v>
      </c>
      <c r="B360" s="79" t="s">
        <v>290</v>
      </c>
      <c r="C360" s="80" t="n">
        <v>2024</v>
      </c>
      <c r="D360" s="80" t="n">
        <v>1</v>
      </c>
      <c r="E360" s="81" t="n">
        <v>45382</v>
      </c>
      <c r="F360" s="79" t="s">
        <v>271</v>
      </c>
      <c r="G360" s="79" t="s">
        <v>272</v>
      </c>
      <c r="H360" s="79" t="s">
        <v>268</v>
      </c>
      <c r="I360" s="82" t="n">
        <v>548.8</v>
      </c>
      <c r="J360" s="82" t="n">
        <v>98.773</v>
      </c>
      <c r="K360" s="82" t="n">
        <v>135162000</v>
      </c>
      <c r="L360" s="83" t="n">
        <v>1.68</v>
      </c>
      <c r="M360" s="82" t="n">
        <v>80.5407</v>
      </c>
      <c r="N360" s="82" t="n">
        <v>0</v>
      </c>
      <c r="O360" s="82" t="n">
        <v>2494.032</v>
      </c>
      <c r="P360" s="83" t="n">
        <v>0</v>
      </c>
      <c r="Q360" s="83" t="n">
        <v>102</v>
      </c>
      <c r="R360" s="47" t="n">
        <v>10</v>
      </c>
      <c r="S360" s="66" t="s">
        <v>655</v>
      </c>
    </row>
    <row r="361" customFormat="false" ht="15" hidden="false" customHeight="false" outlineLevel="0" collapsed="false">
      <c r="A361" s="79" t="s">
        <v>212</v>
      </c>
      <c r="B361" s="79" t="s">
        <v>292</v>
      </c>
      <c r="C361" s="80" t="n">
        <v>2023</v>
      </c>
      <c r="D361" s="80" t="n">
        <v>4</v>
      </c>
      <c r="E361" s="81" t="n">
        <v>45291</v>
      </c>
      <c r="F361" s="79" t="s">
        <v>271</v>
      </c>
      <c r="G361" s="79" t="s">
        <v>272</v>
      </c>
      <c r="H361" s="79" t="s">
        <v>268</v>
      </c>
      <c r="I361" s="82" t="n">
        <v>804.779</v>
      </c>
      <c r="J361" s="82" t="n">
        <v>166.741</v>
      </c>
      <c r="K361" s="82" t="n">
        <v>45370000</v>
      </c>
      <c r="L361" s="83" t="n">
        <v>0.52</v>
      </c>
      <c r="M361" s="82" t="n">
        <v>80.5407</v>
      </c>
      <c r="N361" s="82" t="n">
        <v>0</v>
      </c>
      <c r="O361" s="82" t="n">
        <v>2617.896</v>
      </c>
      <c r="P361" s="83" t="n">
        <v>0</v>
      </c>
      <c r="Q361" s="83" t="n">
        <v>88.4</v>
      </c>
      <c r="R361" s="47" t="n">
        <v>11</v>
      </c>
      <c r="S361" s="66" t="s">
        <v>656</v>
      </c>
    </row>
    <row r="362" customFormat="false" ht="15" hidden="false" customHeight="false" outlineLevel="0" collapsed="false">
      <c r="A362" s="79" t="s">
        <v>212</v>
      </c>
      <c r="B362" s="79" t="s">
        <v>294</v>
      </c>
      <c r="C362" s="80" t="n">
        <v>2023</v>
      </c>
      <c r="D362" s="80" t="n">
        <v>3</v>
      </c>
      <c r="E362" s="81" t="n">
        <v>45199</v>
      </c>
      <c r="F362" s="79" t="s">
        <v>271</v>
      </c>
      <c r="G362" s="79" t="s">
        <v>272</v>
      </c>
      <c r="H362" s="79" t="s">
        <v>268</v>
      </c>
      <c r="I362" s="82" t="n">
        <v>732.937</v>
      </c>
      <c r="J362" s="82" t="n">
        <v>122.216</v>
      </c>
      <c r="K362" s="82" t="n">
        <v>180803000</v>
      </c>
      <c r="L362" s="83" t="n">
        <v>2.3</v>
      </c>
      <c r="M362" s="82" t="n">
        <v>80.5162</v>
      </c>
      <c r="N362" s="82" t="n">
        <v>0</v>
      </c>
      <c r="O362" s="82" t="n">
        <v>2600.37</v>
      </c>
      <c r="P362" s="83" t="n">
        <v>0</v>
      </c>
      <c r="Q362" s="83" t="n">
        <v>97.1</v>
      </c>
      <c r="R362" s="47" t="n">
        <v>12</v>
      </c>
      <c r="S362" s="66" t="s">
        <v>657</v>
      </c>
    </row>
    <row r="363" customFormat="false" ht="15" hidden="false" customHeight="false" outlineLevel="0" collapsed="false">
      <c r="A363" s="79" t="s">
        <v>212</v>
      </c>
      <c r="B363" s="79" t="s">
        <v>296</v>
      </c>
      <c r="C363" s="80" t="n">
        <v>2023</v>
      </c>
      <c r="D363" s="80" t="n">
        <v>2</v>
      </c>
      <c r="E363" s="81" t="n">
        <v>45107</v>
      </c>
      <c r="F363" s="79" t="s">
        <v>271</v>
      </c>
      <c r="G363" s="79" t="s">
        <v>272</v>
      </c>
      <c r="H363" s="79" t="s">
        <v>268</v>
      </c>
      <c r="I363" s="82" t="n">
        <v>653.314</v>
      </c>
      <c r="J363" s="82" t="n">
        <v>133.089</v>
      </c>
      <c r="K363" s="82" t="n">
        <v>149150000</v>
      </c>
      <c r="L363" s="83" t="n">
        <v>1.98</v>
      </c>
      <c r="M363" s="82" t="n">
        <v>75.2869</v>
      </c>
      <c r="N363" s="82" t="n">
        <v>0</v>
      </c>
      <c r="O363" s="82" t="n">
        <v>2093.375</v>
      </c>
      <c r="P363" s="83" t="n">
        <v>4.2</v>
      </c>
      <c r="Q363" s="83" t="n">
        <v>60.2</v>
      </c>
      <c r="R363" s="47" t="n">
        <v>13</v>
      </c>
      <c r="S363" s="66" t="s">
        <v>658</v>
      </c>
    </row>
    <row r="364" customFormat="false" ht="15" hidden="false" customHeight="false" outlineLevel="0" collapsed="false">
      <c r="A364" s="79" t="s">
        <v>212</v>
      </c>
      <c r="B364" s="79" t="s">
        <v>298</v>
      </c>
      <c r="C364" s="80" t="n">
        <v>2023</v>
      </c>
      <c r="D364" s="80" t="n">
        <v>1</v>
      </c>
      <c r="E364" s="81" t="n">
        <v>45016</v>
      </c>
      <c r="F364" s="79" t="s">
        <v>271</v>
      </c>
      <c r="G364" s="79" t="s">
        <v>272</v>
      </c>
      <c r="H364" s="79" t="s">
        <v>268</v>
      </c>
      <c r="I364" s="82" t="n">
        <v>588.028</v>
      </c>
      <c r="J364" s="82" t="n">
        <v>134.372</v>
      </c>
      <c r="K364" s="82" t="n">
        <v>60459000</v>
      </c>
      <c r="L364" s="83" t="n">
        <v>0.8</v>
      </c>
      <c r="M364" s="82" t="n">
        <v>75.2869</v>
      </c>
      <c r="N364" s="82" t="n">
        <v>0</v>
      </c>
      <c r="O364" s="82" t="n">
        <v>1959.529</v>
      </c>
      <c r="P364" s="83" t="n">
        <v>0</v>
      </c>
      <c r="Q364" s="83" t="n">
        <v>56.5</v>
      </c>
      <c r="R364" s="47" t="n">
        <v>14</v>
      </c>
      <c r="S364" s="66" t="s">
        <v>659</v>
      </c>
    </row>
    <row r="365" customFormat="false" ht="15" hidden="false" customHeight="false" outlineLevel="0" collapsed="false">
      <c r="A365" s="79" t="s">
        <v>212</v>
      </c>
      <c r="B365" s="79" t="s">
        <v>300</v>
      </c>
      <c r="C365" s="80" t="n">
        <v>2022</v>
      </c>
      <c r="D365" s="80" t="n">
        <v>4</v>
      </c>
      <c r="E365" s="81" t="n">
        <v>44926</v>
      </c>
      <c r="F365" s="79" t="s">
        <v>271</v>
      </c>
      <c r="G365" s="79" t="s">
        <v>272</v>
      </c>
      <c r="H365" s="79" t="s">
        <v>268</v>
      </c>
      <c r="I365" s="82" t="n">
        <v>775.222</v>
      </c>
      <c r="J365" s="82" t="n">
        <v>228.962</v>
      </c>
      <c r="K365" s="82" t="n">
        <v>74742000</v>
      </c>
      <c r="L365" s="83" t="n">
        <v>0.99</v>
      </c>
      <c r="M365" s="82" t="n">
        <v>75.2869</v>
      </c>
      <c r="N365" s="82" t="n">
        <v>0</v>
      </c>
      <c r="O365" s="82" t="n">
        <v>2210.315</v>
      </c>
      <c r="P365" s="83" t="n">
        <v>0</v>
      </c>
      <c r="Q365" s="83" t="n">
        <v>49.5</v>
      </c>
      <c r="R365" s="47" t="n">
        <v>15</v>
      </c>
      <c r="S365" s="66" t="s">
        <v>660</v>
      </c>
    </row>
    <row r="366" customFormat="false" ht="15" hidden="false" customHeight="false" outlineLevel="0" collapsed="false">
      <c r="A366" s="79" t="s">
        <v>212</v>
      </c>
      <c r="B366" s="79" t="s">
        <v>302</v>
      </c>
      <c r="C366" s="80" t="n">
        <v>2022</v>
      </c>
      <c r="D366" s="80" t="n">
        <v>3</v>
      </c>
      <c r="E366" s="81" t="n">
        <v>44834</v>
      </c>
      <c r="F366" s="79" t="s">
        <v>271</v>
      </c>
      <c r="G366" s="79" t="s">
        <v>272</v>
      </c>
      <c r="H366" s="79" t="s">
        <v>268</v>
      </c>
      <c r="I366" s="82" t="n">
        <v>763.628</v>
      </c>
      <c r="J366" s="82" t="n">
        <v>204.466</v>
      </c>
      <c r="K366" s="82" t="n">
        <v>180378000</v>
      </c>
      <c r="L366" s="83" t="n">
        <v>2.4</v>
      </c>
      <c r="M366" s="82" t="n">
        <v>75.2869</v>
      </c>
      <c r="N366" s="82" t="n">
        <v>0</v>
      </c>
      <c r="O366" s="82" t="n">
        <v>2137.27</v>
      </c>
      <c r="P366" s="83" t="n">
        <v>0</v>
      </c>
      <c r="Q366" s="83" t="n">
        <v>49.85</v>
      </c>
      <c r="R366" s="47" t="n">
        <v>16</v>
      </c>
      <c r="S366" s="66" t="s">
        <v>661</v>
      </c>
    </row>
    <row r="367" customFormat="false" ht="15" hidden="false" customHeight="false" outlineLevel="0" collapsed="false">
      <c r="A367" s="79" t="s">
        <v>212</v>
      </c>
      <c r="B367" s="79" t="s">
        <v>304</v>
      </c>
      <c r="C367" s="80" t="n">
        <v>2022</v>
      </c>
      <c r="D367" s="80" t="n">
        <v>2</v>
      </c>
      <c r="E367" s="81" t="n">
        <v>44742</v>
      </c>
      <c r="F367" s="79" t="s">
        <v>271</v>
      </c>
      <c r="G367" s="79" t="s">
        <v>272</v>
      </c>
      <c r="H367" s="79" t="s">
        <v>268</v>
      </c>
      <c r="I367" s="82" t="n">
        <v>962.47</v>
      </c>
      <c r="J367" s="82" t="n">
        <v>240.008</v>
      </c>
      <c r="K367" s="82" t="n">
        <v>150426000</v>
      </c>
      <c r="L367" s="83" t="n">
        <v>2</v>
      </c>
      <c r="M367" s="82" t="n">
        <v>75.2869</v>
      </c>
      <c r="N367" s="82" t="n">
        <v>0</v>
      </c>
      <c r="O367" s="82" t="n">
        <v>1946.838</v>
      </c>
      <c r="P367" s="83" t="n">
        <v>1</v>
      </c>
      <c r="Q367" s="83" t="n">
        <v>44</v>
      </c>
      <c r="R367" s="47" t="n">
        <v>17</v>
      </c>
      <c r="S367" s="66" t="s">
        <v>662</v>
      </c>
    </row>
    <row r="368" customFormat="false" ht="15" hidden="false" customHeight="false" outlineLevel="0" collapsed="false">
      <c r="A368" s="79" t="s">
        <v>212</v>
      </c>
      <c r="B368" s="79" t="s">
        <v>306</v>
      </c>
      <c r="C368" s="80" t="n">
        <v>2022</v>
      </c>
      <c r="D368" s="80" t="n">
        <v>1</v>
      </c>
      <c r="E368" s="81" t="n">
        <v>44651</v>
      </c>
      <c r="F368" s="79" t="s">
        <v>271</v>
      </c>
      <c r="G368" s="79" t="s">
        <v>272</v>
      </c>
      <c r="H368" s="79" t="s">
        <v>268</v>
      </c>
      <c r="I368" s="82" t="n">
        <v>709.252</v>
      </c>
      <c r="J368" s="82" t="n">
        <v>121.525</v>
      </c>
      <c r="K368" s="82" t="n">
        <v>46037000</v>
      </c>
      <c r="L368" s="83" t="n">
        <v>0.61</v>
      </c>
      <c r="M368" s="82" t="n">
        <v>75.2869</v>
      </c>
      <c r="N368" s="82" t="n">
        <v>0</v>
      </c>
      <c r="O368" s="82" t="n">
        <v>1815.805</v>
      </c>
      <c r="P368" s="83" t="n">
        <v>0</v>
      </c>
      <c r="Q368" s="83" t="n">
        <v>47.85</v>
      </c>
      <c r="R368" s="47" t="n">
        <v>18</v>
      </c>
      <c r="S368" s="66" t="s">
        <v>663</v>
      </c>
    </row>
    <row r="369" customFormat="false" ht="15" hidden="false" customHeight="false" outlineLevel="0" collapsed="false">
      <c r="A369" s="79" t="s">
        <v>212</v>
      </c>
      <c r="B369" s="79" t="s">
        <v>308</v>
      </c>
      <c r="C369" s="80" t="n">
        <v>2021</v>
      </c>
      <c r="D369" s="80" t="n">
        <v>4</v>
      </c>
      <c r="E369" s="81" t="n">
        <v>44561</v>
      </c>
      <c r="F369" s="79" t="s">
        <v>271</v>
      </c>
      <c r="G369" s="79" t="s">
        <v>272</v>
      </c>
      <c r="H369" s="79" t="s">
        <v>268</v>
      </c>
      <c r="I369" s="82" t="n">
        <v>662.294</v>
      </c>
      <c r="J369" s="82" t="n">
        <v>127.55</v>
      </c>
      <c r="K369" s="82" t="n">
        <v>57830000</v>
      </c>
      <c r="L369" s="83" t="n">
        <v>0.77</v>
      </c>
      <c r="M369" s="82" t="n">
        <v>75.2869</v>
      </c>
      <c r="N369" s="82" t="n">
        <v>0</v>
      </c>
      <c r="O369" s="82" t="n">
        <v>1814.243</v>
      </c>
      <c r="P369" s="83" t="n">
        <v>0</v>
      </c>
      <c r="Q369" s="83" t="n">
        <v>42.05</v>
      </c>
      <c r="R369" s="47" t="n">
        <v>19</v>
      </c>
      <c r="S369" s="66" t="s">
        <v>664</v>
      </c>
    </row>
    <row r="370" customFormat="false" ht="15" hidden="false" customHeight="false" outlineLevel="0" collapsed="false">
      <c r="A370" s="79" t="s">
        <v>212</v>
      </c>
      <c r="B370" s="79" t="s">
        <v>310</v>
      </c>
      <c r="C370" s="80" t="n">
        <v>2021</v>
      </c>
      <c r="D370" s="80" t="n">
        <v>3</v>
      </c>
      <c r="E370" s="81" t="n">
        <v>44469</v>
      </c>
      <c r="F370" s="79" t="s">
        <v>271</v>
      </c>
      <c r="G370" s="79" t="s">
        <v>272</v>
      </c>
      <c r="H370" s="79" t="s">
        <v>268</v>
      </c>
      <c r="I370" s="82" t="n">
        <v>544.195</v>
      </c>
      <c r="J370" s="82" t="n">
        <v>75.448</v>
      </c>
      <c r="K370" s="82" t="n">
        <v>16021000</v>
      </c>
      <c r="L370" s="83" t="n">
        <v>0.21</v>
      </c>
      <c r="M370" s="82" t="n">
        <v>75.2869</v>
      </c>
      <c r="N370" s="82" t="n">
        <v>0</v>
      </c>
      <c r="O370" s="82" t="n">
        <v>1747.814</v>
      </c>
      <c r="P370" s="83" t="n">
        <v>2.5</v>
      </c>
      <c r="Q370" s="83" t="n">
        <v>37.95</v>
      </c>
      <c r="R370" s="47" t="n">
        <v>20</v>
      </c>
      <c r="S370" s="66" t="s">
        <v>665</v>
      </c>
    </row>
    <row r="371" customFormat="false" ht="15" hidden="false" customHeight="false" outlineLevel="0" collapsed="false">
      <c r="A371" s="79" t="s">
        <v>212</v>
      </c>
      <c r="B371" s="79" t="s">
        <v>312</v>
      </c>
      <c r="C371" s="80" t="n">
        <v>2021</v>
      </c>
      <c r="D371" s="80" t="n">
        <v>2</v>
      </c>
      <c r="E371" s="81" t="n">
        <v>44377</v>
      </c>
      <c r="F371" s="79" t="s">
        <v>271</v>
      </c>
      <c r="G371" s="79" t="s">
        <v>272</v>
      </c>
      <c r="H371" s="79" t="s">
        <v>268</v>
      </c>
      <c r="I371" s="82" t="n">
        <v>574.046</v>
      </c>
      <c r="J371" s="82" t="n">
        <v>100.838</v>
      </c>
      <c r="K371" s="82" t="n">
        <v>17140000</v>
      </c>
      <c r="L371" s="83" t="n">
        <v>0.23</v>
      </c>
      <c r="M371" s="82" t="n">
        <v>75.2869</v>
      </c>
      <c r="N371" s="82" t="n">
        <v>0</v>
      </c>
      <c r="O371" s="82" t="n">
        <v>1740.385</v>
      </c>
      <c r="P371" s="83" t="n">
        <v>0</v>
      </c>
      <c r="Q371" s="83" t="n">
        <v>44.7</v>
      </c>
      <c r="R371" s="47" t="n">
        <v>21</v>
      </c>
      <c r="S371" s="66" t="s">
        <v>666</v>
      </c>
    </row>
    <row r="372" customFormat="false" ht="15" hidden="false" customHeight="false" outlineLevel="0" collapsed="false">
      <c r="A372" s="79" t="s">
        <v>212</v>
      </c>
      <c r="B372" s="79" t="s">
        <v>314</v>
      </c>
      <c r="C372" s="80" t="n">
        <v>2021</v>
      </c>
      <c r="D372" s="80" t="n">
        <v>1</v>
      </c>
      <c r="E372" s="81" t="n">
        <v>44286</v>
      </c>
      <c r="F372" s="79" t="s">
        <v>271</v>
      </c>
      <c r="G372" s="79" t="s">
        <v>272</v>
      </c>
      <c r="H372" s="79" t="s">
        <v>268</v>
      </c>
      <c r="I372" s="82" t="n">
        <v>515.917</v>
      </c>
      <c r="J372" s="82" t="n">
        <v>61.896</v>
      </c>
      <c r="K372" s="82" t="n">
        <v>-9347000</v>
      </c>
      <c r="L372" s="83" t="n">
        <v>-0.13</v>
      </c>
      <c r="M372" s="82" t="n">
        <v>75.2869</v>
      </c>
      <c r="N372" s="82" t="n">
        <v>0</v>
      </c>
      <c r="O372" s="82" t="n">
        <v>1728.076</v>
      </c>
      <c r="P372" s="83" t="n">
        <v>0</v>
      </c>
      <c r="Q372" s="83" t="n">
        <v>54.9</v>
      </c>
      <c r="R372" s="47" t="n">
        <v>22</v>
      </c>
      <c r="S372" s="66" t="s">
        <v>667</v>
      </c>
    </row>
    <row r="373" customFormat="false" ht="15" hidden="false" customHeight="false" outlineLevel="0" collapsed="false">
      <c r="A373" s="79" t="s">
        <v>212</v>
      </c>
      <c r="B373" s="79" t="s">
        <v>316</v>
      </c>
      <c r="C373" s="80" t="n">
        <v>2020</v>
      </c>
      <c r="D373" s="80" t="n">
        <v>4</v>
      </c>
      <c r="E373" s="81" t="n">
        <v>44196</v>
      </c>
      <c r="F373" s="79" t="s">
        <v>271</v>
      </c>
      <c r="G373" s="79" t="s">
        <v>272</v>
      </c>
      <c r="H373" s="79" t="s">
        <v>268</v>
      </c>
      <c r="I373" s="82" t="n">
        <v>715.883</v>
      </c>
      <c r="J373" s="82" t="n">
        <v>142.757</v>
      </c>
      <c r="K373" s="82" t="n">
        <v>26293000</v>
      </c>
      <c r="L373" s="83" t="n">
        <v>0.34</v>
      </c>
      <c r="M373" s="82" t="n">
        <v>75.2869</v>
      </c>
      <c r="N373" s="82" t="n">
        <v>1282000</v>
      </c>
      <c r="O373" s="82" t="n">
        <v>1875.695</v>
      </c>
      <c r="P373" s="83" t="n">
        <v>0</v>
      </c>
      <c r="Q373" s="83" t="n">
        <v>53</v>
      </c>
      <c r="R373" s="47" t="n">
        <v>23</v>
      </c>
      <c r="S373" s="66" t="s">
        <v>668</v>
      </c>
    </row>
    <row r="374" customFormat="false" ht="15" hidden="false" customHeight="false" outlineLevel="0" collapsed="false">
      <c r="A374" s="79" t="s">
        <v>212</v>
      </c>
      <c r="B374" s="79" t="s">
        <v>318</v>
      </c>
      <c r="C374" s="80" t="n">
        <v>2020</v>
      </c>
      <c r="D374" s="80" t="n">
        <v>3</v>
      </c>
      <c r="E374" s="81" t="n">
        <v>44104</v>
      </c>
      <c r="F374" s="79" t="s">
        <v>271</v>
      </c>
      <c r="G374" s="79" t="s">
        <v>272</v>
      </c>
      <c r="H374" s="79" t="s">
        <v>268</v>
      </c>
      <c r="I374" s="82" t="n">
        <v>941.795</v>
      </c>
      <c r="J374" s="82" t="n">
        <v>282.401</v>
      </c>
      <c r="K374" s="82" t="n">
        <v>105496000</v>
      </c>
      <c r="L374" s="83" t="n">
        <v>1.43</v>
      </c>
      <c r="M374" s="82" t="n">
        <v>75.2869</v>
      </c>
      <c r="N374" s="82" t="n">
        <v>1282000</v>
      </c>
      <c r="O374" s="82" t="n">
        <v>1793.88</v>
      </c>
      <c r="P374" s="83"/>
      <c r="Q374" s="83" t="n">
        <v>62.8</v>
      </c>
      <c r="R374" s="47" t="n">
        <v>24</v>
      </c>
      <c r="S374" s="66" t="s">
        <v>669</v>
      </c>
    </row>
    <row r="375" customFormat="false" ht="15" hidden="false" customHeight="false" outlineLevel="0" collapsed="false">
      <c r="A375" s="79" t="s">
        <v>216</v>
      </c>
      <c r="B375" s="79" t="s">
        <v>265</v>
      </c>
      <c r="C375" s="80" t="n">
        <v>2026</v>
      </c>
      <c r="D375" s="80" t="n">
        <v>3</v>
      </c>
      <c r="E375" s="81" t="n">
        <v>46295</v>
      </c>
      <c r="F375" s="79" t="s">
        <v>266</v>
      </c>
      <c r="G375" s="79" t="s">
        <v>267</v>
      </c>
      <c r="H375" s="79" t="s">
        <v>268</v>
      </c>
      <c r="I375" s="82"/>
      <c r="J375" s="82"/>
      <c r="K375" s="82"/>
      <c r="L375" s="83" t="n">
        <v>3.18425</v>
      </c>
      <c r="M375" s="82"/>
      <c r="N375" s="82"/>
      <c r="O375" s="82"/>
      <c r="P375" s="83"/>
      <c r="Q375" s="83"/>
      <c r="R375" s="47" t="n">
        <v>0</v>
      </c>
      <c r="S375" s="66" t="s">
        <v>670</v>
      </c>
    </row>
    <row r="376" customFormat="false" ht="15" hidden="false" customHeight="false" outlineLevel="0" collapsed="false">
      <c r="A376" s="79" t="s">
        <v>216</v>
      </c>
      <c r="B376" s="79" t="s">
        <v>270</v>
      </c>
      <c r="C376" s="80" t="n">
        <v>2026</v>
      </c>
      <c r="D376" s="80" t="n">
        <v>2</v>
      </c>
      <c r="E376" s="81" t="n">
        <v>46203</v>
      </c>
      <c r="F376" s="79" t="s">
        <v>271</v>
      </c>
      <c r="G376" s="79" t="s">
        <v>272</v>
      </c>
      <c r="H376" s="79" t="s">
        <v>268</v>
      </c>
      <c r="I376" s="82" t="n">
        <v>12496.254</v>
      </c>
      <c r="J376" s="82" t="n">
        <v>3260.82</v>
      </c>
      <c r="K376" s="82" t="n">
        <v>1310553000</v>
      </c>
      <c r="L376" s="83" t="n">
        <v>2.57</v>
      </c>
      <c r="M376" s="82" t="n">
        <v>526.9104</v>
      </c>
      <c r="N376" s="82" t="n">
        <v>0</v>
      </c>
      <c r="O376" s="82" t="n">
        <v>44466.694</v>
      </c>
      <c r="P376" s="83" t="n">
        <v>0</v>
      </c>
      <c r="Q376" s="83" t="n">
        <v>891</v>
      </c>
      <c r="R376" s="47" t="n">
        <v>1</v>
      </c>
      <c r="S376" s="66" t="s">
        <v>671</v>
      </c>
    </row>
    <row r="377" customFormat="false" ht="15" hidden="false" customHeight="false" outlineLevel="0" collapsed="false">
      <c r="A377" s="79" t="s">
        <v>216</v>
      </c>
      <c r="B377" s="79" t="s">
        <v>274</v>
      </c>
      <c r="C377" s="80" t="n">
        <v>2026</v>
      </c>
      <c r="D377" s="80" t="n">
        <v>1</v>
      </c>
      <c r="E377" s="81" t="n">
        <v>46112</v>
      </c>
      <c r="F377" s="79" t="s">
        <v>271</v>
      </c>
      <c r="G377" s="79" t="s">
        <v>272</v>
      </c>
      <c r="H377" s="79" t="s">
        <v>268</v>
      </c>
      <c r="I377" s="82" t="n">
        <v>11104.965</v>
      </c>
      <c r="J377" s="82" t="n">
        <v>2349.499</v>
      </c>
      <c r="K377" s="82" t="n">
        <v>549232000</v>
      </c>
      <c r="L377" s="83" t="n">
        <v>1.17</v>
      </c>
      <c r="M377" s="82" t="n">
        <v>526.9158</v>
      </c>
      <c r="N377" s="82" t="n">
        <v>0</v>
      </c>
      <c r="O377" s="82" t="n">
        <v>43152.823</v>
      </c>
      <c r="P377" s="83" t="n">
        <v>0</v>
      </c>
      <c r="Q377" s="83" t="n">
        <v>313</v>
      </c>
      <c r="R377" s="47" t="n">
        <v>2</v>
      </c>
      <c r="S377" s="66" t="s">
        <v>672</v>
      </c>
    </row>
    <row r="378" customFormat="false" ht="15" hidden="false" customHeight="false" outlineLevel="0" collapsed="false">
      <c r="A378" s="79" t="s">
        <v>216</v>
      </c>
      <c r="B378" s="79" t="s">
        <v>276</v>
      </c>
      <c r="C378" s="80" t="n">
        <v>2025</v>
      </c>
      <c r="D378" s="80" t="n">
        <v>4</v>
      </c>
      <c r="E378" s="81" t="n">
        <v>46022</v>
      </c>
      <c r="F378" s="79" t="s">
        <v>271</v>
      </c>
      <c r="G378" s="79" t="s">
        <v>272</v>
      </c>
      <c r="H378" s="79" t="s">
        <v>268</v>
      </c>
      <c r="I378" s="82" t="n">
        <v>10811.438</v>
      </c>
      <c r="J378" s="82" t="n">
        <v>2393.395</v>
      </c>
      <c r="K378" s="82" t="n">
        <v>642333000</v>
      </c>
      <c r="L378" s="83" t="n">
        <v>1.41</v>
      </c>
      <c r="M378" s="82" t="n">
        <v>456.792</v>
      </c>
      <c r="N378" s="82" t="n">
        <v>0</v>
      </c>
      <c r="O378" s="82" t="n">
        <v>32731.765</v>
      </c>
      <c r="P378" s="83" t="n">
        <v>0</v>
      </c>
      <c r="Q378" s="83" t="n">
        <v>159</v>
      </c>
      <c r="R378" s="47" t="n">
        <v>3</v>
      </c>
      <c r="S378" s="66" t="s">
        <v>673</v>
      </c>
    </row>
    <row r="379" customFormat="false" ht="15" hidden="false" customHeight="false" outlineLevel="0" collapsed="false">
      <c r="A379" s="79" t="s">
        <v>216</v>
      </c>
      <c r="B379" s="79" t="s">
        <v>278</v>
      </c>
      <c r="C379" s="80" t="n">
        <v>2025</v>
      </c>
      <c r="D379" s="80" t="n">
        <v>3</v>
      </c>
      <c r="E379" s="81" t="n">
        <v>45930</v>
      </c>
      <c r="F379" s="79" t="s">
        <v>271</v>
      </c>
      <c r="G379" s="79" t="s">
        <v>272</v>
      </c>
      <c r="H379" s="79" t="s">
        <v>268</v>
      </c>
      <c r="I379" s="82" t="n">
        <v>10356.188</v>
      </c>
      <c r="J379" s="82" t="n">
        <v>1963.707</v>
      </c>
      <c r="K379" s="82" t="n">
        <v>339339000</v>
      </c>
      <c r="L379" s="83" t="n">
        <v>0.75</v>
      </c>
      <c r="M379" s="82" t="n">
        <v>456.8127</v>
      </c>
      <c r="N379" s="82" t="n">
        <v>0</v>
      </c>
      <c r="O379" s="82" t="n">
        <v>32008.425</v>
      </c>
      <c r="P379" s="83" t="n">
        <v>1.00017193</v>
      </c>
      <c r="Q379" s="83" t="n">
        <v>107.5</v>
      </c>
      <c r="R379" s="47" t="n">
        <v>4</v>
      </c>
      <c r="S379" s="66" t="s">
        <v>674</v>
      </c>
    </row>
    <row r="380" customFormat="false" ht="15" hidden="false" customHeight="false" outlineLevel="0" collapsed="false">
      <c r="A380" s="79" t="s">
        <v>216</v>
      </c>
      <c r="B380" s="79" t="s">
        <v>280</v>
      </c>
      <c r="C380" s="80" t="n">
        <v>2025</v>
      </c>
      <c r="D380" s="80" t="n">
        <v>2</v>
      </c>
      <c r="E380" s="81" t="n">
        <v>45838</v>
      </c>
      <c r="F380" s="79" t="s">
        <v>271</v>
      </c>
      <c r="G380" s="79" t="s">
        <v>272</v>
      </c>
      <c r="H380" s="79" t="s">
        <v>268</v>
      </c>
      <c r="I380" s="82" t="n">
        <v>9563.726</v>
      </c>
      <c r="J380" s="82" t="n">
        <v>2015.768</v>
      </c>
      <c r="K380" s="82" t="n">
        <v>338192000</v>
      </c>
      <c r="L380" s="83" t="n">
        <v>0.74</v>
      </c>
      <c r="M380" s="82" t="n">
        <v>456.5709</v>
      </c>
      <c r="N380" s="82" t="n">
        <v>0</v>
      </c>
      <c r="O380" s="82" t="n">
        <v>31547.318</v>
      </c>
      <c r="P380" s="83" t="n">
        <v>0</v>
      </c>
      <c r="Q380" s="83" t="n">
        <v>83.7</v>
      </c>
      <c r="R380" s="47" t="n">
        <v>5</v>
      </c>
      <c r="S380" s="66" t="s">
        <v>675</v>
      </c>
    </row>
    <row r="381" customFormat="false" ht="15" hidden="false" customHeight="false" outlineLevel="0" collapsed="false">
      <c r="A381" s="79" t="s">
        <v>216</v>
      </c>
      <c r="B381" s="79" t="s">
        <v>282</v>
      </c>
      <c r="C381" s="80" t="n">
        <v>2025</v>
      </c>
      <c r="D381" s="80" t="n">
        <v>1</v>
      </c>
      <c r="E381" s="81" t="n">
        <v>45747</v>
      </c>
      <c r="F381" s="79" t="s">
        <v>271</v>
      </c>
      <c r="G381" s="79" t="s">
        <v>272</v>
      </c>
      <c r="H381" s="79" t="s">
        <v>268</v>
      </c>
      <c r="I381" s="82" t="n">
        <v>8619.744</v>
      </c>
      <c r="J381" s="82" t="n">
        <v>1941.539</v>
      </c>
      <c r="K381" s="82" t="n">
        <v>276072000</v>
      </c>
      <c r="L381" s="83" t="n">
        <v>0.61</v>
      </c>
      <c r="M381" s="82" t="n">
        <v>456.6072</v>
      </c>
      <c r="N381" s="82" t="n">
        <v>0</v>
      </c>
      <c r="O381" s="82" t="n">
        <v>31519.108</v>
      </c>
      <c r="P381" s="83" t="n">
        <v>0</v>
      </c>
      <c r="Q381" s="83" t="n">
        <v>81</v>
      </c>
      <c r="R381" s="47" t="n">
        <v>6</v>
      </c>
      <c r="S381" s="66" t="s">
        <v>676</v>
      </c>
    </row>
    <row r="382" customFormat="false" ht="15" hidden="false" customHeight="false" outlineLevel="0" collapsed="false">
      <c r="A382" s="79" t="s">
        <v>216</v>
      </c>
      <c r="B382" s="79" t="s">
        <v>284</v>
      </c>
      <c r="C382" s="80" t="n">
        <v>2024</v>
      </c>
      <c r="D382" s="80" t="n">
        <v>4</v>
      </c>
      <c r="E382" s="81" t="n">
        <v>45657</v>
      </c>
      <c r="F382" s="79" t="s">
        <v>271</v>
      </c>
      <c r="G382" s="79" t="s">
        <v>272</v>
      </c>
      <c r="H382" s="79" t="s">
        <v>268</v>
      </c>
      <c r="I382" s="82" t="n">
        <v>8042.993</v>
      </c>
      <c r="J382" s="82" t="n">
        <v>2246.342</v>
      </c>
      <c r="K382" s="82" t="n">
        <v>-249438000</v>
      </c>
      <c r="L382" s="83" t="n">
        <v>-0.55</v>
      </c>
      <c r="M382" s="82" t="n">
        <v>456.6494</v>
      </c>
      <c r="N382" s="82" t="n">
        <v>0</v>
      </c>
      <c r="O382" s="82" t="n">
        <v>31652.295</v>
      </c>
      <c r="P382" s="83" t="n">
        <v>0</v>
      </c>
      <c r="Q382" s="83" t="n">
        <v>101</v>
      </c>
      <c r="R382" s="47" t="n">
        <v>7</v>
      </c>
      <c r="S382" s="66" t="s">
        <v>677</v>
      </c>
    </row>
    <row r="383" customFormat="false" ht="15" hidden="false" customHeight="false" outlineLevel="0" collapsed="false">
      <c r="A383" s="79" t="s">
        <v>216</v>
      </c>
      <c r="B383" s="79" t="s">
        <v>286</v>
      </c>
      <c r="C383" s="80" t="n">
        <v>2024</v>
      </c>
      <c r="D383" s="80" t="n">
        <v>3</v>
      </c>
      <c r="E383" s="81" t="n">
        <v>45565</v>
      </c>
      <c r="F383" s="79" t="s">
        <v>271</v>
      </c>
      <c r="G383" s="79" t="s">
        <v>272</v>
      </c>
      <c r="H383" s="79" t="s">
        <v>268</v>
      </c>
      <c r="I383" s="82" t="n">
        <v>8197.12</v>
      </c>
      <c r="J383" s="82" t="n">
        <v>2407.521</v>
      </c>
      <c r="K383" s="82" t="n">
        <v>185268000</v>
      </c>
      <c r="L383" s="83" t="n">
        <v>0.41</v>
      </c>
      <c r="M383" s="82" t="n">
        <v>456.6591</v>
      </c>
      <c r="N383" s="82" t="n">
        <v>0</v>
      </c>
      <c r="O383" s="82" t="n">
        <v>31844.519</v>
      </c>
      <c r="P383" s="83" t="n">
        <v>1.00010784</v>
      </c>
      <c r="Q383" s="83" t="n">
        <v>110</v>
      </c>
      <c r="R383" s="47" t="n">
        <v>8</v>
      </c>
      <c r="S383" s="66" t="s">
        <v>678</v>
      </c>
    </row>
    <row r="384" customFormat="false" ht="15" hidden="false" customHeight="false" outlineLevel="0" collapsed="false">
      <c r="A384" s="79" t="s">
        <v>216</v>
      </c>
      <c r="B384" s="79" t="s">
        <v>288</v>
      </c>
      <c r="C384" s="80" t="n">
        <v>2024</v>
      </c>
      <c r="D384" s="80" t="n">
        <v>2</v>
      </c>
      <c r="E384" s="81" t="n">
        <v>45473</v>
      </c>
      <c r="F384" s="79" t="s">
        <v>271</v>
      </c>
      <c r="G384" s="79" t="s">
        <v>272</v>
      </c>
      <c r="H384" s="79" t="s">
        <v>268</v>
      </c>
      <c r="I384" s="82" t="n">
        <v>7300.482</v>
      </c>
      <c r="J384" s="82" t="n">
        <v>2123.917</v>
      </c>
      <c r="K384" s="82" t="n">
        <v>88558000</v>
      </c>
      <c r="L384" s="83" t="n">
        <v>0.2</v>
      </c>
      <c r="M384" s="82" t="n">
        <v>454.3741</v>
      </c>
      <c r="N384" s="82" t="n">
        <v>0</v>
      </c>
      <c r="O384" s="82" t="n">
        <v>31497.301</v>
      </c>
      <c r="P384" s="83" t="n">
        <v>0</v>
      </c>
      <c r="Q384" s="83" t="n">
        <v>92.4</v>
      </c>
      <c r="R384" s="47" t="n">
        <v>9</v>
      </c>
      <c r="S384" s="66" t="s">
        <v>679</v>
      </c>
    </row>
    <row r="385" customFormat="false" ht="15" hidden="false" customHeight="false" outlineLevel="0" collapsed="false">
      <c r="A385" s="79" t="s">
        <v>216</v>
      </c>
      <c r="B385" s="79" t="s">
        <v>290</v>
      </c>
      <c r="C385" s="80" t="n">
        <v>2024</v>
      </c>
      <c r="D385" s="80" t="n">
        <v>1</v>
      </c>
      <c r="E385" s="81" t="n">
        <v>45382</v>
      </c>
      <c r="F385" s="79" t="s">
        <v>271</v>
      </c>
      <c r="G385" s="79" t="s">
        <v>272</v>
      </c>
      <c r="H385" s="79" t="s">
        <v>268</v>
      </c>
      <c r="I385" s="82" t="n">
        <v>6994.384</v>
      </c>
      <c r="J385" s="82" t="n">
        <v>1889.945</v>
      </c>
      <c r="K385" s="82" t="n">
        <v>24501000</v>
      </c>
      <c r="L385" s="83" t="n">
        <v>0.05</v>
      </c>
      <c r="M385" s="82" t="n">
        <v>454.4231</v>
      </c>
      <c r="N385" s="82" t="n">
        <v>0</v>
      </c>
      <c r="O385" s="82" t="n">
        <v>31386.065</v>
      </c>
      <c r="P385" s="83" t="n">
        <v>0</v>
      </c>
      <c r="Q385" s="83" t="n">
        <v>98.7</v>
      </c>
      <c r="R385" s="47" t="n">
        <v>10</v>
      </c>
      <c r="S385" s="66" t="s">
        <v>680</v>
      </c>
    </row>
    <row r="386" customFormat="false" ht="15" hidden="false" customHeight="false" outlineLevel="0" collapsed="false">
      <c r="A386" s="79" t="s">
        <v>216</v>
      </c>
      <c r="B386" s="79" t="s">
        <v>292</v>
      </c>
      <c r="C386" s="80" t="n">
        <v>2023</v>
      </c>
      <c r="D386" s="80" t="n">
        <v>4</v>
      </c>
      <c r="E386" s="81" t="n">
        <v>45291</v>
      </c>
      <c r="F386" s="79" t="s">
        <v>271</v>
      </c>
      <c r="G386" s="79" t="s">
        <v>272</v>
      </c>
      <c r="H386" s="79" t="s">
        <v>268</v>
      </c>
      <c r="I386" s="82" t="n">
        <v>7489.463</v>
      </c>
      <c r="J386" s="82" t="n">
        <v>2311.784</v>
      </c>
      <c r="K386" s="82" t="n">
        <v>363384000</v>
      </c>
      <c r="L386" s="83" t="n">
        <v>0.81</v>
      </c>
      <c r="M386" s="82" t="n">
        <v>454.4231</v>
      </c>
      <c r="N386" s="82" t="n">
        <v>0</v>
      </c>
      <c r="O386" s="82" t="n">
        <v>31694.889</v>
      </c>
      <c r="P386" s="83" t="n">
        <v>0</v>
      </c>
      <c r="Q386" s="83" t="n">
        <v>99.7</v>
      </c>
      <c r="R386" s="47" t="n">
        <v>11</v>
      </c>
      <c r="S386" s="66" t="s">
        <v>681</v>
      </c>
    </row>
    <row r="387" customFormat="false" ht="15" hidden="false" customHeight="false" outlineLevel="0" collapsed="false">
      <c r="A387" s="79" t="s">
        <v>216</v>
      </c>
      <c r="B387" s="79" t="s">
        <v>294</v>
      </c>
      <c r="C387" s="80" t="n">
        <v>2023</v>
      </c>
      <c r="D387" s="80" t="n">
        <v>3</v>
      </c>
      <c r="E387" s="81" t="n">
        <v>45199</v>
      </c>
      <c r="F387" s="79" t="s">
        <v>271</v>
      </c>
      <c r="G387" s="79" t="s">
        <v>272</v>
      </c>
      <c r="H387" s="79" t="s">
        <v>268</v>
      </c>
      <c r="I387" s="82" t="n">
        <v>6045.775</v>
      </c>
      <c r="J387" s="82" t="n">
        <v>1364.149</v>
      </c>
      <c r="K387" s="82" t="n">
        <v>-343033000</v>
      </c>
      <c r="L387" s="83" t="n">
        <v>-0.76</v>
      </c>
      <c r="M387" s="82" t="n">
        <v>454.4671</v>
      </c>
      <c r="N387" s="82" t="n">
        <v>0</v>
      </c>
      <c r="O387" s="82" t="n">
        <v>31453.101</v>
      </c>
      <c r="P387" s="83" t="n">
        <v>6.47563615</v>
      </c>
      <c r="Q387" s="83" t="n">
        <v>108.5</v>
      </c>
      <c r="R387" s="47" t="n">
        <v>12</v>
      </c>
      <c r="S387" s="66" t="s">
        <v>682</v>
      </c>
    </row>
    <row r="388" customFormat="false" ht="15" hidden="false" customHeight="false" outlineLevel="0" collapsed="false">
      <c r="A388" s="79" t="s">
        <v>216</v>
      </c>
      <c r="B388" s="79" t="s">
        <v>296</v>
      </c>
      <c r="C388" s="80" t="n">
        <v>2023</v>
      </c>
      <c r="D388" s="80" t="n">
        <v>2</v>
      </c>
      <c r="E388" s="81" t="n">
        <v>45107</v>
      </c>
      <c r="F388" s="79" t="s">
        <v>271</v>
      </c>
      <c r="G388" s="79" t="s">
        <v>272</v>
      </c>
      <c r="H388" s="79" t="s">
        <v>268</v>
      </c>
      <c r="I388" s="82" t="n">
        <v>6462.205</v>
      </c>
      <c r="J388" s="82" t="n">
        <v>1480.509</v>
      </c>
      <c r="K388" s="82" t="n">
        <v>19151000</v>
      </c>
      <c r="L388" s="83" t="n">
        <v>0.04</v>
      </c>
      <c r="M388" s="82" t="n">
        <v>454.4991</v>
      </c>
      <c r="N388" s="82" t="n">
        <v>24500</v>
      </c>
      <c r="O388" s="82" t="n">
        <v>31515.021</v>
      </c>
      <c r="P388" s="83" t="n">
        <v>0</v>
      </c>
      <c r="Q388" s="83" t="n">
        <v>116.5</v>
      </c>
      <c r="R388" s="47" t="n">
        <v>13</v>
      </c>
      <c r="S388" s="66" t="s">
        <v>683</v>
      </c>
    </row>
    <row r="389" customFormat="false" ht="15" hidden="false" customHeight="false" outlineLevel="0" collapsed="false">
      <c r="A389" s="79" t="s">
        <v>216</v>
      </c>
      <c r="B389" s="79" t="s">
        <v>298</v>
      </c>
      <c r="C389" s="80" t="n">
        <v>2023</v>
      </c>
      <c r="D389" s="80" t="n">
        <v>1</v>
      </c>
      <c r="E389" s="81" t="n">
        <v>45016</v>
      </c>
      <c r="F389" s="79" t="s">
        <v>271</v>
      </c>
      <c r="G389" s="79" t="s">
        <v>272</v>
      </c>
      <c r="H389" s="79" t="s">
        <v>268</v>
      </c>
      <c r="I389" s="82" t="n">
        <v>6834.744</v>
      </c>
      <c r="J389" s="82" t="n">
        <v>1601.064</v>
      </c>
      <c r="K389" s="82" t="n">
        <v>8014000</v>
      </c>
      <c r="L389" s="83" t="n">
        <v>0.02</v>
      </c>
      <c r="M389" s="82" t="n">
        <v>454.2191</v>
      </c>
      <c r="N389" s="82" t="n">
        <v>0</v>
      </c>
      <c r="O389" s="82" t="n">
        <v>31541.256</v>
      </c>
      <c r="P389" s="83" t="n">
        <v>0</v>
      </c>
      <c r="Q389" s="83" t="n">
        <v>116</v>
      </c>
      <c r="R389" s="47" t="n">
        <v>14</v>
      </c>
      <c r="S389" s="66" t="s">
        <v>684</v>
      </c>
    </row>
    <row r="390" customFormat="false" ht="15" hidden="false" customHeight="false" outlineLevel="0" collapsed="false">
      <c r="A390" s="79" t="s">
        <v>216</v>
      </c>
      <c r="B390" s="79" t="s">
        <v>300</v>
      </c>
      <c r="C390" s="80" t="n">
        <v>2022</v>
      </c>
      <c r="D390" s="80" t="n">
        <v>4</v>
      </c>
      <c r="E390" s="81" t="n">
        <v>44926</v>
      </c>
      <c r="F390" s="79" t="s">
        <v>271</v>
      </c>
      <c r="G390" s="79" t="s">
        <v>272</v>
      </c>
      <c r="H390" s="79" t="s">
        <v>268</v>
      </c>
      <c r="I390" s="82" t="n">
        <v>8614.195</v>
      </c>
      <c r="J390" s="82" t="n">
        <v>3598.905</v>
      </c>
      <c r="K390" s="82" t="n">
        <v>1191084000</v>
      </c>
      <c r="L390" s="83" t="n">
        <v>2.64</v>
      </c>
      <c r="M390" s="82" t="n">
        <v>452.7761</v>
      </c>
      <c r="N390" s="82" t="n">
        <v>5000</v>
      </c>
      <c r="O390" s="82" t="n">
        <v>34321.7</v>
      </c>
      <c r="P390" s="83" t="n">
        <v>0</v>
      </c>
      <c r="Q390" s="83" t="n">
        <v>104.5</v>
      </c>
      <c r="R390" s="47" t="n">
        <v>15</v>
      </c>
      <c r="S390" s="66" t="s">
        <v>685</v>
      </c>
    </row>
    <row r="391" customFormat="false" ht="15" hidden="false" customHeight="false" outlineLevel="0" collapsed="false">
      <c r="A391" s="79" t="s">
        <v>216</v>
      </c>
      <c r="B391" s="79" t="s">
        <v>302</v>
      </c>
      <c r="C391" s="80" t="n">
        <v>2022</v>
      </c>
      <c r="D391" s="80" t="n">
        <v>3</v>
      </c>
      <c r="E391" s="81" t="n">
        <v>44834</v>
      </c>
      <c r="F391" s="79" t="s">
        <v>271</v>
      </c>
      <c r="G391" s="79" t="s">
        <v>272</v>
      </c>
      <c r="H391" s="79" t="s">
        <v>268</v>
      </c>
      <c r="I391" s="82" t="n">
        <v>11544.421</v>
      </c>
      <c r="J391" s="82" t="n">
        <v>4497.867</v>
      </c>
      <c r="K391" s="82" t="n">
        <v>2160635000</v>
      </c>
      <c r="L391" s="83" t="n">
        <v>4.79</v>
      </c>
      <c r="M391" s="82" t="n">
        <v>452.7761</v>
      </c>
      <c r="N391" s="82" t="n">
        <v>0</v>
      </c>
      <c r="O391" s="82" t="n">
        <v>33123.402</v>
      </c>
      <c r="P391" s="83" t="n">
        <v>4.5</v>
      </c>
      <c r="Q391" s="83" t="n">
        <v>93</v>
      </c>
      <c r="R391" s="47" t="n">
        <v>16</v>
      </c>
      <c r="S391" s="66" t="s">
        <v>686</v>
      </c>
    </row>
    <row r="392" customFormat="false" ht="15" hidden="false" customHeight="false" outlineLevel="0" collapsed="false">
      <c r="A392" s="79" t="s">
        <v>216</v>
      </c>
      <c r="B392" s="79" t="s">
        <v>304</v>
      </c>
      <c r="C392" s="80" t="n">
        <v>2022</v>
      </c>
      <c r="D392" s="80" t="n">
        <v>2</v>
      </c>
      <c r="E392" s="81" t="n">
        <v>44742</v>
      </c>
      <c r="F392" s="79" t="s">
        <v>271</v>
      </c>
      <c r="G392" s="79" t="s">
        <v>272</v>
      </c>
      <c r="H392" s="79" t="s">
        <v>268</v>
      </c>
      <c r="I392" s="82" t="n">
        <v>11453.611</v>
      </c>
      <c r="J392" s="82" t="n">
        <v>4249.263</v>
      </c>
      <c r="K392" s="82" t="n">
        <v>2095669000</v>
      </c>
      <c r="L392" s="83" t="n">
        <v>4.65</v>
      </c>
      <c r="M392" s="82" t="n">
        <v>450.8441</v>
      </c>
      <c r="N392" s="82" t="n">
        <v>0</v>
      </c>
      <c r="O392" s="82" t="n">
        <v>30721.715</v>
      </c>
      <c r="P392" s="83" t="n">
        <v>0</v>
      </c>
      <c r="Q392" s="83" t="n">
        <v>142.5</v>
      </c>
      <c r="R392" s="47" t="n">
        <v>17</v>
      </c>
      <c r="S392" s="66" t="s">
        <v>687</v>
      </c>
    </row>
    <row r="393" customFormat="false" ht="15" hidden="false" customHeight="false" outlineLevel="0" collapsed="false">
      <c r="A393" s="79" t="s">
        <v>216</v>
      </c>
      <c r="B393" s="79" t="s">
        <v>306</v>
      </c>
      <c r="C393" s="80" t="n">
        <v>2022</v>
      </c>
      <c r="D393" s="80" t="n">
        <v>1</v>
      </c>
      <c r="E393" s="81" t="n">
        <v>44651</v>
      </c>
      <c r="F393" s="79" t="s">
        <v>271</v>
      </c>
      <c r="G393" s="79" t="s">
        <v>272</v>
      </c>
      <c r="H393" s="79" t="s">
        <v>268</v>
      </c>
      <c r="I393" s="82" t="n">
        <v>10014.259</v>
      </c>
      <c r="J393" s="82" t="n">
        <v>3522.28</v>
      </c>
      <c r="K393" s="82" t="n">
        <v>1529404000</v>
      </c>
      <c r="L393" s="83" t="n">
        <v>3.39</v>
      </c>
      <c r="M393" s="82" t="n">
        <v>450.8441</v>
      </c>
      <c r="N393" s="82" t="n">
        <v>0</v>
      </c>
      <c r="O393" s="82" t="n">
        <v>28671.921</v>
      </c>
      <c r="P393" s="83" t="n">
        <v>0</v>
      </c>
      <c r="Q393" s="83" t="n">
        <v>194.5</v>
      </c>
      <c r="R393" s="47" t="n">
        <v>18</v>
      </c>
      <c r="S393" s="66" t="s">
        <v>688</v>
      </c>
    </row>
    <row r="394" customFormat="false" ht="15" hidden="false" customHeight="false" outlineLevel="0" collapsed="false">
      <c r="A394" s="79" t="s">
        <v>216</v>
      </c>
      <c r="B394" s="79" t="s">
        <v>308</v>
      </c>
      <c r="C394" s="80" t="n">
        <v>2021</v>
      </c>
      <c r="D394" s="80" t="n">
        <v>4</v>
      </c>
      <c r="E394" s="81" t="n">
        <v>44561</v>
      </c>
      <c r="F394" s="79" t="s">
        <v>271</v>
      </c>
      <c r="G394" s="79" t="s">
        <v>272</v>
      </c>
      <c r="H394" s="79" t="s">
        <v>268</v>
      </c>
      <c r="I394" s="82" t="n">
        <v>9953.739</v>
      </c>
      <c r="J394" s="82" t="n">
        <v>3341.276</v>
      </c>
      <c r="K394" s="82" t="n">
        <v>1363132000</v>
      </c>
      <c r="L394" s="83" t="n">
        <v>3.02</v>
      </c>
      <c r="M394" s="82" t="n">
        <v>450.8441</v>
      </c>
      <c r="N394" s="82" t="n">
        <v>0</v>
      </c>
      <c r="O394" s="82" t="n">
        <v>29069.332</v>
      </c>
      <c r="P394" s="83" t="n">
        <v>0</v>
      </c>
      <c r="Q394" s="83" t="n">
        <v>233</v>
      </c>
      <c r="R394" s="47" t="n">
        <v>19</v>
      </c>
      <c r="S394" s="66" t="s">
        <v>689</v>
      </c>
    </row>
    <row r="395" customFormat="false" ht="15" hidden="false" customHeight="false" outlineLevel="0" collapsed="false">
      <c r="A395" s="79" t="s">
        <v>216</v>
      </c>
      <c r="B395" s="79" t="s">
        <v>310</v>
      </c>
      <c r="C395" s="80" t="n">
        <v>2021</v>
      </c>
      <c r="D395" s="80" t="n">
        <v>3</v>
      </c>
      <c r="E395" s="81" t="n">
        <v>44469</v>
      </c>
      <c r="F395" s="79" t="s">
        <v>271</v>
      </c>
      <c r="G395" s="79" t="s">
        <v>272</v>
      </c>
      <c r="H395" s="79" t="s">
        <v>268</v>
      </c>
      <c r="I395" s="82" t="n">
        <v>9767.683</v>
      </c>
      <c r="J395" s="82" t="n">
        <v>3221.739</v>
      </c>
      <c r="K395" s="82" t="n">
        <v>1384821000</v>
      </c>
      <c r="L395" s="83" t="n">
        <v>3.07</v>
      </c>
      <c r="M395" s="82" t="n">
        <v>450.8441</v>
      </c>
      <c r="N395" s="82" t="n">
        <v>0</v>
      </c>
      <c r="O395" s="82" t="n">
        <v>27674.388</v>
      </c>
      <c r="P395" s="83" t="n">
        <v>1.00000735</v>
      </c>
      <c r="Q395" s="83" t="n">
        <v>202</v>
      </c>
      <c r="R395" s="47" t="n">
        <v>20</v>
      </c>
      <c r="S395" s="66" t="s">
        <v>690</v>
      </c>
    </row>
    <row r="396" customFormat="false" ht="15" hidden="false" customHeight="false" outlineLevel="0" collapsed="false">
      <c r="A396" s="79" t="s">
        <v>216</v>
      </c>
      <c r="B396" s="79" t="s">
        <v>312</v>
      </c>
      <c r="C396" s="80" t="n">
        <v>2021</v>
      </c>
      <c r="D396" s="80" t="n">
        <v>2</v>
      </c>
      <c r="E396" s="81" t="n">
        <v>44377</v>
      </c>
      <c r="F396" s="79" t="s">
        <v>271</v>
      </c>
      <c r="G396" s="79" t="s">
        <v>272</v>
      </c>
      <c r="H396" s="79" t="s">
        <v>268</v>
      </c>
      <c r="I396" s="82" t="n">
        <v>8725.355</v>
      </c>
      <c r="J396" s="82" t="n">
        <v>2364.625</v>
      </c>
      <c r="K396" s="82" t="n">
        <v>852908000</v>
      </c>
      <c r="L396" s="83" t="n">
        <v>1.89</v>
      </c>
      <c r="M396" s="82" t="n">
        <v>450.8441</v>
      </c>
      <c r="N396" s="82" t="n">
        <v>0</v>
      </c>
      <c r="O396" s="82" t="n">
        <v>26298.99</v>
      </c>
      <c r="P396" s="83" t="n">
        <v>0</v>
      </c>
      <c r="Q396" s="83" t="n">
        <v>135</v>
      </c>
      <c r="R396" s="47" t="n">
        <v>21</v>
      </c>
      <c r="S396" s="66" t="s">
        <v>691</v>
      </c>
    </row>
    <row r="397" customFormat="false" ht="15" hidden="false" customHeight="false" outlineLevel="0" collapsed="false">
      <c r="A397" s="79" t="s">
        <v>216</v>
      </c>
      <c r="B397" s="79" t="s">
        <v>314</v>
      </c>
      <c r="C397" s="80" t="n">
        <v>2021</v>
      </c>
      <c r="D397" s="80" t="n">
        <v>1</v>
      </c>
      <c r="E397" s="81" t="n">
        <v>44286</v>
      </c>
      <c r="F397" s="79" t="s">
        <v>271</v>
      </c>
      <c r="G397" s="79" t="s">
        <v>272</v>
      </c>
      <c r="H397" s="79" t="s">
        <v>268</v>
      </c>
      <c r="I397" s="82" t="n">
        <v>7225.986</v>
      </c>
      <c r="J397" s="82" t="n">
        <v>1598.205</v>
      </c>
      <c r="K397" s="82" t="n">
        <v>258123000</v>
      </c>
      <c r="L397" s="83" t="n">
        <v>0.57</v>
      </c>
      <c r="M397" s="82" t="n">
        <v>450.8473</v>
      </c>
      <c r="N397" s="82" t="n">
        <v>3315</v>
      </c>
      <c r="O397" s="82" t="n">
        <v>25467.585</v>
      </c>
      <c r="P397" s="83" t="n">
        <v>0</v>
      </c>
      <c r="Q397" s="83" t="n">
        <v>112</v>
      </c>
      <c r="R397" s="47" t="n">
        <v>22</v>
      </c>
      <c r="S397" s="66" t="s">
        <v>692</v>
      </c>
    </row>
    <row r="398" customFormat="false" ht="15" hidden="false" customHeight="false" outlineLevel="0" collapsed="false">
      <c r="A398" s="79" t="s">
        <v>216</v>
      </c>
      <c r="B398" s="79" t="s">
        <v>316</v>
      </c>
      <c r="C398" s="80" t="n">
        <v>2020</v>
      </c>
      <c r="D398" s="80" t="n">
        <v>4</v>
      </c>
      <c r="E398" s="81" t="n">
        <v>44196</v>
      </c>
      <c r="F398" s="79" t="s">
        <v>271</v>
      </c>
      <c r="G398" s="79" t="s">
        <v>272</v>
      </c>
      <c r="H398" s="79" t="s">
        <v>268</v>
      </c>
      <c r="I398" s="82" t="n">
        <v>7548.022</v>
      </c>
      <c r="J398" s="82" t="n">
        <v>1814.825</v>
      </c>
      <c r="K398" s="82" t="n">
        <v>169978000</v>
      </c>
      <c r="L398" s="83" t="n">
        <v>0.38</v>
      </c>
      <c r="M398" s="82" t="n">
        <v>450.8625</v>
      </c>
      <c r="N398" s="82" t="n">
        <v>14265</v>
      </c>
      <c r="O398" s="82" t="n">
        <v>25669.652</v>
      </c>
      <c r="P398" s="83" t="n">
        <v>0</v>
      </c>
      <c r="Q398" s="83" t="n">
        <v>80.9</v>
      </c>
      <c r="R398" s="47" t="n">
        <v>23</v>
      </c>
      <c r="S398" s="66" t="s">
        <v>693</v>
      </c>
    </row>
    <row r="399" customFormat="false" ht="15" hidden="false" customHeight="false" outlineLevel="0" collapsed="false">
      <c r="A399" s="79" t="s">
        <v>216</v>
      </c>
      <c r="B399" s="79" t="s">
        <v>318</v>
      </c>
      <c r="C399" s="80" t="n">
        <v>2020</v>
      </c>
      <c r="D399" s="80" t="n">
        <v>3</v>
      </c>
      <c r="E399" s="81" t="n">
        <v>44104</v>
      </c>
      <c r="F399" s="79" t="s">
        <v>271</v>
      </c>
      <c r="G399" s="79" t="s">
        <v>272</v>
      </c>
      <c r="H399" s="79" t="s">
        <v>268</v>
      </c>
      <c r="I399" s="82" t="n">
        <v>6871.934</v>
      </c>
      <c r="J399" s="82" t="n">
        <v>1435.581</v>
      </c>
      <c r="K399" s="82" t="n">
        <v>59154000</v>
      </c>
      <c r="L399" s="83" t="n">
        <v>0.13</v>
      </c>
      <c r="M399" s="82" t="n">
        <v>450.8753</v>
      </c>
      <c r="N399" s="82" t="n">
        <v>11670</v>
      </c>
      <c r="O399" s="82" t="n">
        <v>25481.078</v>
      </c>
      <c r="P399" s="83"/>
      <c r="Q399" s="83" t="n">
        <v>65.9</v>
      </c>
      <c r="R399" s="47" t="n">
        <v>24</v>
      </c>
      <c r="S399" s="66" t="s">
        <v>694</v>
      </c>
    </row>
    <row r="400" customFormat="false" ht="15" hidden="false" customHeight="false" outlineLevel="0" collapsed="false">
      <c r="A400" s="79" t="s">
        <v>695</v>
      </c>
      <c r="B400" s="79" t="s">
        <v>265</v>
      </c>
      <c r="C400" s="80" t="n">
        <v>2026</v>
      </c>
      <c r="D400" s="80" t="n">
        <v>3</v>
      </c>
      <c r="E400" s="81" t="n">
        <v>46295</v>
      </c>
      <c r="F400" s="79" t="s">
        <v>266</v>
      </c>
      <c r="G400" s="79" t="s">
        <v>267</v>
      </c>
      <c r="H400" s="79" t="s">
        <v>268</v>
      </c>
      <c r="I400" s="82"/>
      <c r="J400" s="82"/>
      <c r="K400" s="82"/>
      <c r="L400" s="83" t="n">
        <v>15.65492</v>
      </c>
      <c r="M400" s="82"/>
      <c r="N400" s="82"/>
      <c r="O400" s="82"/>
      <c r="P400" s="83"/>
      <c r="Q400" s="83"/>
      <c r="R400" s="47" t="n">
        <v>0</v>
      </c>
      <c r="S400" s="66" t="s">
        <v>696</v>
      </c>
    </row>
    <row r="401" customFormat="false" ht="15" hidden="false" customHeight="false" outlineLevel="0" collapsed="false">
      <c r="A401" s="79" t="s">
        <v>695</v>
      </c>
      <c r="B401" s="79" t="s">
        <v>270</v>
      </c>
      <c r="C401" s="80" t="n">
        <v>2026</v>
      </c>
      <c r="D401" s="80" t="n">
        <v>2</v>
      </c>
      <c r="E401" s="81" t="n">
        <v>46203</v>
      </c>
      <c r="F401" s="79" t="s">
        <v>271</v>
      </c>
      <c r="G401" s="79" t="s">
        <v>272</v>
      </c>
      <c r="H401" s="79" t="s">
        <v>268</v>
      </c>
      <c r="I401" s="82" t="n">
        <v>8700.121</v>
      </c>
      <c r="J401" s="82" t="n">
        <v>2472.471</v>
      </c>
      <c r="K401" s="82" t="n">
        <v>968913000</v>
      </c>
      <c r="L401" s="83" t="n">
        <v>10.41</v>
      </c>
      <c r="M401" s="82" t="n">
        <v>93.0768</v>
      </c>
      <c r="N401" s="82" t="n">
        <v>0</v>
      </c>
      <c r="O401" s="82" t="n">
        <v>13264.321</v>
      </c>
      <c r="P401" s="83" t="n">
        <v>11.90330569</v>
      </c>
      <c r="Q401" s="83" t="n">
        <v>1010</v>
      </c>
      <c r="R401" s="47" t="n">
        <v>1</v>
      </c>
      <c r="S401" s="66" t="s">
        <v>697</v>
      </c>
    </row>
    <row r="402" customFormat="false" ht="15" hidden="false" customHeight="false" outlineLevel="0" collapsed="false">
      <c r="A402" s="79" t="s">
        <v>695</v>
      </c>
      <c r="B402" s="79" t="s">
        <v>274</v>
      </c>
      <c r="C402" s="80" t="n">
        <v>2026</v>
      </c>
      <c r="D402" s="80" t="n">
        <v>1</v>
      </c>
      <c r="E402" s="81" t="n">
        <v>46112</v>
      </c>
      <c r="F402" s="79" t="s">
        <v>271</v>
      </c>
      <c r="G402" s="79" t="s">
        <v>272</v>
      </c>
      <c r="H402" s="79" t="s">
        <v>268</v>
      </c>
      <c r="I402" s="82" t="n">
        <v>8551.657</v>
      </c>
      <c r="J402" s="82" t="n">
        <v>2536.523</v>
      </c>
      <c r="K402" s="82" t="n">
        <v>1164048000</v>
      </c>
      <c r="L402" s="83" t="n">
        <v>12.61</v>
      </c>
      <c r="M402" s="82" t="n">
        <v>93.0748</v>
      </c>
      <c r="N402" s="82" t="n">
        <v>0</v>
      </c>
      <c r="O402" s="82" t="n">
        <v>13422.822</v>
      </c>
      <c r="P402" s="83" t="n">
        <v>0</v>
      </c>
      <c r="Q402" s="83" t="n">
        <v>879</v>
      </c>
      <c r="R402" s="47" t="n">
        <v>2</v>
      </c>
      <c r="S402" s="66" t="s">
        <v>698</v>
      </c>
    </row>
    <row r="403" customFormat="false" ht="15" hidden="false" customHeight="false" outlineLevel="0" collapsed="false">
      <c r="A403" s="79" t="s">
        <v>695</v>
      </c>
      <c r="B403" s="79" t="s">
        <v>276</v>
      </c>
      <c r="C403" s="80" t="n">
        <v>2025</v>
      </c>
      <c r="D403" s="80" t="n">
        <v>4</v>
      </c>
      <c r="E403" s="81" t="n">
        <v>46022</v>
      </c>
      <c r="F403" s="79" t="s">
        <v>271</v>
      </c>
      <c r="G403" s="79" t="s">
        <v>272</v>
      </c>
      <c r="H403" s="79" t="s">
        <v>268</v>
      </c>
      <c r="I403" s="82" t="n">
        <v>7597.389</v>
      </c>
      <c r="J403" s="82" t="n">
        <v>2003.687</v>
      </c>
      <c r="K403" s="82" t="n">
        <v>929086000</v>
      </c>
      <c r="L403" s="83" t="n">
        <v>10.13</v>
      </c>
      <c r="M403" s="82" t="n">
        <v>92.7629</v>
      </c>
      <c r="N403" s="82" t="n">
        <v>750000</v>
      </c>
      <c r="O403" s="82" t="n">
        <v>11084.543</v>
      </c>
      <c r="P403" s="83" t="n">
        <v>0</v>
      </c>
      <c r="Q403" s="83" t="n">
        <v>1010</v>
      </c>
      <c r="R403" s="47" t="n">
        <v>3</v>
      </c>
      <c r="S403" s="66" t="s">
        <v>699</v>
      </c>
    </row>
    <row r="404" customFormat="false" ht="15" hidden="false" customHeight="false" outlineLevel="0" collapsed="false">
      <c r="A404" s="79" t="s">
        <v>695</v>
      </c>
      <c r="B404" s="79" t="s">
        <v>278</v>
      </c>
      <c r="C404" s="80" t="n">
        <v>2025</v>
      </c>
      <c r="D404" s="80" t="n">
        <v>3</v>
      </c>
      <c r="E404" s="81" t="n">
        <v>45930</v>
      </c>
      <c r="F404" s="79" t="s">
        <v>271</v>
      </c>
      <c r="G404" s="79" t="s">
        <v>272</v>
      </c>
      <c r="H404" s="79" t="s">
        <v>268</v>
      </c>
      <c r="I404" s="82" t="n">
        <v>5957.567</v>
      </c>
      <c r="J404" s="82" t="n">
        <v>1773.321</v>
      </c>
      <c r="K404" s="82" t="n">
        <v>973808000</v>
      </c>
      <c r="L404" s="83" t="n">
        <v>10.66</v>
      </c>
      <c r="M404" s="82" t="n">
        <v>91.9952</v>
      </c>
      <c r="N404" s="82" t="n">
        <v>750000</v>
      </c>
      <c r="O404" s="82" t="n">
        <v>9856.498</v>
      </c>
      <c r="P404" s="83" t="n">
        <v>0</v>
      </c>
      <c r="Q404" s="83" t="n">
        <v>840</v>
      </c>
      <c r="R404" s="47" t="n">
        <v>4</v>
      </c>
      <c r="S404" s="66" t="s">
        <v>700</v>
      </c>
    </row>
    <row r="405" customFormat="false" ht="15" hidden="false" customHeight="false" outlineLevel="0" collapsed="false">
      <c r="A405" s="79" t="s">
        <v>695</v>
      </c>
      <c r="B405" s="79" t="s">
        <v>280</v>
      </c>
      <c r="C405" s="80" t="n">
        <v>2025</v>
      </c>
      <c r="D405" s="80" t="n">
        <v>2</v>
      </c>
      <c r="E405" s="81" t="n">
        <v>45838</v>
      </c>
      <c r="F405" s="79" t="s">
        <v>271</v>
      </c>
      <c r="G405" s="79" t="s">
        <v>272</v>
      </c>
      <c r="H405" s="79" t="s">
        <v>268</v>
      </c>
      <c r="I405" s="82" t="n">
        <v>5306.304</v>
      </c>
      <c r="J405" s="82" t="n">
        <v>1386.739</v>
      </c>
      <c r="K405" s="82" t="n">
        <v>158101000</v>
      </c>
      <c r="L405" s="83" t="n">
        <v>1.75</v>
      </c>
      <c r="M405" s="82" t="n">
        <v>91.7744</v>
      </c>
      <c r="N405" s="82" t="n">
        <v>1500000</v>
      </c>
      <c r="O405" s="82" t="n">
        <v>8384.012</v>
      </c>
      <c r="P405" s="83" t="n">
        <v>9.99865134</v>
      </c>
      <c r="Q405" s="83" t="n">
        <v>641</v>
      </c>
      <c r="R405" s="47" t="n">
        <v>5</v>
      </c>
      <c r="S405" s="66" t="s">
        <v>701</v>
      </c>
    </row>
    <row r="406" customFormat="false" ht="15" hidden="false" customHeight="false" outlineLevel="0" collapsed="false">
      <c r="A406" s="79" t="s">
        <v>695</v>
      </c>
      <c r="B406" s="79" t="s">
        <v>282</v>
      </c>
      <c r="C406" s="80" t="n">
        <v>2025</v>
      </c>
      <c r="D406" s="80" t="n">
        <v>1</v>
      </c>
      <c r="E406" s="81" t="n">
        <v>45747</v>
      </c>
      <c r="F406" s="79" t="s">
        <v>271</v>
      </c>
      <c r="G406" s="79" t="s">
        <v>272</v>
      </c>
      <c r="H406" s="79" t="s">
        <v>268</v>
      </c>
      <c r="I406" s="82" t="n">
        <v>4415.084</v>
      </c>
      <c r="J406" s="82" t="n">
        <v>1208.157</v>
      </c>
      <c r="K406" s="82" t="n">
        <v>511133000</v>
      </c>
      <c r="L406" s="83" t="n">
        <v>5.66</v>
      </c>
      <c r="M406" s="82" t="n">
        <v>91.7627</v>
      </c>
      <c r="N406" s="82" t="n">
        <v>1500000</v>
      </c>
      <c r="O406" s="82" t="n">
        <v>9552.195</v>
      </c>
      <c r="P406" s="83" t="n">
        <v>0</v>
      </c>
      <c r="Q406" s="83" t="n">
        <v>530</v>
      </c>
      <c r="R406" s="47" t="n">
        <v>6</v>
      </c>
      <c r="S406" s="66" t="s">
        <v>702</v>
      </c>
    </row>
    <row r="407" customFormat="false" ht="15" hidden="false" customHeight="false" outlineLevel="0" collapsed="false">
      <c r="A407" s="79" t="s">
        <v>695</v>
      </c>
      <c r="B407" s="79" t="s">
        <v>284</v>
      </c>
      <c r="C407" s="80" t="n">
        <v>2024</v>
      </c>
      <c r="D407" s="80" t="n">
        <v>4</v>
      </c>
      <c r="E407" s="81" t="n">
        <v>45657</v>
      </c>
      <c r="F407" s="79" t="s">
        <v>271</v>
      </c>
      <c r="G407" s="79" t="s">
        <v>272</v>
      </c>
      <c r="H407" s="79" t="s">
        <v>268</v>
      </c>
      <c r="I407" s="82" t="n">
        <v>4125.15</v>
      </c>
      <c r="J407" s="82" t="n">
        <v>927.86</v>
      </c>
      <c r="K407" s="82" t="n">
        <v>466880000</v>
      </c>
      <c r="L407" s="83" t="n">
        <v>5.18</v>
      </c>
      <c r="M407" s="82" t="n">
        <v>91.5262</v>
      </c>
      <c r="N407" s="82" t="n">
        <v>1500000</v>
      </c>
      <c r="O407" s="82" t="n">
        <v>8961.062</v>
      </c>
      <c r="P407" s="83" t="n">
        <v>0</v>
      </c>
      <c r="Q407" s="83" t="n">
        <v>672</v>
      </c>
      <c r="R407" s="47" t="n">
        <v>7</v>
      </c>
      <c r="S407" s="66" t="s">
        <v>703</v>
      </c>
    </row>
    <row r="408" customFormat="false" ht="15" hidden="false" customHeight="false" outlineLevel="0" collapsed="false">
      <c r="A408" s="79" t="s">
        <v>695</v>
      </c>
      <c r="B408" s="79" t="s">
        <v>286</v>
      </c>
      <c r="C408" s="80" t="n">
        <v>2024</v>
      </c>
      <c r="D408" s="80" t="n">
        <v>3</v>
      </c>
      <c r="E408" s="81" t="n">
        <v>45565</v>
      </c>
      <c r="F408" s="79" t="s">
        <v>271</v>
      </c>
      <c r="G408" s="79" t="s">
        <v>272</v>
      </c>
      <c r="H408" s="79" t="s">
        <v>268</v>
      </c>
      <c r="I408" s="82" t="n">
        <v>4219.312</v>
      </c>
      <c r="J408" s="82" t="n">
        <v>1111.288</v>
      </c>
      <c r="K408" s="82" t="n">
        <v>398235000</v>
      </c>
      <c r="L408" s="83" t="n">
        <v>4.43</v>
      </c>
      <c r="M408" s="82" t="n">
        <v>91.3652</v>
      </c>
      <c r="N408" s="82" t="n">
        <v>1500000</v>
      </c>
      <c r="O408" s="82" t="n">
        <v>8469.162</v>
      </c>
      <c r="P408" s="83" t="n">
        <v>6.34797488</v>
      </c>
      <c r="Q408" s="83" t="n">
        <v>672</v>
      </c>
      <c r="R408" s="47" t="n">
        <v>8</v>
      </c>
      <c r="S408" s="66" t="s">
        <v>704</v>
      </c>
    </row>
    <row r="409" customFormat="false" ht="15" hidden="false" customHeight="false" outlineLevel="0" collapsed="false">
      <c r="A409" s="79" t="s">
        <v>695</v>
      </c>
      <c r="B409" s="79" t="s">
        <v>288</v>
      </c>
      <c r="C409" s="80" t="n">
        <v>2024</v>
      </c>
      <c r="D409" s="80" t="n">
        <v>2</v>
      </c>
      <c r="E409" s="81" t="n">
        <v>45473</v>
      </c>
      <c r="F409" s="79" t="s">
        <v>271</v>
      </c>
      <c r="G409" s="79" t="s">
        <v>272</v>
      </c>
      <c r="H409" s="79" t="s">
        <v>268</v>
      </c>
      <c r="I409" s="82" t="n">
        <v>4282.669</v>
      </c>
      <c r="J409" s="82" t="n">
        <v>1215.637</v>
      </c>
      <c r="K409" s="82" t="n">
        <v>631984000</v>
      </c>
      <c r="L409" s="83" t="n">
        <v>7.24</v>
      </c>
      <c r="M409" s="82" t="n">
        <v>90.9356</v>
      </c>
      <c r="N409" s="82" t="n">
        <v>2300000</v>
      </c>
      <c r="O409" s="82" t="n">
        <v>7615.176</v>
      </c>
      <c r="P409" s="83" t="n">
        <v>0</v>
      </c>
      <c r="Q409" s="83" t="n">
        <v>807</v>
      </c>
      <c r="R409" s="47" t="n">
        <v>9</v>
      </c>
      <c r="S409" s="66" t="s">
        <v>705</v>
      </c>
    </row>
    <row r="410" customFormat="false" ht="15" hidden="false" customHeight="false" outlineLevel="0" collapsed="false">
      <c r="A410" s="79" t="s">
        <v>695</v>
      </c>
      <c r="B410" s="79" t="s">
        <v>290</v>
      </c>
      <c r="C410" s="80" t="n">
        <v>2024</v>
      </c>
      <c r="D410" s="80" t="n">
        <v>1</v>
      </c>
      <c r="E410" s="81" t="n">
        <v>45382</v>
      </c>
      <c r="F410" s="79" t="s">
        <v>271</v>
      </c>
      <c r="G410" s="79" t="s">
        <v>272</v>
      </c>
      <c r="H410" s="79" t="s">
        <v>268</v>
      </c>
      <c r="I410" s="82" t="n">
        <v>3151.778</v>
      </c>
      <c r="J410" s="82" t="n">
        <v>771.311</v>
      </c>
      <c r="K410" s="82" t="n">
        <v>395612000</v>
      </c>
      <c r="L410" s="83" t="n">
        <v>4.51</v>
      </c>
      <c r="M410" s="82" t="n">
        <v>89.499</v>
      </c>
      <c r="N410" s="82" t="n">
        <v>2300000</v>
      </c>
      <c r="O410" s="82" t="n">
        <v>7433.553</v>
      </c>
      <c r="P410" s="83" t="n">
        <v>0</v>
      </c>
      <c r="Q410" s="83" t="n">
        <v>689</v>
      </c>
      <c r="R410" s="47" t="n">
        <v>10</v>
      </c>
      <c r="S410" s="66" t="s">
        <v>706</v>
      </c>
    </row>
    <row r="411" customFormat="false" ht="15" hidden="false" customHeight="false" outlineLevel="0" collapsed="false">
      <c r="A411" s="79" t="s">
        <v>695</v>
      </c>
      <c r="B411" s="79" t="s">
        <v>292</v>
      </c>
      <c r="C411" s="80" t="n">
        <v>2023</v>
      </c>
      <c r="D411" s="80" t="n">
        <v>4</v>
      </c>
      <c r="E411" s="81" t="n">
        <v>45291</v>
      </c>
      <c r="F411" s="79" t="s">
        <v>271</v>
      </c>
      <c r="G411" s="79" t="s">
        <v>272</v>
      </c>
      <c r="H411" s="79" t="s">
        <v>268</v>
      </c>
      <c r="I411" s="82" t="n">
        <v>3344.357</v>
      </c>
      <c r="J411" s="82" t="n">
        <v>810.074</v>
      </c>
      <c r="K411" s="82" t="n">
        <v>223558000</v>
      </c>
      <c r="L411" s="83" t="n">
        <v>2.57</v>
      </c>
      <c r="M411" s="82" t="n">
        <v>88.4275</v>
      </c>
      <c r="N411" s="82" t="n">
        <v>2300000</v>
      </c>
      <c r="O411" s="82" t="n">
        <v>6635.49</v>
      </c>
      <c r="P411" s="83" t="n">
        <v>0</v>
      </c>
      <c r="Q411" s="83" t="n">
        <v>352.5</v>
      </c>
      <c r="R411" s="47" t="n">
        <v>11</v>
      </c>
      <c r="S411" s="66" t="s">
        <v>707</v>
      </c>
    </row>
    <row r="412" customFormat="false" ht="15" hidden="false" customHeight="false" outlineLevel="0" collapsed="false">
      <c r="A412" s="79" t="s">
        <v>695</v>
      </c>
      <c r="B412" s="79" t="s">
        <v>294</v>
      </c>
      <c r="C412" s="80" t="n">
        <v>2023</v>
      </c>
      <c r="D412" s="80" t="n">
        <v>3</v>
      </c>
      <c r="E412" s="81" t="n">
        <v>45199</v>
      </c>
      <c r="F412" s="79" t="s">
        <v>271</v>
      </c>
      <c r="G412" s="79" t="s">
        <v>272</v>
      </c>
      <c r="H412" s="79" t="s">
        <v>268</v>
      </c>
      <c r="I412" s="82" t="n">
        <v>3491.862</v>
      </c>
      <c r="J412" s="82" t="n">
        <v>926.75</v>
      </c>
      <c r="K412" s="82" t="n">
        <v>491829000</v>
      </c>
      <c r="L412" s="83" t="n">
        <v>5.71</v>
      </c>
      <c r="M412" s="82" t="n">
        <v>88.3941</v>
      </c>
      <c r="N412" s="82" t="n">
        <v>2300000</v>
      </c>
      <c r="O412" s="82" t="n">
        <v>6025.292</v>
      </c>
      <c r="P412" s="83" t="n">
        <v>6.5</v>
      </c>
      <c r="Q412" s="83" t="n">
        <v>319</v>
      </c>
      <c r="R412" s="47" t="n">
        <v>12</v>
      </c>
      <c r="S412" s="66" t="s">
        <v>708</v>
      </c>
    </row>
    <row r="413" customFormat="false" ht="15" hidden="false" customHeight="false" outlineLevel="0" collapsed="false">
      <c r="A413" s="79" t="s">
        <v>695</v>
      </c>
      <c r="B413" s="79" t="s">
        <v>296</v>
      </c>
      <c r="C413" s="80" t="n">
        <v>2023</v>
      </c>
      <c r="D413" s="80" t="n">
        <v>2</v>
      </c>
      <c r="E413" s="81" t="n">
        <v>45107</v>
      </c>
      <c r="F413" s="79" t="s">
        <v>271</v>
      </c>
      <c r="G413" s="79" t="s">
        <v>272</v>
      </c>
      <c r="H413" s="79" t="s">
        <v>268</v>
      </c>
      <c r="I413" s="82" t="n">
        <v>2596.172</v>
      </c>
      <c r="J413" s="82" t="n">
        <v>535.472</v>
      </c>
      <c r="K413" s="82" t="n">
        <v>239264000</v>
      </c>
      <c r="L413" s="83" t="n">
        <v>2.78</v>
      </c>
      <c r="M413" s="82" t="n">
        <v>88.3941</v>
      </c>
      <c r="N413" s="82" t="n">
        <v>2300000</v>
      </c>
      <c r="O413" s="82" t="n">
        <v>5443.423</v>
      </c>
      <c r="P413" s="83" t="n">
        <v>0</v>
      </c>
      <c r="Q413" s="83" t="n">
        <v>297</v>
      </c>
      <c r="R413" s="47" t="n">
        <v>13</v>
      </c>
      <c r="S413" s="66" t="s">
        <v>709</v>
      </c>
    </row>
    <row r="414" customFormat="false" ht="15" hidden="false" customHeight="false" outlineLevel="0" collapsed="false">
      <c r="A414" s="79" t="s">
        <v>695</v>
      </c>
      <c r="B414" s="79" t="s">
        <v>298</v>
      </c>
      <c r="C414" s="80" t="n">
        <v>2023</v>
      </c>
      <c r="D414" s="80" t="n">
        <v>1</v>
      </c>
      <c r="E414" s="81" t="n">
        <v>45016</v>
      </c>
      <c r="F414" s="79" t="s">
        <v>271</v>
      </c>
      <c r="G414" s="79" t="s">
        <v>272</v>
      </c>
      <c r="H414" s="79" t="s">
        <v>268</v>
      </c>
      <c r="I414" s="82" t="n">
        <v>3280.238</v>
      </c>
      <c r="J414" s="82" t="n">
        <v>732.627</v>
      </c>
      <c r="K414" s="82" t="n">
        <v>277192000</v>
      </c>
      <c r="L414" s="83" t="n">
        <v>3.22</v>
      </c>
      <c r="M414" s="82" t="n">
        <v>88.3941</v>
      </c>
      <c r="N414" s="82" t="n">
        <v>2300000</v>
      </c>
      <c r="O414" s="82" t="n">
        <v>5857.969</v>
      </c>
      <c r="P414" s="83" t="n">
        <v>0</v>
      </c>
      <c r="Q414" s="83" t="n">
        <v>220.5</v>
      </c>
      <c r="R414" s="47" t="n">
        <v>14</v>
      </c>
      <c r="S414" s="66" t="s">
        <v>710</v>
      </c>
    </row>
    <row r="415" customFormat="false" ht="15" hidden="false" customHeight="false" outlineLevel="0" collapsed="false">
      <c r="A415" s="79" t="s">
        <v>695</v>
      </c>
      <c r="B415" s="79" t="s">
        <v>300</v>
      </c>
      <c r="C415" s="80" t="n">
        <v>2022</v>
      </c>
      <c r="D415" s="80" t="n">
        <v>4</v>
      </c>
      <c r="E415" s="81" t="n">
        <v>44926</v>
      </c>
      <c r="F415" s="79" t="s">
        <v>271</v>
      </c>
      <c r="G415" s="79" t="s">
        <v>272</v>
      </c>
      <c r="H415" s="79" t="s">
        <v>268</v>
      </c>
      <c r="I415" s="82" t="n">
        <v>3427.773</v>
      </c>
      <c r="J415" s="82" t="n">
        <v>717.142</v>
      </c>
      <c r="K415" s="82" t="n">
        <v>204051000</v>
      </c>
      <c r="L415" s="83" t="n">
        <v>2.37</v>
      </c>
      <c r="M415" s="82" t="n">
        <v>88.3941</v>
      </c>
      <c r="N415" s="82" t="n">
        <v>2300000</v>
      </c>
      <c r="O415" s="82" t="n">
        <v>5565.995</v>
      </c>
      <c r="P415" s="83" t="n">
        <v>0</v>
      </c>
      <c r="Q415" s="83" t="n">
        <v>148</v>
      </c>
      <c r="R415" s="47" t="n">
        <v>15</v>
      </c>
      <c r="S415" s="66" t="s">
        <v>711</v>
      </c>
    </row>
    <row r="416" customFormat="false" ht="15" hidden="false" customHeight="false" outlineLevel="0" collapsed="false">
      <c r="A416" s="79" t="s">
        <v>695</v>
      </c>
      <c r="B416" s="79" t="s">
        <v>302</v>
      </c>
      <c r="C416" s="80" t="n">
        <v>2022</v>
      </c>
      <c r="D416" s="80" t="n">
        <v>3</v>
      </c>
      <c r="E416" s="81" t="n">
        <v>44834</v>
      </c>
      <c r="F416" s="79" t="s">
        <v>271</v>
      </c>
      <c r="G416" s="79" t="s">
        <v>272</v>
      </c>
      <c r="H416" s="79" t="s">
        <v>268</v>
      </c>
      <c r="I416" s="82" t="n">
        <v>3334.627</v>
      </c>
      <c r="J416" s="82" t="n">
        <v>688.013</v>
      </c>
      <c r="K416" s="82" t="n">
        <v>407793000</v>
      </c>
      <c r="L416" s="83" t="n">
        <v>4.74</v>
      </c>
      <c r="M416" s="82" t="n">
        <v>88.3941</v>
      </c>
      <c r="N416" s="82" t="n">
        <v>2300000</v>
      </c>
      <c r="O416" s="82" t="n">
        <v>5383.527</v>
      </c>
      <c r="P416" s="83" t="n">
        <v>0</v>
      </c>
      <c r="Q416" s="83" t="n">
        <v>142</v>
      </c>
      <c r="R416" s="47" t="n">
        <v>16</v>
      </c>
      <c r="S416" s="66" t="s">
        <v>712</v>
      </c>
    </row>
    <row r="417" customFormat="false" ht="15" hidden="false" customHeight="false" outlineLevel="0" collapsed="false">
      <c r="A417" s="79" t="s">
        <v>695</v>
      </c>
      <c r="B417" s="79" t="s">
        <v>304</v>
      </c>
      <c r="C417" s="80" t="n">
        <v>2022</v>
      </c>
      <c r="D417" s="80" t="n">
        <v>2</v>
      </c>
      <c r="E417" s="81" t="n">
        <v>44742</v>
      </c>
      <c r="F417" s="79" t="s">
        <v>271</v>
      </c>
      <c r="G417" s="79" t="s">
        <v>272</v>
      </c>
      <c r="H417" s="79" t="s">
        <v>268</v>
      </c>
      <c r="I417" s="82" t="n">
        <v>3308.539</v>
      </c>
      <c r="J417" s="82" t="n">
        <v>674.434</v>
      </c>
      <c r="K417" s="82" t="n">
        <v>357669000</v>
      </c>
      <c r="L417" s="83" t="n">
        <v>4.15</v>
      </c>
      <c r="M417" s="82" t="n">
        <v>88.3941</v>
      </c>
      <c r="N417" s="82" t="n">
        <v>2300000</v>
      </c>
      <c r="O417" s="82" t="n">
        <v>4948.311</v>
      </c>
      <c r="P417" s="83" t="n">
        <v>6</v>
      </c>
      <c r="Q417" s="83" t="n">
        <v>159</v>
      </c>
      <c r="R417" s="47" t="n">
        <v>17</v>
      </c>
      <c r="S417" s="66" t="s">
        <v>713</v>
      </c>
    </row>
    <row r="418" customFormat="false" ht="15" hidden="false" customHeight="false" outlineLevel="0" collapsed="false">
      <c r="A418" s="79" t="s">
        <v>695</v>
      </c>
      <c r="B418" s="79" t="s">
        <v>306</v>
      </c>
      <c r="C418" s="80" t="n">
        <v>2022</v>
      </c>
      <c r="D418" s="80" t="n">
        <v>1</v>
      </c>
      <c r="E418" s="81" t="n">
        <v>44651</v>
      </c>
      <c r="F418" s="79" t="s">
        <v>271</v>
      </c>
      <c r="G418" s="79" t="s">
        <v>272</v>
      </c>
      <c r="H418" s="79" t="s">
        <v>268</v>
      </c>
      <c r="I418" s="82" t="n">
        <v>3786.052</v>
      </c>
      <c r="J418" s="82" t="n">
        <v>642.643</v>
      </c>
      <c r="K418" s="82" t="n">
        <v>294042000</v>
      </c>
      <c r="L418" s="83" t="n">
        <v>3.42</v>
      </c>
      <c r="M418" s="82" t="n">
        <v>88.3941</v>
      </c>
      <c r="N418" s="82" t="n">
        <v>2300000</v>
      </c>
      <c r="O418" s="82" t="n">
        <v>5148.768</v>
      </c>
      <c r="P418" s="83" t="n">
        <v>0</v>
      </c>
      <c r="Q418" s="83" t="n">
        <v>205</v>
      </c>
      <c r="R418" s="47" t="n">
        <v>18</v>
      </c>
      <c r="S418" s="66" t="s">
        <v>714</v>
      </c>
    </row>
    <row r="419" customFormat="false" ht="15" hidden="false" customHeight="false" outlineLevel="0" collapsed="false">
      <c r="A419" s="79" t="s">
        <v>695</v>
      </c>
      <c r="B419" s="79" t="s">
        <v>308</v>
      </c>
      <c r="C419" s="80" t="n">
        <v>2021</v>
      </c>
      <c r="D419" s="80" t="n">
        <v>4</v>
      </c>
      <c r="E419" s="81" t="n">
        <v>44561</v>
      </c>
      <c r="F419" s="79" t="s">
        <v>271</v>
      </c>
      <c r="G419" s="79" t="s">
        <v>272</v>
      </c>
      <c r="H419" s="79" t="s">
        <v>268</v>
      </c>
      <c r="I419" s="82" t="n">
        <v>4127.38</v>
      </c>
      <c r="J419" s="82" t="n">
        <v>819.357</v>
      </c>
      <c r="K419" s="82" t="n">
        <v>374624000</v>
      </c>
      <c r="L419" s="83" t="n">
        <v>4.35</v>
      </c>
      <c r="M419" s="82" t="n">
        <v>88.3941</v>
      </c>
      <c r="N419" s="82" t="n">
        <v>2300000</v>
      </c>
      <c r="O419" s="82" t="n">
        <v>4742.722</v>
      </c>
      <c r="P419" s="83" t="n">
        <v>0</v>
      </c>
      <c r="Q419" s="83" t="n">
        <v>202</v>
      </c>
      <c r="R419" s="47" t="n">
        <v>19</v>
      </c>
      <c r="S419" s="66" t="s">
        <v>715</v>
      </c>
    </row>
    <row r="420" customFormat="false" ht="15" hidden="false" customHeight="false" outlineLevel="0" collapsed="false">
      <c r="A420" s="79" t="s">
        <v>695</v>
      </c>
      <c r="B420" s="79" t="s">
        <v>310</v>
      </c>
      <c r="C420" s="80" t="n">
        <v>2021</v>
      </c>
      <c r="D420" s="80" t="n">
        <v>3</v>
      </c>
      <c r="E420" s="81" t="n">
        <v>44469</v>
      </c>
      <c r="F420" s="79" t="s">
        <v>271</v>
      </c>
      <c r="G420" s="79" t="s">
        <v>272</v>
      </c>
      <c r="H420" s="79" t="s">
        <v>268</v>
      </c>
      <c r="I420" s="82" t="n">
        <v>3704.063</v>
      </c>
      <c r="J420" s="82" t="n">
        <v>681.368</v>
      </c>
      <c r="K420" s="82" t="n">
        <v>330949000</v>
      </c>
      <c r="L420" s="83" t="n">
        <v>3.86</v>
      </c>
      <c r="M420" s="82" t="n">
        <v>88.3941</v>
      </c>
      <c r="N420" s="82" t="n">
        <v>2300000</v>
      </c>
      <c r="O420" s="82" t="n">
        <v>4336.264</v>
      </c>
      <c r="P420" s="83" t="n">
        <v>5.60004171</v>
      </c>
      <c r="Q420" s="83" t="n">
        <v>165.5</v>
      </c>
      <c r="R420" s="47" t="n">
        <v>20</v>
      </c>
      <c r="S420" s="66" t="s">
        <v>716</v>
      </c>
    </row>
    <row r="421" customFormat="false" ht="15" hidden="false" customHeight="false" outlineLevel="0" collapsed="false">
      <c r="A421" s="79" t="s">
        <v>695</v>
      </c>
      <c r="B421" s="79" t="s">
        <v>312</v>
      </c>
      <c r="C421" s="80" t="n">
        <v>2021</v>
      </c>
      <c r="D421" s="80" t="n">
        <v>2</v>
      </c>
      <c r="E421" s="81" t="n">
        <v>44377</v>
      </c>
      <c r="F421" s="79" t="s">
        <v>271</v>
      </c>
      <c r="G421" s="79" t="s">
        <v>272</v>
      </c>
      <c r="H421" s="79" t="s">
        <v>268</v>
      </c>
      <c r="I421" s="82" t="n">
        <v>2993.039</v>
      </c>
      <c r="J421" s="82" t="n">
        <v>513.502</v>
      </c>
      <c r="K421" s="82" t="n">
        <v>130616000</v>
      </c>
      <c r="L421" s="83" t="n">
        <v>1.52</v>
      </c>
      <c r="M421" s="82" t="n">
        <v>88.3941</v>
      </c>
      <c r="N421" s="82" t="n">
        <v>2300000</v>
      </c>
      <c r="O421" s="82" t="n">
        <v>4493.842</v>
      </c>
      <c r="P421" s="83" t="n">
        <v>0</v>
      </c>
      <c r="Q421" s="83" t="n">
        <v>188</v>
      </c>
      <c r="R421" s="47" t="n">
        <v>21</v>
      </c>
      <c r="S421" s="66" t="s">
        <v>717</v>
      </c>
    </row>
    <row r="422" customFormat="false" ht="15" hidden="false" customHeight="false" outlineLevel="0" collapsed="false">
      <c r="A422" s="79" t="s">
        <v>695</v>
      </c>
      <c r="B422" s="79" t="s">
        <v>314</v>
      </c>
      <c r="C422" s="80" t="n">
        <v>2021</v>
      </c>
      <c r="D422" s="80" t="n">
        <v>1</v>
      </c>
      <c r="E422" s="81" t="n">
        <v>44286</v>
      </c>
      <c r="F422" s="79" t="s">
        <v>271</v>
      </c>
      <c r="G422" s="79" t="s">
        <v>272</v>
      </c>
      <c r="H422" s="79" t="s">
        <v>268</v>
      </c>
      <c r="I422" s="82" t="n">
        <v>3433.425</v>
      </c>
      <c r="J422" s="82" t="n">
        <v>648.637</v>
      </c>
      <c r="K422" s="82" t="n">
        <v>296484000</v>
      </c>
      <c r="L422" s="83" t="n">
        <v>3.39</v>
      </c>
      <c r="M422" s="82" t="n">
        <v>88.3941</v>
      </c>
      <c r="N422" s="82" t="n">
        <v>2161000</v>
      </c>
      <c r="O422" s="82" t="n">
        <v>4552.806</v>
      </c>
      <c r="P422" s="83" t="n">
        <v>0</v>
      </c>
      <c r="Q422" s="83" t="n">
        <v>220</v>
      </c>
      <c r="R422" s="47" t="n">
        <v>22</v>
      </c>
      <c r="S422" s="66" t="s">
        <v>718</v>
      </c>
    </row>
    <row r="423" customFormat="false" ht="15" hidden="false" customHeight="false" outlineLevel="0" collapsed="false">
      <c r="A423" s="79" t="s">
        <v>695</v>
      </c>
      <c r="B423" s="79" t="s">
        <v>316</v>
      </c>
      <c r="C423" s="80" t="n">
        <v>2020</v>
      </c>
      <c r="D423" s="80" t="n">
        <v>4</v>
      </c>
      <c r="E423" s="81" t="n">
        <v>44196</v>
      </c>
      <c r="F423" s="79" t="s">
        <v>271</v>
      </c>
      <c r="G423" s="79" t="s">
        <v>272</v>
      </c>
      <c r="H423" s="79" t="s">
        <v>268</v>
      </c>
      <c r="I423" s="82" t="n">
        <v>3622.854</v>
      </c>
      <c r="J423" s="82" t="n">
        <v>734.931</v>
      </c>
      <c r="K423" s="82" t="n">
        <v>281977000</v>
      </c>
      <c r="L423" s="83" t="n">
        <v>3.22</v>
      </c>
      <c r="M423" s="82" t="n">
        <v>88.1336</v>
      </c>
      <c r="N423" s="82" t="n">
        <v>734000</v>
      </c>
      <c r="O423" s="82" t="n">
        <v>4593.324</v>
      </c>
      <c r="P423" s="83" t="n">
        <v>0</v>
      </c>
      <c r="Q423" s="83" t="n">
        <v>214</v>
      </c>
      <c r="R423" s="47" t="n">
        <v>23</v>
      </c>
      <c r="S423" s="66" t="s">
        <v>719</v>
      </c>
    </row>
    <row r="424" customFormat="false" ht="15" hidden="false" customHeight="false" outlineLevel="0" collapsed="false">
      <c r="A424" s="79" t="s">
        <v>695</v>
      </c>
      <c r="B424" s="79" t="s">
        <v>318</v>
      </c>
      <c r="C424" s="80" t="n">
        <v>2020</v>
      </c>
      <c r="D424" s="80" t="n">
        <v>3</v>
      </c>
      <c r="E424" s="81" t="n">
        <v>44104</v>
      </c>
      <c r="F424" s="79" t="s">
        <v>271</v>
      </c>
      <c r="G424" s="79" t="s">
        <v>272</v>
      </c>
      <c r="H424" s="79" t="s">
        <v>268</v>
      </c>
      <c r="I424" s="82" t="n">
        <v>3361.522</v>
      </c>
      <c r="J424" s="82" t="n">
        <v>774.388</v>
      </c>
      <c r="K424" s="82" t="n">
        <v>335265000</v>
      </c>
      <c r="L424" s="83" t="n">
        <v>3.88</v>
      </c>
      <c r="M424" s="82" t="n">
        <v>87.6623</v>
      </c>
      <c r="N424" s="82" t="n">
        <v>734000</v>
      </c>
      <c r="O424" s="82" t="n">
        <v>4137.661</v>
      </c>
      <c r="P424" s="83"/>
      <c r="Q424" s="83" t="n">
        <v>239.5</v>
      </c>
      <c r="R424" s="47" t="n">
        <v>24</v>
      </c>
      <c r="S424" s="66" t="s">
        <v>720</v>
      </c>
    </row>
    <row r="425" customFormat="false" ht="15" hidden="false" customHeight="false" outlineLevel="0" collapsed="false">
      <c r="A425" s="79" t="s">
        <v>234</v>
      </c>
      <c r="B425" s="79" t="s">
        <v>265</v>
      </c>
      <c r="C425" s="80" t="n">
        <v>2026</v>
      </c>
      <c r="D425" s="80" t="n">
        <v>3</v>
      </c>
      <c r="E425" s="81" t="n">
        <v>46295</v>
      </c>
      <c r="F425" s="79" t="s">
        <v>266</v>
      </c>
      <c r="G425" s="79" t="s">
        <v>267</v>
      </c>
      <c r="H425" s="79" t="s">
        <v>268</v>
      </c>
      <c r="I425" s="82"/>
      <c r="J425" s="82"/>
      <c r="K425" s="82"/>
      <c r="L425" s="83" t="n">
        <v>0.19</v>
      </c>
      <c r="M425" s="82"/>
      <c r="N425" s="82"/>
      <c r="O425" s="82"/>
      <c r="P425" s="83"/>
      <c r="Q425" s="83"/>
      <c r="R425" s="47" t="n">
        <v>0</v>
      </c>
      <c r="S425" s="66" t="s">
        <v>721</v>
      </c>
    </row>
    <row r="426" customFormat="false" ht="15" hidden="false" customHeight="false" outlineLevel="0" collapsed="false">
      <c r="A426" s="79" t="s">
        <v>234</v>
      </c>
      <c r="B426" s="79" t="s">
        <v>270</v>
      </c>
      <c r="C426" s="80" t="n">
        <v>2026</v>
      </c>
      <c r="D426" s="80" t="n">
        <v>2</v>
      </c>
      <c r="E426" s="81" t="n">
        <v>46203</v>
      </c>
      <c r="F426" s="79" t="s">
        <v>271</v>
      </c>
      <c r="G426" s="79" t="s">
        <v>272</v>
      </c>
      <c r="H426" s="79" t="s">
        <v>268</v>
      </c>
      <c r="I426" s="82" t="n">
        <v>429.188</v>
      </c>
      <c r="J426" s="82" t="n">
        <v>0.979</v>
      </c>
      <c r="K426" s="82" t="n">
        <v>-24861000</v>
      </c>
      <c r="L426" s="83" t="n">
        <v>-0.22</v>
      </c>
      <c r="M426" s="82" t="n">
        <v>113.6406</v>
      </c>
      <c r="N426" s="82" t="n">
        <v>0</v>
      </c>
      <c r="O426" s="82" t="n">
        <v>5717.152</v>
      </c>
      <c r="P426" s="83" t="n">
        <v>0</v>
      </c>
      <c r="Q426" s="83" t="n">
        <v>578</v>
      </c>
      <c r="R426" s="47" t="n">
        <v>1</v>
      </c>
      <c r="S426" s="66" t="s">
        <v>722</v>
      </c>
    </row>
    <row r="427" customFormat="false" ht="15" hidden="false" customHeight="false" outlineLevel="0" collapsed="false">
      <c r="A427" s="79" t="s">
        <v>234</v>
      </c>
      <c r="B427" s="79" t="s">
        <v>274</v>
      </c>
      <c r="C427" s="80" t="n">
        <v>2026</v>
      </c>
      <c r="D427" s="80" t="n">
        <v>1</v>
      </c>
      <c r="E427" s="81" t="n">
        <v>46112</v>
      </c>
      <c r="F427" s="79" t="s">
        <v>271</v>
      </c>
      <c r="G427" s="79" t="s">
        <v>272</v>
      </c>
      <c r="H427" s="79" t="s">
        <v>268</v>
      </c>
      <c r="I427" s="82" t="n">
        <v>381.969</v>
      </c>
      <c r="J427" s="82" t="n">
        <v>7.197</v>
      </c>
      <c r="K427" s="82" t="n">
        <v>-107036000</v>
      </c>
      <c r="L427" s="83" t="n">
        <v>-0.98</v>
      </c>
      <c r="M427" s="82" t="n">
        <v>113.6406</v>
      </c>
      <c r="N427" s="82" t="n">
        <v>0</v>
      </c>
      <c r="O427" s="82" t="n">
        <v>5734.096</v>
      </c>
      <c r="P427" s="83" t="n">
        <v>0</v>
      </c>
      <c r="Q427" s="83" t="n">
        <v>550</v>
      </c>
      <c r="R427" s="47" t="n">
        <v>2</v>
      </c>
      <c r="S427" s="66" t="s">
        <v>723</v>
      </c>
    </row>
    <row r="428" customFormat="false" ht="15" hidden="false" customHeight="false" outlineLevel="0" collapsed="false">
      <c r="A428" s="79" t="s">
        <v>234</v>
      </c>
      <c r="B428" s="79" t="s">
        <v>276</v>
      </c>
      <c r="C428" s="80" t="n">
        <v>2025</v>
      </c>
      <c r="D428" s="80" t="n">
        <v>4</v>
      </c>
      <c r="E428" s="81" t="n">
        <v>46022</v>
      </c>
      <c r="F428" s="79" t="s">
        <v>271</v>
      </c>
      <c r="G428" s="79" t="s">
        <v>272</v>
      </c>
      <c r="H428" s="79" t="s">
        <v>268</v>
      </c>
      <c r="I428" s="82" t="n">
        <v>390.774</v>
      </c>
      <c r="J428" s="82" t="n">
        <v>48.559</v>
      </c>
      <c r="K428" s="82" t="n">
        <v>-22365000</v>
      </c>
      <c r="L428" s="83" t="n">
        <v>-0.21</v>
      </c>
      <c r="M428" s="82" t="n">
        <v>103.6406</v>
      </c>
      <c r="N428" s="82" t="n">
        <v>0</v>
      </c>
      <c r="O428" s="82" t="n">
        <v>2549.092</v>
      </c>
      <c r="P428" s="83" t="n">
        <v>0</v>
      </c>
      <c r="Q428" s="83" t="n">
        <v>457.5</v>
      </c>
      <c r="R428" s="47" t="n">
        <v>3</v>
      </c>
      <c r="S428" s="66" t="s">
        <v>724</v>
      </c>
    </row>
    <row r="429" customFormat="false" ht="15" hidden="false" customHeight="false" outlineLevel="0" collapsed="false">
      <c r="A429" s="79" t="s">
        <v>234</v>
      </c>
      <c r="B429" s="79" t="s">
        <v>278</v>
      </c>
      <c r="C429" s="80" t="n">
        <v>2025</v>
      </c>
      <c r="D429" s="80" t="n">
        <v>3</v>
      </c>
      <c r="E429" s="81" t="n">
        <v>45930</v>
      </c>
      <c r="F429" s="79" t="s">
        <v>271</v>
      </c>
      <c r="G429" s="79" t="s">
        <v>272</v>
      </c>
      <c r="H429" s="79" t="s">
        <v>268</v>
      </c>
      <c r="I429" s="82" t="n">
        <v>507.741</v>
      </c>
      <c r="J429" s="82" t="n">
        <v>120.893</v>
      </c>
      <c r="K429" s="82" t="n">
        <v>20579000</v>
      </c>
      <c r="L429" s="83" t="n">
        <v>0.2</v>
      </c>
      <c r="M429" s="82" t="n">
        <v>103.6406</v>
      </c>
      <c r="N429" s="82" t="n">
        <v>0</v>
      </c>
      <c r="O429" s="82" t="n">
        <v>2562.064</v>
      </c>
      <c r="P429" s="83" t="n">
        <v>0</v>
      </c>
      <c r="Q429" s="83" t="n">
        <v>354.5</v>
      </c>
      <c r="R429" s="47" t="n">
        <v>4</v>
      </c>
      <c r="S429" s="66" t="s">
        <v>725</v>
      </c>
    </row>
    <row r="430" customFormat="false" ht="15" hidden="false" customHeight="false" outlineLevel="0" collapsed="false">
      <c r="A430" s="79" t="s">
        <v>234</v>
      </c>
      <c r="B430" s="79" t="s">
        <v>280</v>
      </c>
      <c r="C430" s="80" t="n">
        <v>2025</v>
      </c>
      <c r="D430" s="80" t="n">
        <v>2</v>
      </c>
      <c r="E430" s="81" t="n">
        <v>45838</v>
      </c>
      <c r="F430" s="79" t="s">
        <v>271</v>
      </c>
      <c r="G430" s="79" t="s">
        <v>272</v>
      </c>
      <c r="H430" s="79" t="s">
        <v>268</v>
      </c>
      <c r="I430" s="82" t="n">
        <v>582.076</v>
      </c>
      <c r="J430" s="82" t="n">
        <v>114.919</v>
      </c>
      <c r="K430" s="82" t="n">
        <v>16870000</v>
      </c>
      <c r="L430" s="83" t="n">
        <v>0.16</v>
      </c>
      <c r="M430" s="82" t="n">
        <v>103.6406</v>
      </c>
      <c r="N430" s="82" t="n">
        <v>0</v>
      </c>
      <c r="O430" s="82" t="n">
        <v>2522.912</v>
      </c>
      <c r="P430" s="83" t="n">
        <v>0</v>
      </c>
      <c r="Q430" s="83" t="n">
        <v>273.5</v>
      </c>
      <c r="R430" s="47" t="n">
        <v>5</v>
      </c>
      <c r="S430" s="66" t="s">
        <v>726</v>
      </c>
    </row>
    <row r="431" customFormat="false" ht="15" hidden="false" customHeight="false" outlineLevel="0" collapsed="false">
      <c r="A431" s="79" t="s">
        <v>234</v>
      </c>
      <c r="B431" s="79" t="s">
        <v>282</v>
      </c>
      <c r="C431" s="80" t="n">
        <v>2025</v>
      </c>
      <c r="D431" s="80" t="n">
        <v>1</v>
      </c>
      <c r="E431" s="81" t="n">
        <v>45747</v>
      </c>
      <c r="F431" s="79" t="s">
        <v>271</v>
      </c>
      <c r="G431" s="79" t="s">
        <v>272</v>
      </c>
      <c r="H431" s="79" t="s">
        <v>268</v>
      </c>
      <c r="I431" s="82" t="n">
        <v>411.403</v>
      </c>
      <c r="J431" s="82" t="n">
        <v>70.544</v>
      </c>
      <c r="K431" s="82" t="n">
        <v>1110000</v>
      </c>
      <c r="L431" s="83" t="n">
        <v>0.01</v>
      </c>
      <c r="M431" s="82" t="n">
        <v>103.6406</v>
      </c>
      <c r="N431" s="82" t="n">
        <v>0</v>
      </c>
      <c r="O431" s="82" t="n">
        <v>2522.837</v>
      </c>
      <c r="P431" s="83" t="n">
        <v>0</v>
      </c>
      <c r="Q431" s="83" t="n">
        <v>246.5</v>
      </c>
      <c r="R431" s="47" t="n">
        <v>6</v>
      </c>
      <c r="S431" s="66" t="s">
        <v>727</v>
      </c>
    </row>
    <row r="432" customFormat="false" ht="15" hidden="false" customHeight="false" outlineLevel="0" collapsed="false">
      <c r="A432" s="79" t="s">
        <v>234</v>
      </c>
      <c r="B432" s="79" t="s">
        <v>284</v>
      </c>
      <c r="C432" s="80" t="n">
        <v>2024</v>
      </c>
      <c r="D432" s="80" t="n">
        <v>4</v>
      </c>
      <c r="E432" s="81" t="n">
        <v>45657</v>
      </c>
      <c r="F432" s="79" t="s">
        <v>271</v>
      </c>
      <c r="G432" s="79" t="s">
        <v>272</v>
      </c>
      <c r="H432" s="79" t="s">
        <v>268</v>
      </c>
      <c r="I432" s="82" t="n">
        <v>359.876</v>
      </c>
      <c r="J432" s="82" t="n">
        <v>33.397</v>
      </c>
      <c r="K432" s="82" t="n">
        <v>-30788000</v>
      </c>
      <c r="L432" s="83" t="n">
        <v>-0.31</v>
      </c>
      <c r="M432" s="82" t="n">
        <v>103.6406</v>
      </c>
      <c r="N432" s="82" t="n">
        <v>0</v>
      </c>
      <c r="O432" s="82" t="n">
        <v>2530.636</v>
      </c>
      <c r="P432" s="83" t="n">
        <v>0</v>
      </c>
      <c r="Q432" s="83" t="n">
        <v>247.5</v>
      </c>
      <c r="R432" s="47" t="n">
        <v>7</v>
      </c>
      <c r="S432" s="66" t="s">
        <v>728</v>
      </c>
    </row>
    <row r="433" customFormat="false" ht="15" hidden="false" customHeight="false" outlineLevel="0" collapsed="false">
      <c r="A433" s="79" t="s">
        <v>234</v>
      </c>
      <c r="B433" s="79" t="s">
        <v>286</v>
      </c>
      <c r="C433" s="80" t="n">
        <v>2024</v>
      </c>
      <c r="D433" s="80" t="n">
        <v>3</v>
      </c>
      <c r="E433" s="81" t="n">
        <v>45565</v>
      </c>
      <c r="F433" s="79" t="s">
        <v>271</v>
      </c>
      <c r="G433" s="79" t="s">
        <v>272</v>
      </c>
      <c r="H433" s="79" t="s">
        <v>268</v>
      </c>
      <c r="I433" s="82" t="n">
        <v>382.698</v>
      </c>
      <c r="J433" s="82" t="n">
        <v>54.205</v>
      </c>
      <c r="K433" s="82" t="n">
        <v>-14773000</v>
      </c>
      <c r="L433" s="83" t="n">
        <v>-0.14</v>
      </c>
      <c r="M433" s="82" t="n">
        <v>103.6406</v>
      </c>
      <c r="N433" s="82" t="n">
        <v>0</v>
      </c>
      <c r="O433" s="82" t="n">
        <v>2606.362</v>
      </c>
      <c r="P433" s="83" t="n">
        <v>0</v>
      </c>
      <c r="Q433" s="83" t="n">
        <v>178</v>
      </c>
      <c r="R433" s="47" t="n">
        <v>8</v>
      </c>
      <c r="S433" s="66" t="s">
        <v>729</v>
      </c>
    </row>
    <row r="434" customFormat="false" ht="15" hidden="false" customHeight="false" outlineLevel="0" collapsed="false">
      <c r="A434" s="79" t="s">
        <v>234</v>
      </c>
      <c r="B434" s="79" t="s">
        <v>288</v>
      </c>
      <c r="C434" s="80" t="n">
        <v>2024</v>
      </c>
      <c r="D434" s="80" t="n">
        <v>2</v>
      </c>
      <c r="E434" s="81" t="n">
        <v>45473</v>
      </c>
      <c r="F434" s="79" t="s">
        <v>271</v>
      </c>
      <c r="G434" s="79" t="s">
        <v>272</v>
      </c>
      <c r="H434" s="79" t="s">
        <v>268</v>
      </c>
      <c r="I434" s="82" t="n">
        <v>352.765</v>
      </c>
      <c r="J434" s="82" t="n">
        <v>70.385</v>
      </c>
      <c r="K434" s="82" t="n">
        <v>25562000</v>
      </c>
      <c r="L434" s="83" t="n">
        <v>0.26</v>
      </c>
      <c r="M434" s="82" t="n">
        <v>103.6406</v>
      </c>
      <c r="N434" s="82" t="n">
        <v>0</v>
      </c>
      <c r="O434" s="82" t="n">
        <v>2623.963</v>
      </c>
      <c r="P434" s="83" t="n">
        <v>0</v>
      </c>
      <c r="Q434" s="83" t="n">
        <v>157</v>
      </c>
      <c r="R434" s="47" t="n">
        <v>9</v>
      </c>
      <c r="S434" s="66" t="s">
        <v>730</v>
      </c>
    </row>
    <row r="435" customFormat="false" ht="15" hidden="false" customHeight="false" outlineLevel="0" collapsed="false">
      <c r="A435" s="79" t="s">
        <v>234</v>
      </c>
      <c r="B435" s="79" t="s">
        <v>290</v>
      </c>
      <c r="C435" s="80" t="n">
        <v>2024</v>
      </c>
      <c r="D435" s="80" t="n">
        <v>1</v>
      </c>
      <c r="E435" s="81" t="n">
        <v>45382</v>
      </c>
      <c r="F435" s="79" t="s">
        <v>271</v>
      </c>
      <c r="G435" s="79" t="s">
        <v>272</v>
      </c>
      <c r="H435" s="79" t="s">
        <v>268</v>
      </c>
      <c r="I435" s="82" t="n">
        <v>268.538</v>
      </c>
      <c r="J435" s="82" t="n">
        <v>21.169</v>
      </c>
      <c r="K435" s="82" t="n">
        <v>-28273000</v>
      </c>
      <c r="L435" s="83" t="n">
        <v>-0.29</v>
      </c>
      <c r="M435" s="82" t="n">
        <v>98.6406</v>
      </c>
      <c r="N435" s="82" t="n">
        <v>0</v>
      </c>
      <c r="O435" s="82" t="n">
        <v>2060.341</v>
      </c>
      <c r="P435" s="83" t="n">
        <v>0.5</v>
      </c>
      <c r="Q435" s="83" t="n">
        <v>96.2</v>
      </c>
      <c r="R435" s="47" t="n">
        <v>10</v>
      </c>
      <c r="S435" s="66" t="s">
        <v>731</v>
      </c>
    </row>
    <row r="436" customFormat="false" ht="15" hidden="false" customHeight="false" outlineLevel="0" collapsed="false">
      <c r="A436" s="79" t="s">
        <v>234</v>
      </c>
      <c r="B436" s="79" t="s">
        <v>292</v>
      </c>
      <c r="C436" s="80" t="n">
        <v>2023</v>
      </c>
      <c r="D436" s="80" t="n">
        <v>4</v>
      </c>
      <c r="E436" s="81" t="n">
        <v>45291</v>
      </c>
      <c r="F436" s="79" t="s">
        <v>271</v>
      </c>
      <c r="G436" s="79" t="s">
        <v>272</v>
      </c>
      <c r="H436" s="79" t="s">
        <v>268</v>
      </c>
      <c r="I436" s="82" t="n">
        <v>337.273</v>
      </c>
      <c r="J436" s="82" t="n">
        <v>46.849</v>
      </c>
      <c r="K436" s="82" t="n">
        <v>-7518000</v>
      </c>
      <c r="L436" s="83" t="n">
        <v>-0.09</v>
      </c>
      <c r="M436" s="82" t="n">
        <v>98.6406</v>
      </c>
      <c r="N436" s="82" t="n">
        <v>0</v>
      </c>
      <c r="O436" s="82" t="n">
        <v>2138.249</v>
      </c>
      <c r="P436" s="83" t="n">
        <v>0</v>
      </c>
      <c r="Q436" s="83" t="n">
        <v>69.3</v>
      </c>
      <c r="R436" s="47" t="n">
        <v>11</v>
      </c>
      <c r="S436" s="66" t="s">
        <v>732</v>
      </c>
    </row>
    <row r="437" customFormat="false" ht="15" hidden="false" customHeight="false" outlineLevel="0" collapsed="false">
      <c r="A437" s="79" t="s">
        <v>234</v>
      </c>
      <c r="B437" s="79" t="s">
        <v>294</v>
      </c>
      <c r="C437" s="80" t="n">
        <v>2023</v>
      </c>
      <c r="D437" s="80" t="n">
        <v>3</v>
      </c>
      <c r="E437" s="81" t="n">
        <v>45199</v>
      </c>
      <c r="F437" s="79" t="s">
        <v>271</v>
      </c>
      <c r="G437" s="79" t="s">
        <v>272</v>
      </c>
      <c r="H437" s="79" t="s">
        <v>268</v>
      </c>
      <c r="I437" s="82" t="n">
        <v>328.229</v>
      </c>
      <c r="J437" s="82" t="n">
        <v>63.443</v>
      </c>
      <c r="K437" s="82" t="n">
        <v>292000</v>
      </c>
      <c r="L437" s="83" t="n">
        <v>0</v>
      </c>
      <c r="M437" s="82" t="n">
        <v>88.6406</v>
      </c>
      <c r="N437" s="82" t="n">
        <v>0</v>
      </c>
      <c r="O437" s="82" t="n">
        <v>1618.138</v>
      </c>
      <c r="P437" s="83" t="n">
        <v>0</v>
      </c>
      <c r="Q437" s="83" t="n">
        <v>73.9</v>
      </c>
      <c r="R437" s="47" t="n">
        <v>12</v>
      </c>
      <c r="S437" s="66" t="s">
        <v>733</v>
      </c>
    </row>
    <row r="438" customFormat="false" ht="15" hidden="false" customHeight="false" outlineLevel="0" collapsed="false">
      <c r="A438" s="79" t="s">
        <v>234</v>
      </c>
      <c r="B438" s="79" t="s">
        <v>296</v>
      </c>
      <c r="C438" s="80" t="n">
        <v>2023</v>
      </c>
      <c r="D438" s="80" t="n">
        <v>2</v>
      </c>
      <c r="E438" s="81" t="n">
        <v>45107</v>
      </c>
      <c r="F438" s="79" t="s">
        <v>271</v>
      </c>
      <c r="G438" s="79" t="s">
        <v>272</v>
      </c>
      <c r="H438" s="79" t="s">
        <v>268</v>
      </c>
      <c r="I438" s="82" t="n">
        <v>284.079</v>
      </c>
      <c r="J438" s="82" t="n">
        <v>20.57</v>
      </c>
      <c r="K438" s="82" t="n">
        <v>-14707000</v>
      </c>
      <c r="L438" s="83" t="n">
        <v>-0.17</v>
      </c>
      <c r="M438" s="82" t="n">
        <v>88.6274</v>
      </c>
      <c r="N438" s="82" t="n">
        <v>0</v>
      </c>
      <c r="O438" s="82" t="n">
        <v>1608.276</v>
      </c>
      <c r="P438" s="83" t="n">
        <v>0.5</v>
      </c>
      <c r="Q438" s="83" t="n">
        <v>41.6</v>
      </c>
      <c r="R438" s="47" t="n">
        <v>13</v>
      </c>
      <c r="S438" s="66" t="s">
        <v>734</v>
      </c>
    </row>
    <row r="439" customFormat="false" ht="15" hidden="false" customHeight="false" outlineLevel="0" collapsed="false">
      <c r="A439" s="79" t="s">
        <v>234</v>
      </c>
      <c r="B439" s="79" t="s">
        <v>298</v>
      </c>
      <c r="C439" s="80" t="n">
        <v>2023</v>
      </c>
      <c r="D439" s="80" t="n">
        <v>1</v>
      </c>
      <c r="E439" s="81" t="n">
        <v>45016</v>
      </c>
      <c r="F439" s="79" t="s">
        <v>271</v>
      </c>
      <c r="G439" s="79" t="s">
        <v>272</v>
      </c>
      <c r="H439" s="79" t="s">
        <v>268</v>
      </c>
      <c r="I439" s="82" t="n">
        <v>322.164</v>
      </c>
      <c r="J439" s="82" t="n">
        <v>46.955</v>
      </c>
      <c r="K439" s="82" t="n">
        <v>33991000</v>
      </c>
      <c r="L439" s="83" t="n">
        <v>0.38</v>
      </c>
      <c r="M439" s="82" t="n">
        <v>88.3366</v>
      </c>
      <c r="N439" s="82" t="n">
        <v>0</v>
      </c>
      <c r="O439" s="82" t="n">
        <v>1648.698</v>
      </c>
      <c r="P439" s="83" t="n">
        <v>0</v>
      </c>
      <c r="Q439" s="83" t="n">
        <v>25.95</v>
      </c>
      <c r="R439" s="47" t="n">
        <v>14</v>
      </c>
      <c r="S439" s="66" t="s">
        <v>735</v>
      </c>
    </row>
    <row r="440" customFormat="false" ht="15" hidden="false" customHeight="false" outlineLevel="0" collapsed="false">
      <c r="A440" s="79" t="s">
        <v>234</v>
      </c>
      <c r="B440" s="79" t="s">
        <v>300</v>
      </c>
      <c r="C440" s="80" t="n">
        <v>2022</v>
      </c>
      <c r="D440" s="80" t="n">
        <v>4</v>
      </c>
      <c r="E440" s="81" t="n">
        <v>44926</v>
      </c>
      <c r="F440" s="79" t="s">
        <v>271</v>
      </c>
      <c r="G440" s="79" t="s">
        <v>272</v>
      </c>
      <c r="H440" s="79" t="s">
        <v>268</v>
      </c>
      <c r="I440" s="82" t="n">
        <v>328.101</v>
      </c>
      <c r="J440" s="82" t="n">
        <v>59.018</v>
      </c>
      <c r="K440" s="82" t="n">
        <v>20197000</v>
      </c>
      <c r="L440" s="83" t="n">
        <v>0.23</v>
      </c>
      <c r="M440" s="82" t="n">
        <v>88.3366</v>
      </c>
      <c r="N440" s="82" t="n">
        <v>0</v>
      </c>
      <c r="O440" s="82" t="n">
        <v>1660.503</v>
      </c>
      <c r="P440" s="83" t="n">
        <v>0</v>
      </c>
      <c r="Q440" s="83" t="n">
        <v>22.7</v>
      </c>
      <c r="R440" s="47" t="n">
        <v>15</v>
      </c>
      <c r="S440" s="66" t="s">
        <v>736</v>
      </c>
    </row>
    <row r="441" customFormat="false" ht="15" hidden="false" customHeight="false" outlineLevel="0" collapsed="false">
      <c r="A441" s="79" t="s">
        <v>234</v>
      </c>
      <c r="B441" s="79" t="s">
        <v>302</v>
      </c>
      <c r="C441" s="80" t="n">
        <v>2022</v>
      </c>
      <c r="D441" s="80" t="n">
        <v>3</v>
      </c>
      <c r="E441" s="81" t="n">
        <v>44834</v>
      </c>
      <c r="F441" s="79" t="s">
        <v>271</v>
      </c>
      <c r="G441" s="79" t="s">
        <v>272</v>
      </c>
      <c r="H441" s="79" t="s">
        <v>268</v>
      </c>
      <c r="I441" s="82" t="n">
        <v>432.414</v>
      </c>
      <c r="J441" s="82" t="n">
        <v>71.477</v>
      </c>
      <c r="K441" s="82" t="n">
        <v>22679000</v>
      </c>
      <c r="L441" s="83" t="n">
        <v>0.26</v>
      </c>
      <c r="M441" s="82" t="n">
        <v>88.3366</v>
      </c>
      <c r="N441" s="82" t="n">
        <v>0</v>
      </c>
      <c r="O441" s="82" t="n">
        <v>1631.994</v>
      </c>
      <c r="P441" s="83" t="n">
        <v>0</v>
      </c>
      <c r="Q441" s="83" t="n">
        <v>23.3</v>
      </c>
      <c r="R441" s="47" t="n">
        <v>16</v>
      </c>
      <c r="S441" s="66" t="s">
        <v>737</v>
      </c>
    </row>
    <row r="442" customFormat="false" ht="15" hidden="false" customHeight="false" outlineLevel="0" collapsed="false">
      <c r="A442" s="79" t="s">
        <v>234</v>
      </c>
      <c r="B442" s="79" t="s">
        <v>304</v>
      </c>
      <c r="C442" s="80" t="n">
        <v>2022</v>
      </c>
      <c r="D442" s="80" t="n">
        <v>2</v>
      </c>
      <c r="E442" s="81" t="n">
        <v>44742</v>
      </c>
      <c r="F442" s="79" t="s">
        <v>271</v>
      </c>
      <c r="G442" s="79" t="s">
        <v>272</v>
      </c>
      <c r="H442" s="79" t="s">
        <v>268</v>
      </c>
      <c r="I442" s="82" t="n">
        <v>421.858</v>
      </c>
      <c r="J442" s="82" t="n">
        <v>72.099</v>
      </c>
      <c r="K442" s="82" t="n">
        <v>7273000</v>
      </c>
      <c r="L442" s="83" t="n">
        <v>0.08</v>
      </c>
      <c r="M442" s="82" t="n">
        <v>88.3146</v>
      </c>
      <c r="N442" s="82" t="n">
        <v>0</v>
      </c>
      <c r="O442" s="82" t="n">
        <v>1607.118</v>
      </c>
      <c r="P442" s="83" t="n">
        <v>1.6</v>
      </c>
      <c r="Q442" s="83" t="n">
        <v>23.55</v>
      </c>
      <c r="R442" s="47" t="n">
        <v>17</v>
      </c>
      <c r="S442" s="66" t="s">
        <v>738</v>
      </c>
    </row>
    <row r="443" customFormat="false" ht="15" hidden="false" customHeight="false" outlineLevel="0" collapsed="false">
      <c r="A443" s="79" t="s">
        <v>234</v>
      </c>
      <c r="B443" s="79" t="s">
        <v>306</v>
      </c>
      <c r="C443" s="80" t="n">
        <v>2022</v>
      </c>
      <c r="D443" s="80" t="n">
        <v>1</v>
      </c>
      <c r="E443" s="81" t="n">
        <v>44651</v>
      </c>
      <c r="F443" s="79" t="s">
        <v>271</v>
      </c>
      <c r="G443" s="79" t="s">
        <v>272</v>
      </c>
      <c r="H443" s="79" t="s">
        <v>268</v>
      </c>
      <c r="I443" s="82" t="n">
        <v>438.286</v>
      </c>
      <c r="J443" s="82" t="n">
        <v>94.536</v>
      </c>
      <c r="K443" s="82" t="n">
        <v>-3128000</v>
      </c>
      <c r="L443" s="83" t="n">
        <v>-0.04</v>
      </c>
      <c r="M443" s="82" t="n">
        <v>88.3146</v>
      </c>
      <c r="N443" s="82" t="n">
        <v>0</v>
      </c>
      <c r="O443" s="82" t="n">
        <v>1617.177</v>
      </c>
      <c r="P443" s="83" t="n">
        <v>0</v>
      </c>
      <c r="Q443" s="83" t="n">
        <v>30.6</v>
      </c>
      <c r="R443" s="47" t="n">
        <v>18</v>
      </c>
      <c r="S443" s="66" t="s">
        <v>739</v>
      </c>
    </row>
    <row r="444" customFormat="false" ht="15" hidden="false" customHeight="false" outlineLevel="0" collapsed="false">
      <c r="A444" s="79" t="s">
        <v>234</v>
      </c>
      <c r="B444" s="79" t="s">
        <v>308</v>
      </c>
      <c r="C444" s="80" t="n">
        <v>2021</v>
      </c>
      <c r="D444" s="80" t="n">
        <v>4</v>
      </c>
      <c r="E444" s="81" t="n">
        <v>44561</v>
      </c>
      <c r="F444" s="79" t="s">
        <v>271</v>
      </c>
      <c r="G444" s="79" t="s">
        <v>272</v>
      </c>
      <c r="H444" s="79" t="s">
        <v>268</v>
      </c>
      <c r="I444" s="82" t="n">
        <v>553.177</v>
      </c>
      <c r="J444" s="82" t="n">
        <v>149.828</v>
      </c>
      <c r="K444" s="82" t="n">
        <v>41027000</v>
      </c>
      <c r="L444" s="83" t="n">
        <v>0.47</v>
      </c>
      <c r="M444" s="82" t="n">
        <v>88.2731</v>
      </c>
      <c r="N444" s="82" t="n">
        <v>0</v>
      </c>
      <c r="O444" s="82" t="n">
        <v>1750.967</v>
      </c>
      <c r="P444" s="83" t="n">
        <v>0</v>
      </c>
      <c r="Q444" s="83" t="n">
        <v>33.4</v>
      </c>
      <c r="R444" s="47" t="n">
        <v>19</v>
      </c>
      <c r="S444" s="66" t="s">
        <v>740</v>
      </c>
    </row>
    <row r="445" customFormat="false" ht="15" hidden="false" customHeight="false" outlineLevel="0" collapsed="false">
      <c r="A445" s="79" t="s">
        <v>234</v>
      </c>
      <c r="B445" s="79" t="s">
        <v>310</v>
      </c>
      <c r="C445" s="80" t="n">
        <v>2021</v>
      </c>
      <c r="D445" s="80" t="n">
        <v>3</v>
      </c>
      <c r="E445" s="81" t="n">
        <v>44469</v>
      </c>
      <c r="F445" s="79" t="s">
        <v>271</v>
      </c>
      <c r="G445" s="79" t="s">
        <v>272</v>
      </c>
      <c r="H445" s="79" t="s">
        <v>268</v>
      </c>
      <c r="I445" s="82" t="n">
        <v>652.042</v>
      </c>
      <c r="J445" s="82" t="n">
        <v>191.472</v>
      </c>
      <c r="K445" s="82" t="n">
        <v>130574000</v>
      </c>
      <c r="L445" s="83" t="n">
        <v>1.5</v>
      </c>
      <c r="M445" s="82" t="n">
        <v>87.1279</v>
      </c>
      <c r="N445" s="82" t="n">
        <v>0</v>
      </c>
      <c r="O445" s="82" t="n">
        <v>1717.167</v>
      </c>
      <c r="P445" s="83" t="n">
        <v>0</v>
      </c>
      <c r="Q445" s="83" t="n">
        <v>27.65</v>
      </c>
      <c r="R445" s="47" t="n">
        <v>20</v>
      </c>
      <c r="S445" s="66" t="s">
        <v>741</v>
      </c>
    </row>
    <row r="446" customFormat="false" ht="15" hidden="false" customHeight="false" outlineLevel="0" collapsed="false">
      <c r="A446" s="79" t="s">
        <v>234</v>
      </c>
      <c r="B446" s="79" t="s">
        <v>312</v>
      </c>
      <c r="C446" s="80" t="n">
        <v>2021</v>
      </c>
      <c r="D446" s="80" t="n">
        <v>2</v>
      </c>
      <c r="E446" s="81" t="n">
        <v>44377</v>
      </c>
      <c r="F446" s="79" t="s">
        <v>271</v>
      </c>
      <c r="G446" s="79" t="s">
        <v>272</v>
      </c>
      <c r="H446" s="79" t="s">
        <v>268</v>
      </c>
      <c r="I446" s="82" t="n">
        <v>416.845</v>
      </c>
      <c r="J446" s="82" t="n">
        <v>70.15</v>
      </c>
      <c r="K446" s="82" t="n">
        <v>28098000</v>
      </c>
      <c r="L446" s="83" t="n">
        <v>0.32</v>
      </c>
      <c r="M446" s="82" t="n">
        <v>87.0739</v>
      </c>
      <c r="N446" s="82" t="n">
        <v>0</v>
      </c>
      <c r="O446" s="82" t="n">
        <v>1594.253</v>
      </c>
      <c r="P446" s="83" t="n">
        <v>1</v>
      </c>
      <c r="Q446" s="83" t="n">
        <v>25.15</v>
      </c>
      <c r="R446" s="47" t="n">
        <v>21</v>
      </c>
      <c r="S446" s="66" t="s">
        <v>742</v>
      </c>
    </row>
    <row r="447" customFormat="false" ht="15" hidden="false" customHeight="false" outlineLevel="0" collapsed="false">
      <c r="A447" s="79" t="s">
        <v>234</v>
      </c>
      <c r="B447" s="79" t="s">
        <v>314</v>
      </c>
      <c r="C447" s="80" t="n">
        <v>2021</v>
      </c>
      <c r="D447" s="80" t="n">
        <v>1</v>
      </c>
      <c r="E447" s="81" t="n">
        <v>44286</v>
      </c>
      <c r="F447" s="79" t="s">
        <v>271</v>
      </c>
      <c r="G447" s="79" t="s">
        <v>272</v>
      </c>
      <c r="H447" s="79" t="s">
        <v>268</v>
      </c>
      <c r="I447" s="82" t="n">
        <v>366.205</v>
      </c>
      <c r="J447" s="82" t="n">
        <v>43.196</v>
      </c>
      <c r="K447" s="82" t="n">
        <v>1945000</v>
      </c>
      <c r="L447" s="83" t="n">
        <v>0.02</v>
      </c>
      <c r="M447" s="82" t="n">
        <v>87.0739</v>
      </c>
      <c r="N447" s="82" t="n">
        <v>0</v>
      </c>
      <c r="O447" s="82" t="n">
        <v>1571.599</v>
      </c>
      <c r="P447" s="83" t="n">
        <v>0</v>
      </c>
      <c r="Q447" s="83" t="n">
        <v>27.1</v>
      </c>
      <c r="R447" s="47" t="n">
        <v>22</v>
      </c>
      <c r="S447" s="66" t="s">
        <v>743</v>
      </c>
    </row>
    <row r="448" customFormat="false" ht="15" hidden="false" customHeight="false" outlineLevel="0" collapsed="false">
      <c r="A448" s="79" t="s">
        <v>234</v>
      </c>
      <c r="B448" s="79" t="s">
        <v>316</v>
      </c>
      <c r="C448" s="80" t="n">
        <v>2020</v>
      </c>
      <c r="D448" s="80" t="n">
        <v>4</v>
      </c>
      <c r="E448" s="81" t="n">
        <v>44196</v>
      </c>
      <c r="F448" s="79" t="s">
        <v>271</v>
      </c>
      <c r="G448" s="79" t="s">
        <v>272</v>
      </c>
      <c r="H448" s="79" t="s">
        <v>268</v>
      </c>
      <c r="I448" s="82" t="n">
        <v>407.008</v>
      </c>
      <c r="J448" s="82" t="n">
        <v>72.485</v>
      </c>
      <c r="K448" s="82" t="n">
        <v>-33792000</v>
      </c>
      <c r="L448" s="83" t="n">
        <v>-0.4</v>
      </c>
      <c r="M448" s="82" t="n">
        <v>91.0739</v>
      </c>
      <c r="N448" s="82" t="n">
        <v>4000000</v>
      </c>
      <c r="O448" s="82" t="n">
        <v>1655.427</v>
      </c>
      <c r="P448" s="83" t="n">
        <v>0</v>
      </c>
      <c r="Q448" s="83" t="n">
        <v>28.45</v>
      </c>
      <c r="R448" s="47" t="n">
        <v>23</v>
      </c>
      <c r="S448" s="66" t="s">
        <v>744</v>
      </c>
    </row>
    <row r="449" customFormat="false" ht="15" hidden="false" customHeight="false" outlineLevel="0" collapsed="false">
      <c r="A449" s="79" t="s">
        <v>234</v>
      </c>
      <c r="B449" s="79" t="s">
        <v>318</v>
      </c>
      <c r="C449" s="80" t="n">
        <v>2020</v>
      </c>
      <c r="D449" s="80" t="n">
        <v>3</v>
      </c>
      <c r="E449" s="81" t="n">
        <v>44104</v>
      </c>
      <c r="F449" s="79" t="s">
        <v>271</v>
      </c>
      <c r="G449" s="79" t="s">
        <v>272</v>
      </c>
      <c r="H449" s="79" t="s">
        <v>268</v>
      </c>
      <c r="I449" s="82" t="n">
        <v>410.473</v>
      </c>
      <c r="J449" s="82" t="n">
        <v>63.59</v>
      </c>
      <c r="K449" s="82" t="n">
        <v>46660000</v>
      </c>
      <c r="L449" s="83" t="n">
        <v>0.54</v>
      </c>
      <c r="M449" s="82" t="n">
        <v>90.7432</v>
      </c>
      <c r="N449" s="82" t="n">
        <v>4000000</v>
      </c>
      <c r="O449" s="82" t="n">
        <v>1702.503</v>
      </c>
      <c r="P449" s="83"/>
      <c r="Q449" s="83" t="n">
        <v>26.15</v>
      </c>
      <c r="R449" s="47" t="n">
        <v>24</v>
      </c>
      <c r="S449" s="66" t="s">
        <v>745</v>
      </c>
    </row>
    <row r="450" customFormat="false" ht="15" hidden="false" customHeight="false" outlineLevel="0" collapsed="false">
      <c r="A450" s="79" t="s">
        <v>245</v>
      </c>
      <c r="B450" s="79" t="s">
        <v>265</v>
      </c>
      <c r="C450" s="80" t="n">
        <v>2026</v>
      </c>
      <c r="D450" s="80" t="n">
        <v>3</v>
      </c>
      <c r="E450" s="81" t="n">
        <v>46295</v>
      </c>
      <c r="F450" s="79" t="s">
        <v>266</v>
      </c>
      <c r="G450" s="79" t="s">
        <v>267</v>
      </c>
      <c r="H450" s="79" t="s">
        <v>268</v>
      </c>
      <c r="I450" s="82"/>
      <c r="J450" s="82"/>
      <c r="K450" s="82"/>
      <c r="L450" s="83" t="n">
        <v>12.35021</v>
      </c>
      <c r="M450" s="82"/>
      <c r="N450" s="82"/>
      <c r="O450" s="82"/>
      <c r="P450" s="83"/>
      <c r="Q450" s="83"/>
      <c r="R450" s="47" t="n">
        <v>0</v>
      </c>
      <c r="S450" s="66" t="s">
        <v>746</v>
      </c>
    </row>
    <row r="451" customFormat="false" ht="15" hidden="false" customHeight="false" outlineLevel="0" collapsed="false">
      <c r="A451" s="79" t="s">
        <v>245</v>
      </c>
      <c r="B451" s="79" t="s">
        <v>270</v>
      </c>
      <c r="C451" s="80" t="n">
        <v>2026</v>
      </c>
      <c r="D451" s="80" t="n">
        <v>2</v>
      </c>
      <c r="E451" s="81" t="n">
        <v>46203</v>
      </c>
      <c r="F451" s="79" t="s">
        <v>271</v>
      </c>
      <c r="G451" s="79" t="s">
        <v>272</v>
      </c>
      <c r="H451" s="79" t="s">
        <v>268</v>
      </c>
      <c r="I451" s="82" t="n">
        <v>13896.557</v>
      </c>
      <c r="J451" s="82" t="n">
        <v>2994.017</v>
      </c>
      <c r="K451" s="82" t="n">
        <v>1555257000</v>
      </c>
      <c r="L451" s="83" t="n">
        <v>11.61</v>
      </c>
      <c r="M451" s="82" t="n">
        <v>134.0119</v>
      </c>
      <c r="N451" s="82" t="n">
        <v>0</v>
      </c>
      <c r="O451" s="82" t="n">
        <v>13465.348</v>
      </c>
      <c r="P451" s="83" t="n">
        <v>20</v>
      </c>
      <c r="Q451" s="83" t="n">
        <v>4845</v>
      </c>
      <c r="R451" s="47" t="n">
        <v>1</v>
      </c>
      <c r="S451" s="66" t="s">
        <v>747</v>
      </c>
    </row>
    <row r="452" customFormat="false" ht="15" hidden="false" customHeight="false" outlineLevel="0" collapsed="false">
      <c r="A452" s="79" t="s">
        <v>245</v>
      </c>
      <c r="B452" s="79" t="s">
        <v>274</v>
      </c>
      <c r="C452" s="80" t="n">
        <v>2026</v>
      </c>
      <c r="D452" s="80" t="n">
        <v>1</v>
      </c>
      <c r="E452" s="81" t="n">
        <v>46112</v>
      </c>
      <c r="F452" s="79" t="s">
        <v>271</v>
      </c>
      <c r="G452" s="79" t="s">
        <v>272</v>
      </c>
      <c r="H452" s="79" t="s">
        <v>268</v>
      </c>
      <c r="I452" s="82" t="n">
        <v>11447.812</v>
      </c>
      <c r="J452" s="82" t="n">
        <v>3113.307</v>
      </c>
      <c r="K452" s="82" t="n">
        <v>1646240000</v>
      </c>
      <c r="L452" s="83" t="n">
        <v>12.28</v>
      </c>
      <c r="M452" s="82" t="n">
        <v>134.0119</v>
      </c>
      <c r="N452" s="82" t="n">
        <v>0</v>
      </c>
      <c r="O452" s="82" t="n">
        <v>14583.873</v>
      </c>
      <c r="P452" s="83" t="n">
        <v>0</v>
      </c>
      <c r="Q452" s="83" t="n">
        <v>2165</v>
      </c>
      <c r="R452" s="47" t="n">
        <v>2</v>
      </c>
      <c r="S452" s="66" t="s">
        <v>748</v>
      </c>
    </row>
    <row r="453" customFormat="false" ht="15" hidden="false" customHeight="false" outlineLevel="0" collapsed="false">
      <c r="A453" s="79" t="s">
        <v>245</v>
      </c>
      <c r="B453" s="79" t="s">
        <v>276</v>
      </c>
      <c r="C453" s="80" t="n">
        <v>2025</v>
      </c>
      <c r="D453" s="80" t="n">
        <v>4</v>
      </c>
      <c r="E453" s="81" t="n">
        <v>46022</v>
      </c>
      <c r="F453" s="79" t="s">
        <v>271</v>
      </c>
      <c r="G453" s="79" t="s">
        <v>272</v>
      </c>
      <c r="H453" s="79" t="s">
        <v>268</v>
      </c>
      <c r="I453" s="82" t="n">
        <v>12399.649</v>
      </c>
      <c r="J453" s="82" t="n">
        <v>2361.222</v>
      </c>
      <c r="K453" s="82" t="n">
        <v>1159658000</v>
      </c>
      <c r="L453" s="83" t="n">
        <v>8.65</v>
      </c>
      <c r="M453" s="82" t="n">
        <v>134.0119</v>
      </c>
      <c r="N453" s="82" t="n">
        <v>0</v>
      </c>
      <c r="O453" s="82" t="n">
        <v>12912.792</v>
      </c>
      <c r="P453" s="83" t="n">
        <v>0</v>
      </c>
      <c r="Q453" s="83" t="n">
        <v>2125</v>
      </c>
      <c r="R453" s="47" t="n">
        <v>3</v>
      </c>
      <c r="S453" s="66" t="s">
        <v>749</v>
      </c>
    </row>
    <row r="454" customFormat="false" ht="15" hidden="false" customHeight="false" outlineLevel="0" collapsed="false">
      <c r="A454" s="79" t="s">
        <v>245</v>
      </c>
      <c r="B454" s="79" t="s">
        <v>278</v>
      </c>
      <c r="C454" s="80" t="n">
        <v>2025</v>
      </c>
      <c r="D454" s="80" t="n">
        <v>3</v>
      </c>
      <c r="E454" s="81" t="n">
        <v>45930</v>
      </c>
      <c r="F454" s="79" t="s">
        <v>271</v>
      </c>
      <c r="G454" s="79" t="s">
        <v>272</v>
      </c>
      <c r="H454" s="79" t="s">
        <v>268</v>
      </c>
      <c r="I454" s="82" t="n">
        <v>8613.108</v>
      </c>
      <c r="J454" s="82" t="n">
        <v>2086.067</v>
      </c>
      <c r="K454" s="82" t="n">
        <v>866875000</v>
      </c>
      <c r="L454" s="83" t="n">
        <v>6.47</v>
      </c>
      <c r="M454" s="82" t="n">
        <v>134.0119</v>
      </c>
      <c r="N454" s="82" t="n">
        <v>0</v>
      </c>
      <c r="O454" s="82" t="n">
        <v>11708.392</v>
      </c>
      <c r="P454" s="83" t="n">
        <v>0</v>
      </c>
      <c r="Q454" s="83" t="n">
        <v>1340</v>
      </c>
      <c r="R454" s="47" t="n">
        <v>4</v>
      </c>
      <c r="S454" s="66" t="s">
        <v>750</v>
      </c>
    </row>
    <row r="455" customFormat="false" ht="15" hidden="false" customHeight="false" outlineLevel="0" collapsed="false">
      <c r="A455" s="79" t="s">
        <v>245</v>
      </c>
      <c r="B455" s="79" t="s">
        <v>280</v>
      </c>
      <c r="C455" s="80" t="n">
        <v>2025</v>
      </c>
      <c r="D455" s="80" t="n">
        <v>2</v>
      </c>
      <c r="E455" s="81" t="n">
        <v>45838</v>
      </c>
      <c r="F455" s="79" t="s">
        <v>271</v>
      </c>
      <c r="G455" s="79" t="s">
        <v>272</v>
      </c>
      <c r="H455" s="79" t="s">
        <v>268</v>
      </c>
      <c r="I455" s="82" t="n">
        <v>6104.577</v>
      </c>
      <c r="J455" s="82" t="n">
        <v>2033.918</v>
      </c>
      <c r="K455" s="82" t="n">
        <v>781665000</v>
      </c>
      <c r="L455" s="83" t="n">
        <v>5.84</v>
      </c>
      <c r="M455" s="82" t="n">
        <v>134.0119</v>
      </c>
      <c r="N455" s="82" t="n">
        <v>0</v>
      </c>
      <c r="O455" s="82" t="n">
        <v>10802.887</v>
      </c>
      <c r="P455" s="83" t="n">
        <v>16</v>
      </c>
      <c r="Q455" s="83" t="n">
        <v>1305</v>
      </c>
      <c r="R455" s="47" t="n">
        <v>5</v>
      </c>
      <c r="S455" s="66" t="s">
        <v>751</v>
      </c>
    </row>
    <row r="456" customFormat="false" ht="15" hidden="false" customHeight="false" outlineLevel="0" collapsed="false">
      <c r="A456" s="79" t="s">
        <v>245</v>
      </c>
      <c r="B456" s="79" t="s">
        <v>282</v>
      </c>
      <c r="C456" s="80" t="n">
        <v>2025</v>
      </c>
      <c r="D456" s="80" t="n">
        <v>1</v>
      </c>
      <c r="E456" s="81" t="n">
        <v>45747</v>
      </c>
      <c r="F456" s="79" t="s">
        <v>271</v>
      </c>
      <c r="G456" s="79" t="s">
        <v>272</v>
      </c>
      <c r="H456" s="79" t="s">
        <v>268</v>
      </c>
      <c r="I456" s="82" t="n">
        <v>7023.644</v>
      </c>
      <c r="J456" s="82" t="n">
        <v>1972.615</v>
      </c>
      <c r="K456" s="82" t="n">
        <v>961368000</v>
      </c>
      <c r="L456" s="83" t="n">
        <v>7.17</v>
      </c>
      <c r="M456" s="82" t="n">
        <v>134.0119</v>
      </c>
      <c r="N456" s="82" t="n">
        <v>0</v>
      </c>
      <c r="O456" s="82" t="n">
        <v>12280.095</v>
      </c>
      <c r="P456" s="83" t="n">
        <v>0</v>
      </c>
      <c r="Q456" s="83" t="n">
        <v>1050</v>
      </c>
      <c r="R456" s="47" t="n">
        <v>6</v>
      </c>
      <c r="S456" s="66" t="s">
        <v>752</v>
      </c>
    </row>
    <row r="457" customFormat="false" ht="15" hidden="false" customHeight="false" outlineLevel="0" collapsed="false">
      <c r="A457" s="79" t="s">
        <v>245</v>
      </c>
      <c r="B457" s="79" t="s">
        <v>284</v>
      </c>
      <c r="C457" s="80" t="n">
        <v>2024</v>
      </c>
      <c r="D457" s="80" t="n">
        <v>4</v>
      </c>
      <c r="E457" s="81" t="n">
        <v>45657</v>
      </c>
      <c r="F457" s="79" t="s">
        <v>271</v>
      </c>
      <c r="G457" s="79" t="s">
        <v>272</v>
      </c>
      <c r="H457" s="79" t="s">
        <v>268</v>
      </c>
      <c r="I457" s="82" t="n">
        <v>6022.643</v>
      </c>
      <c r="J457" s="82" t="n">
        <v>1999.492</v>
      </c>
      <c r="K457" s="82" t="n">
        <v>846897000</v>
      </c>
      <c r="L457" s="83" t="n">
        <v>6.32</v>
      </c>
      <c r="M457" s="82" t="n">
        <v>134.0119</v>
      </c>
      <c r="N457" s="82" t="n">
        <v>0</v>
      </c>
      <c r="O457" s="82" t="n">
        <v>11294.279</v>
      </c>
      <c r="P457" s="83" t="n">
        <v>0</v>
      </c>
      <c r="Q457" s="83" t="n">
        <v>1360</v>
      </c>
      <c r="R457" s="47" t="n">
        <v>7</v>
      </c>
      <c r="S457" s="66" t="s">
        <v>753</v>
      </c>
    </row>
    <row r="458" customFormat="false" ht="15" hidden="false" customHeight="false" outlineLevel="0" collapsed="false">
      <c r="A458" s="79" t="s">
        <v>245</v>
      </c>
      <c r="B458" s="79" t="s">
        <v>286</v>
      </c>
      <c r="C458" s="80" t="n">
        <v>2024</v>
      </c>
      <c r="D458" s="80" t="n">
        <v>3</v>
      </c>
      <c r="E458" s="81" t="n">
        <v>45565</v>
      </c>
      <c r="F458" s="79" t="s">
        <v>271</v>
      </c>
      <c r="G458" s="79" t="s">
        <v>272</v>
      </c>
      <c r="H458" s="79" t="s">
        <v>268</v>
      </c>
      <c r="I458" s="82" t="n">
        <v>6611.397</v>
      </c>
      <c r="J458" s="82" t="n">
        <v>2366.393</v>
      </c>
      <c r="K458" s="82" t="n">
        <v>1033650000</v>
      </c>
      <c r="L458" s="83" t="n">
        <v>7.71</v>
      </c>
      <c r="M458" s="82" t="n">
        <v>134.0119</v>
      </c>
      <c r="N458" s="82" t="n">
        <v>0</v>
      </c>
      <c r="O458" s="82" t="n">
        <v>10446.768</v>
      </c>
      <c r="P458" s="83" t="n">
        <v>0</v>
      </c>
      <c r="Q458" s="83" t="n">
        <v>1100</v>
      </c>
      <c r="R458" s="47" t="n">
        <v>8</v>
      </c>
      <c r="S458" s="66" t="s">
        <v>754</v>
      </c>
    </row>
    <row r="459" customFormat="false" ht="15" hidden="false" customHeight="false" outlineLevel="0" collapsed="false">
      <c r="A459" s="79" t="s">
        <v>245</v>
      </c>
      <c r="B459" s="79" t="s">
        <v>288</v>
      </c>
      <c r="C459" s="80" t="n">
        <v>2024</v>
      </c>
      <c r="D459" s="80" t="n">
        <v>2</v>
      </c>
      <c r="E459" s="81" t="n">
        <v>45473</v>
      </c>
      <c r="F459" s="79" t="s">
        <v>271</v>
      </c>
      <c r="G459" s="79" t="s">
        <v>272</v>
      </c>
      <c r="H459" s="79" t="s">
        <v>268</v>
      </c>
      <c r="I459" s="82" t="n">
        <v>6719.781</v>
      </c>
      <c r="J459" s="82" t="n">
        <v>2052.861</v>
      </c>
      <c r="K459" s="82" t="n">
        <v>907392000</v>
      </c>
      <c r="L459" s="83" t="n">
        <v>6.78</v>
      </c>
      <c r="M459" s="82" t="n">
        <v>134.0119</v>
      </c>
      <c r="N459" s="82" t="n">
        <v>0</v>
      </c>
      <c r="O459" s="82" t="n">
        <v>9396.728</v>
      </c>
      <c r="P459" s="83" t="n">
        <v>14</v>
      </c>
      <c r="Q459" s="83" t="n">
        <v>1605</v>
      </c>
      <c r="R459" s="47" t="n">
        <v>9</v>
      </c>
      <c r="S459" s="66" t="s">
        <v>755</v>
      </c>
    </row>
    <row r="460" customFormat="false" ht="15" hidden="false" customHeight="false" outlineLevel="0" collapsed="false">
      <c r="A460" s="79" t="s">
        <v>245</v>
      </c>
      <c r="B460" s="79" t="s">
        <v>290</v>
      </c>
      <c r="C460" s="80" t="n">
        <v>2024</v>
      </c>
      <c r="D460" s="80" t="n">
        <v>1</v>
      </c>
      <c r="E460" s="81" t="n">
        <v>45382</v>
      </c>
      <c r="F460" s="79" t="s">
        <v>271</v>
      </c>
      <c r="G460" s="79" t="s">
        <v>272</v>
      </c>
      <c r="H460" s="79" t="s">
        <v>268</v>
      </c>
      <c r="I460" s="82" t="n">
        <v>5690.371</v>
      </c>
      <c r="J460" s="82" t="n">
        <v>1688.808</v>
      </c>
      <c r="K460" s="82" t="n">
        <v>662649000</v>
      </c>
      <c r="L460" s="83" t="n">
        <v>4.94</v>
      </c>
      <c r="M460" s="82" t="n">
        <v>134.0119</v>
      </c>
      <c r="N460" s="82" t="n">
        <v>0</v>
      </c>
      <c r="O460" s="82" t="n">
        <v>10361.74</v>
      </c>
      <c r="P460" s="83" t="n">
        <v>0</v>
      </c>
      <c r="Q460" s="83" t="n">
        <v>1245</v>
      </c>
      <c r="R460" s="47" t="n">
        <v>10</v>
      </c>
      <c r="S460" s="66" t="s">
        <v>756</v>
      </c>
    </row>
    <row r="461" customFormat="false" ht="15" hidden="false" customHeight="false" outlineLevel="0" collapsed="false">
      <c r="A461" s="79" t="s">
        <v>245</v>
      </c>
      <c r="B461" s="79" t="s">
        <v>292</v>
      </c>
      <c r="C461" s="80" t="n">
        <v>2023</v>
      </c>
      <c r="D461" s="80" t="n">
        <v>4</v>
      </c>
      <c r="E461" s="81" t="n">
        <v>45291</v>
      </c>
      <c r="F461" s="79" t="s">
        <v>271</v>
      </c>
      <c r="G461" s="79" t="s">
        <v>272</v>
      </c>
      <c r="H461" s="79" t="s">
        <v>268</v>
      </c>
      <c r="I461" s="82" t="n">
        <v>6314.796</v>
      </c>
      <c r="J461" s="82" t="n">
        <v>1799.234</v>
      </c>
      <c r="K461" s="82" t="n">
        <v>712002000</v>
      </c>
      <c r="L461" s="83" t="n">
        <v>5.32</v>
      </c>
      <c r="M461" s="82" t="n">
        <v>134.0119</v>
      </c>
      <c r="N461" s="82" t="n">
        <v>0</v>
      </c>
      <c r="O461" s="82" t="n">
        <v>9681.559</v>
      </c>
      <c r="P461" s="83" t="n">
        <v>0</v>
      </c>
      <c r="Q461" s="83" t="n">
        <v>1740</v>
      </c>
      <c r="R461" s="47" t="n">
        <v>11</v>
      </c>
      <c r="S461" s="66" t="s">
        <v>757</v>
      </c>
    </row>
    <row r="462" customFormat="false" ht="15" hidden="false" customHeight="false" outlineLevel="0" collapsed="false">
      <c r="A462" s="79" t="s">
        <v>245</v>
      </c>
      <c r="B462" s="79" t="s">
        <v>294</v>
      </c>
      <c r="C462" s="80" t="n">
        <v>2023</v>
      </c>
      <c r="D462" s="80" t="n">
        <v>3</v>
      </c>
      <c r="E462" s="81" t="n">
        <v>45199</v>
      </c>
      <c r="F462" s="79" t="s">
        <v>271</v>
      </c>
      <c r="G462" s="79" t="s">
        <v>272</v>
      </c>
      <c r="H462" s="79" t="s">
        <v>268</v>
      </c>
      <c r="I462" s="82" t="n">
        <v>6810.04</v>
      </c>
      <c r="J462" s="82" t="n">
        <v>2173.636</v>
      </c>
      <c r="K462" s="82" t="n">
        <v>1023188000</v>
      </c>
      <c r="L462" s="83" t="n">
        <v>7.63</v>
      </c>
      <c r="M462" s="82" t="n">
        <v>134.0119</v>
      </c>
      <c r="N462" s="82" t="n">
        <v>0</v>
      </c>
      <c r="O462" s="82" t="n">
        <v>8987.503</v>
      </c>
      <c r="P462" s="83" t="n">
        <v>0</v>
      </c>
      <c r="Q462" s="83" t="n">
        <v>1365</v>
      </c>
      <c r="R462" s="47" t="n">
        <v>12</v>
      </c>
      <c r="S462" s="66" t="s">
        <v>758</v>
      </c>
    </row>
    <row r="463" customFormat="false" ht="15" hidden="false" customHeight="false" outlineLevel="0" collapsed="false">
      <c r="A463" s="79" t="s">
        <v>245</v>
      </c>
      <c r="B463" s="79" t="s">
        <v>296</v>
      </c>
      <c r="C463" s="80" t="n">
        <v>2023</v>
      </c>
      <c r="D463" s="80" t="n">
        <v>2</v>
      </c>
      <c r="E463" s="81" t="n">
        <v>45107</v>
      </c>
      <c r="F463" s="79" t="s">
        <v>271</v>
      </c>
      <c r="G463" s="79" t="s">
        <v>272</v>
      </c>
      <c r="H463" s="79" t="s">
        <v>268</v>
      </c>
      <c r="I463" s="82" t="n">
        <v>6587.039</v>
      </c>
      <c r="J463" s="82" t="n">
        <v>1919.185</v>
      </c>
      <c r="K463" s="82" t="n">
        <v>838524000</v>
      </c>
      <c r="L463" s="83" t="n">
        <v>6.26</v>
      </c>
      <c r="M463" s="82" t="n">
        <v>134.0119</v>
      </c>
      <c r="N463" s="82" t="n">
        <v>0</v>
      </c>
      <c r="O463" s="82" t="n">
        <v>7937.801</v>
      </c>
      <c r="P463" s="83" t="n">
        <v>14</v>
      </c>
      <c r="Q463" s="83" t="n">
        <v>1605</v>
      </c>
      <c r="R463" s="47" t="n">
        <v>13</v>
      </c>
      <c r="S463" s="66" t="s">
        <v>759</v>
      </c>
    </row>
    <row r="464" customFormat="false" ht="15" hidden="false" customHeight="false" outlineLevel="0" collapsed="false">
      <c r="A464" s="79" t="s">
        <v>245</v>
      </c>
      <c r="B464" s="79" t="s">
        <v>298</v>
      </c>
      <c r="C464" s="80" t="n">
        <v>2023</v>
      </c>
      <c r="D464" s="80" t="n">
        <v>1</v>
      </c>
      <c r="E464" s="81" t="n">
        <v>45016</v>
      </c>
      <c r="F464" s="79" t="s">
        <v>271</v>
      </c>
      <c r="G464" s="79" t="s">
        <v>272</v>
      </c>
      <c r="H464" s="79" t="s">
        <v>268</v>
      </c>
      <c r="I464" s="82" t="n">
        <v>6528.839</v>
      </c>
      <c r="J464" s="82" t="n">
        <v>2083.64</v>
      </c>
      <c r="K464" s="82" t="n">
        <v>934171000</v>
      </c>
      <c r="L464" s="83" t="n">
        <v>6.97</v>
      </c>
      <c r="M464" s="82" t="n">
        <v>134.0119</v>
      </c>
      <c r="N464" s="82" t="n">
        <v>0</v>
      </c>
      <c r="O464" s="82" t="n">
        <v>8995.451</v>
      </c>
      <c r="P464" s="83" t="n">
        <v>0</v>
      </c>
      <c r="Q464" s="83" t="n">
        <v>1085</v>
      </c>
      <c r="R464" s="47" t="n">
        <v>14</v>
      </c>
      <c r="S464" s="66" t="s">
        <v>760</v>
      </c>
    </row>
    <row r="465" customFormat="false" ht="15" hidden="false" customHeight="false" outlineLevel="0" collapsed="false">
      <c r="A465" s="79" t="s">
        <v>245</v>
      </c>
      <c r="B465" s="79" t="s">
        <v>300</v>
      </c>
      <c r="C465" s="80" t="n">
        <v>2022</v>
      </c>
      <c r="D465" s="80" t="n">
        <v>4</v>
      </c>
      <c r="E465" s="81" t="n">
        <v>44926</v>
      </c>
      <c r="F465" s="79" t="s">
        <v>271</v>
      </c>
      <c r="G465" s="79" t="s">
        <v>272</v>
      </c>
      <c r="H465" s="79" t="s">
        <v>268</v>
      </c>
      <c r="I465" s="82" t="n">
        <v>8082.882</v>
      </c>
      <c r="J465" s="82" t="n">
        <v>2699.919</v>
      </c>
      <c r="K465" s="82" t="n">
        <v>1346393000</v>
      </c>
      <c r="L465" s="83" t="n">
        <v>10.05</v>
      </c>
      <c r="M465" s="82" t="n">
        <v>134.0119</v>
      </c>
      <c r="N465" s="82" t="n">
        <v>0</v>
      </c>
      <c r="O465" s="82" t="n">
        <v>8061.198</v>
      </c>
      <c r="P465" s="83" t="n">
        <v>0</v>
      </c>
      <c r="Q465" s="83" t="n">
        <v>641</v>
      </c>
      <c r="R465" s="47" t="n">
        <v>15</v>
      </c>
      <c r="S465" s="66" t="s">
        <v>761</v>
      </c>
    </row>
    <row r="466" customFormat="false" ht="15" hidden="false" customHeight="false" outlineLevel="0" collapsed="false">
      <c r="A466" s="79" t="s">
        <v>245</v>
      </c>
      <c r="B466" s="79" t="s">
        <v>302</v>
      </c>
      <c r="C466" s="80" t="n">
        <v>2022</v>
      </c>
      <c r="D466" s="80" t="n">
        <v>3</v>
      </c>
      <c r="E466" s="81" t="n">
        <v>44834</v>
      </c>
      <c r="F466" s="79" t="s">
        <v>271</v>
      </c>
      <c r="G466" s="79" t="s">
        <v>272</v>
      </c>
      <c r="H466" s="79" t="s">
        <v>268</v>
      </c>
      <c r="I466" s="82" t="n">
        <v>6061.843</v>
      </c>
      <c r="J466" s="82" t="n">
        <v>2114.284</v>
      </c>
      <c r="K466" s="82" t="n">
        <v>1058199000</v>
      </c>
      <c r="L466" s="83" t="n">
        <v>7.9</v>
      </c>
      <c r="M466" s="82" t="n">
        <v>134.0119</v>
      </c>
      <c r="N466" s="82" t="n">
        <v>0</v>
      </c>
      <c r="O466" s="82" t="n">
        <v>6717.567</v>
      </c>
      <c r="P466" s="83" t="n">
        <v>0</v>
      </c>
      <c r="Q466" s="83" t="n">
        <v>589</v>
      </c>
      <c r="R466" s="47" t="n">
        <v>16</v>
      </c>
      <c r="S466" s="66" t="s">
        <v>762</v>
      </c>
    </row>
    <row r="467" customFormat="false" ht="15" hidden="false" customHeight="false" outlineLevel="0" collapsed="false">
      <c r="A467" s="79" t="s">
        <v>245</v>
      </c>
      <c r="B467" s="79" t="s">
        <v>304</v>
      </c>
      <c r="C467" s="80" t="n">
        <v>2022</v>
      </c>
      <c r="D467" s="80" t="n">
        <v>2</v>
      </c>
      <c r="E467" s="81" t="n">
        <v>44742</v>
      </c>
      <c r="F467" s="79" t="s">
        <v>271</v>
      </c>
      <c r="G467" s="79" t="s">
        <v>272</v>
      </c>
      <c r="H467" s="79" t="s">
        <v>268</v>
      </c>
      <c r="I467" s="82" t="n">
        <v>5380.703</v>
      </c>
      <c r="J467" s="82" t="n">
        <v>1892.932</v>
      </c>
      <c r="K467" s="82" t="n">
        <v>760492000</v>
      </c>
      <c r="L467" s="83" t="n">
        <v>5.67</v>
      </c>
      <c r="M467" s="82" t="n">
        <v>134.0119</v>
      </c>
      <c r="N467" s="82" t="n">
        <v>0</v>
      </c>
      <c r="O467" s="82" t="n">
        <v>5644.535</v>
      </c>
      <c r="P467" s="83" t="n">
        <v>7</v>
      </c>
      <c r="Q467" s="83" t="n">
        <v>481</v>
      </c>
      <c r="R467" s="47" t="n">
        <v>17</v>
      </c>
      <c r="S467" s="66" t="s">
        <v>763</v>
      </c>
    </row>
    <row r="468" customFormat="false" ht="15" hidden="false" customHeight="false" outlineLevel="0" collapsed="false">
      <c r="A468" s="79" t="s">
        <v>245</v>
      </c>
      <c r="B468" s="79" t="s">
        <v>306</v>
      </c>
      <c r="C468" s="80" t="n">
        <v>2022</v>
      </c>
      <c r="D468" s="80" t="n">
        <v>1</v>
      </c>
      <c r="E468" s="81" t="n">
        <v>44651</v>
      </c>
      <c r="F468" s="79" t="s">
        <v>271</v>
      </c>
      <c r="G468" s="79" t="s">
        <v>272</v>
      </c>
      <c r="H468" s="79" t="s">
        <v>268</v>
      </c>
      <c r="I468" s="82" t="n">
        <v>4514.243</v>
      </c>
      <c r="J468" s="82" t="n">
        <v>1627.85</v>
      </c>
      <c r="K468" s="82" t="n">
        <v>545358000</v>
      </c>
      <c r="L468" s="83" t="n">
        <v>4.07</v>
      </c>
      <c r="M468" s="82" t="n">
        <v>134.0119</v>
      </c>
      <c r="N468" s="82" t="n">
        <v>0</v>
      </c>
      <c r="O468" s="82" t="n">
        <v>5828.713</v>
      </c>
      <c r="P468" s="83" t="n">
        <v>0</v>
      </c>
      <c r="Q468" s="83" t="n">
        <v>505</v>
      </c>
      <c r="R468" s="47" t="n">
        <v>18</v>
      </c>
      <c r="S468" s="66" t="s">
        <v>764</v>
      </c>
    </row>
    <row r="469" customFormat="false" ht="15" hidden="false" customHeight="false" outlineLevel="0" collapsed="false">
      <c r="A469" s="79" t="s">
        <v>245</v>
      </c>
      <c r="B469" s="79" t="s">
        <v>308</v>
      </c>
      <c r="C469" s="80" t="n">
        <v>2021</v>
      </c>
      <c r="D469" s="80" t="n">
        <v>4</v>
      </c>
      <c r="E469" s="81" t="n">
        <v>44561</v>
      </c>
      <c r="F469" s="79" t="s">
        <v>271</v>
      </c>
      <c r="G469" s="79" t="s">
        <v>272</v>
      </c>
      <c r="H469" s="79" t="s">
        <v>268</v>
      </c>
      <c r="I469" s="82" t="n">
        <v>4910.035</v>
      </c>
      <c r="J469" s="82" t="n">
        <v>1615.317</v>
      </c>
      <c r="K469" s="82" t="n">
        <v>514974000</v>
      </c>
      <c r="L469" s="83" t="n">
        <v>3.85</v>
      </c>
      <c r="M469" s="82" t="n">
        <v>134.0119</v>
      </c>
      <c r="N469" s="82" t="n">
        <v>0</v>
      </c>
      <c r="O469" s="82" t="n">
        <v>5263.329</v>
      </c>
      <c r="P469" s="83" t="n">
        <v>0</v>
      </c>
      <c r="Q469" s="83" t="n">
        <v>586</v>
      </c>
      <c r="R469" s="47" t="n">
        <v>19</v>
      </c>
      <c r="S469" s="66" t="s">
        <v>765</v>
      </c>
    </row>
    <row r="470" customFormat="false" ht="15" hidden="false" customHeight="false" outlineLevel="0" collapsed="false">
      <c r="A470" s="79" t="s">
        <v>245</v>
      </c>
      <c r="B470" s="79" t="s">
        <v>310</v>
      </c>
      <c r="C470" s="80" t="n">
        <v>2021</v>
      </c>
      <c r="D470" s="80" t="n">
        <v>3</v>
      </c>
      <c r="E470" s="81" t="n">
        <v>44469</v>
      </c>
      <c r="F470" s="79" t="s">
        <v>271</v>
      </c>
      <c r="G470" s="79" t="s">
        <v>272</v>
      </c>
      <c r="H470" s="79" t="s">
        <v>268</v>
      </c>
      <c r="I470" s="82" t="n">
        <v>3584.852</v>
      </c>
      <c r="J470" s="82" t="n">
        <v>1421.021</v>
      </c>
      <c r="K470" s="82" t="n">
        <v>417584000</v>
      </c>
      <c r="L470" s="83" t="n">
        <v>3.11</v>
      </c>
      <c r="M470" s="82" t="n">
        <v>134.0119</v>
      </c>
      <c r="N470" s="82" t="n">
        <v>0</v>
      </c>
      <c r="O470" s="82" t="n">
        <v>4745.803</v>
      </c>
      <c r="P470" s="83" t="n">
        <v>0</v>
      </c>
      <c r="Q470" s="83" t="n">
        <v>501</v>
      </c>
      <c r="R470" s="47" t="n">
        <v>20</v>
      </c>
      <c r="S470" s="66" t="s">
        <v>766</v>
      </c>
    </row>
    <row r="471" customFormat="false" ht="15" hidden="false" customHeight="false" outlineLevel="0" collapsed="false">
      <c r="A471" s="79" t="s">
        <v>245</v>
      </c>
      <c r="B471" s="79" t="s">
        <v>312</v>
      </c>
      <c r="C471" s="80" t="n">
        <v>2021</v>
      </c>
      <c r="D471" s="80" t="n">
        <v>2</v>
      </c>
      <c r="E471" s="81" t="n">
        <v>44377</v>
      </c>
      <c r="F471" s="79" t="s">
        <v>271</v>
      </c>
      <c r="G471" s="79" t="s">
        <v>272</v>
      </c>
      <c r="H471" s="79" t="s">
        <v>268</v>
      </c>
      <c r="I471" s="82" t="n">
        <v>3300.837</v>
      </c>
      <c r="J471" s="82" t="n">
        <v>1050.776</v>
      </c>
      <c r="K471" s="82" t="n">
        <v>219702000</v>
      </c>
      <c r="L471" s="83" t="n">
        <v>1.64</v>
      </c>
      <c r="M471" s="82" t="n">
        <v>134.0119</v>
      </c>
      <c r="N471" s="82" t="n">
        <v>0</v>
      </c>
      <c r="O471" s="82" t="n">
        <v>4330.057</v>
      </c>
      <c r="P471" s="83" t="n">
        <v>5</v>
      </c>
      <c r="Q471" s="83" t="n">
        <v>413</v>
      </c>
      <c r="R471" s="47" t="n">
        <v>21</v>
      </c>
      <c r="S471" s="66" t="s">
        <v>767</v>
      </c>
    </row>
    <row r="472" customFormat="false" ht="15" hidden="false" customHeight="false" outlineLevel="0" collapsed="false">
      <c r="A472" s="79" t="s">
        <v>245</v>
      </c>
      <c r="B472" s="79" t="s">
        <v>314</v>
      </c>
      <c r="C472" s="80" t="n">
        <v>2021</v>
      </c>
      <c r="D472" s="80" t="n">
        <v>1</v>
      </c>
      <c r="E472" s="81" t="n">
        <v>44286</v>
      </c>
      <c r="F472" s="79" t="s">
        <v>271</v>
      </c>
      <c r="G472" s="79" t="s">
        <v>272</v>
      </c>
      <c r="H472" s="79" t="s">
        <v>268</v>
      </c>
      <c r="I472" s="82" t="n">
        <v>3312.191</v>
      </c>
      <c r="J472" s="82" t="n">
        <v>1142.84</v>
      </c>
      <c r="K472" s="82" t="n">
        <v>307889000</v>
      </c>
      <c r="L472" s="83" t="n">
        <v>2.3</v>
      </c>
      <c r="M472" s="82" t="n">
        <v>134.0119</v>
      </c>
      <c r="N472" s="82" t="n">
        <v>0</v>
      </c>
      <c r="O472" s="82" t="n">
        <v>4788.086</v>
      </c>
      <c r="P472" s="83" t="n">
        <v>0</v>
      </c>
      <c r="Q472" s="83" t="n">
        <v>398.5</v>
      </c>
      <c r="R472" s="47" t="n">
        <v>22</v>
      </c>
      <c r="S472" s="66" t="s">
        <v>768</v>
      </c>
    </row>
    <row r="473" customFormat="false" ht="15" hidden="false" customHeight="false" outlineLevel="0" collapsed="false">
      <c r="A473" s="79" t="s">
        <v>245</v>
      </c>
      <c r="B473" s="79" t="s">
        <v>316</v>
      </c>
      <c r="C473" s="80" t="n">
        <v>2020</v>
      </c>
      <c r="D473" s="80" t="n">
        <v>4</v>
      </c>
      <c r="E473" s="81" t="n">
        <v>44196</v>
      </c>
      <c r="F473" s="79" t="s">
        <v>271</v>
      </c>
      <c r="G473" s="79" t="s">
        <v>272</v>
      </c>
      <c r="H473" s="79" t="s">
        <v>268</v>
      </c>
      <c r="I473" s="82" t="n">
        <v>3944.254</v>
      </c>
      <c r="J473" s="82" t="n">
        <v>1658.04</v>
      </c>
      <c r="K473" s="82" t="n">
        <v>608051000</v>
      </c>
      <c r="L473" s="83" t="n">
        <v>4.53</v>
      </c>
      <c r="M473" s="82" t="n">
        <v>134.0119</v>
      </c>
      <c r="N473" s="82" t="n">
        <v>0</v>
      </c>
      <c r="O473" s="82" t="n">
        <v>4486.984</v>
      </c>
      <c r="P473" s="83" t="n">
        <v>0</v>
      </c>
      <c r="Q473" s="83" t="n">
        <v>339</v>
      </c>
      <c r="R473" s="47" t="n">
        <v>23</v>
      </c>
      <c r="S473" s="66" t="s">
        <v>769</v>
      </c>
    </row>
    <row r="474" customFormat="false" ht="15" hidden="false" customHeight="false" outlineLevel="0" collapsed="false">
      <c r="A474" s="79" t="s">
        <v>245</v>
      </c>
      <c r="B474" s="79" t="s">
        <v>318</v>
      </c>
      <c r="C474" s="80" t="n">
        <v>2020</v>
      </c>
      <c r="D474" s="80" t="n">
        <v>3</v>
      </c>
      <c r="E474" s="81" t="n">
        <v>44104</v>
      </c>
      <c r="F474" s="79" t="s">
        <v>271</v>
      </c>
      <c r="G474" s="79" t="s">
        <v>272</v>
      </c>
      <c r="H474" s="79" t="s">
        <v>268</v>
      </c>
      <c r="I474" s="82" t="n">
        <v>3528.522</v>
      </c>
      <c r="J474" s="82" t="n">
        <v>874.848</v>
      </c>
      <c r="K474" s="82" t="n">
        <v>106453000</v>
      </c>
      <c r="L474" s="83" t="n">
        <v>0.8</v>
      </c>
      <c r="M474" s="82" t="n">
        <v>134.0119</v>
      </c>
      <c r="N474" s="82" t="n">
        <v>0</v>
      </c>
      <c r="O474" s="82" t="n">
        <v>3879.052</v>
      </c>
      <c r="P474" s="83"/>
      <c r="Q474" s="83" t="n">
        <v>260</v>
      </c>
      <c r="R474" s="47" t="n">
        <v>24</v>
      </c>
      <c r="S474" s="66" t="s">
        <v>770</v>
      </c>
    </row>
    <row r="475" customFormat="false" ht="15" hidden="false" customHeight="false" outlineLevel="0" collapsed="false">
      <c r="A475" s="79" t="s">
        <v>241</v>
      </c>
      <c r="B475" s="79" t="s">
        <v>270</v>
      </c>
      <c r="C475" s="80" t="n">
        <v>2026</v>
      </c>
      <c r="D475" s="80" t="n">
        <v>2</v>
      </c>
      <c r="E475" s="81" t="n">
        <v>46203</v>
      </c>
      <c r="F475" s="79" t="s">
        <v>271</v>
      </c>
      <c r="G475" s="79" t="s">
        <v>272</v>
      </c>
      <c r="H475" s="79" t="s">
        <v>268</v>
      </c>
      <c r="I475" s="82" t="n">
        <v>2976.641</v>
      </c>
      <c r="J475" s="82" t="n">
        <v>963.58</v>
      </c>
      <c r="K475" s="82" t="n">
        <v>305172000</v>
      </c>
      <c r="L475" s="83" t="n">
        <v>2.09</v>
      </c>
      <c r="M475" s="82" t="n">
        <v>145.6814</v>
      </c>
      <c r="N475" s="82" t="n">
        <v>0</v>
      </c>
      <c r="O475" s="82" t="n">
        <v>5584.813</v>
      </c>
      <c r="P475" s="83" t="n">
        <v>1</v>
      </c>
      <c r="Q475" s="83" t="n">
        <v>532</v>
      </c>
      <c r="R475" s="47" t="n">
        <v>1</v>
      </c>
      <c r="S475" s="66" t="s">
        <v>771</v>
      </c>
    </row>
    <row r="476" customFormat="false" ht="15" hidden="false" customHeight="false" outlineLevel="0" collapsed="false">
      <c r="A476" s="79" t="s">
        <v>241</v>
      </c>
      <c r="B476" s="79" t="s">
        <v>274</v>
      </c>
      <c r="C476" s="80" t="n">
        <v>2026</v>
      </c>
      <c r="D476" s="80" t="n">
        <v>1</v>
      </c>
      <c r="E476" s="81" t="n">
        <v>46112</v>
      </c>
      <c r="F476" s="79" t="s">
        <v>271</v>
      </c>
      <c r="G476" s="79" t="s">
        <v>272</v>
      </c>
      <c r="H476" s="79" t="s">
        <v>268</v>
      </c>
      <c r="I476" s="82" t="n">
        <v>2086.881</v>
      </c>
      <c r="J476" s="82" t="n">
        <v>517.637</v>
      </c>
      <c r="K476" s="82" t="n">
        <v>100381000</v>
      </c>
      <c r="L476" s="83" t="n">
        <v>0.69</v>
      </c>
      <c r="M476" s="82" t="n">
        <v>145.6814</v>
      </c>
      <c r="N476" s="82" t="n">
        <v>0</v>
      </c>
      <c r="O476" s="82" t="n">
        <v>5215.702</v>
      </c>
      <c r="P476" s="83" t="n">
        <v>0</v>
      </c>
      <c r="Q476" s="83" t="n">
        <v>242</v>
      </c>
      <c r="R476" s="47" t="n">
        <v>2</v>
      </c>
      <c r="S476" s="66" t="s">
        <v>772</v>
      </c>
    </row>
    <row r="477" customFormat="false" ht="15" hidden="false" customHeight="false" outlineLevel="0" collapsed="false">
      <c r="A477" s="79" t="s">
        <v>241</v>
      </c>
      <c r="B477" s="79" t="s">
        <v>276</v>
      </c>
      <c r="C477" s="80" t="n">
        <v>2025</v>
      </c>
      <c r="D477" s="80" t="n">
        <v>4</v>
      </c>
      <c r="E477" s="81" t="n">
        <v>46022</v>
      </c>
      <c r="F477" s="79" t="s">
        <v>271</v>
      </c>
      <c r="G477" s="79" t="s">
        <v>272</v>
      </c>
      <c r="H477" s="79" t="s">
        <v>268</v>
      </c>
      <c r="I477" s="82" t="n">
        <v>2121.948</v>
      </c>
      <c r="J477" s="82" t="n">
        <v>566.005</v>
      </c>
      <c r="K477" s="82" t="n">
        <v>223166000</v>
      </c>
      <c r="L477" s="83" t="n">
        <v>1.53</v>
      </c>
      <c r="M477" s="82" t="n">
        <v>145.6814</v>
      </c>
      <c r="N477" s="82" t="n">
        <v>0</v>
      </c>
      <c r="O477" s="82" t="n">
        <v>5063.491</v>
      </c>
      <c r="P477" s="83" t="n">
        <v>0</v>
      </c>
      <c r="Q477" s="83" t="n">
        <v>270</v>
      </c>
      <c r="R477" s="47" t="n">
        <v>3</v>
      </c>
      <c r="S477" s="66" t="s">
        <v>773</v>
      </c>
    </row>
    <row r="478" customFormat="false" ht="15" hidden="false" customHeight="false" outlineLevel="0" collapsed="false">
      <c r="A478" s="79" t="s">
        <v>241</v>
      </c>
      <c r="B478" s="79" t="s">
        <v>278</v>
      </c>
      <c r="C478" s="80" t="n">
        <v>2025</v>
      </c>
      <c r="D478" s="80" t="n">
        <v>3</v>
      </c>
      <c r="E478" s="81" t="n">
        <v>45930</v>
      </c>
      <c r="F478" s="79" t="s">
        <v>271</v>
      </c>
      <c r="G478" s="79" t="s">
        <v>272</v>
      </c>
      <c r="H478" s="79" t="s">
        <v>268</v>
      </c>
      <c r="I478" s="82" t="n">
        <v>1855.743</v>
      </c>
      <c r="J478" s="82" t="n">
        <v>422.724</v>
      </c>
      <c r="K478" s="82" t="n">
        <v>88851000</v>
      </c>
      <c r="L478" s="83" t="n">
        <v>0.61</v>
      </c>
      <c r="M478" s="82" t="n">
        <v>145.6814</v>
      </c>
      <c r="N478" s="82" t="n">
        <v>0</v>
      </c>
      <c r="O478" s="82" t="n">
        <v>4786.716</v>
      </c>
      <c r="P478" s="83" t="n">
        <v>0</v>
      </c>
      <c r="Q478" s="83" t="n">
        <v>272</v>
      </c>
      <c r="R478" s="47" t="n">
        <v>4</v>
      </c>
      <c r="S478" s="66" t="s">
        <v>774</v>
      </c>
    </row>
    <row r="479" customFormat="false" ht="15" hidden="false" customHeight="false" outlineLevel="0" collapsed="false">
      <c r="A479" s="79" t="s">
        <v>241</v>
      </c>
      <c r="B479" s="79" t="s">
        <v>280</v>
      </c>
      <c r="C479" s="80" t="n">
        <v>2025</v>
      </c>
      <c r="D479" s="80" t="n">
        <v>2</v>
      </c>
      <c r="E479" s="81" t="n">
        <v>45838</v>
      </c>
      <c r="F479" s="79" t="s">
        <v>271</v>
      </c>
      <c r="G479" s="79" t="s">
        <v>272</v>
      </c>
      <c r="H479" s="79" t="s">
        <v>268</v>
      </c>
      <c r="I479" s="82" t="n">
        <v>1848.901</v>
      </c>
      <c r="J479" s="82" t="n">
        <v>569.571</v>
      </c>
      <c r="K479" s="82" t="n">
        <v>77183000</v>
      </c>
      <c r="L479" s="83" t="n">
        <v>0.53</v>
      </c>
      <c r="M479" s="82" t="n">
        <v>145.6814</v>
      </c>
      <c r="N479" s="82" t="n">
        <v>0</v>
      </c>
      <c r="O479" s="82" t="n">
        <v>4641.311</v>
      </c>
      <c r="P479" s="83" t="n">
        <v>0.5</v>
      </c>
      <c r="Q479" s="83" t="n">
        <v>209</v>
      </c>
      <c r="R479" s="47" t="n">
        <v>5</v>
      </c>
      <c r="S479" s="66" t="s">
        <v>775</v>
      </c>
    </row>
    <row r="480" customFormat="false" ht="15" hidden="false" customHeight="false" outlineLevel="0" collapsed="false">
      <c r="A480" s="79" t="s">
        <v>241</v>
      </c>
      <c r="B480" s="79" t="s">
        <v>282</v>
      </c>
      <c r="C480" s="80" t="n">
        <v>2025</v>
      </c>
      <c r="D480" s="80" t="n">
        <v>1</v>
      </c>
      <c r="E480" s="81" t="n">
        <v>45747</v>
      </c>
      <c r="F480" s="79" t="s">
        <v>271</v>
      </c>
      <c r="G480" s="79" t="s">
        <v>272</v>
      </c>
      <c r="H480" s="79" t="s">
        <v>268</v>
      </c>
      <c r="I480" s="82" t="n">
        <v>2758.002</v>
      </c>
      <c r="J480" s="82" t="n">
        <v>997.281</v>
      </c>
      <c r="K480" s="82" t="n">
        <v>340603000</v>
      </c>
      <c r="L480" s="83" t="n">
        <v>2.34</v>
      </c>
      <c r="M480" s="82" t="n">
        <v>145.6814</v>
      </c>
      <c r="N480" s="82" t="n">
        <v>0</v>
      </c>
      <c r="O480" s="82" t="n">
        <v>4793.618</v>
      </c>
      <c r="P480" s="83" t="n">
        <v>0</v>
      </c>
      <c r="Q480" s="83" t="n">
        <v>235</v>
      </c>
      <c r="R480" s="47" t="n">
        <v>6</v>
      </c>
      <c r="S480" s="66" t="s">
        <v>776</v>
      </c>
    </row>
    <row r="481" customFormat="false" ht="15" hidden="false" customHeight="false" outlineLevel="0" collapsed="false">
      <c r="A481" s="79" t="s">
        <v>241</v>
      </c>
      <c r="B481" s="79" t="s">
        <v>284</v>
      </c>
      <c r="C481" s="80" t="n">
        <v>2024</v>
      </c>
      <c r="D481" s="80" t="n">
        <v>4</v>
      </c>
      <c r="E481" s="81" t="n">
        <v>45657</v>
      </c>
      <c r="F481" s="79" t="s">
        <v>271</v>
      </c>
      <c r="G481" s="79" t="s">
        <v>272</v>
      </c>
      <c r="H481" s="79" t="s">
        <v>268</v>
      </c>
      <c r="I481" s="82" t="n">
        <v>2476.55</v>
      </c>
      <c r="J481" s="82" t="n">
        <v>830.41</v>
      </c>
      <c r="K481" s="82" t="n">
        <v>291954000</v>
      </c>
      <c r="L481" s="83" t="n">
        <v>2</v>
      </c>
      <c r="M481" s="82" t="n">
        <v>145.6814</v>
      </c>
      <c r="N481" s="82" t="n">
        <v>0</v>
      </c>
      <c r="O481" s="82" t="n">
        <v>4428.767</v>
      </c>
      <c r="P481" s="83" t="n">
        <v>0</v>
      </c>
      <c r="Q481" s="83" t="n">
        <v>287</v>
      </c>
      <c r="R481" s="47" t="n">
        <v>7</v>
      </c>
      <c r="S481" s="66" t="s">
        <v>777</v>
      </c>
    </row>
    <row r="482" customFormat="false" ht="15" hidden="false" customHeight="false" outlineLevel="0" collapsed="false">
      <c r="A482" s="79" t="s">
        <v>241</v>
      </c>
      <c r="B482" s="79" t="s">
        <v>286</v>
      </c>
      <c r="C482" s="80" t="n">
        <v>2024</v>
      </c>
      <c r="D482" s="80" t="n">
        <v>3</v>
      </c>
      <c r="E482" s="81" t="n">
        <v>45565</v>
      </c>
      <c r="F482" s="79" t="s">
        <v>271</v>
      </c>
      <c r="G482" s="79" t="s">
        <v>272</v>
      </c>
      <c r="H482" s="79" t="s">
        <v>268</v>
      </c>
      <c r="I482" s="82" t="n">
        <v>2100.77</v>
      </c>
      <c r="J482" s="82" t="n">
        <v>578.939</v>
      </c>
      <c r="K482" s="82" t="n">
        <v>151012000</v>
      </c>
      <c r="L482" s="83" t="n">
        <v>1.04</v>
      </c>
      <c r="M482" s="82" t="n">
        <v>145.6814</v>
      </c>
      <c r="N482" s="82" t="n">
        <v>0</v>
      </c>
      <c r="O482" s="82" t="n">
        <v>4121</v>
      </c>
      <c r="P482" s="83" t="n">
        <v>0</v>
      </c>
      <c r="Q482" s="83" t="n">
        <v>185.5</v>
      </c>
      <c r="R482" s="47" t="n">
        <v>8</v>
      </c>
      <c r="S482" s="66" t="s">
        <v>778</v>
      </c>
    </row>
    <row r="483" customFormat="false" ht="15" hidden="false" customHeight="false" outlineLevel="0" collapsed="false">
      <c r="A483" s="79" t="s">
        <v>241</v>
      </c>
      <c r="B483" s="79" t="s">
        <v>288</v>
      </c>
      <c r="C483" s="80" t="n">
        <v>2024</v>
      </c>
      <c r="D483" s="80" t="n">
        <v>2</v>
      </c>
      <c r="E483" s="81" t="n">
        <v>45473</v>
      </c>
      <c r="F483" s="79" t="s">
        <v>271</v>
      </c>
      <c r="G483" s="79" t="s">
        <v>272</v>
      </c>
      <c r="H483" s="79" t="s">
        <v>268</v>
      </c>
      <c r="I483" s="82" t="n">
        <v>1704.853</v>
      </c>
      <c r="J483" s="82" t="n">
        <v>394.675</v>
      </c>
      <c r="K483" s="82" t="n">
        <v>69023000</v>
      </c>
      <c r="L483" s="83" t="n">
        <v>0.47</v>
      </c>
      <c r="M483" s="82" t="n">
        <v>145.6814</v>
      </c>
      <c r="N483" s="82" t="n">
        <v>0</v>
      </c>
      <c r="O483" s="82" t="n">
        <v>3978.855</v>
      </c>
      <c r="P483" s="83" t="n">
        <v>0</v>
      </c>
      <c r="Q483" s="83" t="n">
        <v>123.5</v>
      </c>
      <c r="R483" s="47" t="n">
        <v>9</v>
      </c>
      <c r="S483" s="66" t="s">
        <v>779</v>
      </c>
    </row>
    <row r="484" customFormat="false" ht="15" hidden="false" customHeight="false" outlineLevel="0" collapsed="false">
      <c r="A484" s="79" t="s">
        <v>241</v>
      </c>
      <c r="B484" s="79" t="s">
        <v>290</v>
      </c>
      <c r="C484" s="80" t="n">
        <v>2024</v>
      </c>
      <c r="D484" s="80" t="n">
        <v>1</v>
      </c>
      <c r="E484" s="81" t="n">
        <v>45382</v>
      </c>
      <c r="F484" s="79" t="s">
        <v>271</v>
      </c>
      <c r="G484" s="79" t="s">
        <v>272</v>
      </c>
      <c r="H484" s="79" t="s">
        <v>268</v>
      </c>
      <c r="I484" s="82" t="n">
        <v>1285.488</v>
      </c>
      <c r="J484" s="82" t="n">
        <v>257.092</v>
      </c>
      <c r="K484" s="82" t="n">
        <v>44437000</v>
      </c>
      <c r="L484" s="83" t="n">
        <v>0.31</v>
      </c>
      <c r="M484" s="82" t="n">
        <v>145.6814</v>
      </c>
      <c r="N484" s="82" t="n">
        <v>0</v>
      </c>
      <c r="O484" s="82" t="n">
        <v>3889.504</v>
      </c>
      <c r="P484" s="83" t="n">
        <v>0</v>
      </c>
      <c r="Q484" s="83" t="n">
        <v>74</v>
      </c>
      <c r="R484" s="47" t="n">
        <v>10</v>
      </c>
      <c r="S484" s="66" t="s">
        <v>780</v>
      </c>
    </row>
    <row r="485" customFormat="false" ht="15" hidden="false" customHeight="false" outlineLevel="0" collapsed="false">
      <c r="A485" s="79" t="s">
        <v>241</v>
      </c>
      <c r="B485" s="79" t="s">
        <v>292</v>
      </c>
      <c r="C485" s="80" t="n">
        <v>2023</v>
      </c>
      <c r="D485" s="80" t="n">
        <v>4</v>
      </c>
      <c r="E485" s="81" t="n">
        <v>45291</v>
      </c>
      <c r="F485" s="79" t="s">
        <v>271</v>
      </c>
      <c r="G485" s="79" t="s">
        <v>272</v>
      </c>
      <c r="H485" s="79" t="s">
        <v>268</v>
      </c>
      <c r="I485" s="82" t="n">
        <v>1438.314</v>
      </c>
      <c r="J485" s="82" t="n">
        <v>220.807</v>
      </c>
      <c r="K485" s="82" t="n">
        <v>-1732000</v>
      </c>
      <c r="L485" s="83" t="n">
        <v>-0.01</v>
      </c>
      <c r="M485" s="82" t="n">
        <v>145.6814</v>
      </c>
      <c r="N485" s="82" t="n">
        <v>0</v>
      </c>
      <c r="O485" s="82" t="n">
        <v>3804.752</v>
      </c>
      <c r="P485" s="83" t="n">
        <v>0</v>
      </c>
      <c r="Q485" s="83" t="n">
        <v>62.3</v>
      </c>
      <c r="R485" s="47" t="n">
        <v>11</v>
      </c>
      <c r="S485" s="66" t="s">
        <v>781</v>
      </c>
    </row>
    <row r="486" customFormat="false" ht="15" hidden="false" customHeight="false" outlineLevel="0" collapsed="false">
      <c r="A486" s="79" t="s">
        <v>241</v>
      </c>
      <c r="B486" s="79" t="s">
        <v>294</v>
      </c>
      <c r="C486" s="80" t="n">
        <v>2023</v>
      </c>
      <c r="D486" s="80" t="n">
        <v>3</v>
      </c>
      <c r="E486" s="81" t="n">
        <v>45199</v>
      </c>
      <c r="F486" s="79" t="s">
        <v>271</v>
      </c>
      <c r="G486" s="79" t="s">
        <v>272</v>
      </c>
      <c r="H486" s="79" t="s">
        <v>268</v>
      </c>
      <c r="I486" s="82" t="n">
        <v>1406.587</v>
      </c>
      <c r="J486" s="82" t="n">
        <v>181.788</v>
      </c>
      <c r="K486" s="82" t="n">
        <v>-21099000</v>
      </c>
      <c r="L486" s="83" t="n">
        <v>-0.14</v>
      </c>
      <c r="M486" s="82" t="n">
        <v>145.6814</v>
      </c>
      <c r="N486" s="82" t="n">
        <v>0</v>
      </c>
      <c r="O486" s="82" t="n">
        <v>3846.063</v>
      </c>
      <c r="P486" s="83" t="n">
        <v>0</v>
      </c>
      <c r="Q486" s="83" t="n">
        <v>59</v>
      </c>
      <c r="R486" s="47" t="n">
        <v>12</v>
      </c>
      <c r="S486" s="66" t="s">
        <v>782</v>
      </c>
    </row>
    <row r="487" customFormat="false" ht="15" hidden="false" customHeight="false" outlineLevel="0" collapsed="false">
      <c r="A487" s="79" t="s">
        <v>241</v>
      </c>
      <c r="B487" s="79" t="s">
        <v>296</v>
      </c>
      <c r="C487" s="80" t="n">
        <v>2023</v>
      </c>
      <c r="D487" s="80" t="n">
        <v>2</v>
      </c>
      <c r="E487" s="81" t="n">
        <v>45107</v>
      </c>
      <c r="F487" s="79" t="s">
        <v>271</v>
      </c>
      <c r="G487" s="79" t="s">
        <v>272</v>
      </c>
      <c r="H487" s="79" t="s">
        <v>268</v>
      </c>
      <c r="I487" s="82" t="n">
        <v>1291.364</v>
      </c>
      <c r="J487" s="82" t="n">
        <v>185.8</v>
      </c>
      <c r="K487" s="82" t="n">
        <v>-13234000</v>
      </c>
      <c r="L487" s="83" t="n">
        <v>-0.09</v>
      </c>
      <c r="M487" s="82" t="n">
        <v>145.6814</v>
      </c>
      <c r="N487" s="82" t="n">
        <v>0</v>
      </c>
      <c r="O487" s="82" t="n">
        <v>3820.316</v>
      </c>
      <c r="P487" s="83" t="n">
        <v>0.5</v>
      </c>
      <c r="Q487" s="83" t="n">
        <v>39.4</v>
      </c>
      <c r="R487" s="47" t="n">
        <v>13</v>
      </c>
      <c r="S487" s="66" t="s">
        <v>783</v>
      </c>
    </row>
    <row r="488" customFormat="false" ht="15" hidden="false" customHeight="false" outlineLevel="0" collapsed="false">
      <c r="A488" s="79" t="s">
        <v>241</v>
      </c>
      <c r="B488" s="79" t="s">
        <v>298</v>
      </c>
      <c r="C488" s="80" t="n">
        <v>2023</v>
      </c>
      <c r="D488" s="80" t="n">
        <v>1</v>
      </c>
      <c r="E488" s="81" t="n">
        <v>45016</v>
      </c>
      <c r="F488" s="79" t="s">
        <v>271</v>
      </c>
      <c r="G488" s="79" t="s">
        <v>272</v>
      </c>
      <c r="H488" s="79" t="s">
        <v>268</v>
      </c>
      <c r="I488" s="82" t="n">
        <v>1262.932</v>
      </c>
      <c r="J488" s="82" t="n">
        <v>216.908</v>
      </c>
      <c r="K488" s="82" t="n">
        <v>-40091000</v>
      </c>
      <c r="L488" s="83" t="n">
        <v>-0.28</v>
      </c>
      <c r="M488" s="82" t="n">
        <v>145.6814</v>
      </c>
      <c r="N488" s="82" t="n">
        <v>0</v>
      </c>
      <c r="O488" s="82" t="n">
        <v>3928.184</v>
      </c>
      <c r="P488" s="83" t="n">
        <v>0</v>
      </c>
      <c r="Q488" s="83" t="n">
        <v>40.15</v>
      </c>
      <c r="R488" s="47" t="n">
        <v>14</v>
      </c>
      <c r="S488" s="66" t="s">
        <v>784</v>
      </c>
    </row>
    <row r="489" customFormat="false" ht="15" hidden="false" customHeight="false" outlineLevel="0" collapsed="false">
      <c r="A489" s="79" t="s">
        <v>241</v>
      </c>
      <c r="B489" s="79" t="s">
        <v>300</v>
      </c>
      <c r="C489" s="80" t="n">
        <v>2022</v>
      </c>
      <c r="D489" s="80" t="n">
        <v>4</v>
      </c>
      <c r="E489" s="81" t="n">
        <v>44926</v>
      </c>
      <c r="F489" s="79" t="s">
        <v>271</v>
      </c>
      <c r="G489" s="79" t="s">
        <v>272</v>
      </c>
      <c r="H489" s="79" t="s">
        <v>268</v>
      </c>
      <c r="I489" s="82" t="n">
        <v>1518.381</v>
      </c>
      <c r="J489" s="82" t="n">
        <v>260.205</v>
      </c>
      <c r="K489" s="82" t="n">
        <v>-32346000</v>
      </c>
      <c r="L489" s="83" t="n">
        <v>-0.22</v>
      </c>
      <c r="M489" s="82" t="n">
        <v>145.6814</v>
      </c>
      <c r="N489" s="82" t="n">
        <v>0</v>
      </c>
      <c r="O489" s="82" t="n">
        <v>3969.678</v>
      </c>
      <c r="P489" s="83" t="n">
        <v>0</v>
      </c>
      <c r="Q489" s="83" t="n">
        <v>36.75</v>
      </c>
      <c r="R489" s="47" t="n">
        <v>15</v>
      </c>
      <c r="S489" s="66" t="s">
        <v>785</v>
      </c>
    </row>
    <row r="490" customFormat="false" ht="15" hidden="false" customHeight="false" outlineLevel="0" collapsed="false">
      <c r="A490" s="79" t="s">
        <v>241</v>
      </c>
      <c r="B490" s="79" t="s">
        <v>302</v>
      </c>
      <c r="C490" s="80" t="n">
        <v>2022</v>
      </c>
      <c r="D490" s="80" t="n">
        <v>3</v>
      </c>
      <c r="E490" s="81" t="n">
        <v>44834</v>
      </c>
      <c r="F490" s="79" t="s">
        <v>271</v>
      </c>
      <c r="G490" s="79" t="s">
        <v>272</v>
      </c>
      <c r="H490" s="79" t="s">
        <v>268</v>
      </c>
      <c r="I490" s="82" t="n">
        <v>1782.283</v>
      </c>
      <c r="J490" s="82" t="n">
        <v>387.655</v>
      </c>
      <c r="K490" s="82" t="n">
        <v>87624000</v>
      </c>
      <c r="L490" s="83" t="n">
        <v>0.6</v>
      </c>
      <c r="M490" s="82" t="n">
        <v>145.6814</v>
      </c>
      <c r="N490" s="82" t="n">
        <v>0</v>
      </c>
      <c r="O490" s="82" t="n">
        <v>4012.785</v>
      </c>
      <c r="P490" s="83" t="n">
        <v>1.8</v>
      </c>
      <c r="Q490" s="83" t="n">
        <v>40.6</v>
      </c>
      <c r="R490" s="47" t="n">
        <v>16</v>
      </c>
      <c r="S490" s="66" t="s">
        <v>786</v>
      </c>
    </row>
    <row r="491" customFormat="false" ht="15" hidden="false" customHeight="false" outlineLevel="0" collapsed="false">
      <c r="A491" s="79" t="s">
        <v>241</v>
      </c>
      <c r="B491" s="79" t="s">
        <v>304</v>
      </c>
      <c r="C491" s="80" t="n">
        <v>2022</v>
      </c>
      <c r="D491" s="80" t="n">
        <v>2</v>
      </c>
      <c r="E491" s="81" t="n">
        <v>44742</v>
      </c>
      <c r="F491" s="79" t="s">
        <v>271</v>
      </c>
      <c r="G491" s="79" t="s">
        <v>272</v>
      </c>
      <c r="H491" s="79" t="s">
        <v>268</v>
      </c>
      <c r="I491" s="82" t="n">
        <v>1809.808</v>
      </c>
      <c r="J491" s="82" t="n">
        <v>307.11</v>
      </c>
      <c r="K491" s="82" t="n">
        <v>74550000</v>
      </c>
      <c r="L491" s="83" t="n">
        <v>0.51</v>
      </c>
      <c r="M491" s="82" t="n">
        <v>145.6814</v>
      </c>
      <c r="N491" s="82" t="n">
        <v>0</v>
      </c>
      <c r="O491" s="82" t="n">
        <v>3913.111</v>
      </c>
      <c r="P491" s="83" t="n">
        <v>0</v>
      </c>
      <c r="Q491" s="83" t="n">
        <v>41</v>
      </c>
      <c r="R491" s="47" t="n">
        <v>17</v>
      </c>
      <c r="S491" s="66" t="s">
        <v>787</v>
      </c>
    </row>
    <row r="492" customFormat="false" ht="15" hidden="false" customHeight="false" outlineLevel="0" collapsed="false">
      <c r="A492" s="79" t="s">
        <v>241</v>
      </c>
      <c r="B492" s="79" t="s">
        <v>306</v>
      </c>
      <c r="C492" s="80" t="n">
        <v>2022</v>
      </c>
      <c r="D492" s="80" t="n">
        <v>1</v>
      </c>
      <c r="E492" s="81" t="n">
        <v>44651</v>
      </c>
      <c r="F492" s="79" t="s">
        <v>271</v>
      </c>
      <c r="G492" s="79" t="s">
        <v>272</v>
      </c>
      <c r="H492" s="79" t="s">
        <v>268</v>
      </c>
      <c r="I492" s="82" t="n">
        <v>1665.309</v>
      </c>
      <c r="J492" s="82" t="n">
        <v>337.019</v>
      </c>
      <c r="K492" s="82" t="n">
        <v>61996000</v>
      </c>
      <c r="L492" s="83" t="n">
        <v>0.43</v>
      </c>
      <c r="M492" s="82" t="n">
        <v>145.6814</v>
      </c>
      <c r="N492" s="82" t="n">
        <v>0</v>
      </c>
      <c r="O492" s="82" t="n">
        <v>4127.605</v>
      </c>
      <c r="P492" s="83" t="n">
        <v>0</v>
      </c>
      <c r="Q492" s="83" t="n">
        <v>49.35</v>
      </c>
      <c r="R492" s="47" t="n">
        <v>18</v>
      </c>
      <c r="S492" s="66" t="s">
        <v>788</v>
      </c>
    </row>
    <row r="493" customFormat="false" ht="15" hidden="false" customHeight="false" outlineLevel="0" collapsed="false">
      <c r="A493" s="79" t="s">
        <v>241</v>
      </c>
      <c r="B493" s="79" t="s">
        <v>308</v>
      </c>
      <c r="C493" s="80" t="n">
        <v>2021</v>
      </c>
      <c r="D493" s="80" t="n">
        <v>4</v>
      </c>
      <c r="E493" s="81" t="n">
        <v>44561</v>
      </c>
      <c r="F493" s="79" t="s">
        <v>271</v>
      </c>
      <c r="G493" s="79" t="s">
        <v>272</v>
      </c>
      <c r="H493" s="79" t="s">
        <v>268</v>
      </c>
      <c r="I493" s="82" t="n">
        <v>1784.77</v>
      </c>
      <c r="J493" s="82" t="n">
        <v>389.163</v>
      </c>
      <c r="K493" s="82" t="n">
        <v>65086000</v>
      </c>
      <c r="L493" s="83" t="n">
        <v>0.45</v>
      </c>
      <c r="M493" s="82" t="n">
        <v>145.6814</v>
      </c>
      <c r="N493" s="82" t="n">
        <v>0</v>
      </c>
      <c r="O493" s="82" t="n">
        <v>4037.183</v>
      </c>
      <c r="P493" s="83" t="n">
        <v>0</v>
      </c>
      <c r="Q493" s="83" t="n">
        <v>56.8</v>
      </c>
      <c r="R493" s="47" t="n">
        <v>19</v>
      </c>
      <c r="S493" s="66" t="s">
        <v>789</v>
      </c>
    </row>
    <row r="494" customFormat="false" ht="15" hidden="false" customHeight="false" outlineLevel="0" collapsed="false">
      <c r="A494" s="79" t="s">
        <v>241</v>
      </c>
      <c r="B494" s="79" t="s">
        <v>310</v>
      </c>
      <c r="C494" s="80" t="n">
        <v>2021</v>
      </c>
      <c r="D494" s="80" t="n">
        <v>3</v>
      </c>
      <c r="E494" s="81" t="n">
        <v>44469</v>
      </c>
      <c r="F494" s="79" t="s">
        <v>271</v>
      </c>
      <c r="G494" s="79" t="s">
        <v>272</v>
      </c>
      <c r="H494" s="79" t="s">
        <v>268</v>
      </c>
      <c r="I494" s="82" t="n">
        <v>1829.459</v>
      </c>
      <c r="J494" s="82" t="n">
        <v>436.912</v>
      </c>
      <c r="K494" s="82" t="n">
        <v>106624000</v>
      </c>
      <c r="L494" s="83" t="n">
        <v>0.73</v>
      </c>
      <c r="M494" s="82" t="n">
        <v>145.6814</v>
      </c>
      <c r="N494" s="82" t="n">
        <v>0</v>
      </c>
      <c r="O494" s="82" t="n">
        <v>3960.347</v>
      </c>
      <c r="P494" s="83" t="n">
        <v>1.4</v>
      </c>
      <c r="Q494" s="83" t="n">
        <v>53.6</v>
      </c>
      <c r="R494" s="47" t="n">
        <v>20</v>
      </c>
      <c r="S494" s="66" t="s">
        <v>790</v>
      </c>
    </row>
    <row r="495" customFormat="false" ht="15" hidden="false" customHeight="false" outlineLevel="0" collapsed="false">
      <c r="A495" s="79" t="s">
        <v>241</v>
      </c>
      <c r="B495" s="79" t="s">
        <v>312</v>
      </c>
      <c r="C495" s="80" t="n">
        <v>2021</v>
      </c>
      <c r="D495" s="80" t="n">
        <v>2</v>
      </c>
      <c r="E495" s="81" t="n">
        <v>44377</v>
      </c>
      <c r="F495" s="79" t="s">
        <v>271</v>
      </c>
      <c r="G495" s="79" t="s">
        <v>272</v>
      </c>
      <c r="H495" s="79" t="s">
        <v>268</v>
      </c>
      <c r="I495" s="82" t="n">
        <v>1841.755</v>
      </c>
      <c r="J495" s="82" t="n">
        <v>461.526</v>
      </c>
      <c r="K495" s="82" t="n">
        <v>108661000</v>
      </c>
      <c r="L495" s="83" t="n">
        <v>0.75</v>
      </c>
      <c r="M495" s="82" t="n">
        <v>145.6814</v>
      </c>
      <c r="N495" s="82" t="n">
        <v>0</v>
      </c>
      <c r="O495" s="82" t="n">
        <v>4066.399</v>
      </c>
      <c r="P495" s="83" t="n">
        <v>0</v>
      </c>
      <c r="Q495" s="83" t="n">
        <v>56.8</v>
      </c>
      <c r="R495" s="47" t="n">
        <v>21</v>
      </c>
      <c r="S495" s="66" t="s">
        <v>791</v>
      </c>
    </row>
    <row r="496" customFormat="false" ht="15" hidden="false" customHeight="false" outlineLevel="0" collapsed="false">
      <c r="A496" s="79" t="s">
        <v>241</v>
      </c>
      <c r="B496" s="79" t="s">
        <v>314</v>
      </c>
      <c r="C496" s="80" t="n">
        <v>2021</v>
      </c>
      <c r="D496" s="80" t="n">
        <v>1</v>
      </c>
      <c r="E496" s="81" t="n">
        <v>44286</v>
      </c>
      <c r="F496" s="79" t="s">
        <v>271</v>
      </c>
      <c r="G496" s="79" t="s">
        <v>272</v>
      </c>
      <c r="H496" s="79" t="s">
        <v>268</v>
      </c>
      <c r="I496" s="82" t="n">
        <v>1741.556</v>
      </c>
      <c r="J496" s="82" t="n">
        <v>405.065</v>
      </c>
      <c r="K496" s="82" t="n">
        <v>90682000</v>
      </c>
      <c r="L496" s="83" t="n">
        <v>0.62</v>
      </c>
      <c r="M496" s="82" t="n">
        <v>145.6814</v>
      </c>
      <c r="N496" s="82" t="n">
        <v>0</v>
      </c>
      <c r="O496" s="82" t="n">
        <v>3961.841</v>
      </c>
      <c r="P496" s="83" t="n">
        <v>0</v>
      </c>
      <c r="Q496" s="83" t="n">
        <v>66</v>
      </c>
      <c r="R496" s="47" t="n">
        <v>22</v>
      </c>
      <c r="S496" s="66" t="s">
        <v>792</v>
      </c>
    </row>
    <row r="497" customFormat="false" ht="15" hidden="false" customHeight="false" outlineLevel="0" collapsed="false">
      <c r="A497" s="79" t="s">
        <v>241</v>
      </c>
      <c r="B497" s="79" t="s">
        <v>316</v>
      </c>
      <c r="C497" s="80" t="n">
        <v>2020</v>
      </c>
      <c r="D497" s="80" t="n">
        <v>4</v>
      </c>
      <c r="E497" s="81" t="n">
        <v>44196</v>
      </c>
      <c r="F497" s="79" t="s">
        <v>271</v>
      </c>
      <c r="G497" s="79" t="s">
        <v>272</v>
      </c>
      <c r="H497" s="79" t="s">
        <v>268</v>
      </c>
      <c r="I497" s="82" t="n">
        <v>1623.495</v>
      </c>
      <c r="J497" s="82" t="n">
        <v>364.849</v>
      </c>
      <c r="K497" s="82" t="n">
        <v>47846000</v>
      </c>
      <c r="L497" s="83" t="n">
        <v>0.32</v>
      </c>
      <c r="M497" s="82" t="n">
        <v>145.6814</v>
      </c>
      <c r="N497" s="82" t="n">
        <v>0</v>
      </c>
      <c r="O497" s="82" t="n">
        <v>3867.989</v>
      </c>
      <c r="P497" s="83" t="n">
        <v>0</v>
      </c>
      <c r="Q497" s="83" t="n">
        <v>69.7</v>
      </c>
      <c r="R497" s="47" t="n">
        <v>23</v>
      </c>
      <c r="S497" s="66" t="s">
        <v>793</v>
      </c>
    </row>
    <row r="498" customFormat="false" ht="15" hidden="false" customHeight="false" outlineLevel="0" collapsed="false">
      <c r="A498" s="79" t="s">
        <v>241</v>
      </c>
      <c r="B498" s="79" t="s">
        <v>318</v>
      </c>
      <c r="C498" s="80" t="n">
        <v>2020</v>
      </c>
      <c r="D498" s="80" t="n">
        <v>3</v>
      </c>
      <c r="E498" s="81" t="n">
        <v>44104</v>
      </c>
      <c r="F498" s="79" t="s">
        <v>271</v>
      </c>
      <c r="G498" s="79" t="s">
        <v>272</v>
      </c>
      <c r="H498" s="79" t="s">
        <v>268</v>
      </c>
      <c r="I498" s="82" t="n">
        <v>1639.375</v>
      </c>
      <c r="J498" s="82" t="n">
        <v>368.528</v>
      </c>
      <c r="K498" s="82" t="n">
        <v>45715000</v>
      </c>
      <c r="L498" s="83" t="n">
        <v>0.31</v>
      </c>
      <c r="M498" s="82" t="n">
        <v>145.6814</v>
      </c>
      <c r="N498" s="82" t="n">
        <v>0</v>
      </c>
      <c r="O498" s="82" t="n">
        <v>3802.045</v>
      </c>
      <c r="P498" s="83"/>
      <c r="Q498" s="83" t="n">
        <v>63.2</v>
      </c>
      <c r="R498" s="47" t="n">
        <v>24</v>
      </c>
      <c r="S498" s="66" t="s">
        <v>794</v>
      </c>
    </row>
    <row r="499" customFormat="false" ht="15" hidden="false" customHeight="false" outlineLevel="0" collapsed="false">
      <c r="A499" s="79" t="s">
        <v>197</v>
      </c>
      <c r="B499" s="79" t="s">
        <v>265</v>
      </c>
      <c r="C499" s="80" t="n">
        <v>2026</v>
      </c>
      <c r="D499" s="80" t="n">
        <v>3</v>
      </c>
      <c r="E499" s="81" t="n">
        <v>46295</v>
      </c>
      <c r="F499" s="79" t="s">
        <v>266</v>
      </c>
      <c r="G499" s="79" t="s">
        <v>267</v>
      </c>
      <c r="H499" s="79" t="s">
        <v>268</v>
      </c>
      <c r="I499" s="82"/>
      <c r="J499" s="82"/>
      <c r="K499" s="82"/>
      <c r="L499" s="83" t="n">
        <v>18.74375</v>
      </c>
      <c r="M499" s="82"/>
      <c r="N499" s="82"/>
      <c r="O499" s="82"/>
      <c r="P499" s="83"/>
      <c r="Q499" s="83"/>
      <c r="R499" s="47" t="n">
        <v>0</v>
      </c>
      <c r="S499" s="66" t="s">
        <v>795</v>
      </c>
    </row>
    <row r="500" customFormat="false" ht="15" hidden="false" customHeight="false" outlineLevel="0" collapsed="false">
      <c r="A500" s="79" t="s">
        <v>197</v>
      </c>
      <c r="B500" s="79" t="s">
        <v>270</v>
      </c>
      <c r="C500" s="80" t="n">
        <v>2026</v>
      </c>
      <c r="D500" s="80" t="n">
        <v>2</v>
      </c>
      <c r="E500" s="81" t="n">
        <v>46203</v>
      </c>
      <c r="F500" s="79" t="s">
        <v>271</v>
      </c>
      <c r="G500" s="79" t="s">
        <v>272</v>
      </c>
      <c r="H500" s="79" t="s">
        <v>268</v>
      </c>
      <c r="I500" s="82" t="n">
        <v>23281.188</v>
      </c>
      <c r="J500" s="82" t="n">
        <v>7154.196</v>
      </c>
      <c r="K500" s="82" t="n">
        <v>2981775000</v>
      </c>
      <c r="L500" s="83" t="n">
        <v>15.28</v>
      </c>
      <c r="M500" s="82" t="n">
        <v>195.0784</v>
      </c>
      <c r="N500" s="82" t="n">
        <v>0</v>
      </c>
      <c r="O500" s="82" t="n">
        <v>49562.802</v>
      </c>
      <c r="P500" s="83" t="n">
        <v>0</v>
      </c>
      <c r="Q500" s="83" t="n">
        <v>1915</v>
      </c>
      <c r="R500" s="47" t="n">
        <v>1</v>
      </c>
      <c r="S500" s="66" t="s">
        <v>796</v>
      </c>
    </row>
    <row r="501" customFormat="false" ht="15" hidden="false" customHeight="false" outlineLevel="0" collapsed="false">
      <c r="A501" s="79" t="s">
        <v>197</v>
      </c>
      <c r="B501" s="79" t="s">
        <v>274</v>
      </c>
      <c r="C501" s="80" t="n">
        <v>2026</v>
      </c>
      <c r="D501" s="80" t="n">
        <v>1</v>
      </c>
      <c r="E501" s="81" t="n">
        <v>46112</v>
      </c>
      <c r="F501" s="79" t="s">
        <v>271</v>
      </c>
      <c r="G501" s="79" t="s">
        <v>272</v>
      </c>
      <c r="H501" s="79" t="s">
        <v>268</v>
      </c>
      <c r="I501" s="82" t="n">
        <v>20863.649</v>
      </c>
      <c r="J501" s="82" t="n">
        <v>6001.841</v>
      </c>
      <c r="K501" s="82" t="n">
        <v>2273834000</v>
      </c>
      <c r="L501" s="83" t="n">
        <v>11.66</v>
      </c>
      <c r="M501" s="82" t="n">
        <v>195.0784</v>
      </c>
      <c r="N501" s="82" t="n">
        <v>0</v>
      </c>
      <c r="O501" s="82" t="n">
        <v>46639.663</v>
      </c>
      <c r="P501" s="83" t="n">
        <v>0</v>
      </c>
      <c r="Q501" s="83" t="n">
        <v>1740</v>
      </c>
      <c r="R501" s="47" t="n">
        <v>2</v>
      </c>
      <c r="S501" s="66" t="s">
        <v>797</v>
      </c>
    </row>
    <row r="502" customFormat="false" ht="15" hidden="false" customHeight="false" outlineLevel="0" collapsed="false">
      <c r="A502" s="79" t="s">
        <v>197</v>
      </c>
      <c r="B502" s="79" t="s">
        <v>276</v>
      </c>
      <c r="C502" s="80" t="n">
        <v>2025</v>
      </c>
      <c r="D502" s="80" t="n">
        <v>4</v>
      </c>
      <c r="E502" s="81" t="n">
        <v>46022</v>
      </c>
      <c r="F502" s="79" t="s">
        <v>271</v>
      </c>
      <c r="G502" s="79" t="s">
        <v>272</v>
      </c>
      <c r="H502" s="79" t="s">
        <v>268</v>
      </c>
      <c r="I502" s="82" t="n">
        <v>19779.964</v>
      </c>
      <c r="J502" s="82" t="n">
        <v>6315.679</v>
      </c>
      <c r="K502" s="82" t="n">
        <v>2740078000</v>
      </c>
      <c r="L502" s="83" t="n">
        <v>14.08</v>
      </c>
      <c r="M502" s="82" t="n">
        <v>194.9699</v>
      </c>
      <c r="N502" s="82" t="n">
        <v>0</v>
      </c>
      <c r="O502" s="82" t="n">
        <v>46634.452</v>
      </c>
      <c r="P502" s="83" t="n">
        <v>0</v>
      </c>
      <c r="Q502" s="83" t="n">
        <v>1520</v>
      </c>
      <c r="R502" s="47" t="n">
        <v>3</v>
      </c>
      <c r="S502" s="66" t="s">
        <v>798</v>
      </c>
    </row>
    <row r="503" customFormat="false" ht="15" hidden="false" customHeight="false" outlineLevel="0" collapsed="false">
      <c r="A503" s="79" t="s">
        <v>197</v>
      </c>
      <c r="B503" s="79" t="s">
        <v>278</v>
      </c>
      <c r="C503" s="80" t="n">
        <v>2025</v>
      </c>
      <c r="D503" s="80" t="n">
        <v>3</v>
      </c>
      <c r="E503" s="81" t="n">
        <v>45930</v>
      </c>
      <c r="F503" s="79" t="s">
        <v>271</v>
      </c>
      <c r="G503" s="79" t="s">
        <v>272</v>
      </c>
      <c r="H503" s="79" t="s">
        <v>268</v>
      </c>
      <c r="I503" s="82" t="n">
        <v>18413.195</v>
      </c>
      <c r="J503" s="82" t="n">
        <v>6122.914</v>
      </c>
      <c r="K503" s="82" t="n">
        <v>2628697000</v>
      </c>
      <c r="L503" s="83" t="n">
        <v>13.51</v>
      </c>
      <c r="M503" s="82" t="n">
        <v>194.9599</v>
      </c>
      <c r="N503" s="82" t="n">
        <v>0</v>
      </c>
      <c r="O503" s="82" t="n">
        <v>42028.78</v>
      </c>
      <c r="P503" s="83" t="n">
        <v>10.50548249</v>
      </c>
      <c r="Q503" s="83" t="n">
        <v>1030</v>
      </c>
      <c r="R503" s="47" t="n">
        <v>4</v>
      </c>
      <c r="S503" s="66" t="s">
        <v>799</v>
      </c>
    </row>
    <row r="504" customFormat="false" ht="15" hidden="false" customHeight="false" outlineLevel="0" collapsed="false">
      <c r="A504" s="79" t="s">
        <v>197</v>
      </c>
      <c r="B504" s="79" t="s">
        <v>280</v>
      </c>
      <c r="C504" s="80" t="n">
        <v>2025</v>
      </c>
      <c r="D504" s="80" t="n">
        <v>2</v>
      </c>
      <c r="E504" s="81" t="n">
        <v>45838</v>
      </c>
      <c r="F504" s="79" t="s">
        <v>271</v>
      </c>
      <c r="G504" s="79" t="s">
        <v>272</v>
      </c>
      <c r="H504" s="79" t="s">
        <v>268</v>
      </c>
      <c r="I504" s="82" t="n">
        <v>16933.328</v>
      </c>
      <c r="J504" s="82" t="n">
        <v>5268.882</v>
      </c>
      <c r="K504" s="82" t="n">
        <v>2024484000</v>
      </c>
      <c r="L504" s="83" t="n">
        <v>10.54</v>
      </c>
      <c r="M504" s="82" t="n">
        <v>192.0711</v>
      </c>
      <c r="N504" s="82" t="n">
        <v>0</v>
      </c>
      <c r="O504" s="82" t="n">
        <v>36600.942</v>
      </c>
      <c r="P504" s="83" t="n">
        <v>0</v>
      </c>
      <c r="Q504" s="83" t="n">
        <v>848</v>
      </c>
      <c r="R504" s="47" t="n">
        <v>5</v>
      </c>
      <c r="S504" s="66" t="s">
        <v>800</v>
      </c>
    </row>
    <row r="505" customFormat="false" ht="15" hidden="false" customHeight="false" outlineLevel="0" collapsed="false">
      <c r="A505" s="79" t="s">
        <v>197</v>
      </c>
      <c r="B505" s="79" t="s">
        <v>282</v>
      </c>
      <c r="C505" s="80" t="n">
        <v>2025</v>
      </c>
      <c r="D505" s="80" t="n">
        <v>1</v>
      </c>
      <c r="E505" s="81" t="n">
        <v>45747</v>
      </c>
      <c r="F505" s="79" t="s">
        <v>271</v>
      </c>
      <c r="G505" s="79" t="s">
        <v>272</v>
      </c>
      <c r="H505" s="79" t="s">
        <v>268</v>
      </c>
      <c r="I505" s="82" t="n">
        <v>16120.785</v>
      </c>
      <c r="J505" s="82" t="n">
        <v>4897.124</v>
      </c>
      <c r="K505" s="82" t="n">
        <v>1612107000</v>
      </c>
      <c r="L505" s="83" t="n">
        <v>8.49</v>
      </c>
      <c r="M505" s="82" t="n">
        <v>190.0832</v>
      </c>
      <c r="N505" s="82" t="n">
        <v>0</v>
      </c>
      <c r="O505" s="82" t="n">
        <v>36910.274</v>
      </c>
      <c r="P505" s="83" t="n">
        <v>0</v>
      </c>
      <c r="Q505" s="83" t="n">
        <v>504</v>
      </c>
      <c r="R505" s="47" t="n">
        <v>6</v>
      </c>
      <c r="S505" s="66" t="s">
        <v>801</v>
      </c>
    </row>
    <row r="506" customFormat="false" ht="15" hidden="false" customHeight="false" outlineLevel="0" collapsed="false">
      <c r="A506" s="79" t="s">
        <v>197</v>
      </c>
      <c r="B506" s="79" t="s">
        <v>284</v>
      </c>
      <c r="C506" s="80" t="n">
        <v>2024</v>
      </c>
      <c r="D506" s="80" t="n">
        <v>4</v>
      </c>
      <c r="E506" s="81" t="n">
        <v>45657</v>
      </c>
      <c r="F506" s="79" t="s">
        <v>271</v>
      </c>
      <c r="G506" s="79" t="s">
        <v>272</v>
      </c>
      <c r="H506" s="79" t="s">
        <v>268</v>
      </c>
      <c r="I506" s="82" t="n">
        <v>14411.637</v>
      </c>
      <c r="J506" s="82" t="n">
        <v>4147.995</v>
      </c>
      <c r="K506" s="82" t="n">
        <v>1555805000</v>
      </c>
      <c r="L506" s="83" t="n">
        <v>8.53</v>
      </c>
      <c r="M506" s="82" t="n">
        <v>189.5543</v>
      </c>
      <c r="N506" s="82" t="n">
        <v>0</v>
      </c>
      <c r="O506" s="82" t="n">
        <v>36208.816</v>
      </c>
      <c r="P506" s="83" t="n">
        <v>0</v>
      </c>
      <c r="Q506" s="83" t="n">
        <v>612</v>
      </c>
      <c r="R506" s="47" t="n">
        <v>7</v>
      </c>
      <c r="S506" s="66" t="s">
        <v>802</v>
      </c>
    </row>
    <row r="507" customFormat="false" ht="15" hidden="false" customHeight="false" outlineLevel="0" collapsed="false">
      <c r="A507" s="79" t="s">
        <v>197</v>
      </c>
      <c r="B507" s="79" t="s">
        <v>286</v>
      </c>
      <c r="C507" s="80" t="n">
        <v>2024</v>
      </c>
      <c r="D507" s="80" t="n">
        <v>3</v>
      </c>
      <c r="E507" s="81" t="n">
        <v>45565</v>
      </c>
      <c r="F507" s="79" t="s">
        <v>271</v>
      </c>
      <c r="G507" s="79" t="s">
        <v>272</v>
      </c>
      <c r="H507" s="79" t="s">
        <v>268</v>
      </c>
      <c r="I507" s="82" t="n">
        <v>14259.287</v>
      </c>
      <c r="J507" s="82" t="n">
        <v>4181.908</v>
      </c>
      <c r="K507" s="82" t="n">
        <v>1257207000</v>
      </c>
      <c r="L507" s="83" t="n">
        <v>7.07</v>
      </c>
      <c r="M507" s="82" t="n">
        <v>183.3902</v>
      </c>
      <c r="N507" s="82" t="n">
        <v>0</v>
      </c>
      <c r="O507" s="82" t="n">
        <v>33244.409</v>
      </c>
      <c r="P507" s="83" t="n">
        <v>8.7807351</v>
      </c>
      <c r="Q507" s="83" t="n">
        <v>461</v>
      </c>
      <c r="R507" s="47" t="n">
        <v>8</v>
      </c>
      <c r="S507" s="66" t="s">
        <v>803</v>
      </c>
    </row>
    <row r="508" customFormat="false" ht="15" hidden="false" customHeight="false" outlineLevel="0" collapsed="false">
      <c r="A508" s="79" t="s">
        <v>197</v>
      </c>
      <c r="B508" s="79" t="s">
        <v>288</v>
      </c>
      <c r="C508" s="80" t="n">
        <v>2024</v>
      </c>
      <c r="D508" s="80" t="n">
        <v>2</v>
      </c>
      <c r="E508" s="81" t="n">
        <v>45473</v>
      </c>
      <c r="F508" s="79" t="s">
        <v>271</v>
      </c>
      <c r="G508" s="79" t="s">
        <v>272</v>
      </c>
      <c r="H508" s="79" t="s">
        <v>268</v>
      </c>
      <c r="I508" s="82" t="n">
        <v>12983.996</v>
      </c>
      <c r="J508" s="82" t="n">
        <v>3649.998</v>
      </c>
      <c r="K508" s="82" t="n">
        <v>1002454000</v>
      </c>
      <c r="L508" s="83" t="n">
        <v>6.13</v>
      </c>
      <c r="M508" s="82" t="n">
        <v>166.5369</v>
      </c>
      <c r="N508" s="82" t="n">
        <v>0</v>
      </c>
      <c r="O508" s="82" t="n">
        <v>26234.193</v>
      </c>
      <c r="P508" s="83" t="n">
        <v>0</v>
      </c>
      <c r="Q508" s="83" t="n">
        <v>374</v>
      </c>
      <c r="R508" s="47" t="n">
        <v>9</v>
      </c>
      <c r="S508" s="66" t="s">
        <v>804</v>
      </c>
    </row>
    <row r="509" customFormat="false" ht="15" hidden="false" customHeight="false" outlineLevel="0" collapsed="false">
      <c r="A509" s="79" t="s">
        <v>197</v>
      </c>
      <c r="B509" s="79" t="s">
        <v>290</v>
      </c>
      <c r="C509" s="80" t="n">
        <v>2024</v>
      </c>
      <c r="D509" s="80" t="n">
        <v>1</v>
      </c>
      <c r="E509" s="81" t="n">
        <v>45382</v>
      </c>
      <c r="F509" s="79" t="s">
        <v>271</v>
      </c>
      <c r="G509" s="79" t="s">
        <v>272</v>
      </c>
      <c r="H509" s="79" t="s">
        <v>268</v>
      </c>
      <c r="I509" s="82" t="n">
        <v>12425.561</v>
      </c>
      <c r="J509" s="82" t="n">
        <v>3272.937</v>
      </c>
      <c r="K509" s="82" t="n">
        <v>580672000</v>
      </c>
      <c r="L509" s="83" t="n">
        <v>3.56</v>
      </c>
      <c r="M509" s="82" t="n">
        <v>163.4296</v>
      </c>
      <c r="N509" s="82" t="n">
        <v>0</v>
      </c>
      <c r="O509" s="82" t="n">
        <v>24110.138</v>
      </c>
      <c r="P509" s="83" t="n">
        <v>0</v>
      </c>
      <c r="Q509" s="83" t="n">
        <v>259</v>
      </c>
      <c r="R509" s="47" t="n">
        <v>10</v>
      </c>
      <c r="S509" s="66" t="s">
        <v>805</v>
      </c>
    </row>
    <row r="510" customFormat="false" ht="15" hidden="false" customHeight="false" outlineLevel="0" collapsed="false">
      <c r="A510" s="79" t="s">
        <v>197</v>
      </c>
      <c r="B510" s="79" t="s">
        <v>292</v>
      </c>
      <c r="C510" s="80" t="n">
        <v>2023</v>
      </c>
      <c r="D510" s="80" t="n">
        <v>4</v>
      </c>
      <c r="E510" s="81" t="n">
        <v>45291</v>
      </c>
      <c r="F510" s="79" t="s">
        <v>271</v>
      </c>
      <c r="G510" s="79" t="s">
        <v>272</v>
      </c>
      <c r="H510" s="79" t="s">
        <v>268</v>
      </c>
      <c r="I510" s="82" t="n">
        <v>12195.595</v>
      </c>
      <c r="J510" s="82" t="n">
        <v>2990.764</v>
      </c>
      <c r="K510" s="82" t="n">
        <v>507876000</v>
      </c>
      <c r="L510" s="83" t="n">
        <v>3.11</v>
      </c>
      <c r="M510" s="82" t="n">
        <v>163.3091</v>
      </c>
      <c r="N510" s="82" t="n">
        <v>0</v>
      </c>
      <c r="O510" s="82" t="n">
        <v>24585.036</v>
      </c>
      <c r="P510" s="83" t="n">
        <v>0</v>
      </c>
      <c r="Q510" s="83" t="n">
        <v>267</v>
      </c>
      <c r="R510" s="47" t="n">
        <v>11</v>
      </c>
      <c r="S510" s="66" t="s">
        <v>806</v>
      </c>
    </row>
    <row r="511" customFormat="false" ht="15" hidden="false" customHeight="false" outlineLevel="0" collapsed="false">
      <c r="A511" s="79" t="s">
        <v>197</v>
      </c>
      <c r="B511" s="79" t="s">
        <v>294</v>
      </c>
      <c r="C511" s="80" t="n">
        <v>2023</v>
      </c>
      <c r="D511" s="80" t="n">
        <v>3</v>
      </c>
      <c r="E511" s="81" t="n">
        <v>45199</v>
      </c>
      <c r="F511" s="79" t="s">
        <v>271</v>
      </c>
      <c r="G511" s="79" t="s">
        <v>272</v>
      </c>
      <c r="H511" s="79" t="s">
        <v>268</v>
      </c>
      <c r="I511" s="82" t="n">
        <v>13150.145</v>
      </c>
      <c r="J511" s="82" t="n">
        <v>3509.563</v>
      </c>
      <c r="K511" s="82" t="n">
        <v>740556000</v>
      </c>
      <c r="L511" s="83" t="n">
        <v>4.54</v>
      </c>
      <c r="M511" s="82" t="n">
        <v>163.3091</v>
      </c>
      <c r="N511" s="82" t="n">
        <v>0</v>
      </c>
      <c r="O511" s="82" t="n">
        <v>24173.791</v>
      </c>
      <c r="P511" s="83" t="n">
        <v>9.88572038</v>
      </c>
      <c r="Q511" s="83" t="n">
        <v>270</v>
      </c>
      <c r="R511" s="47" t="n">
        <v>12</v>
      </c>
      <c r="S511" s="66" t="s">
        <v>807</v>
      </c>
    </row>
    <row r="512" customFormat="false" ht="15" hidden="false" customHeight="false" outlineLevel="0" collapsed="false">
      <c r="A512" s="79" t="s">
        <v>197</v>
      </c>
      <c r="B512" s="79" t="s">
        <v>296</v>
      </c>
      <c r="C512" s="80" t="n">
        <v>2023</v>
      </c>
      <c r="D512" s="80" t="n">
        <v>2</v>
      </c>
      <c r="E512" s="81" t="n">
        <v>45107</v>
      </c>
      <c r="F512" s="79" t="s">
        <v>271</v>
      </c>
      <c r="G512" s="79" t="s">
        <v>272</v>
      </c>
      <c r="H512" s="79" t="s">
        <v>268</v>
      </c>
      <c r="I512" s="82" t="n">
        <v>13004.395</v>
      </c>
      <c r="J512" s="82" t="n">
        <v>2850.162</v>
      </c>
      <c r="K512" s="82" t="n">
        <v>440991000</v>
      </c>
      <c r="L512" s="83" t="n">
        <v>2.75</v>
      </c>
      <c r="M512" s="82" t="n">
        <v>161.5773</v>
      </c>
      <c r="N512" s="82" t="n">
        <v>0</v>
      </c>
      <c r="O512" s="82" t="n">
        <v>23063.842</v>
      </c>
      <c r="P512" s="83" t="n">
        <v>0</v>
      </c>
      <c r="Q512" s="83" t="n">
        <v>322</v>
      </c>
      <c r="R512" s="47" t="n">
        <v>13</v>
      </c>
      <c r="S512" s="66" t="s">
        <v>808</v>
      </c>
    </row>
    <row r="513" customFormat="false" ht="15" hidden="false" customHeight="false" outlineLevel="0" collapsed="false">
      <c r="A513" s="79" t="s">
        <v>197</v>
      </c>
      <c r="B513" s="79" t="s">
        <v>298</v>
      </c>
      <c r="C513" s="80" t="n">
        <v>2023</v>
      </c>
      <c r="D513" s="80" t="n">
        <v>1</v>
      </c>
      <c r="E513" s="81" t="n">
        <v>45016</v>
      </c>
      <c r="F513" s="79" t="s">
        <v>271</v>
      </c>
      <c r="G513" s="79" t="s">
        <v>272</v>
      </c>
      <c r="H513" s="79" t="s">
        <v>268</v>
      </c>
      <c r="I513" s="82" t="n">
        <v>12701.656</v>
      </c>
      <c r="J513" s="82" t="n">
        <v>3236.323</v>
      </c>
      <c r="K513" s="82" t="n">
        <v>627932000</v>
      </c>
      <c r="L513" s="83" t="n">
        <v>4.01</v>
      </c>
      <c r="M513" s="82" t="n">
        <v>156.5623</v>
      </c>
      <c r="N513" s="82" t="n">
        <v>0</v>
      </c>
      <c r="O513" s="82" t="n">
        <v>21836.795</v>
      </c>
      <c r="P513" s="83" t="n">
        <v>0</v>
      </c>
      <c r="Q513" s="83" t="n">
        <v>279</v>
      </c>
      <c r="R513" s="47" t="n">
        <v>14</v>
      </c>
      <c r="S513" s="66" t="s">
        <v>809</v>
      </c>
    </row>
    <row r="514" customFormat="false" ht="15" hidden="false" customHeight="false" outlineLevel="0" collapsed="false">
      <c r="A514" s="79" t="s">
        <v>197</v>
      </c>
      <c r="B514" s="79" t="s">
        <v>300</v>
      </c>
      <c r="C514" s="80" t="n">
        <v>2022</v>
      </c>
      <c r="D514" s="80" t="n">
        <v>4</v>
      </c>
      <c r="E514" s="81" t="n">
        <v>44926</v>
      </c>
      <c r="F514" s="79" t="s">
        <v>271</v>
      </c>
      <c r="G514" s="79" t="s">
        <v>272</v>
      </c>
      <c r="H514" s="79" t="s">
        <v>268</v>
      </c>
      <c r="I514" s="82" t="n">
        <v>13600.543</v>
      </c>
      <c r="J514" s="82" t="n">
        <v>3572.38</v>
      </c>
      <c r="K514" s="82" t="n">
        <v>922388000</v>
      </c>
      <c r="L514" s="83" t="n">
        <v>5.88</v>
      </c>
      <c r="M514" s="82" t="n">
        <v>156.4463</v>
      </c>
      <c r="N514" s="82" t="n">
        <v>0</v>
      </c>
      <c r="O514" s="82" t="n">
        <v>22485.042</v>
      </c>
      <c r="P514" s="83" t="n">
        <v>0</v>
      </c>
      <c r="Q514" s="83" t="n">
        <v>236.5</v>
      </c>
      <c r="R514" s="47" t="n">
        <v>15</v>
      </c>
      <c r="S514" s="66" t="s">
        <v>810</v>
      </c>
    </row>
    <row r="515" customFormat="false" ht="15" hidden="false" customHeight="false" outlineLevel="0" collapsed="false">
      <c r="A515" s="79" t="s">
        <v>197</v>
      </c>
      <c r="B515" s="79" t="s">
        <v>302</v>
      </c>
      <c r="C515" s="80" t="n">
        <v>2022</v>
      </c>
      <c r="D515" s="80" t="n">
        <v>3</v>
      </c>
      <c r="E515" s="81" t="n">
        <v>44834</v>
      </c>
      <c r="F515" s="79" t="s">
        <v>271</v>
      </c>
      <c r="G515" s="79" t="s">
        <v>272</v>
      </c>
      <c r="H515" s="79" t="s">
        <v>268</v>
      </c>
      <c r="I515" s="82" t="n">
        <v>14526.402</v>
      </c>
      <c r="J515" s="82" t="n">
        <v>3740.877</v>
      </c>
      <c r="K515" s="82" t="n">
        <v>1184084000</v>
      </c>
      <c r="L515" s="83" t="n">
        <v>7.64</v>
      </c>
      <c r="M515" s="82" t="n">
        <v>156.4273</v>
      </c>
      <c r="N515" s="82" t="n">
        <v>0</v>
      </c>
      <c r="O515" s="82" t="n">
        <v>20970.774</v>
      </c>
      <c r="P515" s="83" t="n">
        <v>9.44960126</v>
      </c>
      <c r="Q515" s="83" t="n">
        <v>280.5</v>
      </c>
      <c r="R515" s="47" t="n">
        <v>16</v>
      </c>
      <c r="S515" s="66" t="s">
        <v>811</v>
      </c>
    </row>
    <row r="516" customFormat="false" ht="15" hidden="false" customHeight="false" outlineLevel="0" collapsed="false">
      <c r="A516" s="79" t="s">
        <v>197</v>
      </c>
      <c r="B516" s="79" t="s">
        <v>304</v>
      </c>
      <c r="C516" s="80" t="n">
        <v>2022</v>
      </c>
      <c r="D516" s="80" t="n">
        <v>2</v>
      </c>
      <c r="E516" s="81" t="n">
        <v>44742</v>
      </c>
      <c r="F516" s="79" t="s">
        <v>271</v>
      </c>
      <c r="G516" s="79" t="s">
        <v>272</v>
      </c>
      <c r="H516" s="79" t="s">
        <v>268</v>
      </c>
      <c r="I516" s="82" t="n">
        <v>13963.028</v>
      </c>
      <c r="J516" s="82" t="n">
        <v>3625.501</v>
      </c>
      <c r="K516" s="82" t="n">
        <v>1172964000</v>
      </c>
      <c r="L516" s="83" t="n">
        <v>7.68</v>
      </c>
      <c r="M516" s="82" t="n">
        <v>152.7509</v>
      </c>
      <c r="N516" s="82" t="n">
        <v>0</v>
      </c>
      <c r="O516" s="82" t="n">
        <v>19031.3</v>
      </c>
      <c r="P516" s="83" t="n">
        <v>0</v>
      </c>
      <c r="Q516" s="83" t="n">
        <v>308.5</v>
      </c>
      <c r="R516" s="47" t="n">
        <v>17</v>
      </c>
      <c r="S516" s="66" t="s">
        <v>812</v>
      </c>
    </row>
    <row r="517" customFormat="false" ht="15" hidden="false" customHeight="false" outlineLevel="0" collapsed="false">
      <c r="A517" s="79" t="s">
        <v>197</v>
      </c>
      <c r="B517" s="79" t="s">
        <v>306</v>
      </c>
      <c r="C517" s="80" t="n">
        <v>2022</v>
      </c>
      <c r="D517" s="80" t="n">
        <v>1</v>
      </c>
      <c r="E517" s="81" t="n">
        <v>44651</v>
      </c>
      <c r="F517" s="79" t="s">
        <v>271</v>
      </c>
      <c r="G517" s="79" t="s">
        <v>272</v>
      </c>
      <c r="H517" s="79" t="s">
        <v>268</v>
      </c>
      <c r="I517" s="82" t="n">
        <v>11667.198</v>
      </c>
      <c r="J517" s="82" t="n">
        <v>2848.725</v>
      </c>
      <c r="K517" s="82" t="n">
        <v>558944000</v>
      </c>
      <c r="L517" s="83" t="n">
        <v>3.74</v>
      </c>
      <c r="M517" s="82" t="n">
        <v>152.6274</v>
      </c>
      <c r="N517" s="82" t="n">
        <v>0</v>
      </c>
      <c r="O517" s="82" t="n">
        <v>18361.569</v>
      </c>
      <c r="P517" s="83" t="n">
        <v>0</v>
      </c>
      <c r="Q517" s="83" t="n">
        <v>296.5</v>
      </c>
      <c r="R517" s="47" t="n">
        <v>18</v>
      </c>
      <c r="S517" s="66" t="s">
        <v>813</v>
      </c>
    </row>
    <row r="518" customFormat="false" ht="15" hidden="false" customHeight="false" outlineLevel="0" collapsed="false">
      <c r="A518" s="79" t="s">
        <v>197</v>
      </c>
      <c r="B518" s="79" t="s">
        <v>308</v>
      </c>
      <c r="C518" s="80" t="n">
        <v>2021</v>
      </c>
      <c r="D518" s="80" t="n">
        <v>4</v>
      </c>
      <c r="E518" s="81" t="n">
        <v>44561</v>
      </c>
      <c r="F518" s="79" t="s">
        <v>271</v>
      </c>
      <c r="G518" s="79" t="s">
        <v>272</v>
      </c>
      <c r="H518" s="79" t="s">
        <v>268</v>
      </c>
      <c r="I518" s="82" t="n">
        <v>7998.723</v>
      </c>
      <c r="J518" s="82" t="n">
        <v>1842.97</v>
      </c>
      <c r="K518" s="82" t="n">
        <v>568796000</v>
      </c>
      <c r="L518" s="83" t="n">
        <v>4.2</v>
      </c>
      <c r="M518" s="82" t="n">
        <v>137.4573</v>
      </c>
      <c r="N518" s="82" t="n">
        <v>0</v>
      </c>
      <c r="O518" s="82" t="n">
        <v>15124.585</v>
      </c>
      <c r="P518" s="83" t="n">
        <v>0</v>
      </c>
      <c r="Q518" s="83" t="n">
        <v>261</v>
      </c>
      <c r="R518" s="47" t="n">
        <v>19</v>
      </c>
      <c r="S518" s="66" t="s">
        <v>814</v>
      </c>
    </row>
    <row r="519" customFormat="false" ht="15" hidden="false" customHeight="false" outlineLevel="0" collapsed="false">
      <c r="A519" s="79" t="s">
        <v>197</v>
      </c>
      <c r="B519" s="79" t="s">
        <v>310</v>
      </c>
      <c r="C519" s="80" t="n">
        <v>2021</v>
      </c>
      <c r="D519" s="80" t="n">
        <v>3</v>
      </c>
      <c r="E519" s="81" t="n">
        <v>44469</v>
      </c>
      <c r="F519" s="79" t="s">
        <v>271</v>
      </c>
      <c r="G519" s="79" t="s">
        <v>272</v>
      </c>
      <c r="H519" s="79" t="s">
        <v>268</v>
      </c>
      <c r="I519" s="82" t="n">
        <v>7415.446</v>
      </c>
      <c r="J519" s="82" t="n">
        <v>1754.141</v>
      </c>
      <c r="K519" s="82" t="n">
        <v>606283000</v>
      </c>
      <c r="L519" s="83" t="n">
        <v>4.54</v>
      </c>
      <c r="M519" s="82" t="n">
        <v>133.6901</v>
      </c>
      <c r="N519" s="82" t="n">
        <v>0</v>
      </c>
      <c r="O519" s="82" t="n">
        <v>13768.063</v>
      </c>
      <c r="P519" s="83" t="n">
        <v>8.02486316</v>
      </c>
      <c r="Q519" s="83" t="n">
        <v>223.5</v>
      </c>
      <c r="R519" s="47" t="n">
        <v>20</v>
      </c>
      <c r="S519" s="66" t="s">
        <v>815</v>
      </c>
    </row>
    <row r="520" customFormat="false" ht="15" hidden="false" customHeight="false" outlineLevel="0" collapsed="false">
      <c r="A520" s="79" t="s">
        <v>197</v>
      </c>
      <c r="B520" s="79" t="s">
        <v>312</v>
      </c>
      <c r="C520" s="80" t="n">
        <v>2021</v>
      </c>
      <c r="D520" s="80" t="n">
        <v>2</v>
      </c>
      <c r="E520" s="81" t="n">
        <v>44377</v>
      </c>
      <c r="F520" s="79" t="s">
        <v>271</v>
      </c>
      <c r="G520" s="79" t="s">
        <v>272</v>
      </c>
      <c r="H520" s="79" t="s">
        <v>268</v>
      </c>
      <c r="I520" s="82" t="n">
        <v>7015.992</v>
      </c>
      <c r="J520" s="82" t="n">
        <v>1670.731</v>
      </c>
      <c r="K520" s="82" t="n">
        <v>551411000</v>
      </c>
      <c r="L520" s="83" t="n">
        <v>4.13</v>
      </c>
      <c r="M520" s="82" t="n">
        <v>133.6363</v>
      </c>
      <c r="N520" s="82" t="n">
        <v>0</v>
      </c>
      <c r="O520" s="82" t="n">
        <v>13273.987</v>
      </c>
      <c r="P520" s="83" t="n">
        <v>0</v>
      </c>
      <c r="Q520" s="83" t="n">
        <v>259</v>
      </c>
      <c r="R520" s="47" t="n">
        <v>21</v>
      </c>
      <c r="S520" s="66" t="s">
        <v>816</v>
      </c>
    </row>
    <row r="521" customFormat="false" ht="15" hidden="false" customHeight="false" outlineLevel="0" collapsed="false">
      <c r="A521" s="79" t="s">
        <v>197</v>
      </c>
      <c r="B521" s="79" t="s">
        <v>314</v>
      </c>
      <c r="C521" s="80" t="n">
        <v>2021</v>
      </c>
      <c r="D521" s="80" t="n">
        <v>1</v>
      </c>
      <c r="E521" s="81" t="n">
        <v>44286</v>
      </c>
      <c r="F521" s="79" t="s">
        <v>271</v>
      </c>
      <c r="G521" s="79" t="s">
        <v>272</v>
      </c>
      <c r="H521" s="79" t="s">
        <v>268</v>
      </c>
      <c r="I521" s="82" t="n">
        <v>6134.214</v>
      </c>
      <c r="J521" s="82" t="n">
        <v>1361.63</v>
      </c>
      <c r="K521" s="82" t="n">
        <v>309648000</v>
      </c>
      <c r="L521" s="83" t="n">
        <v>2.35</v>
      </c>
      <c r="M521" s="82" t="n">
        <v>133.6363</v>
      </c>
      <c r="N521" s="82" t="n">
        <v>0</v>
      </c>
      <c r="O521" s="82" t="n">
        <v>12907.3</v>
      </c>
      <c r="P521" s="83" t="n">
        <v>0</v>
      </c>
      <c r="Q521" s="83" t="n">
        <v>266</v>
      </c>
      <c r="R521" s="47" t="n">
        <v>22</v>
      </c>
      <c r="S521" s="66" t="s">
        <v>817</v>
      </c>
    </row>
    <row r="522" customFormat="false" ht="15" hidden="false" customHeight="false" outlineLevel="0" collapsed="false">
      <c r="A522" s="79" t="s">
        <v>197</v>
      </c>
      <c r="B522" s="79" t="s">
        <v>316</v>
      </c>
      <c r="C522" s="80" t="n">
        <v>2020</v>
      </c>
      <c r="D522" s="80" t="n">
        <v>4</v>
      </c>
      <c r="E522" s="81" t="n">
        <v>44196</v>
      </c>
      <c r="F522" s="79" t="s">
        <v>271</v>
      </c>
      <c r="G522" s="79" t="s">
        <v>272</v>
      </c>
      <c r="H522" s="79" t="s">
        <v>268</v>
      </c>
      <c r="I522" s="82" t="n">
        <v>6266.652</v>
      </c>
      <c r="J522" s="82" t="n">
        <v>1550.737</v>
      </c>
      <c r="K522" s="82" t="n">
        <v>589079000</v>
      </c>
      <c r="L522" s="83" t="n">
        <v>4.52</v>
      </c>
      <c r="M522" s="82" t="n">
        <v>130.5694</v>
      </c>
      <c r="N522" s="82" t="n">
        <v>0</v>
      </c>
      <c r="O522" s="82" t="n">
        <v>13237.341</v>
      </c>
      <c r="P522" s="83" t="n">
        <v>0</v>
      </c>
      <c r="Q522" s="83" t="n">
        <v>243.5</v>
      </c>
      <c r="R522" s="47" t="n">
        <v>23</v>
      </c>
      <c r="S522" s="66" t="s">
        <v>818</v>
      </c>
    </row>
    <row r="523" customFormat="false" ht="15" hidden="false" customHeight="false" outlineLevel="0" collapsed="false">
      <c r="A523" s="79" t="s">
        <v>197</v>
      </c>
      <c r="B523" s="79" t="s">
        <v>318</v>
      </c>
      <c r="C523" s="80" t="n">
        <v>2020</v>
      </c>
      <c r="D523" s="80" t="n">
        <v>3</v>
      </c>
      <c r="E523" s="81" t="n">
        <v>44104</v>
      </c>
      <c r="F523" s="79" t="s">
        <v>271</v>
      </c>
      <c r="G523" s="79" t="s">
        <v>272</v>
      </c>
      <c r="H523" s="79" t="s">
        <v>268</v>
      </c>
      <c r="I523" s="82" t="n">
        <v>6049.454</v>
      </c>
      <c r="J523" s="82" t="n">
        <v>1589.297</v>
      </c>
      <c r="K523" s="82" t="n">
        <v>499580000</v>
      </c>
      <c r="L523" s="83" t="n">
        <v>3.83</v>
      </c>
      <c r="M523" s="82" t="n">
        <v>130.5694</v>
      </c>
      <c r="N523" s="82" t="n">
        <v>0</v>
      </c>
      <c r="O523" s="82" t="n">
        <v>12368.366</v>
      </c>
      <c r="P523" s="83"/>
      <c r="Q523" s="83" t="n">
        <v>225.5</v>
      </c>
      <c r="R523" s="47" t="n">
        <v>24</v>
      </c>
      <c r="S523" s="66" t="s">
        <v>819</v>
      </c>
    </row>
    <row r="524" customFormat="false" ht="15" hidden="false" customHeight="false" outlineLevel="0" collapsed="false">
      <c r="A524" s="79" t="s">
        <v>820</v>
      </c>
      <c r="B524" s="79" t="s">
        <v>265</v>
      </c>
      <c r="C524" s="80" t="n">
        <v>2026</v>
      </c>
      <c r="D524" s="80" t="n">
        <v>3</v>
      </c>
      <c r="E524" s="81" t="n">
        <v>46295</v>
      </c>
      <c r="F524" s="79" t="s">
        <v>266</v>
      </c>
      <c r="G524" s="79" t="s">
        <v>267</v>
      </c>
      <c r="H524" s="79" t="s">
        <v>268</v>
      </c>
      <c r="I524" s="82"/>
      <c r="J524" s="82"/>
      <c r="K524" s="82"/>
      <c r="L524" s="83" t="n">
        <v>5.04966</v>
      </c>
      <c r="M524" s="82"/>
      <c r="N524" s="82"/>
      <c r="O524" s="82"/>
      <c r="P524" s="83"/>
      <c r="Q524" s="83"/>
      <c r="R524" s="47" t="n">
        <v>0</v>
      </c>
      <c r="S524" s="66" t="s">
        <v>821</v>
      </c>
    </row>
    <row r="525" customFormat="false" ht="15" hidden="false" customHeight="false" outlineLevel="0" collapsed="false">
      <c r="A525" s="79" t="s">
        <v>820</v>
      </c>
      <c r="B525" s="79" t="s">
        <v>270</v>
      </c>
      <c r="C525" s="80" t="n">
        <v>2026</v>
      </c>
      <c r="D525" s="80" t="n">
        <v>2</v>
      </c>
      <c r="E525" s="81" t="n">
        <v>46203</v>
      </c>
      <c r="F525" s="79" t="s">
        <v>271</v>
      </c>
      <c r="G525" s="79" t="s">
        <v>272</v>
      </c>
      <c r="H525" s="79" t="s">
        <v>268</v>
      </c>
      <c r="I525" s="82" t="n">
        <v>191063.522</v>
      </c>
      <c r="J525" s="82" t="n">
        <v>40118.355</v>
      </c>
      <c r="K525" s="82" t="n">
        <v>21052104000</v>
      </c>
      <c r="L525" s="83" t="n">
        <v>4.8</v>
      </c>
      <c r="M525" s="82" t="n">
        <v>4460.8331</v>
      </c>
      <c r="N525" s="82" t="n">
        <v>72941505</v>
      </c>
      <c r="O525" s="82" t="n">
        <v>389205.323</v>
      </c>
      <c r="P525" s="83" t="n">
        <v>0</v>
      </c>
      <c r="Q525" s="83" t="n">
        <v>680</v>
      </c>
      <c r="R525" s="47" t="n">
        <v>1</v>
      </c>
      <c r="S525" s="66" t="s">
        <v>822</v>
      </c>
    </row>
    <row r="526" customFormat="false" ht="15" hidden="false" customHeight="false" outlineLevel="0" collapsed="false">
      <c r="A526" s="79" t="s">
        <v>820</v>
      </c>
      <c r="B526" s="79" t="s">
        <v>274</v>
      </c>
      <c r="C526" s="80" t="n">
        <v>2026</v>
      </c>
      <c r="D526" s="80" t="n">
        <v>1</v>
      </c>
      <c r="E526" s="81" t="n">
        <v>46112</v>
      </c>
      <c r="F526" s="79" t="s">
        <v>271</v>
      </c>
      <c r="G526" s="79" t="s">
        <v>272</v>
      </c>
      <c r="H526" s="79" t="s">
        <v>268</v>
      </c>
      <c r="I526" s="82" t="n">
        <v>173662.152</v>
      </c>
      <c r="J526" s="82" t="n">
        <v>34849.839</v>
      </c>
      <c r="K526" s="82" t="n">
        <v>14147537000</v>
      </c>
      <c r="L526" s="83" t="n">
        <v>3.24</v>
      </c>
      <c r="M526" s="82" t="n">
        <v>4447.0298</v>
      </c>
      <c r="N526" s="82" t="n">
        <v>72941505</v>
      </c>
      <c r="O526" s="82" t="n">
        <v>350617.392</v>
      </c>
      <c r="P526" s="83" t="n">
        <v>0</v>
      </c>
      <c r="Q526" s="83" t="n">
        <v>328.5</v>
      </c>
      <c r="R526" s="47" t="n">
        <v>2</v>
      </c>
      <c r="S526" s="66" t="s">
        <v>823</v>
      </c>
    </row>
    <row r="527" customFormat="false" ht="15" hidden="false" customHeight="false" outlineLevel="0" collapsed="false">
      <c r="A527" s="79" t="s">
        <v>820</v>
      </c>
      <c r="B527" s="79" t="s">
        <v>276</v>
      </c>
      <c r="C527" s="80" t="n">
        <v>2025</v>
      </c>
      <c r="D527" s="80" t="n">
        <v>4</v>
      </c>
      <c r="E527" s="81" t="n">
        <v>46022</v>
      </c>
      <c r="F527" s="79" t="s">
        <v>271</v>
      </c>
      <c r="G527" s="79" t="s">
        <v>272</v>
      </c>
      <c r="H527" s="79" t="s">
        <v>268</v>
      </c>
      <c r="I527" s="82" t="n">
        <v>177915.237</v>
      </c>
      <c r="J527" s="82" t="n">
        <v>34735.876</v>
      </c>
      <c r="K527" s="82" t="n">
        <v>14713516000</v>
      </c>
      <c r="L527" s="83" t="n">
        <v>3.38</v>
      </c>
      <c r="M527" s="82" t="n">
        <v>4436.142</v>
      </c>
      <c r="N527" s="82" t="n">
        <v>72941505</v>
      </c>
      <c r="O527" s="82" t="n">
        <v>346899.908</v>
      </c>
      <c r="P527" s="83" t="n">
        <v>0</v>
      </c>
      <c r="Q527" s="83" t="n">
        <v>250.5</v>
      </c>
      <c r="R527" s="47" t="n">
        <v>3</v>
      </c>
      <c r="S527" s="66" t="s">
        <v>824</v>
      </c>
    </row>
    <row r="528" customFormat="false" ht="15" hidden="false" customHeight="false" outlineLevel="0" collapsed="false">
      <c r="A528" s="79" t="s">
        <v>820</v>
      </c>
      <c r="B528" s="79" t="s">
        <v>278</v>
      </c>
      <c r="C528" s="80" t="n">
        <v>2025</v>
      </c>
      <c r="D528" s="80" t="n">
        <v>3</v>
      </c>
      <c r="E528" s="81" t="n">
        <v>45930</v>
      </c>
      <c r="F528" s="79" t="s">
        <v>271</v>
      </c>
      <c r="G528" s="79" t="s">
        <v>272</v>
      </c>
      <c r="H528" s="79" t="s">
        <v>268</v>
      </c>
      <c r="I528" s="82" t="n">
        <v>168568.888</v>
      </c>
      <c r="J528" s="82" t="n">
        <v>28876.742</v>
      </c>
      <c r="K528" s="82" t="n">
        <v>10869762000</v>
      </c>
      <c r="L528" s="83" t="n">
        <v>2.5</v>
      </c>
      <c r="M528" s="82" t="n">
        <v>4422.1752</v>
      </c>
      <c r="N528" s="82" t="n">
        <v>72941505</v>
      </c>
      <c r="O528" s="82" t="n">
        <v>317042.622</v>
      </c>
      <c r="P528" s="83" t="n">
        <v>5.29612031</v>
      </c>
      <c r="Q528" s="83" t="n">
        <v>164</v>
      </c>
      <c r="R528" s="47" t="n">
        <v>4</v>
      </c>
      <c r="S528" s="66" t="s">
        <v>825</v>
      </c>
    </row>
    <row r="529" customFormat="false" ht="15" hidden="false" customHeight="false" outlineLevel="0" collapsed="false">
      <c r="A529" s="79" t="s">
        <v>820</v>
      </c>
      <c r="B529" s="79" t="s">
        <v>280</v>
      </c>
      <c r="C529" s="80" t="n">
        <v>2025</v>
      </c>
      <c r="D529" s="80" t="n">
        <v>2</v>
      </c>
      <c r="E529" s="81" t="n">
        <v>45838</v>
      </c>
      <c r="F529" s="79" t="s">
        <v>271</v>
      </c>
      <c r="G529" s="79" t="s">
        <v>272</v>
      </c>
      <c r="H529" s="79" t="s">
        <v>268</v>
      </c>
      <c r="I529" s="82" t="n">
        <v>150750.323</v>
      </c>
      <c r="J529" s="82" t="n">
        <v>25687.52</v>
      </c>
      <c r="K529" s="82" t="n">
        <v>7521085000</v>
      </c>
      <c r="L529" s="83" t="n">
        <v>1.74</v>
      </c>
      <c r="M529" s="82" t="n">
        <v>4418.9956</v>
      </c>
      <c r="N529" s="82" t="n">
        <v>72941505</v>
      </c>
      <c r="O529" s="82" t="n">
        <v>293770.159</v>
      </c>
      <c r="P529" s="83" t="n">
        <v>0</v>
      </c>
      <c r="Q529" s="83" t="n">
        <v>147.5</v>
      </c>
      <c r="R529" s="47" t="n">
        <v>5</v>
      </c>
      <c r="S529" s="66" t="s">
        <v>826</v>
      </c>
    </row>
    <row r="530" customFormat="false" ht="15" hidden="false" customHeight="false" outlineLevel="0" collapsed="false">
      <c r="A530" s="79" t="s">
        <v>820</v>
      </c>
      <c r="B530" s="79" t="s">
        <v>282</v>
      </c>
      <c r="C530" s="80" t="n">
        <v>2025</v>
      </c>
      <c r="D530" s="80" t="n">
        <v>1</v>
      </c>
      <c r="E530" s="81" t="n">
        <v>45747</v>
      </c>
      <c r="F530" s="79" t="s">
        <v>271</v>
      </c>
      <c r="G530" s="79" t="s">
        <v>272</v>
      </c>
      <c r="H530" s="79" t="s">
        <v>268</v>
      </c>
      <c r="I530" s="82" t="n">
        <v>148153.262</v>
      </c>
      <c r="J530" s="82" t="n">
        <v>24892.736</v>
      </c>
      <c r="K530" s="82" t="n">
        <v>7553833000</v>
      </c>
      <c r="L530" s="83" t="n">
        <v>1.75</v>
      </c>
      <c r="M530" s="82" t="n">
        <v>4414.9305</v>
      </c>
      <c r="N530" s="82" t="n">
        <v>72941505</v>
      </c>
      <c r="O530" s="82" t="n">
        <v>311521.694</v>
      </c>
      <c r="P530" s="83" t="n">
        <v>0</v>
      </c>
      <c r="Q530" s="83" t="n">
        <v>143</v>
      </c>
      <c r="R530" s="47" t="n">
        <v>6</v>
      </c>
      <c r="S530" s="66" t="s">
        <v>827</v>
      </c>
    </row>
    <row r="531" customFormat="false" ht="15" hidden="false" customHeight="false" outlineLevel="0" collapsed="false">
      <c r="A531" s="79" t="s">
        <v>820</v>
      </c>
      <c r="B531" s="79" t="s">
        <v>284</v>
      </c>
      <c r="C531" s="80" t="n">
        <v>2024</v>
      </c>
      <c r="D531" s="80" t="n">
        <v>4</v>
      </c>
      <c r="E531" s="81" t="n">
        <v>45657</v>
      </c>
      <c r="F531" s="79" t="s">
        <v>271</v>
      </c>
      <c r="G531" s="79" t="s">
        <v>272</v>
      </c>
      <c r="H531" s="79" t="s">
        <v>268</v>
      </c>
      <c r="I531" s="82" t="n">
        <v>162263.561</v>
      </c>
      <c r="J531" s="82" t="n">
        <v>26624.622</v>
      </c>
      <c r="K531" s="82" t="n">
        <v>9378473000</v>
      </c>
      <c r="L531" s="83" t="n">
        <v>2.17</v>
      </c>
      <c r="M531" s="82" t="n">
        <v>4412.0643</v>
      </c>
      <c r="N531" s="82" t="n">
        <v>72941505</v>
      </c>
      <c r="O531" s="82" t="n">
        <v>323523.012</v>
      </c>
      <c r="P531" s="83" t="n">
        <v>0</v>
      </c>
      <c r="Q531" s="83" t="n">
        <v>162</v>
      </c>
      <c r="R531" s="47" t="n">
        <v>7</v>
      </c>
      <c r="S531" s="66" t="s">
        <v>828</v>
      </c>
    </row>
    <row r="532" customFormat="false" ht="15" hidden="false" customHeight="false" outlineLevel="0" collapsed="false">
      <c r="A532" s="79" t="s">
        <v>820</v>
      </c>
      <c r="B532" s="79" t="s">
        <v>286</v>
      </c>
      <c r="C532" s="80" t="n">
        <v>2024</v>
      </c>
      <c r="D532" s="80" t="n">
        <v>3</v>
      </c>
      <c r="E532" s="81" t="n">
        <v>45565</v>
      </c>
      <c r="F532" s="79" t="s">
        <v>271</v>
      </c>
      <c r="G532" s="79" t="s">
        <v>272</v>
      </c>
      <c r="H532" s="79" t="s">
        <v>268</v>
      </c>
      <c r="I532" s="82" t="n">
        <v>160105.106</v>
      </c>
      <c r="J532" s="82" t="n">
        <v>26373.145</v>
      </c>
      <c r="K532" s="82" t="n">
        <v>9639048000</v>
      </c>
      <c r="L532" s="83" t="n">
        <v>2.24</v>
      </c>
      <c r="M532" s="82" t="n">
        <v>4406.6781</v>
      </c>
      <c r="N532" s="82" t="n">
        <v>72941505</v>
      </c>
      <c r="O532" s="82" t="n">
        <v>309399.226</v>
      </c>
      <c r="P532" s="83" t="n">
        <v>5.20228257</v>
      </c>
      <c r="Q532" s="83" t="n">
        <v>151</v>
      </c>
      <c r="R532" s="47" t="n">
        <v>8</v>
      </c>
      <c r="S532" s="66" t="s">
        <v>829</v>
      </c>
    </row>
    <row r="533" customFormat="false" ht="15" hidden="false" customHeight="false" outlineLevel="0" collapsed="false">
      <c r="A533" s="79" t="s">
        <v>820</v>
      </c>
      <c r="B533" s="79" t="s">
        <v>288</v>
      </c>
      <c r="C533" s="80" t="n">
        <v>2024</v>
      </c>
      <c r="D533" s="80" t="n">
        <v>2</v>
      </c>
      <c r="E533" s="81" t="n">
        <v>45473</v>
      </c>
      <c r="F533" s="79" t="s">
        <v>271</v>
      </c>
      <c r="G533" s="79" t="s">
        <v>272</v>
      </c>
      <c r="H533" s="79" t="s">
        <v>268</v>
      </c>
      <c r="I533" s="82" t="n">
        <v>140238.063</v>
      </c>
      <c r="J533" s="82" t="n">
        <v>23065.931</v>
      </c>
      <c r="K533" s="82" t="n">
        <v>7783449000</v>
      </c>
      <c r="L533" s="83" t="n">
        <v>1.8</v>
      </c>
      <c r="M533" s="82" t="n">
        <v>4392.5502</v>
      </c>
      <c r="N533" s="82" t="n">
        <v>72941505</v>
      </c>
      <c r="O533" s="82" t="n">
        <v>302347.884</v>
      </c>
      <c r="P533" s="83" t="n">
        <v>0</v>
      </c>
      <c r="Q533" s="83" t="n">
        <v>168.5</v>
      </c>
      <c r="R533" s="47" t="n">
        <v>9</v>
      </c>
      <c r="S533" s="66" t="s">
        <v>830</v>
      </c>
    </row>
    <row r="534" customFormat="false" ht="15" hidden="false" customHeight="false" outlineLevel="0" collapsed="false">
      <c r="A534" s="79" t="s">
        <v>820</v>
      </c>
      <c r="B534" s="79" t="s">
        <v>290</v>
      </c>
      <c r="C534" s="80" t="n">
        <v>2024</v>
      </c>
      <c r="D534" s="80" t="n">
        <v>1</v>
      </c>
      <c r="E534" s="81" t="n">
        <v>45382</v>
      </c>
      <c r="F534" s="79" t="s">
        <v>271</v>
      </c>
      <c r="G534" s="79" t="s">
        <v>272</v>
      </c>
      <c r="H534" s="79" t="s">
        <v>268</v>
      </c>
      <c r="I534" s="82" t="n">
        <v>132802.855</v>
      </c>
      <c r="J534" s="82" t="n">
        <v>20868.046</v>
      </c>
      <c r="K534" s="82" t="n">
        <v>5681509000</v>
      </c>
      <c r="L534" s="83" t="n">
        <v>1.32</v>
      </c>
      <c r="M534" s="82" t="n">
        <v>4384.4117</v>
      </c>
      <c r="N534" s="82" t="n">
        <v>72941505</v>
      </c>
      <c r="O534" s="82" t="n">
        <v>290995.666</v>
      </c>
      <c r="P534" s="83" t="n">
        <v>0</v>
      </c>
      <c r="Q534" s="83" t="n">
        <v>161</v>
      </c>
      <c r="R534" s="47" t="n">
        <v>10</v>
      </c>
      <c r="S534" s="66" t="s">
        <v>831</v>
      </c>
    </row>
    <row r="535" customFormat="false" ht="15" hidden="false" customHeight="false" outlineLevel="0" collapsed="false">
      <c r="A535" s="79" t="s">
        <v>820</v>
      </c>
      <c r="B535" s="79" t="s">
        <v>292</v>
      </c>
      <c r="C535" s="80" t="n">
        <v>2023</v>
      </c>
      <c r="D535" s="80" t="n">
        <v>4</v>
      </c>
      <c r="E535" s="81" t="n">
        <v>45291</v>
      </c>
      <c r="F535" s="79" t="s">
        <v>271</v>
      </c>
      <c r="G535" s="79" t="s">
        <v>272</v>
      </c>
      <c r="H535" s="79" t="s">
        <v>268</v>
      </c>
      <c r="I535" s="82" t="n">
        <v>160581.201</v>
      </c>
      <c r="J535" s="82" t="n">
        <v>25761.324</v>
      </c>
      <c r="K535" s="82" t="n">
        <v>9391973000</v>
      </c>
      <c r="L535" s="83" t="n">
        <v>2.19</v>
      </c>
      <c r="M535" s="82" t="n">
        <v>4380.1992</v>
      </c>
      <c r="N535" s="82" t="n">
        <v>72941505</v>
      </c>
      <c r="O535" s="82" t="n">
        <v>297825.441</v>
      </c>
      <c r="P535" s="83" t="n">
        <v>0</v>
      </c>
      <c r="Q535" s="83" t="n">
        <v>135</v>
      </c>
      <c r="R535" s="47" t="n">
        <v>11</v>
      </c>
      <c r="S535" s="66" t="s">
        <v>832</v>
      </c>
    </row>
    <row r="536" customFormat="false" ht="15" hidden="false" customHeight="false" outlineLevel="0" collapsed="false">
      <c r="A536" s="79" t="s">
        <v>820</v>
      </c>
      <c r="B536" s="79" t="s">
        <v>294</v>
      </c>
      <c r="C536" s="80" t="n">
        <v>2023</v>
      </c>
      <c r="D536" s="80" t="n">
        <v>3</v>
      </c>
      <c r="E536" s="81" t="n">
        <v>45199</v>
      </c>
      <c r="F536" s="79" t="s">
        <v>271</v>
      </c>
      <c r="G536" s="79" t="s">
        <v>272</v>
      </c>
      <c r="H536" s="79" t="s">
        <v>268</v>
      </c>
      <c r="I536" s="82" t="n">
        <v>154166.845</v>
      </c>
      <c r="J536" s="82" t="n">
        <v>24915.662</v>
      </c>
      <c r="K536" s="82" t="n">
        <v>8775842000</v>
      </c>
      <c r="L536" s="83" t="n">
        <v>2.04</v>
      </c>
      <c r="M536" s="82" t="n">
        <v>4376.3608</v>
      </c>
      <c r="N536" s="82" t="n">
        <v>72941505</v>
      </c>
      <c r="O536" s="82" t="n">
        <v>295610.631</v>
      </c>
      <c r="P536" s="83" t="n">
        <v>0</v>
      </c>
      <c r="Q536" s="83" t="n">
        <v>109.5</v>
      </c>
      <c r="R536" s="47" t="n">
        <v>12</v>
      </c>
      <c r="S536" s="66" t="s">
        <v>833</v>
      </c>
    </row>
    <row r="537" customFormat="false" ht="15" hidden="false" customHeight="false" outlineLevel="0" collapsed="false">
      <c r="A537" s="79" t="s">
        <v>820</v>
      </c>
      <c r="B537" s="79" t="s">
        <v>296</v>
      </c>
      <c r="C537" s="80" t="n">
        <v>2023</v>
      </c>
      <c r="D537" s="80" t="n">
        <v>2</v>
      </c>
      <c r="E537" s="81" t="n">
        <v>45107</v>
      </c>
      <c r="F537" s="79" t="s">
        <v>271</v>
      </c>
      <c r="G537" s="79" t="s">
        <v>272</v>
      </c>
      <c r="H537" s="79" t="s">
        <v>268</v>
      </c>
      <c r="I537" s="82" t="n">
        <v>136275.352</v>
      </c>
      <c r="J537" s="82" t="n">
        <v>21740.823</v>
      </c>
      <c r="K537" s="82" t="n">
        <v>7740423000</v>
      </c>
      <c r="L537" s="83" t="n">
        <v>1.8</v>
      </c>
      <c r="M537" s="82" t="n">
        <v>4373.4359</v>
      </c>
      <c r="N537" s="82" t="n">
        <v>72941505</v>
      </c>
      <c r="O537" s="82" t="n">
        <v>278623.853</v>
      </c>
      <c r="P537" s="83" t="n">
        <v>8.7931696</v>
      </c>
      <c r="Q537" s="83" t="n">
        <v>110.5</v>
      </c>
      <c r="R537" s="47" t="n">
        <v>13</v>
      </c>
      <c r="S537" s="66" t="s">
        <v>834</v>
      </c>
    </row>
    <row r="538" customFormat="false" ht="15" hidden="false" customHeight="false" outlineLevel="0" collapsed="false">
      <c r="A538" s="79" t="s">
        <v>820</v>
      </c>
      <c r="B538" s="79" t="s">
        <v>298</v>
      </c>
      <c r="C538" s="80" t="n">
        <v>2023</v>
      </c>
      <c r="D538" s="80" t="n">
        <v>1</v>
      </c>
      <c r="E538" s="81" t="n">
        <v>45016</v>
      </c>
      <c r="F538" s="79" t="s">
        <v>271</v>
      </c>
      <c r="G538" s="79" t="s">
        <v>272</v>
      </c>
      <c r="H538" s="79" t="s">
        <v>268</v>
      </c>
      <c r="I538" s="82" t="n">
        <v>130891.073</v>
      </c>
      <c r="J538" s="82" t="n">
        <v>19339.323</v>
      </c>
      <c r="K538" s="82" t="n">
        <v>5817165000</v>
      </c>
      <c r="L538" s="83" t="n">
        <v>1.36</v>
      </c>
      <c r="M538" s="82" t="n">
        <v>4367.2429</v>
      </c>
      <c r="N538" s="82" t="n">
        <v>72941505</v>
      </c>
      <c r="O538" s="82" t="n">
        <v>270651.349</v>
      </c>
      <c r="P538" s="83" t="n">
        <v>0</v>
      </c>
      <c r="Q538" s="83" t="n">
        <v>112.5</v>
      </c>
      <c r="R538" s="47" t="n">
        <v>14</v>
      </c>
      <c r="S538" s="66" t="s">
        <v>835</v>
      </c>
    </row>
    <row r="539" customFormat="false" ht="15" hidden="false" customHeight="false" outlineLevel="0" collapsed="false">
      <c r="A539" s="79" t="s">
        <v>820</v>
      </c>
      <c r="B539" s="79" t="s">
        <v>300</v>
      </c>
      <c r="C539" s="80" t="n">
        <v>2022</v>
      </c>
      <c r="D539" s="80" t="n">
        <v>4</v>
      </c>
      <c r="E539" s="81" t="n">
        <v>44926</v>
      </c>
      <c r="F539" s="79" t="s">
        <v>271</v>
      </c>
      <c r="G539" s="79" t="s">
        <v>272</v>
      </c>
      <c r="H539" s="79" t="s">
        <v>268</v>
      </c>
      <c r="I539" s="82" t="n">
        <v>177417.239</v>
      </c>
      <c r="J539" s="82" t="n">
        <v>34099.25</v>
      </c>
      <c r="K539" s="82" t="n">
        <v>15730435000</v>
      </c>
      <c r="L539" s="83" t="n">
        <v>3.79</v>
      </c>
      <c r="M539" s="82" t="n">
        <v>4364.2185</v>
      </c>
      <c r="N539" s="82" t="n">
        <v>72941505</v>
      </c>
      <c r="O539" s="82" t="n">
        <v>301285.248</v>
      </c>
      <c r="P539" s="83" t="n">
        <v>0</v>
      </c>
      <c r="Q539" s="83" t="n">
        <v>93.9</v>
      </c>
      <c r="R539" s="47" t="n">
        <v>15</v>
      </c>
      <c r="S539" s="66" t="s">
        <v>836</v>
      </c>
    </row>
    <row r="540" customFormat="false" ht="15" hidden="false" customHeight="false" outlineLevel="0" collapsed="false">
      <c r="A540" s="79" t="s">
        <v>820</v>
      </c>
      <c r="B540" s="79" t="s">
        <v>302</v>
      </c>
      <c r="C540" s="80" t="n">
        <v>2022</v>
      </c>
      <c r="D540" s="80" t="n">
        <v>3</v>
      </c>
      <c r="E540" s="81" t="n">
        <v>44834</v>
      </c>
      <c r="F540" s="79" t="s">
        <v>271</v>
      </c>
      <c r="G540" s="79" t="s">
        <v>272</v>
      </c>
      <c r="H540" s="79" t="s">
        <v>268</v>
      </c>
      <c r="I540" s="82" t="n">
        <v>188625.557</v>
      </c>
      <c r="J540" s="82" t="n">
        <v>37971.974</v>
      </c>
      <c r="K540" s="82" t="n">
        <v>17464626000</v>
      </c>
      <c r="L540" s="83" t="n">
        <v>4.03</v>
      </c>
      <c r="M540" s="82" t="n">
        <v>4359.928</v>
      </c>
      <c r="N540" s="82" t="n">
        <v>72941505</v>
      </c>
      <c r="O540" s="82" t="n">
        <v>288361.421</v>
      </c>
      <c r="P540" s="83" t="n">
        <v>0</v>
      </c>
      <c r="Q540" s="83" t="n">
        <v>80.1</v>
      </c>
      <c r="R540" s="47" t="n">
        <v>16</v>
      </c>
      <c r="S540" s="66" t="s">
        <v>837</v>
      </c>
    </row>
    <row r="541" customFormat="false" ht="15" hidden="false" customHeight="false" outlineLevel="0" collapsed="false">
      <c r="A541" s="79" t="s">
        <v>820</v>
      </c>
      <c r="B541" s="79" t="s">
        <v>304</v>
      </c>
      <c r="C541" s="80" t="n">
        <v>2022</v>
      </c>
      <c r="D541" s="80" t="n">
        <v>2</v>
      </c>
      <c r="E541" s="81" t="n">
        <v>44742</v>
      </c>
      <c r="F541" s="79" t="s">
        <v>271</v>
      </c>
      <c r="G541" s="79" t="s">
        <v>272</v>
      </c>
      <c r="H541" s="79" t="s">
        <v>268</v>
      </c>
      <c r="I541" s="82" t="n">
        <v>160439.02</v>
      </c>
      <c r="J541" s="82" t="n">
        <v>34387.56</v>
      </c>
      <c r="K541" s="82" t="n">
        <v>15988151000</v>
      </c>
      <c r="L541" s="83" t="n">
        <v>3.69</v>
      </c>
      <c r="M541" s="82" t="n">
        <v>4357.5089</v>
      </c>
      <c r="N541" s="82" t="n">
        <v>72941505</v>
      </c>
      <c r="O541" s="82" t="n">
        <v>263039.09</v>
      </c>
      <c r="P541" s="83" t="n">
        <v>6.9959828</v>
      </c>
      <c r="Q541" s="83" t="n">
        <v>76.4</v>
      </c>
      <c r="R541" s="47" t="n">
        <v>17</v>
      </c>
      <c r="S541" s="66" t="s">
        <v>838</v>
      </c>
    </row>
    <row r="542" customFormat="false" ht="15" hidden="false" customHeight="false" outlineLevel="0" collapsed="false">
      <c r="A542" s="79" t="s">
        <v>820</v>
      </c>
      <c r="B542" s="79" t="s">
        <v>306</v>
      </c>
      <c r="C542" s="80" t="n">
        <v>2022</v>
      </c>
      <c r="D542" s="80" t="n">
        <v>1</v>
      </c>
      <c r="E542" s="81" t="n">
        <v>44651</v>
      </c>
      <c r="F542" s="79" t="s">
        <v>271</v>
      </c>
      <c r="G542" s="79" t="s">
        <v>272</v>
      </c>
      <c r="H542" s="79" t="s">
        <v>268</v>
      </c>
      <c r="I542" s="82" t="n">
        <v>144390.827</v>
      </c>
      <c r="J542" s="82" t="n">
        <v>28471.228</v>
      </c>
      <c r="K542" s="82" t="n">
        <v>12907282000</v>
      </c>
      <c r="L542" s="83" t="n">
        <v>3.01</v>
      </c>
      <c r="M542" s="82" t="n">
        <v>4353.0188</v>
      </c>
      <c r="N542" s="82" t="n">
        <v>72941505</v>
      </c>
      <c r="O542" s="82" t="n">
        <v>248373.426</v>
      </c>
      <c r="P542" s="83" t="n">
        <v>0</v>
      </c>
      <c r="Q542" s="83" t="n">
        <v>103.5</v>
      </c>
      <c r="R542" s="47" t="n">
        <v>18</v>
      </c>
      <c r="S542" s="66" t="s">
        <v>839</v>
      </c>
    </row>
    <row r="543" customFormat="false" ht="15" hidden="false" customHeight="false" outlineLevel="0" collapsed="false">
      <c r="A543" s="79" t="s">
        <v>820</v>
      </c>
      <c r="B543" s="79" t="s">
        <v>308</v>
      </c>
      <c r="C543" s="80" t="n">
        <v>2021</v>
      </c>
      <c r="D543" s="80" t="n">
        <v>4</v>
      </c>
      <c r="E543" s="81" t="n">
        <v>44561</v>
      </c>
      <c r="F543" s="79" t="s">
        <v>271</v>
      </c>
      <c r="G543" s="79" t="s">
        <v>272</v>
      </c>
      <c r="H543" s="79" t="s">
        <v>268</v>
      </c>
      <c r="I543" s="82" t="n">
        <v>172936.186</v>
      </c>
      <c r="J543" s="82" t="n">
        <v>32894.294</v>
      </c>
      <c r="K543" s="82" t="n">
        <v>30915852000</v>
      </c>
      <c r="L543" s="83" t="n">
        <v>7.18</v>
      </c>
      <c r="M543" s="82" t="n">
        <v>4403.4146</v>
      </c>
      <c r="N543" s="82" t="n">
        <v>126008505</v>
      </c>
      <c r="O543" s="82" t="n">
        <v>260076.714</v>
      </c>
      <c r="P543" s="83" t="n">
        <v>0</v>
      </c>
      <c r="Q543" s="83" t="n">
        <v>106.5</v>
      </c>
      <c r="R543" s="47" t="n">
        <v>19</v>
      </c>
      <c r="S543" s="66" t="s">
        <v>840</v>
      </c>
    </row>
    <row r="544" customFormat="false" ht="15" hidden="false" customHeight="false" outlineLevel="0" collapsed="false">
      <c r="A544" s="79" t="s">
        <v>820</v>
      </c>
      <c r="B544" s="79" t="s">
        <v>310</v>
      </c>
      <c r="C544" s="80" t="n">
        <v>2021</v>
      </c>
      <c r="D544" s="80" t="n">
        <v>3</v>
      </c>
      <c r="E544" s="81" t="n">
        <v>44469</v>
      </c>
      <c r="F544" s="79" t="s">
        <v>271</v>
      </c>
      <c r="G544" s="79" t="s">
        <v>272</v>
      </c>
      <c r="H544" s="79" t="s">
        <v>268</v>
      </c>
      <c r="I544" s="82" t="n">
        <v>150664.816</v>
      </c>
      <c r="J544" s="82" t="n">
        <v>30783.963</v>
      </c>
      <c r="K544" s="82" t="n">
        <v>14176280000</v>
      </c>
      <c r="L544" s="83" t="n">
        <v>3.29</v>
      </c>
      <c r="M544" s="82" t="n">
        <v>4382.9324</v>
      </c>
      <c r="N544" s="82" t="n">
        <v>72941505</v>
      </c>
      <c r="O544" s="82" t="n">
        <v>235186.09</v>
      </c>
      <c r="P544" s="83" t="n">
        <v>4.19149913</v>
      </c>
      <c r="Q544" s="83" t="n">
        <v>109</v>
      </c>
      <c r="R544" s="47" t="n">
        <v>20</v>
      </c>
      <c r="S544" s="66" t="s">
        <v>841</v>
      </c>
    </row>
    <row r="545" customFormat="false" ht="15" hidden="false" customHeight="false" outlineLevel="0" collapsed="false">
      <c r="A545" s="79" t="s">
        <v>820</v>
      </c>
      <c r="B545" s="79" t="s">
        <v>312</v>
      </c>
      <c r="C545" s="80" t="n">
        <v>2021</v>
      </c>
      <c r="D545" s="80" t="n">
        <v>2</v>
      </c>
      <c r="E545" s="81" t="n">
        <v>44377</v>
      </c>
      <c r="F545" s="79" t="s">
        <v>271</v>
      </c>
      <c r="G545" s="79" t="s">
        <v>272</v>
      </c>
      <c r="H545" s="79" t="s">
        <v>268</v>
      </c>
      <c r="I545" s="82" t="n">
        <v>126926.347</v>
      </c>
      <c r="J545" s="82" t="n">
        <v>24662.478</v>
      </c>
      <c r="K545" s="82" t="n">
        <v>10249964000</v>
      </c>
      <c r="L545" s="83" t="n">
        <v>2.4</v>
      </c>
      <c r="M545" s="82" t="n">
        <v>4379.428</v>
      </c>
      <c r="N545" s="82" t="n">
        <v>72941505</v>
      </c>
      <c r="O545" s="82" t="n">
        <v>238993.243</v>
      </c>
      <c r="P545" s="83" t="n">
        <v>0</v>
      </c>
      <c r="Q545" s="83" t="n">
        <v>112</v>
      </c>
      <c r="R545" s="47" t="n">
        <v>21</v>
      </c>
      <c r="S545" s="66" t="s">
        <v>842</v>
      </c>
    </row>
    <row r="546" customFormat="false" ht="15" hidden="false" customHeight="false" outlineLevel="0" collapsed="false">
      <c r="A546" s="79" t="s">
        <v>820</v>
      </c>
      <c r="B546" s="79" t="s">
        <v>314</v>
      </c>
      <c r="C546" s="80" t="n">
        <v>2021</v>
      </c>
      <c r="D546" s="80" t="n">
        <v>1</v>
      </c>
      <c r="E546" s="81" t="n">
        <v>44286</v>
      </c>
      <c r="F546" s="79" t="s">
        <v>271</v>
      </c>
      <c r="G546" s="79" t="s">
        <v>272</v>
      </c>
      <c r="H546" s="79" t="s">
        <v>268</v>
      </c>
      <c r="I546" s="82" t="n">
        <v>119469.784</v>
      </c>
      <c r="J546" s="82" t="n">
        <v>22028.042</v>
      </c>
      <c r="K546" s="82" t="n">
        <v>8565584000</v>
      </c>
      <c r="L546" s="83" t="n">
        <v>1.99</v>
      </c>
      <c r="M546" s="82" t="n">
        <v>4350.6755</v>
      </c>
      <c r="N546" s="82" t="n">
        <v>72941505</v>
      </c>
      <c r="O546" s="82" t="n">
        <v>229757.391</v>
      </c>
      <c r="P546" s="83" t="n">
        <v>0</v>
      </c>
      <c r="Q546" s="83" t="n">
        <v>107.5</v>
      </c>
      <c r="R546" s="47" t="n">
        <v>22</v>
      </c>
      <c r="S546" s="66" t="s">
        <v>843</v>
      </c>
    </row>
    <row r="547" customFormat="false" ht="15" hidden="false" customHeight="false" outlineLevel="0" collapsed="false">
      <c r="A547" s="79" t="s">
        <v>820</v>
      </c>
      <c r="B547" s="79" t="s">
        <v>316</v>
      </c>
      <c r="C547" s="80" t="n">
        <v>2020</v>
      </c>
      <c r="D547" s="80" t="n">
        <v>4</v>
      </c>
      <c r="E547" s="81" t="n">
        <v>44196</v>
      </c>
      <c r="F547" s="79" t="s">
        <v>271</v>
      </c>
      <c r="G547" s="79" t="s">
        <v>272</v>
      </c>
      <c r="H547" s="79" t="s">
        <v>268</v>
      </c>
      <c r="I547" s="82" t="n">
        <v>148877.383</v>
      </c>
      <c r="J547" s="82" t="n">
        <v>23299.411</v>
      </c>
      <c r="K547" s="82" t="n">
        <v>10044034000</v>
      </c>
      <c r="L547" s="83" t="n">
        <v>2.35</v>
      </c>
      <c r="M547" s="82" t="n">
        <v>4338.5311</v>
      </c>
      <c r="N547" s="82" t="n">
        <v>72941505</v>
      </c>
      <c r="O547" s="82" t="n">
        <v>218635.019</v>
      </c>
      <c r="P547" s="83" t="n">
        <v>0</v>
      </c>
      <c r="Q547" s="83" t="n">
        <v>81.3</v>
      </c>
      <c r="R547" s="47" t="n">
        <v>23</v>
      </c>
      <c r="S547" s="66" t="s">
        <v>844</v>
      </c>
    </row>
    <row r="548" customFormat="false" ht="15" hidden="false" customHeight="false" outlineLevel="0" collapsed="false">
      <c r="A548" s="79" t="s">
        <v>820</v>
      </c>
      <c r="B548" s="79" t="s">
        <v>318</v>
      </c>
      <c r="C548" s="80" t="n">
        <v>2020</v>
      </c>
      <c r="D548" s="80" t="n">
        <v>3</v>
      </c>
      <c r="E548" s="81" t="n">
        <v>44104</v>
      </c>
      <c r="F548" s="79" t="s">
        <v>271</v>
      </c>
      <c r="G548" s="79" t="s">
        <v>272</v>
      </c>
      <c r="H548" s="79" t="s">
        <v>268</v>
      </c>
      <c r="I548" s="82" t="n">
        <v>123195.399</v>
      </c>
      <c r="J548" s="82" t="n">
        <v>19719.808</v>
      </c>
      <c r="K548" s="82" t="n">
        <v>6712720000</v>
      </c>
      <c r="L548" s="83" t="n">
        <v>1.57</v>
      </c>
      <c r="M548" s="82" t="n">
        <v>4338.3451</v>
      </c>
      <c r="N548" s="82" t="n">
        <v>72941505</v>
      </c>
      <c r="O548" s="82" t="n">
        <v>205509.934</v>
      </c>
      <c r="P548" s="83"/>
      <c r="Q548" s="83" t="n">
        <v>59.2</v>
      </c>
      <c r="R548" s="47" t="n">
        <v>24</v>
      </c>
      <c r="S548" s="66" t="s">
        <v>845</v>
      </c>
    </row>
    <row r="549" customFormat="false" ht="15" hidden="false" customHeight="false" outlineLevel="0" collapsed="false">
      <c r="A549" s="79" t="s">
        <v>226</v>
      </c>
      <c r="B549" s="79" t="s">
        <v>265</v>
      </c>
      <c r="C549" s="80" t="n">
        <v>2026</v>
      </c>
      <c r="D549" s="80" t="n">
        <v>3</v>
      </c>
      <c r="E549" s="81" t="n">
        <v>46295</v>
      </c>
      <c r="F549" s="79" t="s">
        <v>266</v>
      </c>
      <c r="G549" s="79" t="s">
        <v>267</v>
      </c>
      <c r="H549" s="79" t="s">
        <v>268</v>
      </c>
      <c r="I549" s="82"/>
      <c r="J549" s="82"/>
      <c r="K549" s="82"/>
      <c r="L549" s="83" t="n">
        <v>1.47057</v>
      </c>
      <c r="M549" s="82"/>
      <c r="N549" s="82"/>
      <c r="O549" s="82"/>
      <c r="P549" s="83"/>
      <c r="Q549" s="83"/>
      <c r="R549" s="47" t="n">
        <v>0</v>
      </c>
      <c r="S549" s="66" t="s">
        <v>846</v>
      </c>
    </row>
    <row r="550" customFormat="false" ht="15" hidden="false" customHeight="false" outlineLevel="0" collapsed="false">
      <c r="A550" s="79" t="s">
        <v>226</v>
      </c>
      <c r="B550" s="79" t="s">
        <v>270</v>
      </c>
      <c r="C550" s="80" t="n">
        <v>2026</v>
      </c>
      <c r="D550" s="80" t="n">
        <v>2</v>
      </c>
      <c r="E550" s="81" t="n">
        <v>46203</v>
      </c>
      <c r="F550" s="79" t="s">
        <v>271</v>
      </c>
      <c r="G550" s="79" t="s">
        <v>272</v>
      </c>
      <c r="H550" s="79" t="s">
        <v>268</v>
      </c>
      <c r="I550" s="82" t="n">
        <v>274447.863</v>
      </c>
      <c r="J550" s="82" t="n">
        <v>12156.04</v>
      </c>
      <c r="K550" s="82" t="n">
        <v>4487630000</v>
      </c>
      <c r="L550" s="83" t="n">
        <v>1.68</v>
      </c>
      <c r="M550" s="82" t="n">
        <v>2675.8522</v>
      </c>
      <c r="N550" s="82" t="n">
        <v>0</v>
      </c>
      <c r="O550" s="82" t="n">
        <v>206921.78</v>
      </c>
      <c r="P550" s="83" t="n">
        <v>4.00943684</v>
      </c>
      <c r="Q550" s="83" t="n">
        <v>83.8</v>
      </c>
      <c r="R550" s="47" t="n">
        <v>1</v>
      </c>
      <c r="S550" s="66" t="s">
        <v>847</v>
      </c>
    </row>
    <row r="551" customFormat="false" ht="15" hidden="false" customHeight="false" outlineLevel="0" collapsed="false">
      <c r="A551" s="79" t="s">
        <v>226</v>
      </c>
      <c r="B551" s="79" t="s">
        <v>274</v>
      </c>
      <c r="C551" s="80" t="n">
        <v>2026</v>
      </c>
      <c r="D551" s="80" t="n">
        <v>1</v>
      </c>
      <c r="E551" s="81" t="n">
        <v>46112</v>
      </c>
      <c r="F551" s="79" t="s">
        <v>271</v>
      </c>
      <c r="G551" s="79" t="s">
        <v>272</v>
      </c>
      <c r="H551" s="79" t="s">
        <v>268</v>
      </c>
      <c r="I551" s="82" t="n">
        <v>244105.4</v>
      </c>
      <c r="J551" s="82" t="n">
        <v>10801.479</v>
      </c>
      <c r="K551" s="82" t="n">
        <v>1561454000</v>
      </c>
      <c r="L551" s="83" t="n">
        <v>0.58</v>
      </c>
      <c r="M551" s="82" t="n">
        <v>2682.0441</v>
      </c>
      <c r="N551" s="82" t="n">
        <v>0</v>
      </c>
      <c r="O551" s="82" t="n">
        <v>203044.619</v>
      </c>
      <c r="P551" s="83" t="n">
        <v>0</v>
      </c>
      <c r="Q551" s="83" t="n">
        <v>76.2</v>
      </c>
      <c r="R551" s="47" t="n">
        <v>2</v>
      </c>
      <c r="S551" s="66" t="s">
        <v>848</v>
      </c>
    </row>
    <row r="552" customFormat="false" ht="15" hidden="false" customHeight="false" outlineLevel="0" collapsed="false">
      <c r="A552" s="79" t="s">
        <v>226</v>
      </c>
      <c r="B552" s="79" t="s">
        <v>276</v>
      </c>
      <c r="C552" s="80" t="n">
        <v>2025</v>
      </c>
      <c r="D552" s="80" t="n">
        <v>4</v>
      </c>
      <c r="E552" s="81" t="n">
        <v>46022</v>
      </c>
      <c r="F552" s="79" t="s">
        <v>271</v>
      </c>
      <c r="G552" s="79" t="s">
        <v>272</v>
      </c>
      <c r="H552" s="79" t="s">
        <v>268</v>
      </c>
      <c r="I552" s="82" t="n">
        <v>319527.992</v>
      </c>
      <c r="J552" s="82" t="n">
        <v>13056.531</v>
      </c>
      <c r="K552" s="82" t="n">
        <v>5266952000</v>
      </c>
      <c r="L552" s="83" t="n">
        <v>1.97</v>
      </c>
      <c r="M552" s="82" t="n">
        <v>2682.1651</v>
      </c>
      <c r="N552" s="82" t="n">
        <v>0</v>
      </c>
      <c r="O552" s="82" t="n">
        <v>207343.291</v>
      </c>
      <c r="P552" s="83" t="n">
        <v>0</v>
      </c>
      <c r="Q552" s="83" t="n">
        <v>68.6</v>
      </c>
      <c r="R552" s="47" t="n">
        <v>3</v>
      </c>
      <c r="S552" s="66" t="s">
        <v>849</v>
      </c>
    </row>
    <row r="553" customFormat="false" ht="15" hidden="false" customHeight="false" outlineLevel="0" collapsed="false">
      <c r="A553" s="79" t="s">
        <v>226</v>
      </c>
      <c r="B553" s="79" t="s">
        <v>278</v>
      </c>
      <c r="C553" s="80" t="n">
        <v>2025</v>
      </c>
      <c r="D553" s="80" t="n">
        <v>3</v>
      </c>
      <c r="E553" s="81" t="n">
        <v>45930</v>
      </c>
      <c r="F553" s="79" t="s">
        <v>271</v>
      </c>
      <c r="G553" s="79" t="s">
        <v>272</v>
      </c>
      <c r="H553" s="79" t="s">
        <v>268</v>
      </c>
      <c r="I553" s="82" t="n">
        <v>257863.123</v>
      </c>
      <c r="J553" s="82" t="n">
        <v>10902.151</v>
      </c>
      <c r="K553" s="82" t="n">
        <v>4544904000</v>
      </c>
      <c r="L553" s="83" t="n">
        <v>1.69</v>
      </c>
      <c r="M553" s="82" t="n">
        <v>2682.2001</v>
      </c>
      <c r="N553" s="82" t="n">
        <v>0</v>
      </c>
      <c r="O553" s="82" t="n">
        <v>192763.319</v>
      </c>
      <c r="P553" s="83" t="n">
        <v>0</v>
      </c>
      <c r="Q553" s="83" t="n">
        <v>70.8</v>
      </c>
      <c r="R553" s="47" t="n">
        <v>4</v>
      </c>
      <c r="S553" s="66" t="s">
        <v>850</v>
      </c>
    </row>
    <row r="554" customFormat="false" ht="15" hidden="false" customHeight="false" outlineLevel="0" collapsed="false">
      <c r="A554" s="79" t="s">
        <v>226</v>
      </c>
      <c r="B554" s="79" t="s">
        <v>280</v>
      </c>
      <c r="C554" s="80" t="n">
        <v>2025</v>
      </c>
      <c r="D554" s="80" t="n">
        <v>2</v>
      </c>
      <c r="E554" s="81" t="n">
        <v>45838</v>
      </c>
      <c r="F554" s="79" t="s">
        <v>271</v>
      </c>
      <c r="G554" s="79" t="s">
        <v>272</v>
      </c>
      <c r="H554" s="79" t="s">
        <v>268</v>
      </c>
      <c r="I554" s="82" t="n">
        <v>267335.783</v>
      </c>
      <c r="J554" s="82" t="n">
        <v>8377.372</v>
      </c>
      <c r="K554" s="82" t="n">
        <v>287394000</v>
      </c>
      <c r="L554" s="83" t="n">
        <v>0.11</v>
      </c>
      <c r="M554" s="82" t="n">
        <v>2661.4986</v>
      </c>
      <c r="N554" s="82" t="n">
        <v>0</v>
      </c>
      <c r="O554" s="82" t="n">
        <v>179373.738</v>
      </c>
      <c r="P554" s="83" t="n">
        <v>4.50282529</v>
      </c>
      <c r="Q554" s="83" t="n">
        <v>76.8</v>
      </c>
      <c r="R554" s="47" t="n">
        <v>5</v>
      </c>
      <c r="S554" s="66" t="s">
        <v>851</v>
      </c>
    </row>
    <row r="555" customFormat="false" ht="15" hidden="false" customHeight="false" outlineLevel="0" collapsed="false">
      <c r="A555" s="79" t="s">
        <v>226</v>
      </c>
      <c r="B555" s="79" t="s">
        <v>282</v>
      </c>
      <c r="C555" s="80" t="n">
        <v>2025</v>
      </c>
      <c r="D555" s="80" t="n">
        <v>1</v>
      </c>
      <c r="E555" s="81" t="n">
        <v>45747</v>
      </c>
      <c r="F555" s="79" t="s">
        <v>271</v>
      </c>
      <c r="G555" s="79" t="s">
        <v>272</v>
      </c>
      <c r="H555" s="79" t="s">
        <v>268</v>
      </c>
      <c r="I555" s="82" t="n">
        <v>272433.483</v>
      </c>
      <c r="J555" s="82" t="n">
        <v>10165.206</v>
      </c>
      <c r="K555" s="82" t="n">
        <v>4303350000</v>
      </c>
      <c r="L555" s="83" t="n">
        <v>1.62</v>
      </c>
      <c r="M555" s="82" t="n">
        <v>2663.1576</v>
      </c>
      <c r="N555" s="82" t="n">
        <v>0</v>
      </c>
      <c r="O555" s="82" t="n">
        <v>201731.624</v>
      </c>
      <c r="P555" s="83" t="n">
        <v>0</v>
      </c>
      <c r="Q555" s="83" t="n">
        <v>83.9</v>
      </c>
      <c r="R555" s="47" t="n">
        <v>6</v>
      </c>
      <c r="S555" s="66" t="s">
        <v>852</v>
      </c>
    </row>
    <row r="556" customFormat="false" ht="15" hidden="false" customHeight="false" outlineLevel="0" collapsed="false">
      <c r="A556" s="79" t="s">
        <v>226</v>
      </c>
      <c r="B556" s="79" t="s">
        <v>284</v>
      </c>
      <c r="C556" s="80" t="n">
        <v>2024</v>
      </c>
      <c r="D556" s="80" t="n">
        <v>4</v>
      </c>
      <c r="E556" s="81" t="n">
        <v>45657</v>
      </c>
      <c r="F556" s="79" t="s">
        <v>271</v>
      </c>
      <c r="G556" s="79" t="s">
        <v>272</v>
      </c>
      <c r="H556" s="79" t="s">
        <v>268</v>
      </c>
      <c r="I556" s="82" t="n">
        <v>327003.835</v>
      </c>
      <c r="J556" s="82" t="n">
        <v>11812.814</v>
      </c>
      <c r="K556" s="82" t="n">
        <v>3737433000</v>
      </c>
      <c r="L556" s="83" t="n">
        <v>1.41</v>
      </c>
      <c r="M556" s="82" t="n">
        <v>2663.1771</v>
      </c>
      <c r="N556" s="82" t="n">
        <v>0</v>
      </c>
      <c r="O556" s="82" t="n">
        <v>207093.133</v>
      </c>
      <c r="P556" s="83" t="n">
        <v>0</v>
      </c>
      <c r="Q556" s="83" t="n">
        <v>91.9</v>
      </c>
      <c r="R556" s="47" t="n">
        <v>7</v>
      </c>
      <c r="S556" s="66" t="s">
        <v>853</v>
      </c>
    </row>
    <row r="557" customFormat="false" ht="15" hidden="false" customHeight="false" outlineLevel="0" collapsed="false">
      <c r="A557" s="79" t="s">
        <v>226</v>
      </c>
      <c r="B557" s="79" t="s">
        <v>286</v>
      </c>
      <c r="C557" s="80" t="n">
        <v>2024</v>
      </c>
      <c r="D557" s="80" t="n">
        <v>3</v>
      </c>
      <c r="E557" s="81" t="n">
        <v>45565</v>
      </c>
      <c r="F557" s="79" t="s">
        <v>271</v>
      </c>
      <c r="G557" s="79" t="s">
        <v>272</v>
      </c>
      <c r="H557" s="79" t="s">
        <v>268</v>
      </c>
      <c r="I557" s="82" t="n">
        <v>294230.234</v>
      </c>
      <c r="J557" s="82" t="n">
        <v>12039.642</v>
      </c>
      <c r="K557" s="82" t="n">
        <v>4295665000</v>
      </c>
      <c r="L557" s="83" t="n">
        <v>1.61</v>
      </c>
      <c r="M557" s="82" t="n">
        <v>2663.1881</v>
      </c>
      <c r="N557" s="82" t="n">
        <v>0</v>
      </c>
      <c r="O557" s="82" t="n">
        <v>197756.418</v>
      </c>
      <c r="P557" s="83" t="n">
        <v>0</v>
      </c>
      <c r="Q557" s="83" t="n">
        <v>103</v>
      </c>
      <c r="R557" s="47" t="n">
        <v>8</v>
      </c>
      <c r="S557" s="66" t="s">
        <v>854</v>
      </c>
    </row>
    <row r="558" customFormat="false" ht="15" hidden="false" customHeight="false" outlineLevel="0" collapsed="false">
      <c r="A558" s="79" t="s">
        <v>226</v>
      </c>
      <c r="B558" s="79" t="s">
        <v>288</v>
      </c>
      <c r="C558" s="80" t="n">
        <v>2024</v>
      </c>
      <c r="D558" s="80" t="n">
        <v>2</v>
      </c>
      <c r="E558" s="81" t="n">
        <v>45473</v>
      </c>
      <c r="F558" s="79" t="s">
        <v>271</v>
      </c>
      <c r="G558" s="79" t="s">
        <v>272</v>
      </c>
      <c r="H558" s="79" t="s">
        <v>268</v>
      </c>
      <c r="I558" s="82" t="n">
        <v>253714.792</v>
      </c>
      <c r="J558" s="82" t="n">
        <v>11597.633</v>
      </c>
      <c r="K558" s="82" t="n">
        <v>5586352000</v>
      </c>
      <c r="L558" s="83" t="n">
        <v>2.1</v>
      </c>
      <c r="M558" s="82" t="n">
        <v>2663.7766</v>
      </c>
      <c r="N558" s="82" t="n">
        <v>0</v>
      </c>
      <c r="O558" s="82" t="n">
        <v>197581.024</v>
      </c>
      <c r="P558" s="83" t="n">
        <v>4.00058413</v>
      </c>
      <c r="Q558" s="83" t="n">
        <v>104.5</v>
      </c>
      <c r="R558" s="47" t="n">
        <v>9</v>
      </c>
      <c r="S558" s="66" t="s">
        <v>855</v>
      </c>
    </row>
    <row r="559" customFormat="false" ht="15" hidden="false" customHeight="false" outlineLevel="0" collapsed="false">
      <c r="A559" s="79" t="s">
        <v>226</v>
      </c>
      <c r="B559" s="79" t="s">
        <v>290</v>
      </c>
      <c r="C559" s="80" t="n">
        <v>2024</v>
      </c>
      <c r="D559" s="80" t="n">
        <v>1</v>
      </c>
      <c r="E559" s="81" t="n">
        <v>45382</v>
      </c>
      <c r="F559" s="79" t="s">
        <v>271</v>
      </c>
      <c r="G559" s="79" t="s">
        <v>272</v>
      </c>
      <c r="H559" s="79" t="s">
        <v>268</v>
      </c>
      <c r="I559" s="82" t="n">
        <v>250399.656</v>
      </c>
      <c r="J559" s="82" t="n">
        <v>10582.703</v>
      </c>
      <c r="K559" s="82" t="n">
        <v>3257428000</v>
      </c>
      <c r="L559" s="83" t="n">
        <v>1.22</v>
      </c>
      <c r="M559" s="82" t="n">
        <v>2663.9794</v>
      </c>
      <c r="N559" s="82" t="n">
        <v>0</v>
      </c>
      <c r="O559" s="82" t="n">
        <v>188744.388</v>
      </c>
      <c r="P559" s="83" t="n">
        <v>0</v>
      </c>
      <c r="Q559" s="83" t="n">
        <v>102</v>
      </c>
      <c r="R559" s="47" t="n">
        <v>10</v>
      </c>
      <c r="S559" s="66" t="s">
        <v>856</v>
      </c>
    </row>
    <row r="560" customFormat="false" ht="15" hidden="false" customHeight="false" outlineLevel="0" collapsed="false">
      <c r="A560" s="79" t="s">
        <v>226</v>
      </c>
      <c r="B560" s="79" t="s">
        <v>292</v>
      </c>
      <c r="C560" s="80" t="n">
        <v>2023</v>
      </c>
      <c r="D560" s="80" t="n">
        <v>4</v>
      </c>
      <c r="E560" s="81" t="n">
        <v>45291</v>
      </c>
      <c r="F560" s="79" t="s">
        <v>271</v>
      </c>
      <c r="G560" s="79" t="s">
        <v>272</v>
      </c>
      <c r="H560" s="79" t="s">
        <v>268</v>
      </c>
      <c r="I560" s="82" t="n">
        <v>342169.48</v>
      </c>
      <c r="J560" s="82" t="n">
        <v>13055.904</v>
      </c>
      <c r="K560" s="82" t="n">
        <v>4994905000</v>
      </c>
      <c r="L560" s="83" t="n">
        <v>1.88</v>
      </c>
      <c r="M560" s="82" t="n">
        <v>2664.2241</v>
      </c>
      <c r="N560" s="82" t="n">
        <v>0</v>
      </c>
      <c r="O560" s="82" t="n">
        <v>188809.892</v>
      </c>
      <c r="P560" s="83" t="n">
        <v>0</v>
      </c>
      <c r="Q560" s="83" t="n">
        <v>87.3</v>
      </c>
      <c r="R560" s="47" t="n">
        <v>11</v>
      </c>
      <c r="S560" s="66" t="s">
        <v>857</v>
      </c>
    </row>
    <row r="561" customFormat="false" ht="15" hidden="false" customHeight="false" outlineLevel="0" collapsed="false">
      <c r="A561" s="79" t="s">
        <v>226</v>
      </c>
      <c r="B561" s="79" t="s">
        <v>294</v>
      </c>
      <c r="C561" s="80" t="n">
        <v>2023</v>
      </c>
      <c r="D561" s="80" t="n">
        <v>3</v>
      </c>
      <c r="E561" s="81" t="n">
        <v>45199</v>
      </c>
      <c r="F561" s="79" t="s">
        <v>271</v>
      </c>
      <c r="G561" s="79" t="s">
        <v>272</v>
      </c>
      <c r="H561" s="79" t="s">
        <v>268</v>
      </c>
      <c r="I561" s="82" t="n">
        <v>315769.11</v>
      </c>
      <c r="J561" s="82" t="n">
        <v>12158.608</v>
      </c>
      <c r="K561" s="82" t="n">
        <v>4582779000</v>
      </c>
      <c r="L561" s="83" t="n">
        <v>1.72</v>
      </c>
      <c r="M561" s="82" t="n">
        <v>2664.5804</v>
      </c>
      <c r="N561" s="82" t="n">
        <v>234500</v>
      </c>
      <c r="O561" s="82" t="n">
        <v>191591.861</v>
      </c>
      <c r="P561" s="83" t="n">
        <v>4.00341673</v>
      </c>
      <c r="Q561" s="83" t="n">
        <v>76.6</v>
      </c>
      <c r="R561" s="47" t="n">
        <v>12</v>
      </c>
      <c r="S561" s="66" t="s">
        <v>858</v>
      </c>
    </row>
    <row r="562" customFormat="false" ht="15" hidden="false" customHeight="false" outlineLevel="0" collapsed="false">
      <c r="A562" s="79" t="s">
        <v>226</v>
      </c>
      <c r="B562" s="79" t="s">
        <v>296</v>
      </c>
      <c r="C562" s="80" t="n">
        <v>2023</v>
      </c>
      <c r="D562" s="80" t="n">
        <v>2</v>
      </c>
      <c r="E562" s="81" t="n">
        <v>45107</v>
      </c>
      <c r="F562" s="79" t="s">
        <v>271</v>
      </c>
      <c r="G562" s="79" t="s">
        <v>272</v>
      </c>
      <c r="H562" s="79" t="s">
        <v>268</v>
      </c>
      <c r="I562" s="82" t="n">
        <v>280708.258</v>
      </c>
      <c r="J562" s="82" t="n">
        <v>10528.651</v>
      </c>
      <c r="K562" s="82" t="n">
        <v>3127407000</v>
      </c>
      <c r="L562" s="83" t="n">
        <v>1.17</v>
      </c>
      <c r="M562" s="82" t="n">
        <v>2666.6484</v>
      </c>
      <c r="N562" s="82" t="n">
        <v>2068038</v>
      </c>
      <c r="O562" s="82" t="n">
        <v>179911.435</v>
      </c>
      <c r="P562" s="83" t="n">
        <v>0</v>
      </c>
      <c r="Q562" s="83" t="n">
        <v>74.8</v>
      </c>
      <c r="R562" s="47" t="n">
        <v>13</v>
      </c>
      <c r="S562" s="66" t="s">
        <v>859</v>
      </c>
    </row>
    <row r="563" customFormat="false" ht="15" hidden="false" customHeight="false" outlineLevel="0" collapsed="false">
      <c r="A563" s="79" t="s">
        <v>226</v>
      </c>
      <c r="B563" s="79" t="s">
        <v>298</v>
      </c>
      <c r="C563" s="80" t="n">
        <v>2023</v>
      </c>
      <c r="D563" s="80" t="n">
        <v>1</v>
      </c>
      <c r="E563" s="81" t="n">
        <v>45016</v>
      </c>
      <c r="F563" s="79" t="s">
        <v>271</v>
      </c>
      <c r="G563" s="79" t="s">
        <v>272</v>
      </c>
      <c r="H563" s="79" t="s">
        <v>268</v>
      </c>
      <c r="I563" s="82" t="n">
        <v>318136.546</v>
      </c>
      <c r="J563" s="82" t="n">
        <v>10363.195</v>
      </c>
      <c r="K563" s="82" t="n">
        <v>3007867000</v>
      </c>
      <c r="L563" s="83" t="n">
        <v>1.13</v>
      </c>
      <c r="M563" s="82" t="n">
        <v>2666.9234</v>
      </c>
      <c r="N563" s="82" t="n">
        <v>275000</v>
      </c>
      <c r="O563" s="82" t="n">
        <v>174530.923</v>
      </c>
      <c r="P563" s="83" t="n">
        <v>0</v>
      </c>
      <c r="Q563" s="83" t="n">
        <v>69.7</v>
      </c>
      <c r="R563" s="47" t="n">
        <v>14</v>
      </c>
      <c r="S563" s="66" t="s">
        <v>860</v>
      </c>
    </row>
    <row r="564" customFormat="false" ht="15" hidden="false" customHeight="false" outlineLevel="0" collapsed="false">
      <c r="A564" s="79" t="s">
        <v>226</v>
      </c>
      <c r="B564" s="79" t="s">
        <v>300</v>
      </c>
      <c r="C564" s="80" t="n">
        <v>2022</v>
      </c>
      <c r="D564" s="80" t="n">
        <v>4</v>
      </c>
      <c r="E564" s="81" t="n">
        <v>44926</v>
      </c>
      <c r="F564" s="79" t="s">
        <v>271</v>
      </c>
      <c r="G564" s="79" t="s">
        <v>272</v>
      </c>
      <c r="H564" s="79" t="s">
        <v>268</v>
      </c>
      <c r="I564" s="82" t="n">
        <v>357250.049</v>
      </c>
      <c r="J564" s="82" t="n">
        <v>15261.083</v>
      </c>
      <c r="K564" s="82" t="n">
        <v>5047404000</v>
      </c>
      <c r="L564" s="83" t="n">
        <v>1.89</v>
      </c>
      <c r="M564" s="82" t="n">
        <v>2667.6337</v>
      </c>
      <c r="N564" s="82" t="n">
        <v>710250</v>
      </c>
      <c r="O564" s="82" t="n">
        <v>182488.565</v>
      </c>
      <c r="P564" s="83" t="n">
        <v>0</v>
      </c>
      <c r="Q564" s="83" t="n">
        <v>63.5</v>
      </c>
      <c r="R564" s="47" t="n">
        <v>15</v>
      </c>
      <c r="S564" s="66" t="s">
        <v>861</v>
      </c>
    </row>
    <row r="565" customFormat="false" ht="15" hidden="false" customHeight="false" outlineLevel="0" collapsed="false">
      <c r="A565" s="79" t="s">
        <v>226</v>
      </c>
      <c r="B565" s="79" t="s">
        <v>302</v>
      </c>
      <c r="C565" s="80" t="n">
        <v>2022</v>
      </c>
      <c r="D565" s="80" t="n">
        <v>3</v>
      </c>
      <c r="E565" s="81" t="n">
        <v>44834</v>
      </c>
      <c r="F565" s="79" t="s">
        <v>271</v>
      </c>
      <c r="G565" s="79" t="s">
        <v>272</v>
      </c>
      <c r="H565" s="79" t="s">
        <v>268</v>
      </c>
      <c r="I565" s="82" t="n">
        <v>352867.049</v>
      </c>
      <c r="J565" s="82" t="n">
        <v>16074.071</v>
      </c>
      <c r="K565" s="82" t="n">
        <v>5265446000</v>
      </c>
      <c r="L565" s="83" t="n">
        <v>1.97</v>
      </c>
      <c r="M565" s="82" t="n">
        <v>2667.9264</v>
      </c>
      <c r="N565" s="82" t="n">
        <v>292750</v>
      </c>
      <c r="O565" s="82" t="n">
        <v>182218.791</v>
      </c>
      <c r="P565" s="83" t="n">
        <v>0</v>
      </c>
      <c r="Q565" s="83" t="n">
        <v>58.5</v>
      </c>
      <c r="R565" s="47" t="n">
        <v>16</v>
      </c>
      <c r="S565" s="66" t="s">
        <v>862</v>
      </c>
    </row>
    <row r="566" customFormat="false" ht="15" hidden="false" customHeight="false" outlineLevel="0" collapsed="false">
      <c r="A566" s="79" t="s">
        <v>226</v>
      </c>
      <c r="B566" s="79" t="s">
        <v>304</v>
      </c>
      <c r="C566" s="80" t="n">
        <v>2022</v>
      </c>
      <c r="D566" s="80" t="n">
        <v>2</v>
      </c>
      <c r="E566" s="81" t="n">
        <v>44742</v>
      </c>
      <c r="F566" s="79" t="s">
        <v>271</v>
      </c>
      <c r="G566" s="79" t="s">
        <v>272</v>
      </c>
      <c r="H566" s="79" t="s">
        <v>268</v>
      </c>
      <c r="I566" s="82" t="n">
        <v>283657.517</v>
      </c>
      <c r="J566" s="82" t="n">
        <v>14493.628</v>
      </c>
      <c r="K566" s="82" t="n">
        <v>3115905000</v>
      </c>
      <c r="L566" s="83" t="n">
        <v>1.17</v>
      </c>
      <c r="M566" s="82" t="n">
        <v>2668.4533</v>
      </c>
      <c r="N566" s="82" t="n">
        <v>526915</v>
      </c>
      <c r="O566" s="82" t="n">
        <v>167452.697</v>
      </c>
      <c r="P566" s="83" t="n">
        <v>5.00137591</v>
      </c>
      <c r="Q566" s="83" t="n">
        <v>57</v>
      </c>
      <c r="R566" s="47" t="n">
        <v>17</v>
      </c>
      <c r="S566" s="66" t="s">
        <v>863</v>
      </c>
    </row>
    <row r="567" customFormat="false" ht="15" hidden="false" customHeight="false" outlineLevel="0" collapsed="false">
      <c r="A567" s="79" t="s">
        <v>226</v>
      </c>
      <c r="B567" s="79" t="s">
        <v>306</v>
      </c>
      <c r="C567" s="80" t="n">
        <v>2022</v>
      </c>
      <c r="D567" s="80" t="n">
        <v>1</v>
      </c>
      <c r="E567" s="81" t="n">
        <v>44651</v>
      </c>
      <c r="F567" s="79" t="s">
        <v>271</v>
      </c>
      <c r="G567" s="79" t="s">
        <v>272</v>
      </c>
      <c r="H567" s="79" t="s">
        <v>268</v>
      </c>
      <c r="I567" s="82" t="n">
        <v>323824.539</v>
      </c>
      <c r="J567" s="82" t="n">
        <v>11454.638</v>
      </c>
      <c r="K567" s="82" t="n">
        <v>1667425000</v>
      </c>
      <c r="L567" s="83" t="n">
        <v>0.62</v>
      </c>
      <c r="M567" s="82" t="n">
        <v>2668.8758</v>
      </c>
      <c r="N567" s="82" t="n">
        <v>422500</v>
      </c>
      <c r="O567" s="82" t="n">
        <v>160588.983</v>
      </c>
      <c r="P567" s="83" t="n">
        <v>0</v>
      </c>
      <c r="Q567" s="83" t="n">
        <v>72.4</v>
      </c>
      <c r="R567" s="47" t="n">
        <v>18</v>
      </c>
      <c r="S567" s="66" t="s">
        <v>864</v>
      </c>
    </row>
    <row r="568" customFormat="false" ht="15" hidden="false" customHeight="false" outlineLevel="0" collapsed="false">
      <c r="A568" s="79" t="s">
        <v>226</v>
      </c>
      <c r="B568" s="79" t="s">
        <v>308</v>
      </c>
      <c r="C568" s="80" t="n">
        <v>2021</v>
      </c>
      <c r="D568" s="80" t="n">
        <v>4</v>
      </c>
      <c r="E568" s="81" t="n">
        <v>44561</v>
      </c>
      <c r="F568" s="79" t="s">
        <v>271</v>
      </c>
      <c r="G568" s="79" t="s">
        <v>272</v>
      </c>
      <c r="H568" s="79" t="s">
        <v>268</v>
      </c>
      <c r="I568" s="82" t="n">
        <v>452022.038</v>
      </c>
      <c r="J568" s="82" t="n">
        <v>15858.077</v>
      </c>
      <c r="K568" s="82" t="n">
        <v>7861002000</v>
      </c>
      <c r="L568" s="83" t="n">
        <v>2.95</v>
      </c>
      <c r="M568" s="82" t="n">
        <v>2669.1316</v>
      </c>
      <c r="N568" s="82" t="n">
        <v>255750</v>
      </c>
      <c r="O568" s="82" t="n">
        <v>166604.545</v>
      </c>
      <c r="P568" s="83" t="n">
        <v>0</v>
      </c>
      <c r="Q568" s="83" t="n">
        <v>69.1</v>
      </c>
      <c r="R568" s="47" t="n">
        <v>19</v>
      </c>
      <c r="S568" s="66" t="s">
        <v>865</v>
      </c>
    </row>
    <row r="569" customFormat="false" ht="15" hidden="false" customHeight="false" outlineLevel="0" collapsed="false">
      <c r="A569" s="79" t="s">
        <v>226</v>
      </c>
      <c r="B569" s="79" t="s">
        <v>310</v>
      </c>
      <c r="C569" s="80" t="n">
        <v>2021</v>
      </c>
      <c r="D569" s="80" t="n">
        <v>3</v>
      </c>
      <c r="E569" s="81" t="n">
        <v>44469</v>
      </c>
      <c r="F569" s="79" t="s">
        <v>271</v>
      </c>
      <c r="G569" s="79" t="s">
        <v>272</v>
      </c>
      <c r="H569" s="79" t="s">
        <v>268</v>
      </c>
      <c r="I569" s="82" t="n">
        <v>322799.637</v>
      </c>
      <c r="J569" s="82" t="n">
        <v>11766.426</v>
      </c>
      <c r="K569" s="82" t="n">
        <v>2668376000</v>
      </c>
      <c r="L569" s="83" t="n">
        <v>1</v>
      </c>
      <c r="M569" s="82" t="n">
        <v>2669.5311</v>
      </c>
      <c r="N569" s="82" t="n">
        <v>399500</v>
      </c>
      <c r="O569" s="82" t="n">
        <v>158630.073</v>
      </c>
      <c r="P569" s="83" t="n">
        <v>0</v>
      </c>
      <c r="Q569" s="83" t="n">
        <v>67</v>
      </c>
      <c r="R569" s="47" t="n">
        <v>20</v>
      </c>
      <c r="S569" s="66" t="s">
        <v>866</v>
      </c>
    </row>
    <row r="570" customFormat="false" ht="15" hidden="false" customHeight="false" outlineLevel="0" collapsed="false">
      <c r="A570" s="79" t="s">
        <v>226</v>
      </c>
      <c r="B570" s="79" t="s">
        <v>312</v>
      </c>
      <c r="C570" s="80" t="n">
        <v>2021</v>
      </c>
      <c r="D570" s="80" t="n">
        <v>2</v>
      </c>
      <c r="E570" s="81" t="n">
        <v>44377</v>
      </c>
      <c r="F570" s="79" t="s">
        <v>271</v>
      </c>
      <c r="G570" s="79" t="s">
        <v>272</v>
      </c>
      <c r="H570" s="79" t="s">
        <v>268</v>
      </c>
      <c r="I570" s="82" t="n">
        <v>272276.88</v>
      </c>
      <c r="J570" s="82" t="n">
        <v>9711.241</v>
      </c>
      <c r="K570" s="82" t="n">
        <v>5343765000</v>
      </c>
      <c r="L570" s="83" t="n">
        <v>2.01</v>
      </c>
      <c r="M570" s="82" t="n">
        <v>2670.3617</v>
      </c>
      <c r="N570" s="82" t="n">
        <v>830600</v>
      </c>
      <c r="O570" s="82" t="n">
        <v>155804.407</v>
      </c>
      <c r="P570" s="83" t="n">
        <v>4.48877769</v>
      </c>
      <c r="Q570" s="83" t="n">
        <v>68.8</v>
      </c>
      <c r="R570" s="47" t="n">
        <v>21</v>
      </c>
      <c r="S570" s="66" t="s">
        <v>867</v>
      </c>
    </row>
    <row r="571" customFormat="false" ht="15" hidden="false" customHeight="false" outlineLevel="0" collapsed="false">
      <c r="A571" s="79" t="s">
        <v>226</v>
      </c>
      <c r="B571" s="79" t="s">
        <v>314</v>
      </c>
      <c r="C571" s="80" t="n">
        <v>2021</v>
      </c>
      <c r="D571" s="80" t="n">
        <v>1</v>
      </c>
      <c r="E571" s="81" t="n">
        <v>44286</v>
      </c>
      <c r="F571" s="79" t="s">
        <v>271</v>
      </c>
      <c r="G571" s="79" t="s">
        <v>272</v>
      </c>
      <c r="H571" s="79" t="s">
        <v>268</v>
      </c>
      <c r="I571" s="82" t="n">
        <v>216621.627</v>
      </c>
      <c r="J571" s="82" t="n">
        <v>9237.624</v>
      </c>
      <c r="K571" s="82" t="n">
        <v>4672500000</v>
      </c>
      <c r="L571" s="83" t="n">
        <v>1.75</v>
      </c>
      <c r="M571" s="82" t="n">
        <v>2662.8737</v>
      </c>
      <c r="N571" s="82" t="n">
        <v>86000</v>
      </c>
      <c r="O571" s="82" t="n">
        <v>153070.569</v>
      </c>
      <c r="P571" s="83" t="n">
        <v>0</v>
      </c>
      <c r="Q571" s="83" t="n">
        <v>74.1</v>
      </c>
      <c r="R571" s="47" t="n">
        <v>22</v>
      </c>
      <c r="S571" s="66" t="s">
        <v>868</v>
      </c>
    </row>
    <row r="572" customFormat="false" ht="15" hidden="false" customHeight="false" outlineLevel="0" collapsed="false">
      <c r="A572" s="79" t="s">
        <v>226</v>
      </c>
      <c r="B572" s="79" t="s">
        <v>316</v>
      </c>
      <c r="C572" s="80" t="n">
        <v>2020</v>
      </c>
      <c r="D572" s="80" t="n">
        <v>4</v>
      </c>
      <c r="E572" s="81" t="n">
        <v>44196</v>
      </c>
      <c r="F572" s="79" t="s">
        <v>271</v>
      </c>
      <c r="G572" s="79" t="s">
        <v>272</v>
      </c>
      <c r="H572" s="79" t="s">
        <v>268</v>
      </c>
      <c r="I572" s="82" t="n">
        <v>457375.71</v>
      </c>
      <c r="J572" s="82" t="n">
        <v>15179.52</v>
      </c>
      <c r="K572" s="82" t="n">
        <v>4771499000</v>
      </c>
      <c r="L572" s="83" t="n">
        <v>1.82</v>
      </c>
      <c r="M572" s="82" t="n">
        <v>2662.8737</v>
      </c>
      <c r="N572" s="82" t="n">
        <v>0</v>
      </c>
      <c r="O572" s="82" t="n">
        <v>162594.581</v>
      </c>
      <c r="P572" s="83" t="n">
        <v>0</v>
      </c>
      <c r="Q572" s="83" t="n">
        <v>67.3</v>
      </c>
      <c r="R572" s="47" t="n">
        <v>23</v>
      </c>
      <c r="S572" s="66" t="s">
        <v>869</v>
      </c>
    </row>
    <row r="573" customFormat="false" ht="15" hidden="false" customHeight="false" outlineLevel="0" collapsed="false">
      <c r="A573" s="79" t="s">
        <v>226</v>
      </c>
      <c r="B573" s="79" t="s">
        <v>318</v>
      </c>
      <c r="C573" s="80" t="n">
        <v>2020</v>
      </c>
      <c r="D573" s="80" t="n">
        <v>3</v>
      </c>
      <c r="E573" s="81" t="n">
        <v>44104</v>
      </c>
      <c r="F573" s="79" t="s">
        <v>271</v>
      </c>
      <c r="G573" s="79" t="s">
        <v>272</v>
      </c>
      <c r="H573" s="79" t="s">
        <v>268</v>
      </c>
      <c r="I573" s="82" t="n">
        <v>335636.087</v>
      </c>
      <c r="J573" s="82" t="n">
        <v>13934.493</v>
      </c>
      <c r="K573" s="82" t="n">
        <v>6817483000</v>
      </c>
      <c r="L573" s="83" t="n">
        <v>2.61</v>
      </c>
      <c r="M573" s="82" t="n">
        <v>2610.511</v>
      </c>
      <c r="N573" s="82" t="n">
        <v>48400</v>
      </c>
      <c r="O573" s="82" t="n">
        <v>159022.194</v>
      </c>
      <c r="P573" s="83"/>
      <c r="Q573" s="83" t="n">
        <v>63.8</v>
      </c>
      <c r="R573" s="47" t="n">
        <v>24</v>
      </c>
      <c r="S573" s="66" t="s">
        <v>870</v>
      </c>
    </row>
    <row r="574" customFormat="false" ht="15" hidden="false" customHeight="false" outlineLevel="0" collapsed="false">
      <c r="A574" s="79" t="s">
        <v>232</v>
      </c>
      <c r="B574" s="79" t="s">
        <v>265</v>
      </c>
      <c r="C574" s="80" t="n">
        <v>2026</v>
      </c>
      <c r="D574" s="80" t="n">
        <v>3</v>
      </c>
      <c r="E574" s="81" t="n">
        <v>46295</v>
      </c>
      <c r="F574" s="79" t="s">
        <v>266</v>
      </c>
      <c r="G574" s="79" t="s">
        <v>267</v>
      </c>
      <c r="H574" s="79" t="s">
        <v>268</v>
      </c>
      <c r="I574" s="82"/>
      <c r="J574" s="82"/>
      <c r="K574" s="82"/>
      <c r="L574" s="83" t="n">
        <v>2.18</v>
      </c>
      <c r="M574" s="82"/>
      <c r="N574" s="82"/>
      <c r="O574" s="82"/>
      <c r="P574" s="83"/>
      <c r="Q574" s="83"/>
      <c r="R574" s="47" t="n">
        <v>0</v>
      </c>
      <c r="S574" s="66" t="s">
        <v>871</v>
      </c>
    </row>
    <row r="575" customFormat="false" ht="15" hidden="false" customHeight="false" outlineLevel="0" collapsed="false">
      <c r="A575" s="79" t="s">
        <v>232</v>
      </c>
      <c r="B575" s="79" t="s">
        <v>270</v>
      </c>
      <c r="C575" s="80" t="n">
        <v>2026</v>
      </c>
      <c r="D575" s="80" t="n">
        <v>2</v>
      </c>
      <c r="E575" s="81" t="n">
        <v>46203</v>
      </c>
      <c r="F575" s="79" t="s">
        <v>271</v>
      </c>
      <c r="G575" s="79" t="s">
        <v>272</v>
      </c>
      <c r="H575" s="79" t="s">
        <v>268</v>
      </c>
      <c r="I575" s="82" t="n">
        <v>1289.108</v>
      </c>
      <c r="J575" s="82" t="n">
        <v>289.327</v>
      </c>
      <c r="K575" s="82" t="n">
        <v>184253000</v>
      </c>
      <c r="L575" s="83" t="n">
        <v>1.29</v>
      </c>
      <c r="M575" s="82" t="n">
        <v>142.3593</v>
      </c>
      <c r="N575" s="82" t="n">
        <v>0</v>
      </c>
      <c r="O575" s="82" t="n">
        <v>4452.14</v>
      </c>
      <c r="P575" s="83" t="n">
        <v>0</v>
      </c>
      <c r="Q575" s="83" t="n">
        <v>474</v>
      </c>
      <c r="R575" s="47" t="n">
        <v>1</v>
      </c>
      <c r="S575" s="66" t="s">
        <v>872</v>
      </c>
    </row>
    <row r="576" customFormat="false" ht="15" hidden="false" customHeight="false" outlineLevel="0" collapsed="false">
      <c r="A576" s="79" t="s">
        <v>232</v>
      </c>
      <c r="B576" s="79" t="s">
        <v>274</v>
      </c>
      <c r="C576" s="80" t="n">
        <v>2026</v>
      </c>
      <c r="D576" s="80" t="n">
        <v>1</v>
      </c>
      <c r="E576" s="81" t="n">
        <v>46112</v>
      </c>
      <c r="F576" s="79" t="s">
        <v>271</v>
      </c>
      <c r="G576" s="79" t="s">
        <v>272</v>
      </c>
      <c r="H576" s="79" t="s">
        <v>268</v>
      </c>
      <c r="I576" s="82" t="n">
        <v>1193.478</v>
      </c>
      <c r="J576" s="82" t="n">
        <v>303.353</v>
      </c>
      <c r="K576" s="82" t="n">
        <v>229653000</v>
      </c>
      <c r="L576" s="83" t="n">
        <v>1.62</v>
      </c>
      <c r="M576" s="82" t="n">
        <v>141.0563</v>
      </c>
      <c r="N576" s="82" t="n">
        <v>0</v>
      </c>
      <c r="O576" s="82" t="n">
        <v>4133.258</v>
      </c>
      <c r="P576" s="83" t="n">
        <v>0</v>
      </c>
      <c r="Q576" s="83" t="n">
        <v>341.5</v>
      </c>
      <c r="R576" s="47" t="n">
        <v>2</v>
      </c>
      <c r="S576" s="66" t="s">
        <v>873</v>
      </c>
    </row>
    <row r="577" customFormat="false" ht="15" hidden="false" customHeight="false" outlineLevel="0" collapsed="false">
      <c r="A577" s="79" t="s">
        <v>232</v>
      </c>
      <c r="B577" s="79" t="s">
        <v>276</v>
      </c>
      <c r="C577" s="80" t="n">
        <v>2025</v>
      </c>
      <c r="D577" s="80" t="n">
        <v>4</v>
      </c>
      <c r="E577" s="81" t="n">
        <v>46022</v>
      </c>
      <c r="F577" s="79" t="s">
        <v>271</v>
      </c>
      <c r="G577" s="79" t="s">
        <v>272</v>
      </c>
      <c r="H577" s="79" t="s">
        <v>268</v>
      </c>
      <c r="I577" s="82" t="n">
        <v>1154.36</v>
      </c>
      <c r="J577" s="82" t="n">
        <v>265.774</v>
      </c>
      <c r="K577" s="82" t="n">
        <v>238473000</v>
      </c>
      <c r="L577" s="83" t="n">
        <v>1.7</v>
      </c>
      <c r="M577" s="82" t="n">
        <v>140.8398</v>
      </c>
      <c r="N577" s="82" t="n">
        <v>0</v>
      </c>
      <c r="O577" s="82" t="n">
        <v>3979.359</v>
      </c>
      <c r="P577" s="83" t="n">
        <v>0</v>
      </c>
      <c r="Q577" s="83" t="n">
        <v>325.5</v>
      </c>
      <c r="R577" s="47" t="n">
        <v>3</v>
      </c>
      <c r="S577" s="66" t="s">
        <v>874</v>
      </c>
    </row>
    <row r="578" customFormat="false" ht="15" hidden="false" customHeight="false" outlineLevel="0" collapsed="false">
      <c r="A578" s="79" t="s">
        <v>232</v>
      </c>
      <c r="B578" s="79" t="s">
        <v>278</v>
      </c>
      <c r="C578" s="80" t="n">
        <v>2025</v>
      </c>
      <c r="D578" s="80" t="n">
        <v>3</v>
      </c>
      <c r="E578" s="81" t="n">
        <v>45930</v>
      </c>
      <c r="F578" s="79" t="s">
        <v>271</v>
      </c>
      <c r="G578" s="79" t="s">
        <v>272</v>
      </c>
      <c r="H578" s="79" t="s">
        <v>268</v>
      </c>
      <c r="I578" s="82" t="n">
        <v>1076.094</v>
      </c>
      <c r="J578" s="82" t="n">
        <v>226.869</v>
      </c>
      <c r="K578" s="82" t="n">
        <v>217711000</v>
      </c>
      <c r="L578" s="83" t="n">
        <v>1.54</v>
      </c>
      <c r="M578" s="82" t="n">
        <v>140.8398</v>
      </c>
      <c r="N578" s="82" t="n">
        <v>0</v>
      </c>
      <c r="O578" s="82" t="n">
        <v>3686.078</v>
      </c>
      <c r="P578" s="83" t="n">
        <v>1.54463283</v>
      </c>
      <c r="Q578" s="83" t="n">
        <v>216</v>
      </c>
      <c r="R578" s="47" t="n">
        <v>4</v>
      </c>
      <c r="S578" s="66" t="s">
        <v>875</v>
      </c>
    </row>
    <row r="579" customFormat="false" ht="15" hidden="false" customHeight="false" outlineLevel="0" collapsed="false">
      <c r="A579" s="79" t="s">
        <v>232</v>
      </c>
      <c r="B579" s="79" t="s">
        <v>280</v>
      </c>
      <c r="C579" s="80" t="n">
        <v>2025</v>
      </c>
      <c r="D579" s="80" t="n">
        <v>2</v>
      </c>
      <c r="E579" s="81" t="n">
        <v>45838</v>
      </c>
      <c r="F579" s="79" t="s">
        <v>271</v>
      </c>
      <c r="G579" s="79" t="s">
        <v>272</v>
      </c>
      <c r="H579" s="79" t="s">
        <v>268</v>
      </c>
      <c r="I579" s="82" t="n">
        <v>1087.486</v>
      </c>
      <c r="J579" s="82" t="n">
        <v>188.391</v>
      </c>
      <c r="K579" s="82" t="n">
        <v>94615000</v>
      </c>
      <c r="L579" s="83" t="n">
        <v>0.67</v>
      </c>
      <c r="M579" s="82" t="n">
        <v>140.8398</v>
      </c>
      <c r="N579" s="82" t="n">
        <v>0</v>
      </c>
      <c r="O579" s="82" t="n">
        <v>3448.591</v>
      </c>
      <c r="P579" s="83" t="n">
        <v>0</v>
      </c>
      <c r="Q579" s="83" t="n">
        <v>180</v>
      </c>
      <c r="R579" s="47" t="n">
        <v>5</v>
      </c>
      <c r="S579" s="66" t="s">
        <v>876</v>
      </c>
    </row>
    <row r="580" customFormat="false" ht="15" hidden="false" customHeight="false" outlineLevel="0" collapsed="false">
      <c r="A580" s="79" t="s">
        <v>232</v>
      </c>
      <c r="B580" s="79" t="s">
        <v>282</v>
      </c>
      <c r="C580" s="80" t="n">
        <v>2025</v>
      </c>
      <c r="D580" s="80" t="n">
        <v>1</v>
      </c>
      <c r="E580" s="81" t="n">
        <v>45747</v>
      </c>
      <c r="F580" s="79" t="s">
        <v>271</v>
      </c>
      <c r="G580" s="79" t="s">
        <v>272</v>
      </c>
      <c r="H580" s="79" t="s">
        <v>268</v>
      </c>
      <c r="I580" s="82" t="n">
        <v>1066.906</v>
      </c>
      <c r="J580" s="82" t="n">
        <v>239.605</v>
      </c>
      <c r="K580" s="82" t="n">
        <v>213446000</v>
      </c>
      <c r="L580" s="83" t="n">
        <v>1.52</v>
      </c>
      <c r="M580" s="82" t="n">
        <v>140.8398</v>
      </c>
      <c r="N580" s="82" t="n">
        <v>0</v>
      </c>
      <c r="O580" s="82" t="n">
        <v>3368.145</v>
      </c>
      <c r="P580" s="83" t="n">
        <v>0</v>
      </c>
      <c r="Q580" s="83" t="n">
        <v>168.5</v>
      </c>
      <c r="R580" s="47" t="n">
        <v>6</v>
      </c>
      <c r="S580" s="66" t="s">
        <v>877</v>
      </c>
    </row>
    <row r="581" customFormat="false" ht="15" hidden="false" customHeight="false" outlineLevel="0" collapsed="false">
      <c r="A581" s="79" t="s">
        <v>232</v>
      </c>
      <c r="B581" s="79" t="s">
        <v>284</v>
      </c>
      <c r="C581" s="80" t="n">
        <v>2024</v>
      </c>
      <c r="D581" s="80" t="n">
        <v>4</v>
      </c>
      <c r="E581" s="81" t="n">
        <v>45657</v>
      </c>
      <c r="F581" s="79" t="s">
        <v>271</v>
      </c>
      <c r="G581" s="79" t="s">
        <v>272</v>
      </c>
      <c r="H581" s="79" t="s">
        <v>268</v>
      </c>
      <c r="I581" s="82" t="n">
        <v>1048.11</v>
      </c>
      <c r="J581" s="82" t="n">
        <v>180.996</v>
      </c>
      <c r="K581" s="82" t="n">
        <v>151886000</v>
      </c>
      <c r="L581" s="83" t="n">
        <v>1.08</v>
      </c>
      <c r="M581" s="82" t="n">
        <v>140.8398</v>
      </c>
      <c r="N581" s="82" t="n">
        <v>0</v>
      </c>
      <c r="O581" s="82" t="n">
        <v>3398.123</v>
      </c>
      <c r="P581" s="83" t="n">
        <v>0</v>
      </c>
      <c r="Q581" s="83" t="n">
        <v>188</v>
      </c>
      <c r="R581" s="47" t="n">
        <v>7</v>
      </c>
      <c r="S581" s="66" t="s">
        <v>878</v>
      </c>
    </row>
    <row r="582" customFormat="false" ht="15" hidden="false" customHeight="false" outlineLevel="0" collapsed="false">
      <c r="A582" s="79" t="s">
        <v>232</v>
      </c>
      <c r="B582" s="79" t="s">
        <v>286</v>
      </c>
      <c r="C582" s="80" t="n">
        <v>2024</v>
      </c>
      <c r="D582" s="80" t="n">
        <v>3</v>
      </c>
      <c r="E582" s="81" t="n">
        <v>45565</v>
      </c>
      <c r="F582" s="79" t="s">
        <v>271</v>
      </c>
      <c r="G582" s="79" t="s">
        <v>272</v>
      </c>
      <c r="H582" s="79" t="s">
        <v>268</v>
      </c>
      <c r="I582" s="82" t="n">
        <v>945.631</v>
      </c>
      <c r="J582" s="82" t="n">
        <v>173.328</v>
      </c>
      <c r="K582" s="82" t="n">
        <v>137872000</v>
      </c>
      <c r="L582" s="83" t="n">
        <v>0.98</v>
      </c>
      <c r="M582" s="82" t="n">
        <v>140.8398</v>
      </c>
      <c r="N582" s="82" t="n">
        <v>0</v>
      </c>
      <c r="O582" s="82" t="n">
        <v>3171.07</v>
      </c>
      <c r="P582" s="83" t="n">
        <v>1.43000433</v>
      </c>
      <c r="Q582" s="83" t="n">
        <v>144.5</v>
      </c>
      <c r="R582" s="47" t="n">
        <v>8</v>
      </c>
      <c r="S582" s="66" t="s">
        <v>879</v>
      </c>
    </row>
    <row r="583" customFormat="false" ht="15" hidden="false" customHeight="false" outlineLevel="0" collapsed="false">
      <c r="A583" s="79" t="s">
        <v>232</v>
      </c>
      <c r="B583" s="79" t="s">
        <v>288</v>
      </c>
      <c r="C583" s="80" t="n">
        <v>2024</v>
      </c>
      <c r="D583" s="80" t="n">
        <v>2</v>
      </c>
      <c r="E583" s="81" t="n">
        <v>45473</v>
      </c>
      <c r="F583" s="79" t="s">
        <v>271</v>
      </c>
      <c r="G583" s="79" t="s">
        <v>272</v>
      </c>
      <c r="H583" s="79" t="s">
        <v>268</v>
      </c>
      <c r="I583" s="82" t="n">
        <v>801.268</v>
      </c>
      <c r="J583" s="82" t="n">
        <v>158.772</v>
      </c>
      <c r="K583" s="82" t="n">
        <v>139418000</v>
      </c>
      <c r="L583" s="83" t="n">
        <v>0.99</v>
      </c>
      <c r="M583" s="82" t="n">
        <v>140.8398</v>
      </c>
      <c r="N583" s="82" t="n">
        <v>0</v>
      </c>
      <c r="O583" s="82" t="n">
        <v>3047.143</v>
      </c>
      <c r="P583" s="83" t="n">
        <v>0</v>
      </c>
      <c r="Q583" s="83" t="n">
        <v>126.5</v>
      </c>
      <c r="R583" s="47" t="n">
        <v>9</v>
      </c>
      <c r="S583" s="66" t="s">
        <v>880</v>
      </c>
    </row>
    <row r="584" customFormat="false" ht="15" hidden="false" customHeight="false" outlineLevel="0" collapsed="false">
      <c r="A584" s="79" t="s">
        <v>232</v>
      </c>
      <c r="B584" s="79" t="s">
        <v>290</v>
      </c>
      <c r="C584" s="80" t="n">
        <v>2024</v>
      </c>
      <c r="D584" s="80" t="n">
        <v>1</v>
      </c>
      <c r="E584" s="81" t="n">
        <v>45382</v>
      </c>
      <c r="F584" s="79" t="s">
        <v>271</v>
      </c>
      <c r="G584" s="79" t="s">
        <v>272</v>
      </c>
      <c r="H584" s="79" t="s">
        <v>268</v>
      </c>
      <c r="I584" s="82" t="n">
        <v>656.034</v>
      </c>
      <c r="J584" s="82" t="n">
        <v>118.692</v>
      </c>
      <c r="K584" s="82" t="n">
        <v>104077000</v>
      </c>
      <c r="L584" s="83" t="n">
        <v>0.74</v>
      </c>
      <c r="M584" s="82" t="n">
        <v>140.8398</v>
      </c>
      <c r="N584" s="82" t="n">
        <v>0</v>
      </c>
      <c r="O584" s="82" t="n">
        <v>2870.506</v>
      </c>
      <c r="P584" s="83" t="n">
        <v>0</v>
      </c>
      <c r="Q584" s="83" t="n">
        <v>124</v>
      </c>
      <c r="R584" s="47" t="n">
        <v>10</v>
      </c>
      <c r="S584" s="66" t="s">
        <v>881</v>
      </c>
    </row>
    <row r="585" customFormat="false" ht="15" hidden="false" customHeight="false" outlineLevel="0" collapsed="false">
      <c r="A585" s="79" t="s">
        <v>232</v>
      </c>
      <c r="B585" s="79" t="s">
        <v>292</v>
      </c>
      <c r="C585" s="80" t="n">
        <v>2023</v>
      </c>
      <c r="D585" s="80" t="n">
        <v>4</v>
      </c>
      <c r="E585" s="81" t="n">
        <v>45291</v>
      </c>
      <c r="F585" s="79" t="s">
        <v>271</v>
      </c>
      <c r="G585" s="79" t="s">
        <v>272</v>
      </c>
      <c r="H585" s="79" t="s">
        <v>268</v>
      </c>
      <c r="I585" s="82" t="n">
        <v>1011.764</v>
      </c>
      <c r="J585" s="82" t="n">
        <v>207.797</v>
      </c>
      <c r="K585" s="82" t="n">
        <v>155244000</v>
      </c>
      <c r="L585" s="83" t="n">
        <v>1.17</v>
      </c>
      <c r="M585" s="82" t="n">
        <v>140.8398</v>
      </c>
      <c r="N585" s="82" t="n">
        <v>0</v>
      </c>
      <c r="O585" s="82" t="n">
        <v>3035.986</v>
      </c>
      <c r="P585" s="83" t="n">
        <v>0</v>
      </c>
      <c r="Q585" s="83" t="n">
        <v>144</v>
      </c>
      <c r="R585" s="47" t="n">
        <v>11</v>
      </c>
      <c r="S585" s="66" t="s">
        <v>882</v>
      </c>
    </row>
    <row r="586" customFormat="false" ht="15" hidden="false" customHeight="false" outlineLevel="0" collapsed="false">
      <c r="A586" s="79" t="s">
        <v>232</v>
      </c>
      <c r="B586" s="79" t="s">
        <v>294</v>
      </c>
      <c r="C586" s="80" t="n">
        <v>2023</v>
      </c>
      <c r="D586" s="80" t="n">
        <v>3</v>
      </c>
      <c r="E586" s="81" t="n">
        <v>45199</v>
      </c>
      <c r="F586" s="79" t="s">
        <v>271</v>
      </c>
      <c r="G586" s="79" t="s">
        <v>272</v>
      </c>
      <c r="H586" s="79" t="s">
        <v>268</v>
      </c>
      <c r="I586" s="82" t="n">
        <v>879.88</v>
      </c>
      <c r="J586" s="82" t="n">
        <v>183.576</v>
      </c>
      <c r="K586" s="82" t="n">
        <v>164898000</v>
      </c>
      <c r="L586" s="83" t="n">
        <v>1.25</v>
      </c>
      <c r="M586" s="82" t="n">
        <v>132.3398</v>
      </c>
      <c r="N586" s="82" t="n">
        <v>0</v>
      </c>
      <c r="O586" s="82" t="n">
        <v>1738.528</v>
      </c>
      <c r="P586" s="83" t="n">
        <v>0.05930807</v>
      </c>
      <c r="Q586" s="83" t="n">
        <v>143</v>
      </c>
      <c r="R586" s="47" t="n">
        <v>12</v>
      </c>
      <c r="S586" s="66" t="s">
        <v>883</v>
      </c>
    </row>
    <row r="587" customFormat="false" ht="15" hidden="false" customHeight="false" outlineLevel="0" collapsed="false">
      <c r="A587" s="79" t="s">
        <v>232</v>
      </c>
      <c r="B587" s="79" t="s">
        <v>296</v>
      </c>
      <c r="C587" s="80" t="n">
        <v>2023</v>
      </c>
      <c r="D587" s="80" t="n">
        <v>2</v>
      </c>
      <c r="E587" s="81" t="n">
        <v>45107</v>
      </c>
      <c r="F587" s="79" t="s">
        <v>271</v>
      </c>
      <c r="G587" s="79" t="s">
        <v>272</v>
      </c>
      <c r="H587" s="79" t="s">
        <v>268</v>
      </c>
      <c r="I587" s="82" t="n">
        <v>577.923</v>
      </c>
      <c r="J587" s="82" t="n">
        <v>110.407</v>
      </c>
      <c r="K587" s="82" t="n">
        <v>82084000</v>
      </c>
      <c r="L587" s="83" t="n">
        <v>0.62</v>
      </c>
      <c r="M587" s="82" t="n">
        <v>132.3398</v>
      </c>
      <c r="N587" s="82" t="n">
        <v>0</v>
      </c>
      <c r="O587" s="82" t="n">
        <v>1580.342</v>
      </c>
      <c r="P587" s="83" t="n">
        <v>0</v>
      </c>
      <c r="Q587" s="83" t="n">
        <v>104.5</v>
      </c>
      <c r="R587" s="47" t="n">
        <v>13</v>
      </c>
      <c r="S587" s="66" t="s">
        <v>884</v>
      </c>
    </row>
    <row r="588" customFormat="false" ht="15" hidden="false" customHeight="false" outlineLevel="0" collapsed="false">
      <c r="A588" s="79" t="s">
        <v>232</v>
      </c>
      <c r="B588" s="79" t="s">
        <v>298</v>
      </c>
      <c r="C588" s="80" t="n">
        <v>2023</v>
      </c>
      <c r="D588" s="80" t="n">
        <v>1</v>
      </c>
      <c r="E588" s="81" t="n">
        <v>45016</v>
      </c>
      <c r="F588" s="79" t="s">
        <v>271</v>
      </c>
      <c r="G588" s="79" t="s">
        <v>272</v>
      </c>
      <c r="H588" s="79" t="s">
        <v>268</v>
      </c>
      <c r="I588" s="82" t="n">
        <v>486.92</v>
      </c>
      <c r="J588" s="82" t="n">
        <v>71.97</v>
      </c>
      <c r="K588" s="82" t="n">
        <v>40162000</v>
      </c>
      <c r="L588" s="83" t="n">
        <v>0.3</v>
      </c>
      <c r="M588" s="82" t="n">
        <v>132.3398</v>
      </c>
      <c r="N588" s="82" t="n">
        <v>0</v>
      </c>
      <c r="O588" s="82" t="n">
        <v>1496.91</v>
      </c>
      <c r="P588" s="83" t="n">
        <v>0</v>
      </c>
      <c r="Q588" s="83" t="n">
        <v>51.5</v>
      </c>
      <c r="R588" s="47" t="n">
        <v>14</v>
      </c>
      <c r="S588" s="66" t="s">
        <v>885</v>
      </c>
    </row>
    <row r="589" customFormat="false" ht="15" hidden="false" customHeight="false" outlineLevel="0" collapsed="false">
      <c r="A589" s="79" t="s">
        <v>232</v>
      </c>
      <c r="B589" s="79" t="s">
        <v>300</v>
      </c>
      <c r="C589" s="80" t="n">
        <v>2022</v>
      </c>
      <c r="D589" s="80" t="n">
        <v>4</v>
      </c>
      <c r="E589" s="81" t="n">
        <v>44926</v>
      </c>
      <c r="F589" s="79" t="s">
        <v>271</v>
      </c>
      <c r="G589" s="79" t="s">
        <v>272</v>
      </c>
      <c r="H589" s="79" t="s">
        <v>268</v>
      </c>
      <c r="I589" s="82" t="n">
        <v>477.125</v>
      </c>
      <c r="J589" s="82" t="n">
        <v>142.678</v>
      </c>
      <c r="K589" s="82" t="n">
        <v>91002000</v>
      </c>
      <c r="L589" s="83" t="n">
        <v>0.69</v>
      </c>
      <c r="M589" s="82" t="n">
        <v>132.3578</v>
      </c>
      <c r="N589" s="82" t="n">
        <v>0</v>
      </c>
      <c r="O589" s="82" t="n">
        <v>1417.018</v>
      </c>
      <c r="P589" s="83" t="n">
        <v>0</v>
      </c>
      <c r="Q589" s="83" t="n">
        <v>39.8</v>
      </c>
      <c r="R589" s="47" t="n">
        <v>15</v>
      </c>
      <c r="S589" s="66" t="s">
        <v>886</v>
      </c>
    </row>
    <row r="590" customFormat="false" ht="15" hidden="false" customHeight="false" outlineLevel="0" collapsed="false">
      <c r="A590" s="79" t="s">
        <v>232</v>
      </c>
      <c r="B590" s="79" t="s">
        <v>302</v>
      </c>
      <c r="C590" s="80" t="n">
        <v>2022</v>
      </c>
      <c r="D590" s="80" t="n">
        <v>3</v>
      </c>
      <c r="E590" s="81" t="n">
        <v>44834</v>
      </c>
      <c r="F590" s="79" t="s">
        <v>271</v>
      </c>
      <c r="G590" s="79" t="s">
        <v>272</v>
      </c>
      <c r="H590" s="79" t="s">
        <v>268</v>
      </c>
      <c r="I590" s="82" t="n">
        <v>342.426</v>
      </c>
      <c r="J590" s="82" t="n">
        <v>113.527</v>
      </c>
      <c r="K590" s="82" t="n">
        <v>98196000</v>
      </c>
      <c r="L590" s="83" t="n">
        <v>0.74</v>
      </c>
      <c r="M590" s="82" t="n">
        <v>132.3578</v>
      </c>
      <c r="N590" s="82" t="n">
        <v>0</v>
      </c>
      <c r="O590" s="82" t="n">
        <v>1355.741</v>
      </c>
      <c r="P590" s="83" t="n">
        <v>0</v>
      </c>
      <c r="Q590" s="83" t="n">
        <v>34.1</v>
      </c>
      <c r="R590" s="47" t="n">
        <v>16</v>
      </c>
      <c r="S590" s="66" t="s">
        <v>887</v>
      </c>
    </row>
    <row r="591" customFormat="false" ht="15" hidden="false" customHeight="false" outlineLevel="0" collapsed="false">
      <c r="A591" s="79" t="s">
        <v>232</v>
      </c>
      <c r="B591" s="79" t="s">
        <v>304</v>
      </c>
      <c r="C591" s="80" t="n">
        <v>2022</v>
      </c>
      <c r="D591" s="80" t="n">
        <v>2</v>
      </c>
      <c r="E591" s="81" t="n">
        <v>44742</v>
      </c>
      <c r="F591" s="79" t="s">
        <v>271</v>
      </c>
      <c r="G591" s="79" t="s">
        <v>272</v>
      </c>
      <c r="H591" s="79" t="s">
        <v>268</v>
      </c>
      <c r="I591" s="82" t="n">
        <v>296.236</v>
      </c>
      <c r="J591" s="82" t="n">
        <v>111.402</v>
      </c>
      <c r="K591" s="82" t="n">
        <v>83390000</v>
      </c>
      <c r="L591" s="83" t="n">
        <v>0.63</v>
      </c>
      <c r="M591" s="82" t="n">
        <v>132.3778</v>
      </c>
      <c r="N591" s="82" t="n">
        <v>0</v>
      </c>
      <c r="O591" s="82" t="n">
        <v>1318.083</v>
      </c>
      <c r="P591" s="83" t="n">
        <v>0</v>
      </c>
      <c r="Q591" s="83" t="n">
        <v>22.6</v>
      </c>
      <c r="R591" s="47" t="n">
        <v>17</v>
      </c>
      <c r="S591" s="66" t="s">
        <v>888</v>
      </c>
    </row>
    <row r="592" customFormat="false" ht="15" hidden="false" customHeight="false" outlineLevel="0" collapsed="false">
      <c r="A592" s="79" t="s">
        <v>232</v>
      </c>
      <c r="B592" s="79" t="s">
        <v>306</v>
      </c>
      <c r="C592" s="80" t="n">
        <v>2022</v>
      </c>
      <c r="D592" s="80" t="n">
        <v>1</v>
      </c>
      <c r="E592" s="81" t="n">
        <v>44651</v>
      </c>
      <c r="F592" s="79" t="s">
        <v>271</v>
      </c>
      <c r="G592" s="79" t="s">
        <v>272</v>
      </c>
      <c r="H592" s="79" t="s">
        <v>268</v>
      </c>
      <c r="I592" s="82" t="n">
        <v>202.759</v>
      </c>
      <c r="J592" s="82" t="n">
        <v>29.179</v>
      </c>
      <c r="K592" s="82" t="n">
        <v>-1793000</v>
      </c>
      <c r="L592" s="83" t="n">
        <v>-0.01</v>
      </c>
      <c r="M592" s="82" t="n">
        <v>132.4535</v>
      </c>
      <c r="N592" s="82" t="n">
        <v>0</v>
      </c>
      <c r="O592" s="82" t="n">
        <v>1235.239</v>
      </c>
      <c r="P592" s="83" t="n">
        <v>0</v>
      </c>
      <c r="Q592" s="83" t="n">
        <v>18.15</v>
      </c>
      <c r="R592" s="47" t="n">
        <v>18</v>
      </c>
      <c r="S592" s="66" t="s">
        <v>889</v>
      </c>
    </row>
    <row r="593" customFormat="false" ht="15" hidden="false" customHeight="false" outlineLevel="0" collapsed="false">
      <c r="A593" s="79" t="s">
        <v>232</v>
      </c>
      <c r="B593" s="79" t="s">
        <v>308</v>
      </c>
      <c r="C593" s="80" t="n">
        <v>2021</v>
      </c>
      <c r="D593" s="80" t="n">
        <v>4</v>
      </c>
      <c r="E593" s="81" t="n">
        <v>44561</v>
      </c>
      <c r="F593" s="79" t="s">
        <v>271</v>
      </c>
      <c r="G593" s="79" t="s">
        <v>272</v>
      </c>
      <c r="H593" s="79" t="s">
        <v>268</v>
      </c>
      <c r="I593" s="82" t="n">
        <v>212.707</v>
      </c>
      <c r="J593" s="82" t="n">
        <v>9.388</v>
      </c>
      <c r="K593" s="82" t="n">
        <v>-98065000</v>
      </c>
      <c r="L593" s="83" t="n">
        <v>-0.75</v>
      </c>
      <c r="M593" s="82" t="n">
        <v>132.5115</v>
      </c>
      <c r="N593" s="82" t="n">
        <v>0</v>
      </c>
      <c r="O593" s="82" t="n">
        <v>1336.501</v>
      </c>
      <c r="P593" s="83" t="n">
        <v>0</v>
      </c>
      <c r="Q593" s="83" t="n">
        <v>20.1</v>
      </c>
      <c r="R593" s="47" t="n">
        <v>19</v>
      </c>
      <c r="S593" s="66" t="s">
        <v>890</v>
      </c>
    </row>
    <row r="594" customFormat="false" ht="15" hidden="false" customHeight="false" outlineLevel="0" collapsed="false">
      <c r="A594" s="79" t="s">
        <v>232</v>
      </c>
      <c r="B594" s="79" t="s">
        <v>310</v>
      </c>
      <c r="C594" s="80" t="n">
        <v>2021</v>
      </c>
      <c r="D594" s="80" t="n">
        <v>3</v>
      </c>
      <c r="E594" s="81" t="n">
        <v>44469</v>
      </c>
      <c r="F594" s="79" t="s">
        <v>271</v>
      </c>
      <c r="G594" s="79" t="s">
        <v>272</v>
      </c>
      <c r="H594" s="79" t="s">
        <v>268</v>
      </c>
      <c r="I594" s="82" t="n">
        <v>202.077</v>
      </c>
      <c r="J594" s="82" t="n">
        <v>-10.63</v>
      </c>
      <c r="K594" s="82" t="n">
        <v>-70384000</v>
      </c>
      <c r="L594" s="83" t="n">
        <v>-0.53</v>
      </c>
      <c r="M594" s="82" t="n">
        <v>132.7263</v>
      </c>
      <c r="N594" s="82" t="n">
        <v>0</v>
      </c>
      <c r="O594" s="82" t="n">
        <v>1437.72</v>
      </c>
      <c r="P594" s="83" t="n">
        <v>0</v>
      </c>
      <c r="Q594" s="83" t="n">
        <v>18.15</v>
      </c>
      <c r="R594" s="47" t="n">
        <v>20</v>
      </c>
      <c r="S594" s="66" t="s">
        <v>891</v>
      </c>
    </row>
    <row r="595" customFormat="false" ht="15" hidden="false" customHeight="false" outlineLevel="0" collapsed="false">
      <c r="A595" s="79" t="s">
        <v>232</v>
      </c>
      <c r="B595" s="79" t="s">
        <v>312</v>
      </c>
      <c r="C595" s="80" t="n">
        <v>2021</v>
      </c>
      <c r="D595" s="80" t="n">
        <v>2</v>
      </c>
      <c r="E595" s="81" t="n">
        <v>44377</v>
      </c>
      <c r="F595" s="79" t="s">
        <v>271</v>
      </c>
      <c r="G595" s="79" t="s">
        <v>272</v>
      </c>
      <c r="H595" s="79" t="s">
        <v>268</v>
      </c>
      <c r="I595" s="82" t="n">
        <v>267.626</v>
      </c>
      <c r="J595" s="82" t="n">
        <v>8.381</v>
      </c>
      <c r="K595" s="82" t="n">
        <v>-43081000</v>
      </c>
      <c r="L595" s="83" t="n">
        <v>-0.33</v>
      </c>
      <c r="M595" s="82" t="n">
        <v>132.9303</v>
      </c>
      <c r="N595" s="82" t="n">
        <v>0</v>
      </c>
      <c r="O595" s="82" t="n">
        <v>1526.944</v>
      </c>
      <c r="P595" s="83" t="n">
        <v>0</v>
      </c>
      <c r="Q595" s="83" t="n">
        <v>18.85</v>
      </c>
      <c r="R595" s="47" t="n">
        <v>21</v>
      </c>
      <c r="S595" s="66" t="s">
        <v>892</v>
      </c>
    </row>
    <row r="596" customFormat="false" ht="15" hidden="false" customHeight="false" outlineLevel="0" collapsed="false">
      <c r="A596" s="79" t="s">
        <v>232</v>
      </c>
      <c r="B596" s="79" t="s">
        <v>314</v>
      </c>
      <c r="C596" s="80" t="n">
        <v>2021</v>
      </c>
      <c r="D596" s="80" t="n">
        <v>1</v>
      </c>
      <c r="E596" s="81" t="n">
        <v>44286</v>
      </c>
      <c r="F596" s="79" t="s">
        <v>271</v>
      </c>
      <c r="G596" s="79" t="s">
        <v>272</v>
      </c>
      <c r="H596" s="79" t="s">
        <v>268</v>
      </c>
      <c r="I596" s="82" t="n">
        <v>183.606</v>
      </c>
      <c r="J596" s="82" t="n">
        <v>-24.522</v>
      </c>
      <c r="K596" s="82" t="n">
        <v>-73434000</v>
      </c>
      <c r="L596" s="83" t="n">
        <v>-0.62</v>
      </c>
      <c r="M596" s="82" t="n">
        <v>120.0363</v>
      </c>
      <c r="N596" s="82" t="n">
        <v>0</v>
      </c>
      <c r="O596" s="82" t="n">
        <v>1264.85</v>
      </c>
      <c r="P596" s="83" t="n">
        <v>0</v>
      </c>
      <c r="Q596" s="83" t="n">
        <v>24.1</v>
      </c>
      <c r="R596" s="47" t="n">
        <v>22</v>
      </c>
      <c r="S596" s="66" t="s">
        <v>893</v>
      </c>
    </row>
    <row r="597" customFormat="false" ht="15" hidden="false" customHeight="false" outlineLevel="0" collapsed="false">
      <c r="A597" s="79" t="s">
        <v>232</v>
      </c>
      <c r="B597" s="79" t="s">
        <v>316</v>
      </c>
      <c r="C597" s="80" t="n">
        <v>2020</v>
      </c>
      <c r="D597" s="80" t="n">
        <v>4</v>
      </c>
      <c r="E597" s="81" t="n">
        <v>44196</v>
      </c>
      <c r="F597" s="79" t="s">
        <v>271</v>
      </c>
      <c r="G597" s="79" t="s">
        <v>272</v>
      </c>
      <c r="H597" s="79" t="s">
        <v>268</v>
      </c>
      <c r="I597" s="82" t="n">
        <v>260.587</v>
      </c>
      <c r="J597" s="82" t="n">
        <v>-14.874</v>
      </c>
      <c r="K597" s="82" t="n">
        <v>-74715000</v>
      </c>
      <c r="L597" s="83" t="n">
        <v>-0.64</v>
      </c>
      <c r="M597" s="82" t="n">
        <v>120.1243</v>
      </c>
      <c r="N597" s="82" t="n">
        <v>0</v>
      </c>
      <c r="O597" s="82" t="n">
        <v>1390.359</v>
      </c>
      <c r="P597" s="83" t="n">
        <v>0</v>
      </c>
      <c r="Q597" s="83" t="n">
        <v>26.95</v>
      </c>
      <c r="R597" s="47" t="n">
        <v>23</v>
      </c>
      <c r="S597" s="66" t="s">
        <v>894</v>
      </c>
    </row>
    <row r="598" customFormat="false" ht="15" hidden="false" customHeight="false" outlineLevel="0" collapsed="false">
      <c r="A598" s="79" t="s">
        <v>232</v>
      </c>
      <c r="B598" s="79" t="s">
        <v>318</v>
      </c>
      <c r="C598" s="80" t="n">
        <v>2020</v>
      </c>
      <c r="D598" s="80" t="n">
        <v>3</v>
      </c>
      <c r="E598" s="81" t="n">
        <v>44104</v>
      </c>
      <c r="F598" s="79" t="s">
        <v>271</v>
      </c>
      <c r="G598" s="79" t="s">
        <v>272</v>
      </c>
      <c r="H598" s="79" t="s">
        <v>268</v>
      </c>
      <c r="I598" s="82" t="n">
        <v>303.651</v>
      </c>
      <c r="J598" s="82" t="n">
        <v>16.52</v>
      </c>
      <c r="K598" s="82" t="n">
        <v>-26260000</v>
      </c>
      <c r="L598" s="83" t="n">
        <v>-0.22</v>
      </c>
      <c r="M598" s="82" t="n">
        <v>120.1243</v>
      </c>
      <c r="N598" s="82" t="n">
        <v>0</v>
      </c>
      <c r="O598" s="82" t="n">
        <v>1231.398</v>
      </c>
      <c r="P598" s="83"/>
      <c r="Q598" s="83" t="n">
        <v>26.8</v>
      </c>
      <c r="R598" s="47" t="n">
        <v>24</v>
      </c>
      <c r="S598" s="66" t="s">
        <v>895</v>
      </c>
    </row>
    <row r="599" customFormat="false" ht="15" hidden="false" customHeight="false" outlineLevel="0" collapsed="false">
      <c r="A599" s="79" t="s">
        <v>896</v>
      </c>
      <c r="B599" s="79" t="s">
        <v>265</v>
      </c>
      <c r="C599" s="80" t="n">
        <v>2026</v>
      </c>
      <c r="D599" s="80" t="n">
        <v>3</v>
      </c>
      <c r="E599" s="81" t="n">
        <v>46295</v>
      </c>
      <c r="F599" s="79" t="s">
        <v>266</v>
      </c>
      <c r="G599" s="79" t="s">
        <v>267</v>
      </c>
      <c r="H599" s="79" t="s">
        <v>268</v>
      </c>
      <c r="I599" s="82"/>
      <c r="J599" s="82"/>
      <c r="K599" s="82"/>
      <c r="L599" s="83" t="n">
        <v>49.57841</v>
      </c>
      <c r="M599" s="82"/>
      <c r="N599" s="82"/>
      <c r="O599" s="82"/>
      <c r="P599" s="83"/>
      <c r="Q599" s="83"/>
      <c r="R599" s="47" t="n">
        <v>0</v>
      </c>
      <c r="S599" s="66" t="s">
        <v>897</v>
      </c>
    </row>
    <row r="600" customFormat="false" ht="15" hidden="false" customHeight="false" outlineLevel="0" collapsed="false">
      <c r="A600" s="79" t="s">
        <v>896</v>
      </c>
      <c r="B600" s="79" t="s">
        <v>270</v>
      </c>
      <c r="C600" s="80" t="n">
        <v>2026</v>
      </c>
      <c r="D600" s="80" t="n">
        <v>2</v>
      </c>
      <c r="E600" s="81" t="n">
        <v>46203</v>
      </c>
      <c r="F600" s="79" t="s">
        <v>271</v>
      </c>
      <c r="G600" s="79" t="s">
        <v>272</v>
      </c>
      <c r="H600" s="79" t="s">
        <v>268</v>
      </c>
      <c r="I600" s="82" t="n">
        <v>3871.409</v>
      </c>
      <c r="J600" s="82" t="n">
        <v>2787.502</v>
      </c>
      <c r="K600" s="82" t="n">
        <v>1840866000</v>
      </c>
      <c r="L600" s="83" t="n">
        <v>44.27</v>
      </c>
      <c r="M600" s="82" t="n">
        <v>37.8027</v>
      </c>
      <c r="N600" s="82" t="n">
        <v>0</v>
      </c>
      <c r="O600" s="82" t="n">
        <v>7791.478</v>
      </c>
      <c r="P600" s="83" t="n">
        <v>80</v>
      </c>
      <c r="Q600" s="83" t="n">
        <v>16495</v>
      </c>
      <c r="R600" s="47" t="n">
        <v>1</v>
      </c>
      <c r="S600" s="66" t="s">
        <v>898</v>
      </c>
    </row>
    <row r="601" customFormat="false" ht="15" hidden="false" customHeight="false" outlineLevel="0" collapsed="false">
      <c r="A601" s="79" t="s">
        <v>896</v>
      </c>
      <c r="B601" s="79" t="s">
        <v>274</v>
      </c>
      <c r="C601" s="80" t="n">
        <v>2026</v>
      </c>
      <c r="D601" s="80" t="n">
        <v>1</v>
      </c>
      <c r="E601" s="81" t="n">
        <v>46112</v>
      </c>
      <c r="F601" s="79" t="s">
        <v>271</v>
      </c>
      <c r="G601" s="79" t="s">
        <v>272</v>
      </c>
      <c r="H601" s="79" t="s">
        <v>268</v>
      </c>
      <c r="I601" s="82" t="n">
        <v>3146.757</v>
      </c>
      <c r="J601" s="82" t="n">
        <v>2177.017</v>
      </c>
      <c r="K601" s="82" t="n">
        <v>1414275000</v>
      </c>
      <c r="L601" s="83" t="n">
        <v>37.41</v>
      </c>
      <c r="M601" s="82" t="n">
        <v>37.8027</v>
      </c>
      <c r="N601" s="82" t="n">
        <v>0</v>
      </c>
      <c r="O601" s="82" t="n">
        <v>5960.768</v>
      </c>
      <c r="P601" s="83" t="n">
        <v>0</v>
      </c>
      <c r="Q601" s="83" t="n">
        <v>10700</v>
      </c>
      <c r="R601" s="47" t="n">
        <v>2</v>
      </c>
      <c r="S601" s="66" t="s">
        <v>899</v>
      </c>
    </row>
    <row r="602" customFormat="false" ht="15" hidden="false" customHeight="false" outlineLevel="0" collapsed="false">
      <c r="A602" s="79" t="s">
        <v>896</v>
      </c>
      <c r="B602" s="79" t="s">
        <v>276</v>
      </c>
      <c r="C602" s="80" t="n">
        <v>2025</v>
      </c>
      <c r="D602" s="80" t="n">
        <v>4</v>
      </c>
      <c r="E602" s="81" t="n">
        <v>46022</v>
      </c>
      <c r="F602" s="79" t="s">
        <v>271</v>
      </c>
      <c r="G602" s="79" t="s">
        <v>272</v>
      </c>
      <c r="H602" s="79" t="s">
        <v>268</v>
      </c>
      <c r="I602" s="82" t="n">
        <v>2443.126</v>
      </c>
      <c r="J602" s="82" t="n">
        <v>1672.352</v>
      </c>
      <c r="K602" s="82" t="n">
        <v>1197735000</v>
      </c>
      <c r="L602" s="83" t="n">
        <v>31.69</v>
      </c>
      <c r="M602" s="82" t="n">
        <v>37.8027</v>
      </c>
      <c r="N602" s="82" t="n">
        <v>0</v>
      </c>
      <c r="O602" s="82" t="n">
        <v>7570.771</v>
      </c>
      <c r="P602" s="83" t="n">
        <v>0</v>
      </c>
      <c r="Q602" s="83" t="n">
        <v>7260</v>
      </c>
      <c r="R602" s="47" t="n">
        <v>3</v>
      </c>
      <c r="S602" s="66" t="s">
        <v>900</v>
      </c>
    </row>
    <row r="603" customFormat="false" ht="15" hidden="false" customHeight="false" outlineLevel="0" collapsed="false">
      <c r="A603" s="79" t="s">
        <v>896</v>
      </c>
      <c r="B603" s="79" t="s">
        <v>278</v>
      </c>
      <c r="C603" s="80" t="n">
        <v>2025</v>
      </c>
      <c r="D603" s="80" t="n">
        <v>3</v>
      </c>
      <c r="E603" s="81" t="n">
        <v>45930</v>
      </c>
      <c r="F603" s="79" t="s">
        <v>271</v>
      </c>
      <c r="G603" s="79" t="s">
        <v>272</v>
      </c>
      <c r="H603" s="79" t="s">
        <v>268</v>
      </c>
      <c r="I603" s="82" t="n">
        <v>2330.084</v>
      </c>
      <c r="J603" s="82" t="n">
        <v>1613.721</v>
      </c>
      <c r="K603" s="82" t="n">
        <v>1214205000</v>
      </c>
      <c r="L603" s="83" t="n">
        <v>32.12</v>
      </c>
      <c r="M603" s="82" t="n">
        <v>37.8027</v>
      </c>
      <c r="N603" s="82" t="n">
        <v>0</v>
      </c>
      <c r="O603" s="82" t="n">
        <v>6367.317</v>
      </c>
      <c r="P603" s="83" t="n">
        <v>0</v>
      </c>
      <c r="Q603" s="83" t="n">
        <v>5050</v>
      </c>
      <c r="R603" s="47" t="n">
        <v>4</v>
      </c>
      <c r="S603" s="66" t="s">
        <v>901</v>
      </c>
    </row>
    <row r="604" customFormat="false" ht="15" hidden="false" customHeight="false" outlineLevel="0" collapsed="false">
      <c r="A604" s="79" t="s">
        <v>896</v>
      </c>
      <c r="B604" s="79" t="s">
        <v>280</v>
      </c>
      <c r="C604" s="80" t="n">
        <v>2025</v>
      </c>
      <c r="D604" s="80" t="n">
        <v>2</v>
      </c>
      <c r="E604" s="81" t="n">
        <v>45838</v>
      </c>
      <c r="F604" s="79" t="s">
        <v>271</v>
      </c>
      <c r="G604" s="79" t="s">
        <v>272</v>
      </c>
      <c r="H604" s="79" t="s">
        <v>268</v>
      </c>
      <c r="I604" s="82" t="n">
        <v>2246.547</v>
      </c>
      <c r="J604" s="82" t="n">
        <v>1524.869</v>
      </c>
      <c r="K604" s="82" t="n">
        <v>629097000</v>
      </c>
      <c r="L604" s="83" t="n">
        <v>16.65</v>
      </c>
      <c r="M604" s="82" t="n">
        <v>37.8207</v>
      </c>
      <c r="N604" s="82" t="n">
        <v>0</v>
      </c>
      <c r="O604" s="82" t="n">
        <v>5176.582</v>
      </c>
      <c r="P604" s="83" t="n">
        <v>52</v>
      </c>
      <c r="Q604" s="83" t="n">
        <v>4745</v>
      </c>
      <c r="R604" s="47" t="n">
        <v>5</v>
      </c>
      <c r="S604" s="66" t="s">
        <v>902</v>
      </c>
    </row>
    <row r="605" customFormat="false" ht="15" hidden="false" customHeight="false" outlineLevel="0" collapsed="false">
      <c r="A605" s="79" t="s">
        <v>896</v>
      </c>
      <c r="B605" s="79" t="s">
        <v>282</v>
      </c>
      <c r="C605" s="80" t="n">
        <v>2025</v>
      </c>
      <c r="D605" s="80" t="n">
        <v>1</v>
      </c>
      <c r="E605" s="81" t="n">
        <v>45747</v>
      </c>
      <c r="F605" s="79" t="s">
        <v>271</v>
      </c>
      <c r="G605" s="79" t="s">
        <v>272</v>
      </c>
      <c r="H605" s="79" t="s">
        <v>268</v>
      </c>
      <c r="I605" s="82" t="n">
        <v>2065.118</v>
      </c>
      <c r="J605" s="82" t="n">
        <v>1367.763</v>
      </c>
      <c r="K605" s="82" t="n">
        <v>886770000</v>
      </c>
      <c r="L605" s="83" t="n">
        <v>23.46</v>
      </c>
      <c r="M605" s="82" t="n">
        <v>37.8207</v>
      </c>
      <c r="N605" s="82" t="n">
        <v>0</v>
      </c>
      <c r="O605" s="82" t="n">
        <v>4564.817</v>
      </c>
      <c r="P605" s="83" t="n">
        <v>0</v>
      </c>
      <c r="Q605" s="83" t="n">
        <v>2990</v>
      </c>
      <c r="R605" s="47" t="n">
        <v>6</v>
      </c>
      <c r="S605" s="66" t="s">
        <v>903</v>
      </c>
    </row>
    <row r="606" customFormat="false" ht="15" hidden="false" customHeight="false" outlineLevel="0" collapsed="false">
      <c r="A606" s="79" t="s">
        <v>896</v>
      </c>
      <c r="B606" s="79" t="s">
        <v>284</v>
      </c>
      <c r="C606" s="80" t="n">
        <v>2024</v>
      </c>
      <c r="D606" s="80" t="n">
        <v>4</v>
      </c>
      <c r="E606" s="81" t="n">
        <v>45657</v>
      </c>
      <c r="F606" s="79" t="s">
        <v>271</v>
      </c>
      <c r="G606" s="79" t="s">
        <v>272</v>
      </c>
      <c r="H606" s="79" t="s">
        <v>268</v>
      </c>
      <c r="I606" s="82" t="n">
        <v>2103.713</v>
      </c>
      <c r="J606" s="82" t="n">
        <v>1376.853</v>
      </c>
      <c r="K606" s="82" t="n">
        <v>942842000</v>
      </c>
      <c r="L606" s="83" t="n">
        <v>24.95</v>
      </c>
      <c r="M606" s="82" t="n">
        <v>37.8207</v>
      </c>
      <c r="N606" s="82" t="n">
        <v>0</v>
      </c>
      <c r="O606" s="82" t="n">
        <v>5639.225</v>
      </c>
      <c r="P606" s="83" t="n">
        <v>0</v>
      </c>
      <c r="Q606" s="83" t="n">
        <v>3325</v>
      </c>
      <c r="R606" s="47" t="n">
        <v>7</v>
      </c>
      <c r="S606" s="66" t="s">
        <v>904</v>
      </c>
    </row>
    <row r="607" customFormat="false" ht="15" hidden="false" customHeight="false" outlineLevel="0" collapsed="false">
      <c r="A607" s="79" t="s">
        <v>896</v>
      </c>
      <c r="B607" s="79" t="s">
        <v>286</v>
      </c>
      <c r="C607" s="80" t="n">
        <v>2024</v>
      </c>
      <c r="D607" s="80" t="n">
        <v>3</v>
      </c>
      <c r="E607" s="81" t="n">
        <v>45565</v>
      </c>
      <c r="F607" s="79" t="s">
        <v>271</v>
      </c>
      <c r="G607" s="79" t="s">
        <v>272</v>
      </c>
      <c r="H607" s="79" t="s">
        <v>268</v>
      </c>
      <c r="I607" s="82" t="n">
        <v>1986.435</v>
      </c>
      <c r="J607" s="82" t="n">
        <v>1276.807</v>
      </c>
      <c r="K607" s="82" t="n">
        <v>729320000</v>
      </c>
      <c r="L607" s="83" t="n">
        <v>19.3</v>
      </c>
      <c r="M607" s="82" t="n">
        <v>37.8207</v>
      </c>
      <c r="N607" s="82" t="n">
        <v>0</v>
      </c>
      <c r="O607" s="82" t="n">
        <v>4721.937</v>
      </c>
      <c r="P607" s="83" t="n">
        <v>0</v>
      </c>
      <c r="Q607" s="83" t="n">
        <v>4305</v>
      </c>
      <c r="R607" s="47" t="n">
        <v>8</v>
      </c>
      <c r="S607" s="66" t="s">
        <v>905</v>
      </c>
    </row>
    <row r="608" customFormat="false" ht="15" hidden="false" customHeight="false" outlineLevel="0" collapsed="false">
      <c r="A608" s="79" t="s">
        <v>896</v>
      </c>
      <c r="B608" s="79" t="s">
        <v>288</v>
      </c>
      <c r="C608" s="80" t="n">
        <v>2024</v>
      </c>
      <c r="D608" s="80" t="n">
        <v>2</v>
      </c>
      <c r="E608" s="81" t="n">
        <v>45473</v>
      </c>
      <c r="F608" s="79" t="s">
        <v>271</v>
      </c>
      <c r="G608" s="79" t="s">
        <v>272</v>
      </c>
      <c r="H608" s="79" t="s">
        <v>268</v>
      </c>
      <c r="I608" s="82" t="n">
        <v>1356.045</v>
      </c>
      <c r="J608" s="82" t="n">
        <v>859.222</v>
      </c>
      <c r="K608" s="82" t="n">
        <v>507796000</v>
      </c>
      <c r="L608" s="83" t="n">
        <v>13.44</v>
      </c>
      <c r="M608" s="82" t="n">
        <v>37.8207</v>
      </c>
      <c r="N608" s="82" t="n">
        <v>0</v>
      </c>
      <c r="O608" s="82" t="n">
        <v>3991.163</v>
      </c>
      <c r="P608" s="83" t="n">
        <v>20</v>
      </c>
      <c r="Q608" s="83" t="n">
        <v>4840</v>
      </c>
      <c r="R608" s="47" t="n">
        <v>9</v>
      </c>
      <c r="S608" s="66" t="s">
        <v>906</v>
      </c>
    </row>
    <row r="609" customFormat="false" ht="15" hidden="false" customHeight="false" outlineLevel="0" collapsed="false">
      <c r="A609" s="79" t="s">
        <v>896</v>
      </c>
      <c r="B609" s="79" t="s">
        <v>290</v>
      </c>
      <c r="C609" s="80" t="n">
        <v>2024</v>
      </c>
      <c r="D609" s="80" t="n">
        <v>1</v>
      </c>
      <c r="E609" s="81" t="n">
        <v>45382</v>
      </c>
      <c r="F609" s="79" t="s">
        <v>271</v>
      </c>
      <c r="G609" s="79" t="s">
        <v>272</v>
      </c>
      <c r="H609" s="79" t="s">
        <v>268</v>
      </c>
      <c r="I609" s="82" t="n">
        <v>1013.473</v>
      </c>
      <c r="J609" s="82" t="n">
        <v>640.916</v>
      </c>
      <c r="K609" s="82" t="n">
        <v>391350000</v>
      </c>
      <c r="L609" s="83" t="n">
        <v>10.36</v>
      </c>
      <c r="M609" s="82" t="n">
        <v>37.8207</v>
      </c>
      <c r="N609" s="82" t="n">
        <v>0</v>
      </c>
      <c r="O609" s="82" t="n">
        <v>3477.137</v>
      </c>
      <c r="P609" s="83" t="n">
        <v>0</v>
      </c>
      <c r="Q609" s="83" t="n">
        <v>3330</v>
      </c>
      <c r="R609" s="47" t="n">
        <v>10</v>
      </c>
      <c r="S609" s="66" t="s">
        <v>907</v>
      </c>
    </row>
    <row r="610" customFormat="false" ht="15" hidden="false" customHeight="false" outlineLevel="0" collapsed="false">
      <c r="A610" s="79" t="s">
        <v>896</v>
      </c>
      <c r="B610" s="79" t="s">
        <v>292</v>
      </c>
      <c r="C610" s="80" t="n">
        <v>2023</v>
      </c>
      <c r="D610" s="80" t="n">
        <v>4</v>
      </c>
      <c r="E610" s="81" t="n">
        <v>45291</v>
      </c>
      <c r="F610" s="79" t="s">
        <v>271</v>
      </c>
      <c r="G610" s="79" t="s">
        <v>272</v>
      </c>
      <c r="H610" s="79" t="s">
        <v>268</v>
      </c>
      <c r="I610" s="82" t="n">
        <v>984.247</v>
      </c>
      <c r="J610" s="82" t="n">
        <v>633.213</v>
      </c>
      <c r="K610" s="82" t="n">
        <v>309694000</v>
      </c>
      <c r="L610" s="83" t="n">
        <v>8.2</v>
      </c>
      <c r="M610" s="82" t="n">
        <v>37.8207</v>
      </c>
      <c r="N610" s="82" t="n">
        <v>0</v>
      </c>
      <c r="O610" s="82" t="n">
        <v>3834.195</v>
      </c>
      <c r="P610" s="83" t="n">
        <v>0</v>
      </c>
      <c r="Q610" s="83" t="n">
        <v>3120</v>
      </c>
      <c r="R610" s="47" t="n">
        <v>11</v>
      </c>
      <c r="S610" s="66" t="s">
        <v>908</v>
      </c>
    </row>
    <row r="611" customFormat="false" ht="15" hidden="false" customHeight="false" outlineLevel="0" collapsed="false">
      <c r="A611" s="79" t="s">
        <v>896</v>
      </c>
      <c r="B611" s="79" t="s">
        <v>294</v>
      </c>
      <c r="C611" s="80" t="n">
        <v>2023</v>
      </c>
      <c r="D611" s="80" t="n">
        <v>3</v>
      </c>
      <c r="E611" s="81" t="n">
        <v>45199</v>
      </c>
      <c r="F611" s="79" t="s">
        <v>271</v>
      </c>
      <c r="G611" s="79" t="s">
        <v>272</v>
      </c>
      <c r="H611" s="79" t="s">
        <v>268</v>
      </c>
      <c r="I611" s="82" t="n">
        <v>796.713</v>
      </c>
      <c r="J611" s="82" t="n">
        <v>498.395</v>
      </c>
      <c r="K611" s="82" t="n">
        <v>270455000</v>
      </c>
      <c r="L611" s="83" t="n">
        <v>7.16</v>
      </c>
      <c r="M611" s="82" t="n">
        <v>37.8207</v>
      </c>
      <c r="N611" s="82" t="n">
        <v>0</v>
      </c>
      <c r="O611" s="82" t="n">
        <v>3520.891</v>
      </c>
      <c r="P611" s="83" t="n">
        <v>0</v>
      </c>
      <c r="Q611" s="83" t="n">
        <v>2765</v>
      </c>
      <c r="R611" s="47" t="n">
        <v>12</v>
      </c>
      <c r="S611" s="66" t="s">
        <v>909</v>
      </c>
    </row>
    <row r="612" customFormat="false" ht="15" hidden="false" customHeight="false" outlineLevel="0" collapsed="false">
      <c r="A612" s="79" t="s">
        <v>896</v>
      </c>
      <c r="B612" s="79" t="s">
        <v>296</v>
      </c>
      <c r="C612" s="80" t="n">
        <v>2023</v>
      </c>
      <c r="D612" s="80" t="n">
        <v>2</v>
      </c>
      <c r="E612" s="81" t="n">
        <v>45107</v>
      </c>
      <c r="F612" s="79" t="s">
        <v>271</v>
      </c>
      <c r="G612" s="79" t="s">
        <v>272</v>
      </c>
      <c r="H612" s="79" t="s">
        <v>268</v>
      </c>
      <c r="I612" s="82" t="n">
        <v>680.039</v>
      </c>
      <c r="J612" s="82" t="n">
        <v>446.316</v>
      </c>
      <c r="K612" s="82" t="n">
        <v>240352000</v>
      </c>
      <c r="L612" s="83" t="n">
        <v>6.37</v>
      </c>
      <c r="M612" s="82" t="n">
        <v>37.8207</v>
      </c>
      <c r="N612" s="82" t="n">
        <v>0</v>
      </c>
      <c r="O612" s="82" t="n">
        <v>3240.078</v>
      </c>
      <c r="P612" s="83" t="n">
        <v>45</v>
      </c>
      <c r="Q612" s="83" t="n">
        <v>2850</v>
      </c>
      <c r="R612" s="47" t="n">
        <v>13</v>
      </c>
      <c r="S612" s="66" t="s">
        <v>910</v>
      </c>
    </row>
    <row r="613" customFormat="false" ht="15" hidden="false" customHeight="false" outlineLevel="0" collapsed="false">
      <c r="A613" s="79" t="s">
        <v>896</v>
      </c>
      <c r="B613" s="79" t="s">
        <v>298</v>
      </c>
      <c r="C613" s="80" t="n">
        <v>2023</v>
      </c>
      <c r="D613" s="80" t="n">
        <v>1</v>
      </c>
      <c r="E613" s="81" t="n">
        <v>45016</v>
      </c>
      <c r="F613" s="79" t="s">
        <v>271</v>
      </c>
      <c r="G613" s="79" t="s">
        <v>272</v>
      </c>
      <c r="H613" s="79" t="s">
        <v>268</v>
      </c>
      <c r="I613" s="82" t="n">
        <v>669.396</v>
      </c>
      <c r="J613" s="82" t="n">
        <v>429.994</v>
      </c>
      <c r="K613" s="82" t="n">
        <v>186309000</v>
      </c>
      <c r="L613" s="83" t="n">
        <v>4.93</v>
      </c>
      <c r="M613" s="82" t="n">
        <v>37.8207</v>
      </c>
      <c r="N613" s="82" t="n">
        <v>0</v>
      </c>
      <c r="O613" s="82" t="n">
        <v>2985.36</v>
      </c>
      <c r="P613" s="83" t="n">
        <v>0</v>
      </c>
      <c r="Q613" s="83" t="n">
        <v>2635</v>
      </c>
      <c r="R613" s="47" t="n">
        <v>14</v>
      </c>
      <c r="S613" s="66" t="s">
        <v>911</v>
      </c>
    </row>
    <row r="614" customFormat="false" ht="15" hidden="false" customHeight="false" outlineLevel="0" collapsed="false">
      <c r="A614" s="79" t="s">
        <v>896</v>
      </c>
      <c r="B614" s="79" t="s">
        <v>300</v>
      </c>
      <c r="C614" s="80" t="n">
        <v>2022</v>
      </c>
      <c r="D614" s="80" t="n">
        <v>4</v>
      </c>
      <c r="E614" s="81" t="n">
        <v>44926</v>
      </c>
      <c r="F614" s="79" t="s">
        <v>271</v>
      </c>
      <c r="G614" s="79" t="s">
        <v>272</v>
      </c>
      <c r="H614" s="79" t="s">
        <v>268</v>
      </c>
      <c r="I614" s="82" t="n">
        <v>1326.707</v>
      </c>
      <c r="J614" s="82" t="n">
        <v>859.687</v>
      </c>
      <c r="K614" s="82" t="n">
        <v>475794000</v>
      </c>
      <c r="L614" s="83" t="n">
        <v>12.59</v>
      </c>
      <c r="M614" s="82" t="n">
        <v>37.8207</v>
      </c>
      <c r="N614" s="82" t="n">
        <v>0</v>
      </c>
      <c r="O614" s="82" t="n">
        <v>4487.751</v>
      </c>
      <c r="P614" s="83" t="n">
        <v>0</v>
      </c>
      <c r="Q614" s="83" t="n">
        <v>1685</v>
      </c>
      <c r="R614" s="47" t="n">
        <v>15</v>
      </c>
      <c r="S614" s="66" t="s">
        <v>912</v>
      </c>
    </row>
    <row r="615" customFormat="false" ht="15" hidden="false" customHeight="false" outlineLevel="0" collapsed="false">
      <c r="A615" s="79" t="s">
        <v>896</v>
      </c>
      <c r="B615" s="79" t="s">
        <v>302</v>
      </c>
      <c r="C615" s="80" t="n">
        <v>2022</v>
      </c>
      <c r="D615" s="80" t="n">
        <v>3</v>
      </c>
      <c r="E615" s="81" t="n">
        <v>44834</v>
      </c>
      <c r="F615" s="79" t="s">
        <v>271</v>
      </c>
      <c r="G615" s="79" t="s">
        <v>272</v>
      </c>
      <c r="H615" s="79" t="s">
        <v>268</v>
      </c>
      <c r="I615" s="82" t="n">
        <v>1306.58</v>
      </c>
      <c r="J615" s="82" t="n">
        <v>845.837</v>
      </c>
      <c r="K615" s="82" t="n">
        <v>598343000</v>
      </c>
      <c r="L615" s="83" t="n">
        <v>15.83</v>
      </c>
      <c r="M615" s="82" t="n">
        <v>37.8871</v>
      </c>
      <c r="N615" s="82" t="n">
        <v>0</v>
      </c>
      <c r="O615" s="82" t="n">
        <v>4124.329</v>
      </c>
      <c r="P615" s="83" t="n">
        <v>0</v>
      </c>
      <c r="Q615" s="83" t="n">
        <v>1780</v>
      </c>
      <c r="R615" s="47" t="n">
        <v>16</v>
      </c>
      <c r="S615" s="66" t="s">
        <v>913</v>
      </c>
    </row>
    <row r="616" customFormat="false" ht="15" hidden="false" customHeight="false" outlineLevel="0" collapsed="false">
      <c r="A616" s="79" t="s">
        <v>896</v>
      </c>
      <c r="B616" s="79" t="s">
        <v>304</v>
      </c>
      <c r="C616" s="80" t="n">
        <v>2022</v>
      </c>
      <c r="D616" s="80" t="n">
        <v>2</v>
      </c>
      <c r="E616" s="81" t="n">
        <v>44742</v>
      </c>
      <c r="F616" s="79" t="s">
        <v>271</v>
      </c>
      <c r="G616" s="79" t="s">
        <v>272</v>
      </c>
      <c r="H616" s="79" t="s">
        <v>268</v>
      </c>
      <c r="I616" s="82" t="n">
        <v>1425.332</v>
      </c>
      <c r="J616" s="82" t="n">
        <v>928.983</v>
      </c>
      <c r="K616" s="82" t="n">
        <v>563412000</v>
      </c>
      <c r="L616" s="83" t="n">
        <v>14.9</v>
      </c>
      <c r="M616" s="82" t="n">
        <v>34.3551</v>
      </c>
      <c r="N616" s="82" t="n">
        <v>0</v>
      </c>
      <c r="O616" s="82" t="n">
        <v>3512.905</v>
      </c>
      <c r="P616" s="83" t="n">
        <v>35</v>
      </c>
      <c r="Q616" s="83" t="n">
        <v>1900</v>
      </c>
      <c r="R616" s="47" t="n">
        <v>17</v>
      </c>
      <c r="S616" s="66" t="s">
        <v>914</v>
      </c>
    </row>
    <row r="617" customFormat="false" ht="15" hidden="false" customHeight="false" outlineLevel="0" collapsed="false">
      <c r="A617" s="79" t="s">
        <v>896</v>
      </c>
      <c r="B617" s="79" t="s">
        <v>306</v>
      </c>
      <c r="C617" s="80" t="n">
        <v>2022</v>
      </c>
      <c r="D617" s="80" t="n">
        <v>1</v>
      </c>
      <c r="E617" s="81" t="n">
        <v>44651</v>
      </c>
      <c r="F617" s="79" t="s">
        <v>271</v>
      </c>
      <c r="G617" s="79" t="s">
        <v>272</v>
      </c>
      <c r="H617" s="79" t="s">
        <v>268</v>
      </c>
      <c r="I617" s="82" t="n">
        <v>1151.509</v>
      </c>
      <c r="J617" s="82" t="n">
        <v>756.645</v>
      </c>
      <c r="K617" s="82" t="n">
        <v>468065000</v>
      </c>
      <c r="L617" s="83" t="n">
        <v>13.64</v>
      </c>
      <c r="M617" s="82" t="n">
        <v>34.3551</v>
      </c>
      <c r="N617" s="82" t="n">
        <v>0</v>
      </c>
      <c r="O617" s="82" t="n">
        <v>2949.987</v>
      </c>
      <c r="P617" s="83" t="n">
        <v>0</v>
      </c>
      <c r="Q617" s="83" t="n">
        <v>3260</v>
      </c>
      <c r="R617" s="47" t="n">
        <v>18</v>
      </c>
      <c r="S617" s="66" t="s">
        <v>915</v>
      </c>
    </row>
    <row r="618" customFormat="false" ht="15" hidden="false" customHeight="false" outlineLevel="0" collapsed="false">
      <c r="A618" s="79" t="s">
        <v>896</v>
      </c>
      <c r="B618" s="79" t="s">
        <v>308</v>
      </c>
      <c r="C618" s="80" t="n">
        <v>2021</v>
      </c>
      <c r="D618" s="80" t="n">
        <v>4</v>
      </c>
      <c r="E618" s="81" t="n">
        <v>44561</v>
      </c>
      <c r="F618" s="79" t="s">
        <v>271</v>
      </c>
      <c r="G618" s="79" t="s">
        <v>272</v>
      </c>
      <c r="H618" s="79" t="s">
        <v>268</v>
      </c>
      <c r="I618" s="82" t="n">
        <v>1031.347</v>
      </c>
      <c r="J618" s="82" t="n">
        <v>682.38</v>
      </c>
      <c r="K618" s="82" t="n">
        <v>420364000</v>
      </c>
      <c r="L618" s="83" t="n">
        <v>12.26</v>
      </c>
      <c r="M618" s="82" t="n">
        <v>34.3694</v>
      </c>
      <c r="N618" s="82" t="n">
        <v>0</v>
      </c>
      <c r="O618" s="82" t="n">
        <v>3546.206</v>
      </c>
      <c r="P618" s="83" t="n">
        <v>0</v>
      </c>
      <c r="Q618" s="83" t="n">
        <v>3565</v>
      </c>
      <c r="R618" s="47" t="n">
        <v>19</v>
      </c>
      <c r="S618" s="66" t="s">
        <v>916</v>
      </c>
    </row>
    <row r="619" customFormat="false" ht="15" hidden="false" customHeight="false" outlineLevel="0" collapsed="false">
      <c r="A619" s="79" t="s">
        <v>896</v>
      </c>
      <c r="B619" s="79" t="s">
        <v>310</v>
      </c>
      <c r="C619" s="80" t="n">
        <v>2021</v>
      </c>
      <c r="D619" s="80" t="n">
        <v>3</v>
      </c>
      <c r="E619" s="81" t="n">
        <v>44469</v>
      </c>
      <c r="F619" s="79" t="s">
        <v>271</v>
      </c>
      <c r="G619" s="79" t="s">
        <v>272</v>
      </c>
      <c r="H619" s="79" t="s">
        <v>268</v>
      </c>
      <c r="I619" s="82" t="n">
        <v>939.334</v>
      </c>
      <c r="J619" s="82" t="n">
        <v>615.058</v>
      </c>
      <c r="K619" s="82" t="n">
        <v>344262000</v>
      </c>
      <c r="L619" s="83" t="n">
        <v>10.04</v>
      </c>
      <c r="M619" s="82" t="n">
        <v>34.373</v>
      </c>
      <c r="N619" s="82" t="n">
        <v>0</v>
      </c>
      <c r="O619" s="82" t="n">
        <v>3123.971</v>
      </c>
      <c r="P619" s="83" t="n">
        <v>0</v>
      </c>
      <c r="Q619" s="83" t="n">
        <v>2325</v>
      </c>
      <c r="R619" s="47" t="n">
        <v>20</v>
      </c>
      <c r="S619" s="66" t="s">
        <v>917</v>
      </c>
    </row>
    <row r="620" customFormat="false" ht="15" hidden="false" customHeight="false" outlineLevel="0" collapsed="false">
      <c r="A620" s="79" t="s">
        <v>896</v>
      </c>
      <c r="B620" s="79" t="s">
        <v>312</v>
      </c>
      <c r="C620" s="80" t="n">
        <v>2021</v>
      </c>
      <c r="D620" s="80" t="n">
        <v>2</v>
      </c>
      <c r="E620" s="81" t="n">
        <v>44377</v>
      </c>
      <c r="F620" s="79" t="s">
        <v>271</v>
      </c>
      <c r="G620" s="79" t="s">
        <v>272</v>
      </c>
      <c r="H620" s="79" t="s">
        <v>268</v>
      </c>
      <c r="I620" s="82" t="n">
        <v>916.436</v>
      </c>
      <c r="J620" s="82" t="n">
        <v>598.267</v>
      </c>
      <c r="K620" s="82" t="n">
        <v>301469000</v>
      </c>
      <c r="L620" s="83" t="n">
        <v>8.81</v>
      </c>
      <c r="M620" s="82" t="n">
        <v>34.3155</v>
      </c>
      <c r="N620" s="82" t="n">
        <v>0</v>
      </c>
      <c r="O620" s="82" t="n">
        <v>2775.001</v>
      </c>
      <c r="P620" s="83" t="n">
        <v>26</v>
      </c>
      <c r="Q620" s="83" t="n">
        <v>2010</v>
      </c>
      <c r="R620" s="47" t="n">
        <v>21</v>
      </c>
      <c r="S620" s="66" t="s">
        <v>918</v>
      </c>
    </row>
    <row r="621" customFormat="false" ht="15" hidden="false" customHeight="false" outlineLevel="0" collapsed="false">
      <c r="A621" s="79" t="s">
        <v>896</v>
      </c>
      <c r="B621" s="79" t="s">
        <v>314</v>
      </c>
      <c r="C621" s="80" t="n">
        <v>2021</v>
      </c>
      <c r="D621" s="80" t="n">
        <v>1</v>
      </c>
      <c r="E621" s="81" t="n">
        <v>44286</v>
      </c>
      <c r="F621" s="79" t="s">
        <v>271</v>
      </c>
      <c r="G621" s="79" t="s">
        <v>272</v>
      </c>
      <c r="H621" s="79" t="s">
        <v>268</v>
      </c>
      <c r="I621" s="82" t="n">
        <v>750.515</v>
      </c>
      <c r="J621" s="82" t="n">
        <v>479.853</v>
      </c>
      <c r="K621" s="82" t="n">
        <v>246830000</v>
      </c>
      <c r="L621" s="83" t="n">
        <v>7.21</v>
      </c>
      <c r="M621" s="82" t="n">
        <v>34.3155</v>
      </c>
      <c r="N621" s="82" t="n">
        <v>0</v>
      </c>
      <c r="O621" s="82" t="n">
        <v>2470.795</v>
      </c>
      <c r="P621" s="83" t="n">
        <v>0</v>
      </c>
      <c r="Q621" s="83" t="n">
        <v>1725</v>
      </c>
      <c r="R621" s="47" t="n">
        <v>22</v>
      </c>
      <c r="S621" s="66" t="s">
        <v>919</v>
      </c>
    </row>
    <row r="622" customFormat="false" ht="15" hidden="false" customHeight="false" outlineLevel="0" collapsed="false">
      <c r="A622" s="79" t="s">
        <v>896</v>
      </c>
      <c r="B622" s="79" t="s">
        <v>316</v>
      </c>
      <c r="C622" s="80" t="n">
        <v>2020</v>
      </c>
      <c r="D622" s="80" t="n">
        <v>4</v>
      </c>
      <c r="E622" s="81" t="n">
        <v>44196</v>
      </c>
      <c r="F622" s="79" t="s">
        <v>271</v>
      </c>
      <c r="G622" s="79" t="s">
        <v>272</v>
      </c>
      <c r="H622" s="79" t="s">
        <v>268</v>
      </c>
      <c r="I622" s="82" t="n">
        <v>697.323</v>
      </c>
      <c r="J622" s="82" t="n">
        <v>449.787</v>
      </c>
      <c r="K622" s="82" t="n">
        <v>230588000</v>
      </c>
      <c r="L622" s="83" t="n">
        <v>6.74</v>
      </c>
      <c r="M622" s="82" t="n">
        <v>34.32</v>
      </c>
      <c r="N622" s="82" t="n">
        <v>0</v>
      </c>
      <c r="O622" s="82" t="n">
        <v>3003.678</v>
      </c>
      <c r="P622" s="83" t="n">
        <v>0</v>
      </c>
      <c r="Q622" s="83" t="n">
        <v>1715</v>
      </c>
      <c r="R622" s="47" t="n">
        <v>23</v>
      </c>
      <c r="S622" s="66" t="s">
        <v>920</v>
      </c>
    </row>
    <row r="623" customFormat="false" ht="15" hidden="false" customHeight="false" outlineLevel="0" collapsed="false">
      <c r="A623" s="79" t="s">
        <v>896</v>
      </c>
      <c r="B623" s="79" t="s">
        <v>318</v>
      </c>
      <c r="C623" s="80" t="n">
        <v>2020</v>
      </c>
      <c r="D623" s="80" t="n">
        <v>3</v>
      </c>
      <c r="E623" s="81" t="n">
        <v>44104</v>
      </c>
      <c r="F623" s="79" t="s">
        <v>271</v>
      </c>
      <c r="G623" s="79" t="s">
        <v>272</v>
      </c>
      <c r="H623" s="79" t="s">
        <v>268</v>
      </c>
      <c r="I623" s="82" t="n">
        <v>732.508</v>
      </c>
      <c r="J623" s="82" t="n">
        <v>466.322</v>
      </c>
      <c r="K623" s="82" t="n">
        <v>233130000</v>
      </c>
      <c r="L623" s="83" t="n">
        <v>6.82</v>
      </c>
      <c r="M623" s="82" t="n">
        <v>34.32</v>
      </c>
      <c r="N623" s="82" t="n">
        <v>0</v>
      </c>
      <c r="O623" s="82" t="n">
        <v>2766.632</v>
      </c>
      <c r="P623" s="83"/>
      <c r="Q623" s="83" t="n">
        <v>1135</v>
      </c>
      <c r="R623" s="47" t="n">
        <v>24</v>
      </c>
      <c r="S623" s="66" t="s">
        <v>921</v>
      </c>
    </row>
    <row r="624" customFormat="false" ht="15" hidden="false" customHeight="false" outlineLevel="0" collapsed="false">
      <c r="A624" s="79" t="s">
        <v>186</v>
      </c>
      <c r="B624" s="79" t="s">
        <v>265</v>
      </c>
      <c r="C624" s="80" t="n">
        <v>2026</v>
      </c>
      <c r="D624" s="80" t="n">
        <v>3</v>
      </c>
      <c r="E624" s="81" t="n">
        <v>46295</v>
      </c>
      <c r="F624" s="79" t="s">
        <v>266</v>
      </c>
      <c r="G624" s="79" t="s">
        <v>267</v>
      </c>
      <c r="H624" s="79" t="s">
        <v>268</v>
      </c>
      <c r="I624" s="82"/>
      <c r="J624" s="82"/>
      <c r="K624" s="82"/>
      <c r="L624" s="83" t="n">
        <v>99.01</v>
      </c>
      <c r="M624" s="82"/>
      <c r="N624" s="82"/>
      <c r="O624" s="82"/>
      <c r="P624" s="83"/>
      <c r="Q624" s="83"/>
      <c r="R624" s="47" t="n">
        <v>0</v>
      </c>
      <c r="S624" s="66" t="s">
        <v>922</v>
      </c>
    </row>
    <row r="625" customFormat="false" ht="15" hidden="false" customHeight="false" outlineLevel="0" collapsed="false">
      <c r="A625" s="79" t="s">
        <v>186</v>
      </c>
      <c r="B625" s="79" t="s">
        <v>270</v>
      </c>
      <c r="C625" s="80" t="n">
        <v>2026</v>
      </c>
      <c r="D625" s="80" t="n">
        <v>2</v>
      </c>
      <c r="E625" s="81" t="n">
        <v>46203</v>
      </c>
      <c r="F625" s="79" t="s">
        <v>271</v>
      </c>
      <c r="G625" s="79" t="s">
        <v>272</v>
      </c>
      <c r="H625" s="79" t="s">
        <v>268</v>
      </c>
      <c r="I625" s="82" t="n">
        <v>22443.411</v>
      </c>
      <c r="J625" s="82" t="n">
        <v>14589.612</v>
      </c>
      <c r="K625" s="82" t="n">
        <v>10368072000</v>
      </c>
      <c r="L625" s="83" t="n">
        <v>108.93</v>
      </c>
      <c r="M625" s="82" t="n">
        <v>96.3654</v>
      </c>
      <c r="N625" s="82" t="n">
        <v>0</v>
      </c>
      <c r="O625" s="82" t="n">
        <v>23288.098</v>
      </c>
      <c r="P625" s="83" t="n">
        <v>0</v>
      </c>
      <c r="Q625" s="83" t="n">
        <v>1615</v>
      </c>
      <c r="R625" s="47" t="n">
        <v>1</v>
      </c>
      <c r="S625" s="66" t="s">
        <v>923</v>
      </c>
    </row>
    <row r="626" customFormat="false" ht="15" hidden="false" customHeight="false" outlineLevel="0" collapsed="false">
      <c r="A626" s="79" t="s">
        <v>186</v>
      </c>
      <c r="B626" s="79" t="s">
        <v>274</v>
      </c>
      <c r="C626" s="80" t="n">
        <v>2026</v>
      </c>
      <c r="D626" s="80" t="n">
        <v>1</v>
      </c>
      <c r="E626" s="81" t="n">
        <v>46112</v>
      </c>
      <c r="F626" s="79" t="s">
        <v>271</v>
      </c>
      <c r="G626" s="79" t="s">
        <v>272</v>
      </c>
      <c r="H626" s="79" t="s">
        <v>268</v>
      </c>
      <c r="I626" s="82" t="n">
        <v>13182.608</v>
      </c>
      <c r="J626" s="82" t="n">
        <v>7791.357</v>
      </c>
      <c r="K626" s="82" t="n">
        <v>5466357000</v>
      </c>
      <c r="L626" s="83" t="n">
        <v>57.49</v>
      </c>
      <c r="M626" s="82" t="n">
        <v>96.3552</v>
      </c>
      <c r="N626" s="82" t="n">
        <v>0</v>
      </c>
      <c r="O626" s="82" t="n">
        <v>14500.386</v>
      </c>
      <c r="P626" s="83" t="n">
        <v>0</v>
      </c>
      <c r="Q626" s="83" t="n">
        <v>847</v>
      </c>
      <c r="R626" s="47" t="n">
        <v>2</v>
      </c>
      <c r="S626" s="66" t="s">
        <v>924</v>
      </c>
    </row>
    <row r="627" customFormat="false" ht="15" hidden="false" customHeight="false" outlineLevel="0" collapsed="false">
      <c r="A627" s="79" t="s">
        <v>186</v>
      </c>
      <c r="B627" s="79" t="s">
        <v>276</v>
      </c>
      <c r="C627" s="80" t="n">
        <v>2025</v>
      </c>
      <c r="D627" s="80" t="n">
        <v>4</v>
      </c>
      <c r="E627" s="81" t="n">
        <v>46022</v>
      </c>
      <c r="F627" s="79" t="s">
        <v>271</v>
      </c>
      <c r="G627" s="79" t="s">
        <v>272</v>
      </c>
      <c r="H627" s="79" t="s">
        <v>268</v>
      </c>
      <c r="I627" s="82" t="n">
        <v>4806.69</v>
      </c>
      <c r="J627" s="82" t="n">
        <v>1597.288</v>
      </c>
      <c r="K627" s="82" t="n">
        <v>870716000</v>
      </c>
      <c r="L627" s="83" t="n">
        <v>9.26</v>
      </c>
      <c r="M627" s="82" t="n">
        <v>96.0407</v>
      </c>
      <c r="N627" s="82" t="n">
        <v>0</v>
      </c>
      <c r="O627" s="82" t="n">
        <v>8940.787</v>
      </c>
      <c r="P627" s="83" t="n">
        <v>0</v>
      </c>
      <c r="Q627" s="83" t="n">
        <v>576</v>
      </c>
      <c r="R627" s="47" t="n">
        <v>3</v>
      </c>
      <c r="S627" s="66" t="s">
        <v>925</v>
      </c>
    </row>
    <row r="628" customFormat="false" ht="15" hidden="false" customHeight="false" outlineLevel="0" collapsed="false">
      <c r="A628" s="79" t="s">
        <v>186</v>
      </c>
      <c r="B628" s="79" t="s">
        <v>278</v>
      </c>
      <c r="C628" s="80" t="n">
        <v>2025</v>
      </c>
      <c r="D628" s="80" t="n">
        <v>3</v>
      </c>
      <c r="E628" s="81" t="n">
        <v>45930</v>
      </c>
      <c r="F628" s="79" t="s">
        <v>271</v>
      </c>
      <c r="G628" s="79" t="s">
        <v>272</v>
      </c>
      <c r="H628" s="79" t="s">
        <v>268</v>
      </c>
      <c r="I628" s="82" t="n">
        <v>3807.401</v>
      </c>
      <c r="J628" s="82" t="n">
        <v>1248.818</v>
      </c>
      <c r="K628" s="82" t="n">
        <v>643038000</v>
      </c>
      <c r="L628" s="83" t="n">
        <v>6.87</v>
      </c>
      <c r="M628" s="82" t="n">
        <v>95.3452</v>
      </c>
      <c r="N628" s="82" t="n">
        <v>0</v>
      </c>
      <c r="O628" s="82" t="n">
        <v>7932.37</v>
      </c>
      <c r="P628" s="83" t="n">
        <v>9.37723774</v>
      </c>
      <c r="Q628" s="83" t="n">
        <v>329.5</v>
      </c>
      <c r="R628" s="47" t="n">
        <v>4</v>
      </c>
      <c r="S628" s="66" t="s">
        <v>926</v>
      </c>
    </row>
    <row r="629" customFormat="false" ht="15" hidden="false" customHeight="false" outlineLevel="0" collapsed="false">
      <c r="A629" s="79" t="s">
        <v>186</v>
      </c>
      <c r="B629" s="79" t="s">
        <v>280</v>
      </c>
      <c r="C629" s="80" t="n">
        <v>2025</v>
      </c>
      <c r="D629" s="80" t="n">
        <v>2</v>
      </c>
      <c r="E629" s="81" t="n">
        <v>45838</v>
      </c>
      <c r="F629" s="79" t="s">
        <v>271</v>
      </c>
      <c r="G629" s="79" t="s">
        <v>272</v>
      </c>
      <c r="H629" s="79" t="s">
        <v>268</v>
      </c>
      <c r="I629" s="82" t="n">
        <v>3028.429</v>
      </c>
      <c r="J629" s="82" t="n">
        <v>785.089</v>
      </c>
      <c r="K629" s="82" t="n">
        <v>185349000</v>
      </c>
      <c r="L629" s="83" t="n">
        <v>2.02</v>
      </c>
      <c r="M629" s="82" t="n">
        <v>91.6411</v>
      </c>
      <c r="N629" s="82" t="n">
        <v>0</v>
      </c>
      <c r="O629" s="82" t="n">
        <v>7184.405</v>
      </c>
      <c r="P629" s="83" t="n">
        <v>0</v>
      </c>
      <c r="Q629" s="83" t="n">
        <v>237</v>
      </c>
      <c r="R629" s="47" t="n">
        <v>5</v>
      </c>
      <c r="S629" s="66" t="s">
        <v>927</v>
      </c>
    </row>
    <row r="630" customFormat="false" ht="15" hidden="false" customHeight="false" outlineLevel="0" collapsed="false">
      <c r="A630" s="79" t="s">
        <v>186</v>
      </c>
      <c r="B630" s="79" t="s">
        <v>282</v>
      </c>
      <c r="C630" s="80" t="n">
        <v>2025</v>
      </c>
      <c r="D630" s="80" t="n">
        <v>1</v>
      </c>
      <c r="E630" s="81" t="n">
        <v>45747</v>
      </c>
      <c r="F630" s="79" t="s">
        <v>271</v>
      </c>
      <c r="G630" s="79" t="s">
        <v>272</v>
      </c>
      <c r="H630" s="79" t="s">
        <v>268</v>
      </c>
      <c r="I630" s="82" t="n">
        <v>2618.742</v>
      </c>
      <c r="J630" s="82" t="n">
        <v>800.733</v>
      </c>
      <c r="K630" s="82" t="n">
        <v>336540000</v>
      </c>
      <c r="L630" s="83" t="n">
        <v>3.68</v>
      </c>
      <c r="M630" s="82" t="n">
        <v>91.5746</v>
      </c>
      <c r="N630" s="82" t="n">
        <v>0</v>
      </c>
      <c r="O630" s="82" t="n">
        <v>7854.351</v>
      </c>
      <c r="P630" s="83" t="n">
        <v>0</v>
      </c>
      <c r="Q630" s="83" t="n">
        <v>250.5</v>
      </c>
      <c r="R630" s="47" t="n">
        <v>6</v>
      </c>
      <c r="S630" s="66" t="s">
        <v>928</v>
      </c>
    </row>
    <row r="631" customFormat="false" ht="15" hidden="false" customHeight="false" outlineLevel="0" collapsed="false">
      <c r="A631" s="79" t="s">
        <v>186</v>
      </c>
      <c r="B631" s="79" t="s">
        <v>284</v>
      </c>
      <c r="C631" s="80" t="n">
        <v>2024</v>
      </c>
      <c r="D631" s="80" t="n">
        <v>4</v>
      </c>
      <c r="E631" s="81" t="n">
        <v>45657</v>
      </c>
      <c r="F631" s="79" t="s">
        <v>271</v>
      </c>
      <c r="G631" s="79" t="s">
        <v>272</v>
      </c>
      <c r="H631" s="79" t="s">
        <v>268</v>
      </c>
      <c r="I631" s="82" t="n">
        <v>2228.005</v>
      </c>
      <c r="J631" s="82" t="n">
        <v>648.956</v>
      </c>
      <c r="K631" s="82" t="n">
        <v>271532000</v>
      </c>
      <c r="L631" s="83" t="n">
        <v>2.97</v>
      </c>
      <c r="M631" s="82" t="n">
        <v>91.4561</v>
      </c>
      <c r="N631" s="82" t="n">
        <v>0</v>
      </c>
      <c r="O631" s="82" t="n">
        <v>7491.143</v>
      </c>
      <c r="P631" s="83" t="n">
        <v>0</v>
      </c>
      <c r="Q631" s="83" t="n">
        <v>218</v>
      </c>
      <c r="R631" s="47" t="n">
        <v>7</v>
      </c>
      <c r="S631" s="66" t="s">
        <v>929</v>
      </c>
    </row>
    <row r="632" customFormat="false" ht="15" hidden="false" customHeight="false" outlineLevel="0" collapsed="false">
      <c r="A632" s="79" t="s">
        <v>186</v>
      </c>
      <c r="B632" s="79" t="s">
        <v>286</v>
      </c>
      <c r="C632" s="80" t="n">
        <v>2024</v>
      </c>
      <c r="D632" s="80" t="n">
        <v>3</v>
      </c>
      <c r="E632" s="81" t="n">
        <v>45565</v>
      </c>
      <c r="F632" s="79" t="s">
        <v>271</v>
      </c>
      <c r="G632" s="79" t="s">
        <v>272</v>
      </c>
      <c r="H632" s="79" t="s">
        <v>268</v>
      </c>
      <c r="I632" s="82" t="n">
        <v>2321.419</v>
      </c>
      <c r="J632" s="82" t="n">
        <v>658.433</v>
      </c>
      <c r="K632" s="82" t="n">
        <v>188620000</v>
      </c>
      <c r="L632" s="83" t="n">
        <v>2.08</v>
      </c>
      <c r="M632" s="82" t="n">
        <v>91.3372</v>
      </c>
      <c r="N632" s="82" t="n">
        <v>0</v>
      </c>
      <c r="O632" s="82" t="n">
        <v>7196.228</v>
      </c>
      <c r="P632" s="83" t="n">
        <v>10.2</v>
      </c>
      <c r="Q632" s="83" t="n">
        <v>282</v>
      </c>
      <c r="R632" s="47" t="n">
        <v>8</v>
      </c>
      <c r="S632" s="66" t="s">
        <v>930</v>
      </c>
    </row>
    <row r="633" customFormat="false" ht="15" hidden="false" customHeight="false" outlineLevel="0" collapsed="false">
      <c r="A633" s="79" t="s">
        <v>186</v>
      </c>
      <c r="B633" s="79" t="s">
        <v>288</v>
      </c>
      <c r="C633" s="80" t="n">
        <v>2024</v>
      </c>
      <c r="D633" s="80" t="n">
        <v>2</v>
      </c>
      <c r="E633" s="81" t="n">
        <v>45473</v>
      </c>
      <c r="F633" s="79" t="s">
        <v>271</v>
      </c>
      <c r="G633" s="79" t="s">
        <v>272</v>
      </c>
      <c r="H633" s="79" t="s">
        <v>268</v>
      </c>
      <c r="I633" s="82" t="n">
        <v>2190.229</v>
      </c>
      <c r="J633" s="82" t="n">
        <v>759.289</v>
      </c>
      <c r="K633" s="82" t="n">
        <v>294050000</v>
      </c>
      <c r="L633" s="83" t="n">
        <v>3.26</v>
      </c>
      <c r="M633" s="82" t="n">
        <v>88.3977</v>
      </c>
      <c r="N633" s="82" t="n">
        <v>0</v>
      </c>
      <c r="O633" s="82" t="n">
        <v>6803.334</v>
      </c>
      <c r="P633" s="83" t="n">
        <v>0</v>
      </c>
      <c r="Q633" s="83" t="n">
        <v>302</v>
      </c>
      <c r="R633" s="47" t="n">
        <v>9</v>
      </c>
      <c r="S633" s="66" t="s">
        <v>931</v>
      </c>
    </row>
    <row r="634" customFormat="false" ht="15" hidden="false" customHeight="false" outlineLevel="0" collapsed="false">
      <c r="A634" s="79" t="s">
        <v>186</v>
      </c>
      <c r="B634" s="79" t="s">
        <v>290</v>
      </c>
      <c r="C634" s="80" t="n">
        <v>2024</v>
      </c>
      <c r="D634" s="80" t="n">
        <v>1</v>
      </c>
      <c r="E634" s="81" t="n">
        <v>45382</v>
      </c>
      <c r="F634" s="79" t="s">
        <v>271</v>
      </c>
      <c r="G634" s="79" t="s">
        <v>272</v>
      </c>
      <c r="H634" s="79" t="s">
        <v>268</v>
      </c>
      <c r="I634" s="82" t="n">
        <v>2175.989</v>
      </c>
      <c r="J634" s="82" t="n">
        <v>758.571</v>
      </c>
      <c r="K634" s="82" t="n">
        <v>351970000</v>
      </c>
      <c r="L634" s="83" t="n">
        <v>3.98</v>
      </c>
      <c r="M634" s="82" t="n">
        <v>88.3977</v>
      </c>
      <c r="N634" s="82" t="n">
        <v>0</v>
      </c>
      <c r="O634" s="82" t="n">
        <v>7398.652</v>
      </c>
      <c r="P634" s="83" t="n">
        <v>0</v>
      </c>
      <c r="Q634" s="83" t="n">
        <v>305.5</v>
      </c>
      <c r="R634" s="47" t="n">
        <v>10</v>
      </c>
      <c r="S634" s="66" t="s">
        <v>932</v>
      </c>
    </row>
    <row r="635" customFormat="false" ht="15" hidden="false" customHeight="false" outlineLevel="0" collapsed="false">
      <c r="A635" s="79" t="s">
        <v>186</v>
      </c>
      <c r="B635" s="79" t="s">
        <v>292</v>
      </c>
      <c r="C635" s="80" t="n">
        <v>2023</v>
      </c>
      <c r="D635" s="80" t="n">
        <v>4</v>
      </c>
      <c r="E635" s="81" t="n">
        <v>45291</v>
      </c>
      <c r="F635" s="79" t="s">
        <v>271</v>
      </c>
      <c r="G635" s="79" t="s">
        <v>272</v>
      </c>
      <c r="H635" s="79" t="s">
        <v>268</v>
      </c>
      <c r="I635" s="82" t="n">
        <v>2130.049</v>
      </c>
      <c r="J635" s="82" t="n">
        <v>707.384</v>
      </c>
      <c r="K635" s="82" t="n">
        <v>262238000</v>
      </c>
      <c r="L635" s="83" t="n">
        <v>2.96</v>
      </c>
      <c r="M635" s="82" t="n">
        <v>88.3977</v>
      </c>
      <c r="N635" s="82" t="n">
        <v>0</v>
      </c>
      <c r="O635" s="82" t="n">
        <v>7036.917</v>
      </c>
      <c r="P635" s="83" t="n">
        <v>0</v>
      </c>
      <c r="Q635" s="83" t="n">
        <v>312</v>
      </c>
      <c r="R635" s="47" t="n">
        <v>11</v>
      </c>
      <c r="S635" s="66" t="s">
        <v>933</v>
      </c>
    </row>
    <row r="636" customFormat="false" ht="15" hidden="false" customHeight="false" outlineLevel="0" collapsed="false">
      <c r="A636" s="79" t="s">
        <v>186</v>
      </c>
      <c r="B636" s="79" t="s">
        <v>294</v>
      </c>
      <c r="C636" s="80" t="n">
        <v>2023</v>
      </c>
      <c r="D636" s="80" t="n">
        <v>3</v>
      </c>
      <c r="E636" s="81" t="n">
        <v>45199</v>
      </c>
      <c r="F636" s="79" t="s">
        <v>271</v>
      </c>
      <c r="G636" s="79" t="s">
        <v>272</v>
      </c>
      <c r="H636" s="79" t="s">
        <v>268</v>
      </c>
      <c r="I636" s="82" t="n">
        <v>1993.007</v>
      </c>
      <c r="J636" s="82" t="n">
        <v>687.513</v>
      </c>
      <c r="K636" s="82" t="n">
        <v>306457000</v>
      </c>
      <c r="L636" s="83" t="n">
        <v>3.47</v>
      </c>
      <c r="M636" s="82" t="n">
        <v>88.3977</v>
      </c>
      <c r="N636" s="82" t="n">
        <v>0</v>
      </c>
      <c r="O636" s="82" t="n">
        <v>6756.961</v>
      </c>
      <c r="P636" s="83" t="n">
        <v>13.78192729</v>
      </c>
      <c r="Q636" s="83" t="n">
        <v>296.5</v>
      </c>
      <c r="R636" s="47" t="n">
        <v>12</v>
      </c>
      <c r="S636" s="66" t="s">
        <v>934</v>
      </c>
    </row>
    <row r="637" customFormat="false" ht="15" hidden="false" customHeight="false" outlineLevel="0" collapsed="false">
      <c r="A637" s="79" t="s">
        <v>186</v>
      </c>
      <c r="B637" s="79" t="s">
        <v>296</v>
      </c>
      <c r="C637" s="80" t="n">
        <v>2023</v>
      </c>
      <c r="D637" s="80" t="n">
        <v>2</v>
      </c>
      <c r="E637" s="81" t="n">
        <v>45107</v>
      </c>
      <c r="F637" s="79" t="s">
        <v>271</v>
      </c>
      <c r="G637" s="79" t="s">
        <v>272</v>
      </c>
      <c r="H637" s="79" t="s">
        <v>268</v>
      </c>
      <c r="I637" s="82" t="n">
        <v>1930.516</v>
      </c>
      <c r="J637" s="82" t="n">
        <v>636.105</v>
      </c>
      <c r="K637" s="82" t="n">
        <v>230718000</v>
      </c>
      <c r="L637" s="83" t="n">
        <v>2.66</v>
      </c>
      <c r="M637" s="82" t="n">
        <v>86.6666</v>
      </c>
      <c r="N637" s="82" t="n">
        <v>0</v>
      </c>
      <c r="O637" s="82" t="n">
        <v>6433.521</v>
      </c>
      <c r="P637" s="83" t="n">
        <v>0</v>
      </c>
      <c r="Q637" s="83" t="n">
        <v>324</v>
      </c>
      <c r="R637" s="47" t="n">
        <v>13</v>
      </c>
      <c r="S637" s="66" t="s">
        <v>935</v>
      </c>
    </row>
    <row r="638" customFormat="false" ht="15" hidden="false" customHeight="false" outlineLevel="0" collapsed="false">
      <c r="A638" s="79" t="s">
        <v>186</v>
      </c>
      <c r="B638" s="79" t="s">
        <v>298</v>
      </c>
      <c r="C638" s="80" t="n">
        <v>2023</v>
      </c>
      <c r="D638" s="80" t="n">
        <v>1</v>
      </c>
      <c r="E638" s="81" t="n">
        <v>45016</v>
      </c>
      <c r="F638" s="79" t="s">
        <v>271</v>
      </c>
      <c r="G638" s="79" t="s">
        <v>272</v>
      </c>
      <c r="H638" s="79" t="s">
        <v>268</v>
      </c>
      <c r="I638" s="82" t="n">
        <v>2260.206</v>
      </c>
      <c r="J638" s="82" t="n">
        <v>814.91</v>
      </c>
      <c r="K638" s="82" t="n">
        <v>348203000</v>
      </c>
      <c r="L638" s="83" t="n">
        <v>4.02</v>
      </c>
      <c r="M638" s="82" t="n">
        <v>86.6666</v>
      </c>
      <c r="N638" s="82" t="n">
        <v>0</v>
      </c>
      <c r="O638" s="82" t="n">
        <v>7382.85</v>
      </c>
      <c r="P638" s="83" t="n">
        <v>0</v>
      </c>
      <c r="Q638" s="83" t="n">
        <v>314</v>
      </c>
      <c r="R638" s="47" t="n">
        <v>14</v>
      </c>
      <c r="S638" s="66" t="s">
        <v>936</v>
      </c>
    </row>
    <row r="639" customFormat="false" ht="15" hidden="false" customHeight="false" outlineLevel="0" collapsed="false">
      <c r="A639" s="79" t="s">
        <v>186</v>
      </c>
      <c r="B639" s="79" t="s">
        <v>300</v>
      </c>
      <c r="C639" s="80" t="n">
        <v>2022</v>
      </c>
      <c r="D639" s="80" t="n">
        <v>4</v>
      </c>
      <c r="E639" s="81" t="n">
        <v>44926</v>
      </c>
      <c r="F639" s="79" t="s">
        <v>271</v>
      </c>
      <c r="G639" s="79" t="s">
        <v>272</v>
      </c>
      <c r="H639" s="79" t="s">
        <v>268</v>
      </c>
      <c r="I639" s="82" t="n">
        <v>2286.572</v>
      </c>
      <c r="J639" s="82" t="n">
        <v>860.807</v>
      </c>
      <c r="K639" s="82" t="n">
        <v>385061000</v>
      </c>
      <c r="L639" s="83" t="n">
        <v>4.44</v>
      </c>
      <c r="M639" s="82" t="n">
        <v>86.5531</v>
      </c>
      <c r="N639" s="82" t="n">
        <v>0</v>
      </c>
      <c r="O639" s="82" t="n">
        <v>7012.867</v>
      </c>
      <c r="P639" s="83" t="n">
        <v>0</v>
      </c>
      <c r="Q639" s="83" t="n">
        <v>185.5</v>
      </c>
      <c r="R639" s="47" t="n">
        <v>15</v>
      </c>
      <c r="S639" s="66" t="s">
        <v>937</v>
      </c>
    </row>
    <row r="640" customFormat="false" ht="15" hidden="false" customHeight="false" outlineLevel="0" collapsed="false">
      <c r="A640" s="79" t="s">
        <v>186</v>
      </c>
      <c r="B640" s="79" t="s">
        <v>302</v>
      </c>
      <c r="C640" s="80" t="n">
        <v>2022</v>
      </c>
      <c r="D640" s="80" t="n">
        <v>3</v>
      </c>
      <c r="E640" s="81" t="n">
        <v>44834</v>
      </c>
      <c r="F640" s="79" t="s">
        <v>271</v>
      </c>
      <c r="G640" s="79" t="s">
        <v>272</v>
      </c>
      <c r="H640" s="79" t="s">
        <v>268</v>
      </c>
      <c r="I640" s="82" t="n">
        <v>2560.341</v>
      </c>
      <c r="J640" s="82" t="n">
        <v>914.902</v>
      </c>
      <c r="K640" s="82" t="n">
        <v>542661000</v>
      </c>
      <c r="L640" s="83" t="n">
        <v>6.28</v>
      </c>
      <c r="M640" s="82" t="n">
        <v>86.4706</v>
      </c>
      <c r="N640" s="82" t="n">
        <v>0</v>
      </c>
      <c r="O640" s="82" t="n">
        <v>6611.975</v>
      </c>
      <c r="P640" s="83" t="n">
        <v>11.5240749</v>
      </c>
      <c r="Q640" s="83" t="n">
        <v>161.5</v>
      </c>
      <c r="R640" s="47" t="n">
        <v>16</v>
      </c>
      <c r="S640" s="66" t="s">
        <v>938</v>
      </c>
    </row>
    <row r="641" customFormat="false" ht="15" hidden="false" customHeight="false" outlineLevel="0" collapsed="false">
      <c r="A641" s="79" t="s">
        <v>186</v>
      </c>
      <c r="B641" s="79" t="s">
        <v>304</v>
      </c>
      <c r="C641" s="80" t="n">
        <v>2022</v>
      </c>
      <c r="D641" s="80" t="n">
        <v>2</v>
      </c>
      <c r="E641" s="81" t="n">
        <v>44742</v>
      </c>
      <c r="F641" s="79" t="s">
        <v>271</v>
      </c>
      <c r="G641" s="79" t="s">
        <v>272</v>
      </c>
      <c r="H641" s="79" t="s">
        <v>268</v>
      </c>
      <c r="I641" s="82" t="n">
        <v>2866.579</v>
      </c>
      <c r="J641" s="82" t="n">
        <v>947.502</v>
      </c>
      <c r="K641" s="82" t="n">
        <v>536500000</v>
      </c>
      <c r="L641" s="83" t="n">
        <v>6.41</v>
      </c>
      <c r="M641" s="82" t="n">
        <v>83.895</v>
      </c>
      <c r="N641" s="82" t="n">
        <v>0</v>
      </c>
      <c r="O641" s="82" t="n">
        <v>6043.861</v>
      </c>
      <c r="P641" s="83" t="n">
        <v>0</v>
      </c>
      <c r="Q641" s="83" t="n">
        <v>162.5</v>
      </c>
      <c r="R641" s="47" t="n">
        <v>17</v>
      </c>
      <c r="S641" s="66" t="s">
        <v>939</v>
      </c>
    </row>
    <row r="642" customFormat="false" ht="15" hidden="false" customHeight="false" outlineLevel="0" collapsed="false">
      <c r="A642" s="79" t="s">
        <v>186</v>
      </c>
      <c r="B642" s="79" t="s">
        <v>306</v>
      </c>
      <c r="C642" s="80" t="n">
        <v>2022</v>
      </c>
      <c r="D642" s="80" t="n">
        <v>1</v>
      </c>
      <c r="E642" s="81" t="n">
        <v>44651</v>
      </c>
      <c r="F642" s="79" t="s">
        <v>271</v>
      </c>
      <c r="G642" s="79" t="s">
        <v>272</v>
      </c>
      <c r="H642" s="79" t="s">
        <v>268</v>
      </c>
      <c r="I642" s="82" t="n">
        <v>2589.737</v>
      </c>
      <c r="J642" s="82" t="n">
        <v>735.407</v>
      </c>
      <c r="K642" s="82" t="n">
        <v>385967000</v>
      </c>
      <c r="L642" s="83" t="n">
        <v>4.64</v>
      </c>
      <c r="M642" s="82" t="n">
        <v>83.7225</v>
      </c>
      <c r="N642" s="82" t="n">
        <v>0</v>
      </c>
      <c r="O642" s="82" t="n">
        <v>6458.201</v>
      </c>
      <c r="P642" s="83" t="n">
        <v>0</v>
      </c>
      <c r="Q642" s="83" t="n">
        <v>215</v>
      </c>
      <c r="R642" s="47" t="n">
        <v>18</v>
      </c>
      <c r="S642" s="66" t="s">
        <v>940</v>
      </c>
    </row>
    <row r="643" customFormat="false" ht="15" hidden="false" customHeight="false" outlineLevel="0" collapsed="false">
      <c r="A643" s="79" t="s">
        <v>186</v>
      </c>
      <c r="B643" s="79" t="s">
        <v>308</v>
      </c>
      <c r="C643" s="80" t="n">
        <v>2021</v>
      </c>
      <c r="D643" s="80" t="n">
        <v>4</v>
      </c>
      <c r="E643" s="81" t="n">
        <v>44561</v>
      </c>
      <c r="F643" s="79" t="s">
        <v>271</v>
      </c>
      <c r="G643" s="79" t="s">
        <v>272</v>
      </c>
      <c r="H643" s="79" t="s">
        <v>268</v>
      </c>
      <c r="I643" s="82" t="n">
        <v>2396.847</v>
      </c>
      <c r="J643" s="82" t="n">
        <v>677.529</v>
      </c>
      <c r="K643" s="82" t="n">
        <v>290253000</v>
      </c>
      <c r="L643" s="83" t="n">
        <v>3.51</v>
      </c>
      <c r="M643" s="82" t="n">
        <v>82.668</v>
      </c>
      <c r="N643" s="82" t="n">
        <v>0</v>
      </c>
      <c r="O643" s="82" t="n">
        <v>5960.989</v>
      </c>
      <c r="P643" s="83" t="n">
        <v>0</v>
      </c>
      <c r="Q643" s="83" t="n">
        <v>204</v>
      </c>
      <c r="R643" s="47" t="n">
        <v>19</v>
      </c>
      <c r="S643" s="66" t="s">
        <v>941</v>
      </c>
    </row>
    <row r="644" customFormat="false" ht="15" hidden="false" customHeight="false" outlineLevel="0" collapsed="false">
      <c r="A644" s="79" t="s">
        <v>186</v>
      </c>
      <c r="B644" s="79" t="s">
        <v>310</v>
      </c>
      <c r="C644" s="80" t="n">
        <v>2021</v>
      </c>
      <c r="D644" s="80" t="n">
        <v>3</v>
      </c>
      <c r="E644" s="81" t="n">
        <v>44469</v>
      </c>
      <c r="F644" s="79" t="s">
        <v>271</v>
      </c>
      <c r="G644" s="79" t="s">
        <v>272</v>
      </c>
      <c r="H644" s="79" t="s">
        <v>268</v>
      </c>
      <c r="I644" s="82" t="n">
        <v>2973.845</v>
      </c>
      <c r="J644" s="82" t="n">
        <v>975.336</v>
      </c>
      <c r="K644" s="82" t="n">
        <v>533714000</v>
      </c>
      <c r="L644" s="83" t="n">
        <v>6.46</v>
      </c>
      <c r="M644" s="82" t="n">
        <v>82.628</v>
      </c>
      <c r="N644" s="82" t="n">
        <v>0</v>
      </c>
      <c r="O644" s="82" t="n">
        <v>5663.586</v>
      </c>
      <c r="P644" s="83" t="n">
        <v>6.69560253</v>
      </c>
      <c r="Q644" s="83" t="n">
        <v>182</v>
      </c>
      <c r="R644" s="47" t="n">
        <v>20</v>
      </c>
      <c r="S644" s="66" t="s">
        <v>942</v>
      </c>
    </row>
    <row r="645" customFormat="false" ht="15" hidden="false" customHeight="false" outlineLevel="0" collapsed="false">
      <c r="A645" s="79" t="s">
        <v>186</v>
      </c>
      <c r="B645" s="79" t="s">
        <v>312</v>
      </c>
      <c r="C645" s="80" t="n">
        <v>2021</v>
      </c>
      <c r="D645" s="80" t="n">
        <v>2</v>
      </c>
      <c r="E645" s="81" t="n">
        <v>44377</v>
      </c>
      <c r="F645" s="79" t="s">
        <v>271</v>
      </c>
      <c r="G645" s="79" t="s">
        <v>272</v>
      </c>
      <c r="H645" s="79" t="s">
        <v>268</v>
      </c>
      <c r="I645" s="82" t="n">
        <v>2885.046</v>
      </c>
      <c r="J645" s="82" t="n">
        <v>888.15</v>
      </c>
      <c r="K645" s="82" t="n">
        <v>477358000</v>
      </c>
      <c r="L645" s="83" t="n">
        <v>5.79</v>
      </c>
      <c r="M645" s="82" t="n">
        <v>82.516</v>
      </c>
      <c r="N645" s="82" t="n">
        <v>0</v>
      </c>
      <c r="O645" s="82" t="n">
        <v>5668.615</v>
      </c>
      <c r="P645" s="83" t="n">
        <v>0</v>
      </c>
      <c r="Q645" s="83" t="n">
        <v>190.5</v>
      </c>
      <c r="R645" s="47" t="n">
        <v>21</v>
      </c>
      <c r="S645" s="66" t="s">
        <v>943</v>
      </c>
    </row>
    <row r="646" customFormat="false" ht="15" hidden="false" customHeight="false" outlineLevel="0" collapsed="false">
      <c r="A646" s="79" t="s">
        <v>186</v>
      </c>
      <c r="B646" s="79" t="s">
        <v>314</v>
      </c>
      <c r="C646" s="80" t="n">
        <v>2021</v>
      </c>
      <c r="D646" s="80" t="n">
        <v>1</v>
      </c>
      <c r="E646" s="81" t="n">
        <v>44286</v>
      </c>
      <c r="F646" s="79" t="s">
        <v>271</v>
      </c>
      <c r="G646" s="79" t="s">
        <v>272</v>
      </c>
      <c r="H646" s="79" t="s">
        <v>268</v>
      </c>
      <c r="I646" s="82" t="n">
        <v>1939.92</v>
      </c>
      <c r="J646" s="82" t="n">
        <v>551.203</v>
      </c>
      <c r="K646" s="82" t="n">
        <v>259563000</v>
      </c>
      <c r="L646" s="83" t="n">
        <v>3.17</v>
      </c>
      <c r="M646" s="82" t="n">
        <v>82.459</v>
      </c>
      <c r="N646" s="82" t="n">
        <v>0</v>
      </c>
      <c r="O646" s="82" t="n">
        <v>5182.897</v>
      </c>
      <c r="P646" s="83" t="n">
        <v>0</v>
      </c>
      <c r="Q646" s="83" t="n">
        <v>170</v>
      </c>
      <c r="R646" s="47" t="n">
        <v>22</v>
      </c>
      <c r="S646" s="66" t="s">
        <v>944</v>
      </c>
    </row>
    <row r="647" customFormat="false" ht="15" hidden="false" customHeight="false" outlineLevel="0" collapsed="false">
      <c r="A647" s="79" t="s">
        <v>186</v>
      </c>
      <c r="B647" s="79" t="s">
        <v>316</v>
      </c>
      <c r="C647" s="80" t="n">
        <v>2020</v>
      </c>
      <c r="D647" s="80" t="n">
        <v>4</v>
      </c>
      <c r="E647" s="81" t="n">
        <v>44196</v>
      </c>
      <c r="F647" s="79" t="s">
        <v>271</v>
      </c>
      <c r="G647" s="79" t="s">
        <v>272</v>
      </c>
      <c r="H647" s="79" t="s">
        <v>268</v>
      </c>
      <c r="I647" s="82" t="n">
        <v>1575.49</v>
      </c>
      <c r="J647" s="82" t="n">
        <v>458.968</v>
      </c>
      <c r="K647" s="82" t="n">
        <v>175456000</v>
      </c>
      <c r="L647" s="83" t="n">
        <v>2.16</v>
      </c>
      <c r="M647" s="82" t="n">
        <v>81.324</v>
      </c>
      <c r="N647" s="82" t="n">
        <v>0</v>
      </c>
      <c r="O647" s="82" t="n">
        <v>4816.246</v>
      </c>
      <c r="P647" s="83" t="n">
        <v>0</v>
      </c>
      <c r="Q647" s="83" t="n">
        <v>166</v>
      </c>
      <c r="R647" s="47" t="n">
        <v>23</v>
      </c>
      <c r="S647" s="66" t="s">
        <v>945</v>
      </c>
    </row>
    <row r="648" customFormat="false" ht="15" hidden="false" customHeight="false" outlineLevel="0" collapsed="false">
      <c r="A648" s="79" t="s">
        <v>186</v>
      </c>
      <c r="B648" s="79" t="s">
        <v>318</v>
      </c>
      <c r="C648" s="80" t="n">
        <v>2020</v>
      </c>
      <c r="D648" s="80" t="n">
        <v>3</v>
      </c>
      <c r="E648" s="81" t="n">
        <v>44104</v>
      </c>
      <c r="F648" s="79" t="s">
        <v>271</v>
      </c>
      <c r="G648" s="79" t="s">
        <v>272</v>
      </c>
      <c r="H648" s="79" t="s">
        <v>268</v>
      </c>
      <c r="I648" s="82" t="n">
        <v>1627.205</v>
      </c>
      <c r="J648" s="82" t="n">
        <v>493.122</v>
      </c>
      <c r="K648" s="82" t="n">
        <v>194271000</v>
      </c>
      <c r="L648" s="83" t="n">
        <v>2.39</v>
      </c>
      <c r="M648" s="82" t="n">
        <v>81.324</v>
      </c>
      <c r="N648" s="82" t="n">
        <v>0</v>
      </c>
      <c r="O648" s="82" t="n">
        <v>4634.348</v>
      </c>
      <c r="P648" s="83"/>
      <c r="Q648" s="83" t="n">
        <v>158.5</v>
      </c>
      <c r="R648" s="47" t="n">
        <v>24</v>
      </c>
      <c r="S648" s="66" t="s">
        <v>946</v>
      </c>
    </row>
    <row r="649" customFormat="false" ht="15" hidden="false" customHeight="false" outlineLevel="0" collapsed="false">
      <c r="A649" s="79" t="s">
        <v>201</v>
      </c>
      <c r="B649" s="79" t="s">
        <v>265</v>
      </c>
      <c r="C649" s="80" t="n">
        <v>2026</v>
      </c>
      <c r="D649" s="80" t="n">
        <v>3</v>
      </c>
      <c r="E649" s="81" t="n">
        <v>46295</v>
      </c>
      <c r="F649" s="79" t="s">
        <v>266</v>
      </c>
      <c r="G649" s="79" t="s">
        <v>267</v>
      </c>
      <c r="H649" s="79" t="s">
        <v>268</v>
      </c>
      <c r="I649" s="82"/>
      <c r="J649" s="82"/>
      <c r="K649" s="82"/>
      <c r="L649" s="83" t="n">
        <v>7.90333</v>
      </c>
      <c r="M649" s="82"/>
      <c r="N649" s="82"/>
      <c r="O649" s="82"/>
      <c r="P649" s="83"/>
      <c r="Q649" s="83"/>
      <c r="R649" s="47" t="n">
        <v>0</v>
      </c>
      <c r="S649" s="66" t="s">
        <v>947</v>
      </c>
    </row>
    <row r="650" customFormat="false" ht="15" hidden="false" customHeight="false" outlineLevel="0" collapsed="false">
      <c r="A650" s="79" t="s">
        <v>201</v>
      </c>
      <c r="B650" s="79" t="s">
        <v>270</v>
      </c>
      <c r="C650" s="80" t="n">
        <v>2026</v>
      </c>
      <c r="D650" s="80" t="n">
        <v>2</v>
      </c>
      <c r="E650" s="81" t="n">
        <v>46203</v>
      </c>
      <c r="F650" s="79" t="s">
        <v>271</v>
      </c>
      <c r="G650" s="79" t="s">
        <v>272</v>
      </c>
      <c r="H650" s="79" t="s">
        <v>268</v>
      </c>
      <c r="I650" s="82" t="n">
        <v>20825.411</v>
      </c>
      <c r="J650" s="82" t="n">
        <v>2810.847</v>
      </c>
      <c r="K650" s="82" t="n">
        <v>1535124000</v>
      </c>
      <c r="L650" s="83" t="n">
        <v>7.92</v>
      </c>
      <c r="M650" s="82" t="n">
        <v>194.008</v>
      </c>
      <c r="N650" s="82" t="n">
        <v>0</v>
      </c>
      <c r="O650" s="82" t="n">
        <v>21975.278</v>
      </c>
      <c r="P650" s="83" t="n">
        <v>0</v>
      </c>
      <c r="Q650" s="83" t="n">
        <v>549</v>
      </c>
      <c r="R650" s="47" t="n">
        <v>1</v>
      </c>
      <c r="S650" s="66" t="s">
        <v>948</v>
      </c>
    </row>
    <row r="651" customFormat="false" ht="15" hidden="false" customHeight="false" outlineLevel="0" collapsed="false">
      <c r="A651" s="79" t="s">
        <v>201</v>
      </c>
      <c r="B651" s="79" t="s">
        <v>274</v>
      </c>
      <c r="C651" s="80" t="n">
        <v>2026</v>
      </c>
      <c r="D651" s="80" t="n">
        <v>1</v>
      </c>
      <c r="E651" s="81" t="n">
        <v>46112</v>
      </c>
      <c r="F651" s="79" t="s">
        <v>271</v>
      </c>
      <c r="G651" s="79" t="s">
        <v>272</v>
      </c>
      <c r="H651" s="79" t="s">
        <v>268</v>
      </c>
      <c r="I651" s="82" t="n">
        <v>18536.692</v>
      </c>
      <c r="J651" s="82" t="n">
        <v>2517.46</v>
      </c>
      <c r="K651" s="82" t="n">
        <v>1322921000</v>
      </c>
      <c r="L651" s="83" t="n">
        <v>6.86</v>
      </c>
      <c r="M651" s="82" t="n">
        <v>193.6577</v>
      </c>
      <c r="N651" s="82" t="n">
        <v>0</v>
      </c>
      <c r="O651" s="82" t="n">
        <v>19214.366</v>
      </c>
      <c r="P651" s="83" t="n">
        <v>0</v>
      </c>
      <c r="Q651" s="83" t="n">
        <v>304.5</v>
      </c>
      <c r="R651" s="47" t="n">
        <v>2</v>
      </c>
      <c r="S651" s="66" t="s">
        <v>949</v>
      </c>
    </row>
    <row r="652" customFormat="false" ht="15" hidden="false" customHeight="false" outlineLevel="0" collapsed="false">
      <c r="A652" s="79" t="s">
        <v>201</v>
      </c>
      <c r="B652" s="79" t="s">
        <v>276</v>
      </c>
      <c r="C652" s="80" t="n">
        <v>2025</v>
      </c>
      <c r="D652" s="80" t="n">
        <v>4</v>
      </c>
      <c r="E652" s="81" t="n">
        <v>46022</v>
      </c>
      <c r="F652" s="79" t="s">
        <v>271</v>
      </c>
      <c r="G652" s="79" t="s">
        <v>272</v>
      </c>
      <c r="H652" s="79" t="s">
        <v>268</v>
      </c>
      <c r="I652" s="82" t="n">
        <v>17298.641</v>
      </c>
      <c r="J652" s="82" t="n">
        <v>2303.334</v>
      </c>
      <c r="K652" s="82" t="n">
        <v>1223169000</v>
      </c>
      <c r="L652" s="83" t="n">
        <v>6.36</v>
      </c>
      <c r="M652" s="82" t="n">
        <v>192.3546</v>
      </c>
      <c r="N652" s="82" t="n">
        <v>0</v>
      </c>
      <c r="O652" s="82" t="n">
        <v>19999.753</v>
      </c>
      <c r="P652" s="83" t="n">
        <v>0</v>
      </c>
      <c r="Q652" s="83" t="n">
        <v>291</v>
      </c>
      <c r="R652" s="47" t="n">
        <v>3</v>
      </c>
      <c r="S652" s="66" t="s">
        <v>950</v>
      </c>
    </row>
    <row r="653" customFormat="false" ht="15" hidden="false" customHeight="false" outlineLevel="0" collapsed="false">
      <c r="A653" s="79" t="s">
        <v>201</v>
      </c>
      <c r="B653" s="79" t="s">
        <v>278</v>
      </c>
      <c r="C653" s="80" t="n">
        <v>2025</v>
      </c>
      <c r="D653" s="80" t="n">
        <v>3</v>
      </c>
      <c r="E653" s="81" t="n">
        <v>45930</v>
      </c>
      <c r="F653" s="79" t="s">
        <v>271</v>
      </c>
      <c r="G653" s="79" t="s">
        <v>272</v>
      </c>
      <c r="H653" s="79" t="s">
        <v>268</v>
      </c>
      <c r="I653" s="82" t="n">
        <v>17538.579</v>
      </c>
      <c r="J653" s="82" t="n">
        <v>2251.328</v>
      </c>
      <c r="K653" s="82" t="n">
        <v>1103412000</v>
      </c>
      <c r="L653" s="83" t="n">
        <v>5.75</v>
      </c>
      <c r="M653" s="82" t="n">
        <v>192.1998</v>
      </c>
      <c r="N653" s="82" t="n">
        <v>0</v>
      </c>
      <c r="O653" s="82" t="n">
        <v>18739.987</v>
      </c>
      <c r="P653" s="83" t="n">
        <v>11.98556796</v>
      </c>
      <c r="Q653" s="83" t="n">
        <v>314</v>
      </c>
      <c r="R653" s="47" t="n">
        <v>4</v>
      </c>
      <c r="S653" s="66" t="s">
        <v>951</v>
      </c>
    </row>
    <row r="654" customFormat="false" ht="15" hidden="false" customHeight="false" outlineLevel="0" collapsed="false">
      <c r="A654" s="79" t="s">
        <v>201</v>
      </c>
      <c r="B654" s="79" t="s">
        <v>280</v>
      </c>
      <c r="C654" s="80" t="n">
        <v>2025</v>
      </c>
      <c r="D654" s="80" t="n">
        <v>2</v>
      </c>
      <c r="E654" s="81" t="n">
        <v>45838</v>
      </c>
      <c r="F654" s="79" t="s">
        <v>271</v>
      </c>
      <c r="G654" s="79" t="s">
        <v>272</v>
      </c>
      <c r="H654" s="79" t="s">
        <v>268</v>
      </c>
      <c r="I654" s="82" t="n">
        <v>16986.85</v>
      </c>
      <c r="J654" s="82" t="n">
        <v>1988.366</v>
      </c>
      <c r="K654" s="82" t="n">
        <v>914696000</v>
      </c>
      <c r="L654" s="83" t="n">
        <v>4.78</v>
      </c>
      <c r="M654" s="82" t="n">
        <v>191.3427</v>
      </c>
      <c r="N654" s="82" t="n">
        <v>0</v>
      </c>
      <c r="O654" s="82" t="n">
        <v>17068.444</v>
      </c>
      <c r="P654" s="83" t="n">
        <v>0</v>
      </c>
      <c r="Q654" s="83" t="n">
        <v>274.5</v>
      </c>
      <c r="R654" s="47" t="n">
        <v>5</v>
      </c>
      <c r="S654" s="66" t="s">
        <v>952</v>
      </c>
    </row>
    <row r="655" customFormat="false" ht="15" hidden="false" customHeight="false" outlineLevel="0" collapsed="false">
      <c r="A655" s="79" t="s">
        <v>201</v>
      </c>
      <c r="B655" s="79" t="s">
        <v>282</v>
      </c>
      <c r="C655" s="80" t="n">
        <v>2025</v>
      </c>
      <c r="D655" s="80" t="n">
        <v>1</v>
      </c>
      <c r="E655" s="81" t="n">
        <v>45747</v>
      </c>
      <c r="F655" s="79" t="s">
        <v>271</v>
      </c>
      <c r="G655" s="79" t="s">
        <v>272</v>
      </c>
      <c r="H655" s="79" t="s">
        <v>268</v>
      </c>
      <c r="I655" s="82" t="n">
        <v>15759.461</v>
      </c>
      <c r="J655" s="82" t="n">
        <v>2107.35</v>
      </c>
      <c r="K655" s="82" t="n">
        <v>939170000</v>
      </c>
      <c r="L655" s="83" t="n">
        <v>4.91</v>
      </c>
      <c r="M655" s="82" t="n">
        <v>191.3323</v>
      </c>
      <c r="N655" s="82" t="n">
        <v>0</v>
      </c>
      <c r="O655" s="82" t="n">
        <v>16498.529</v>
      </c>
      <c r="P655" s="83" t="n">
        <v>0</v>
      </c>
      <c r="Q655" s="83" t="n">
        <v>261</v>
      </c>
      <c r="R655" s="47" t="n">
        <v>6</v>
      </c>
      <c r="S655" s="66" t="s">
        <v>953</v>
      </c>
    </row>
    <row r="656" customFormat="false" ht="15" hidden="false" customHeight="false" outlineLevel="0" collapsed="false">
      <c r="A656" s="79" t="s">
        <v>201</v>
      </c>
      <c r="B656" s="79" t="s">
        <v>284</v>
      </c>
      <c r="C656" s="80" t="n">
        <v>2024</v>
      </c>
      <c r="D656" s="80" t="n">
        <v>4</v>
      </c>
      <c r="E656" s="81" t="n">
        <v>45657</v>
      </c>
      <c r="F656" s="79" t="s">
        <v>271</v>
      </c>
      <c r="G656" s="79" t="s">
        <v>272</v>
      </c>
      <c r="H656" s="79" t="s">
        <v>268</v>
      </c>
      <c r="I656" s="82" t="n">
        <v>15907.231</v>
      </c>
      <c r="J656" s="82" t="n">
        <v>2057.74</v>
      </c>
      <c r="K656" s="82" t="n">
        <v>923666000</v>
      </c>
      <c r="L656" s="83" t="n">
        <v>4.84</v>
      </c>
      <c r="M656" s="82" t="n">
        <v>191.0393</v>
      </c>
      <c r="N656" s="82" t="n">
        <v>0</v>
      </c>
      <c r="O656" s="82" t="n">
        <v>17771.222</v>
      </c>
      <c r="P656" s="83" t="n">
        <v>0</v>
      </c>
      <c r="Q656" s="83" t="n">
        <v>280</v>
      </c>
      <c r="R656" s="47" t="n">
        <v>7</v>
      </c>
      <c r="S656" s="66" t="s">
        <v>954</v>
      </c>
    </row>
    <row r="657" customFormat="false" ht="15" hidden="false" customHeight="false" outlineLevel="0" collapsed="false">
      <c r="A657" s="79" t="s">
        <v>201</v>
      </c>
      <c r="B657" s="79" t="s">
        <v>286</v>
      </c>
      <c r="C657" s="80" t="n">
        <v>2024</v>
      </c>
      <c r="D657" s="80" t="n">
        <v>3</v>
      </c>
      <c r="E657" s="81" t="n">
        <v>45565</v>
      </c>
      <c r="F657" s="79" t="s">
        <v>271</v>
      </c>
      <c r="G657" s="79" t="s">
        <v>272</v>
      </c>
      <c r="H657" s="79" t="s">
        <v>268</v>
      </c>
      <c r="I657" s="82" t="n">
        <v>15366.525</v>
      </c>
      <c r="J657" s="82" t="n">
        <v>2043.096</v>
      </c>
      <c r="K657" s="82" t="n">
        <v>936620000</v>
      </c>
      <c r="L657" s="83" t="n">
        <v>4.93</v>
      </c>
      <c r="M657" s="82" t="n">
        <v>190.554</v>
      </c>
      <c r="N657" s="82" t="n">
        <v>0</v>
      </c>
      <c r="O657" s="82" t="n">
        <v>16789.65</v>
      </c>
      <c r="P657" s="83" t="n">
        <v>0</v>
      </c>
      <c r="Q657" s="83" t="n">
        <v>282</v>
      </c>
      <c r="R657" s="47" t="n">
        <v>8</v>
      </c>
      <c r="S657" s="66" t="s">
        <v>955</v>
      </c>
    </row>
    <row r="658" customFormat="false" ht="15" hidden="false" customHeight="false" outlineLevel="0" collapsed="false">
      <c r="A658" s="79" t="s">
        <v>201</v>
      </c>
      <c r="B658" s="79" t="s">
        <v>288</v>
      </c>
      <c r="C658" s="80" t="n">
        <v>2024</v>
      </c>
      <c r="D658" s="80" t="n">
        <v>2</v>
      </c>
      <c r="E658" s="81" t="n">
        <v>45473</v>
      </c>
      <c r="F658" s="79" t="s">
        <v>271</v>
      </c>
      <c r="G658" s="79" t="s">
        <v>272</v>
      </c>
      <c r="H658" s="79" t="s">
        <v>268</v>
      </c>
      <c r="I658" s="82" t="n">
        <v>13791.78</v>
      </c>
      <c r="J658" s="82" t="n">
        <v>1931.406</v>
      </c>
      <c r="K658" s="82" t="n">
        <v>1020612000</v>
      </c>
      <c r="L658" s="83" t="n">
        <v>5.41</v>
      </c>
      <c r="M658" s="82" t="n">
        <v>188.7641</v>
      </c>
      <c r="N658" s="82" t="n">
        <v>0</v>
      </c>
      <c r="O658" s="82" t="n">
        <v>15437.575</v>
      </c>
      <c r="P658" s="83" t="n">
        <v>9.99658303</v>
      </c>
      <c r="Q658" s="83" t="n">
        <v>275</v>
      </c>
      <c r="R658" s="47" t="n">
        <v>9</v>
      </c>
      <c r="S658" s="66" t="s">
        <v>956</v>
      </c>
    </row>
    <row r="659" customFormat="false" ht="15" hidden="false" customHeight="false" outlineLevel="0" collapsed="false">
      <c r="A659" s="79" t="s">
        <v>201</v>
      </c>
      <c r="B659" s="79" t="s">
        <v>290</v>
      </c>
      <c r="C659" s="80" t="n">
        <v>2024</v>
      </c>
      <c r="D659" s="80" t="n">
        <v>1</v>
      </c>
      <c r="E659" s="81" t="n">
        <v>45382</v>
      </c>
      <c r="F659" s="79" t="s">
        <v>271</v>
      </c>
      <c r="G659" s="79" t="s">
        <v>272</v>
      </c>
      <c r="H659" s="79" t="s">
        <v>268</v>
      </c>
      <c r="I659" s="82" t="n">
        <v>11931.577</v>
      </c>
      <c r="J659" s="82" t="n">
        <v>1685.728</v>
      </c>
      <c r="K659" s="82" t="n">
        <v>775037000</v>
      </c>
      <c r="L659" s="83" t="n">
        <v>4.11</v>
      </c>
      <c r="M659" s="82" t="n">
        <v>188.7001</v>
      </c>
      <c r="N659" s="82" t="n">
        <v>0</v>
      </c>
      <c r="O659" s="82" t="n">
        <v>14274.286</v>
      </c>
      <c r="P659" s="83" t="n">
        <v>0</v>
      </c>
      <c r="Q659" s="83" t="n">
        <v>219</v>
      </c>
      <c r="R659" s="47" t="n">
        <v>10</v>
      </c>
      <c r="S659" s="66" t="s">
        <v>957</v>
      </c>
    </row>
    <row r="660" customFormat="false" ht="15" hidden="false" customHeight="false" outlineLevel="0" collapsed="false">
      <c r="A660" s="79" t="s">
        <v>201</v>
      </c>
      <c r="B660" s="79" t="s">
        <v>292</v>
      </c>
      <c r="C660" s="80" t="n">
        <v>2023</v>
      </c>
      <c r="D660" s="80" t="n">
        <v>4</v>
      </c>
      <c r="E660" s="81" t="n">
        <v>45291</v>
      </c>
      <c r="F660" s="79" t="s">
        <v>271</v>
      </c>
      <c r="G660" s="79" t="s">
        <v>272</v>
      </c>
      <c r="H660" s="79" t="s">
        <v>268</v>
      </c>
      <c r="I660" s="82" t="n">
        <v>12233.421</v>
      </c>
      <c r="J660" s="82" t="n">
        <v>1593.449</v>
      </c>
      <c r="K660" s="82" t="n">
        <v>633558000</v>
      </c>
      <c r="L660" s="83" t="n">
        <v>3.35</v>
      </c>
      <c r="M660" s="82" t="n">
        <v>188.6996</v>
      </c>
      <c r="N660" s="82" t="n">
        <v>0</v>
      </c>
      <c r="O660" s="82" t="n">
        <v>15109.065</v>
      </c>
      <c r="P660" s="83" t="n">
        <v>0</v>
      </c>
      <c r="Q660" s="83" t="n">
        <v>182.5</v>
      </c>
      <c r="R660" s="47" t="n">
        <v>11</v>
      </c>
      <c r="S660" s="66" t="s">
        <v>958</v>
      </c>
    </row>
    <row r="661" customFormat="false" ht="15" hidden="false" customHeight="false" outlineLevel="0" collapsed="false">
      <c r="A661" s="79" t="s">
        <v>201</v>
      </c>
      <c r="B661" s="79" t="s">
        <v>294</v>
      </c>
      <c r="C661" s="80" t="n">
        <v>2023</v>
      </c>
      <c r="D661" s="80" t="n">
        <v>3</v>
      </c>
      <c r="E661" s="81" t="n">
        <v>45199</v>
      </c>
      <c r="F661" s="79" t="s">
        <v>271</v>
      </c>
      <c r="G661" s="79" t="s">
        <v>272</v>
      </c>
      <c r="H661" s="79" t="s">
        <v>268</v>
      </c>
      <c r="I661" s="82" t="n">
        <v>12492.338</v>
      </c>
      <c r="J661" s="82" t="n">
        <v>1743.119</v>
      </c>
      <c r="K661" s="82" t="n">
        <v>791913000</v>
      </c>
      <c r="L661" s="83" t="n">
        <v>4.25</v>
      </c>
      <c r="M661" s="82" t="n">
        <v>188.6996</v>
      </c>
      <c r="N661" s="82" t="n">
        <v>0</v>
      </c>
      <c r="O661" s="82" t="n">
        <v>14413.298</v>
      </c>
      <c r="P661" s="83" t="n">
        <v>0</v>
      </c>
      <c r="Q661" s="83" t="n">
        <v>169.5</v>
      </c>
      <c r="R661" s="47" t="n">
        <v>12</v>
      </c>
      <c r="S661" s="66" t="s">
        <v>959</v>
      </c>
    </row>
    <row r="662" customFormat="false" ht="15" hidden="false" customHeight="false" outlineLevel="0" collapsed="false">
      <c r="A662" s="79" t="s">
        <v>201</v>
      </c>
      <c r="B662" s="79" t="s">
        <v>296</v>
      </c>
      <c r="C662" s="80" t="n">
        <v>2023</v>
      </c>
      <c r="D662" s="80" t="n">
        <v>2</v>
      </c>
      <c r="E662" s="81" t="n">
        <v>45107</v>
      </c>
      <c r="F662" s="79" t="s">
        <v>271</v>
      </c>
      <c r="G662" s="79" t="s">
        <v>272</v>
      </c>
      <c r="H662" s="79" t="s">
        <v>268</v>
      </c>
      <c r="I662" s="82" t="n">
        <v>12055.351</v>
      </c>
      <c r="J662" s="82" t="n">
        <v>1581.488</v>
      </c>
      <c r="K662" s="82" t="n">
        <v>669619000</v>
      </c>
      <c r="L662" s="83" t="n">
        <v>3.69</v>
      </c>
      <c r="M662" s="82" t="n">
        <v>181.6996</v>
      </c>
      <c r="N662" s="82" t="n">
        <v>0</v>
      </c>
      <c r="O662" s="82" t="n">
        <v>12564.042</v>
      </c>
      <c r="P662" s="83" t="n">
        <v>10</v>
      </c>
      <c r="Q662" s="83" t="n">
        <v>182.5</v>
      </c>
      <c r="R662" s="47" t="n">
        <v>13</v>
      </c>
      <c r="S662" s="66" t="s">
        <v>960</v>
      </c>
    </row>
    <row r="663" customFormat="false" ht="15" hidden="false" customHeight="false" outlineLevel="0" collapsed="false">
      <c r="A663" s="79" t="s">
        <v>201</v>
      </c>
      <c r="B663" s="79" t="s">
        <v>298</v>
      </c>
      <c r="C663" s="80" t="n">
        <v>2023</v>
      </c>
      <c r="D663" s="80" t="n">
        <v>1</v>
      </c>
      <c r="E663" s="81" t="n">
        <v>45016</v>
      </c>
      <c r="F663" s="79" t="s">
        <v>271</v>
      </c>
      <c r="G663" s="79" t="s">
        <v>272</v>
      </c>
      <c r="H663" s="79" t="s">
        <v>268</v>
      </c>
      <c r="I663" s="82" t="n">
        <v>12492.345</v>
      </c>
      <c r="J663" s="82" t="n">
        <v>1500.744</v>
      </c>
      <c r="K663" s="82" t="n">
        <v>739934000</v>
      </c>
      <c r="L663" s="83" t="n">
        <v>4.07</v>
      </c>
      <c r="M663" s="82" t="n">
        <v>181.6996</v>
      </c>
      <c r="N663" s="82" t="n">
        <v>0</v>
      </c>
      <c r="O663" s="82" t="n">
        <v>11830.406</v>
      </c>
      <c r="P663" s="83" t="n">
        <v>0</v>
      </c>
      <c r="Q663" s="83" t="n">
        <v>189</v>
      </c>
      <c r="R663" s="47" t="n">
        <v>14</v>
      </c>
      <c r="S663" s="66" t="s">
        <v>961</v>
      </c>
    </row>
    <row r="664" customFormat="false" ht="15" hidden="false" customHeight="false" outlineLevel="0" collapsed="false">
      <c r="A664" s="79" t="s">
        <v>201</v>
      </c>
      <c r="B664" s="79" t="s">
        <v>300</v>
      </c>
      <c r="C664" s="80" t="n">
        <v>2022</v>
      </c>
      <c r="D664" s="80" t="n">
        <v>4</v>
      </c>
      <c r="E664" s="81" t="n">
        <v>44926</v>
      </c>
      <c r="F664" s="79" t="s">
        <v>271</v>
      </c>
      <c r="G664" s="79" t="s">
        <v>272</v>
      </c>
      <c r="H664" s="79" t="s">
        <v>268</v>
      </c>
      <c r="I664" s="82" t="n">
        <v>13377.459</v>
      </c>
      <c r="J664" s="82" t="n">
        <v>1601.395</v>
      </c>
      <c r="K664" s="82" t="n">
        <v>565094000</v>
      </c>
      <c r="L664" s="83" t="n">
        <v>3.11</v>
      </c>
      <c r="M664" s="82" t="n">
        <v>181.6996</v>
      </c>
      <c r="N664" s="82" t="n">
        <v>0</v>
      </c>
      <c r="O664" s="82" t="n">
        <v>12959.644</v>
      </c>
      <c r="P664" s="83" t="n">
        <v>0</v>
      </c>
      <c r="Q664" s="83" t="n">
        <v>164</v>
      </c>
      <c r="R664" s="47" t="n">
        <v>15</v>
      </c>
      <c r="S664" s="66" t="s">
        <v>962</v>
      </c>
    </row>
    <row r="665" customFormat="false" ht="15" hidden="false" customHeight="false" outlineLevel="0" collapsed="false">
      <c r="A665" s="79" t="s">
        <v>201</v>
      </c>
      <c r="B665" s="79" t="s">
        <v>302</v>
      </c>
      <c r="C665" s="80" t="n">
        <v>2022</v>
      </c>
      <c r="D665" s="80" t="n">
        <v>3</v>
      </c>
      <c r="E665" s="81" t="n">
        <v>44834</v>
      </c>
      <c r="F665" s="79" t="s">
        <v>271</v>
      </c>
      <c r="G665" s="79" t="s">
        <v>272</v>
      </c>
      <c r="H665" s="79" t="s">
        <v>268</v>
      </c>
      <c r="I665" s="82" t="n">
        <v>13792.845</v>
      </c>
      <c r="J665" s="82" t="n">
        <v>1840.106</v>
      </c>
      <c r="K665" s="82" t="n">
        <v>893203000</v>
      </c>
      <c r="L665" s="83" t="n">
        <v>4.92</v>
      </c>
      <c r="M665" s="82" t="n">
        <v>181.6996</v>
      </c>
      <c r="N665" s="82" t="n">
        <v>0</v>
      </c>
      <c r="O665" s="82" t="n">
        <v>12162.603</v>
      </c>
      <c r="P665" s="83" t="n">
        <v>0</v>
      </c>
      <c r="Q665" s="83" t="n">
        <v>154.5</v>
      </c>
      <c r="R665" s="47" t="n">
        <v>16</v>
      </c>
      <c r="S665" s="66" t="s">
        <v>963</v>
      </c>
    </row>
    <row r="666" customFormat="false" ht="15" hidden="false" customHeight="false" outlineLevel="0" collapsed="false">
      <c r="A666" s="79" t="s">
        <v>201</v>
      </c>
      <c r="B666" s="79" t="s">
        <v>304</v>
      </c>
      <c r="C666" s="80" t="n">
        <v>2022</v>
      </c>
      <c r="D666" s="80" t="n">
        <v>2</v>
      </c>
      <c r="E666" s="81" t="n">
        <v>44742</v>
      </c>
      <c r="F666" s="79" t="s">
        <v>271</v>
      </c>
      <c r="G666" s="79" t="s">
        <v>272</v>
      </c>
      <c r="H666" s="79" t="s">
        <v>268</v>
      </c>
      <c r="I666" s="82" t="n">
        <v>13225.334</v>
      </c>
      <c r="J666" s="82" t="n">
        <v>1622.386</v>
      </c>
      <c r="K666" s="82" t="n">
        <v>900267000</v>
      </c>
      <c r="L666" s="83" t="n">
        <v>4.96</v>
      </c>
      <c r="M666" s="82" t="n">
        <v>181.6996</v>
      </c>
      <c r="N666" s="82" t="n">
        <v>0</v>
      </c>
      <c r="O666" s="82" t="n">
        <v>11202.522</v>
      </c>
      <c r="P666" s="83" t="n">
        <v>8.8</v>
      </c>
      <c r="Q666" s="83" t="n">
        <v>138</v>
      </c>
      <c r="R666" s="47" t="n">
        <v>17</v>
      </c>
      <c r="S666" s="66" t="s">
        <v>964</v>
      </c>
    </row>
    <row r="667" customFormat="false" ht="15" hidden="false" customHeight="false" outlineLevel="0" collapsed="false">
      <c r="A667" s="79" t="s">
        <v>201</v>
      </c>
      <c r="B667" s="79" t="s">
        <v>306</v>
      </c>
      <c r="C667" s="80" t="n">
        <v>2022</v>
      </c>
      <c r="D667" s="80" t="n">
        <v>1</v>
      </c>
      <c r="E667" s="81" t="n">
        <v>44651</v>
      </c>
      <c r="F667" s="79" t="s">
        <v>271</v>
      </c>
      <c r="G667" s="79" t="s">
        <v>272</v>
      </c>
      <c r="H667" s="79" t="s">
        <v>268</v>
      </c>
      <c r="I667" s="82" t="n">
        <v>12582.577</v>
      </c>
      <c r="J667" s="82" t="n">
        <v>1461.477</v>
      </c>
      <c r="K667" s="82" t="n">
        <v>659914000</v>
      </c>
      <c r="L667" s="83" t="n">
        <v>3.63</v>
      </c>
      <c r="M667" s="82" t="n">
        <v>181.6996</v>
      </c>
      <c r="N667" s="82" t="n">
        <v>0</v>
      </c>
      <c r="O667" s="82" t="n">
        <v>10707.907</v>
      </c>
      <c r="P667" s="83" t="n">
        <v>0</v>
      </c>
      <c r="Q667" s="83" t="n">
        <v>170</v>
      </c>
      <c r="R667" s="47" t="n">
        <v>18</v>
      </c>
      <c r="S667" s="66" t="s">
        <v>965</v>
      </c>
    </row>
    <row r="668" customFormat="false" ht="15" hidden="false" customHeight="false" outlineLevel="0" collapsed="false">
      <c r="A668" s="79" t="s">
        <v>201</v>
      </c>
      <c r="B668" s="79" t="s">
        <v>308</v>
      </c>
      <c r="C668" s="80" t="n">
        <v>2021</v>
      </c>
      <c r="D668" s="80" t="n">
        <v>4</v>
      </c>
      <c r="E668" s="81" t="n">
        <v>44561</v>
      </c>
      <c r="F668" s="79" t="s">
        <v>271</v>
      </c>
      <c r="G668" s="79" t="s">
        <v>272</v>
      </c>
      <c r="H668" s="79" t="s">
        <v>268</v>
      </c>
      <c r="I668" s="82" t="n">
        <v>11766.16</v>
      </c>
      <c r="J668" s="82" t="n">
        <v>1498.856</v>
      </c>
      <c r="K668" s="82" t="n">
        <v>633208000</v>
      </c>
      <c r="L668" s="83" t="n">
        <v>3.49</v>
      </c>
      <c r="M668" s="82" t="n">
        <v>181.6996</v>
      </c>
      <c r="N668" s="82" t="n">
        <v>0</v>
      </c>
      <c r="O668" s="82" t="n">
        <v>11596.572</v>
      </c>
      <c r="P668" s="83" t="n">
        <v>0</v>
      </c>
      <c r="Q668" s="83" t="n">
        <v>158</v>
      </c>
      <c r="R668" s="47" t="n">
        <v>19</v>
      </c>
      <c r="S668" s="66" t="s">
        <v>966</v>
      </c>
    </row>
    <row r="669" customFormat="false" ht="15" hidden="false" customHeight="false" outlineLevel="0" collapsed="false">
      <c r="A669" s="79" t="s">
        <v>201</v>
      </c>
      <c r="B669" s="79" t="s">
        <v>310</v>
      </c>
      <c r="C669" s="80" t="n">
        <v>2021</v>
      </c>
      <c r="D669" s="80" t="n">
        <v>3</v>
      </c>
      <c r="E669" s="81" t="n">
        <v>44469</v>
      </c>
      <c r="F669" s="79" t="s">
        <v>271</v>
      </c>
      <c r="G669" s="79" t="s">
        <v>272</v>
      </c>
      <c r="H669" s="79" t="s">
        <v>268</v>
      </c>
      <c r="I669" s="82" t="n">
        <v>10988.763</v>
      </c>
      <c r="J669" s="82" t="n">
        <v>1338.868</v>
      </c>
      <c r="K669" s="82" t="n">
        <v>593514000</v>
      </c>
      <c r="L669" s="83" t="n">
        <v>3.26</v>
      </c>
      <c r="M669" s="82" t="n">
        <v>181.6996</v>
      </c>
      <c r="N669" s="82" t="n">
        <v>0</v>
      </c>
      <c r="O669" s="82" t="n">
        <v>10701.466</v>
      </c>
      <c r="P669" s="83" t="n">
        <v>0</v>
      </c>
      <c r="Q669" s="83" t="n">
        <v>137.5</v>
      </c>
      <c r="R669" s="47" t="n">
        <v>20</v>
      </c>
      <c r="S669" s="66" t="s">
        <v>967</v>
      </c>
    </row>
    <row r="670" customFormat="false" ht="15" hidden="false" customHeight="false" outlineLevel="0" collapsed="false">
      <c r="A670" s="79" t="s">
        <v>201</v>
      </c>
      <c r="B670" s="79" t="s">
        <v>312</v>
      </c>
      <c r="C670" s="80" t="n">
        <v>2021</v>
      </c>
      <c r="D670" s="80" t="n">
        <v>2</v>
      </c>
      <c r="E670" s="81" t="n">
        <v>44377</v>
      </c>
      <c r="F670" s="79" t="s">
        <v>271</v>
      </c>
      <c r="G670" s="79" t="s">
        <v>272</v>
      </c>
      <c r="H670" s="79" t="s">
        <v>268</v>
      </c>
      <c r="I670" s="82" t="n">
        <v>10381.154</v>
      </c>
      <c r="J670" s="82" t="n">
        <v>1276.802</v>
      </c>
      <c r="K670" s="82" t="n">
        <v>613334000</v>
      </c>
      <c r="L670" s="83" t="n">
        <v>3.38</v>
      </c>
      <c r="M670" s="82" t="n">
        <v>181.6996</v>
      </c>
      <c r="N670" s="82" t="n">
        <v>0</v>
      </c>
      <c r="O670" s="82" t="n">
        <v>10141.465</v>
      </c>
      <c r="P670" s="83" t="n">
        <v>8</v>
      </c>
      <c r="Q670" s="83" t="n">
        <v>125</v>
      </c>
      <c r="R670" s="47" t="n">
        <v>21</v>
      </c>
      <c r="S670" s="66" t="s">
        <v>968</v>
      </c>
    </row>
    <row r="671" customFormat="false" ht="15" hidden="false" customHeight="false" outlineLevel="0" collapsed="false">
      <c r="A671" s="79" t="s">
        <v>201</v>
      </c>
      <c r="B671" s="79" t="s">
        <v>314</v>
      </c>
      <c r="C671" s="80" t="n">
        <v>2021</v>
      </c>
      <c r="D671" s="80" t="n">
        <v>1</v>
      </c>
      <c r="E671" s="81" t="n">
        <v>44286</v>
      </c>
      <c r="F671" s="79" t="s">
        <v>271</v>
      </c>
      <c r="G671" s="79" t="s">
        <v>272</v>
      </c>
      <c r="H671" s="79" t="s">
        <v>268</v>
      </c>
      <c r="I671" s="82" t="n">
        <v>9532.889</v>
      </c>
      <c r="J671" s="82" t="n">
        <v>1097.678</v>
      </c>
      <c r="K671" s="82" t="n">
        <v>454402000</v>
      </c>
      <c r="L671" s="83" t="n">
        <v>2.5</v>
      </c>
      <c r="M671" s="82" t="n">
        <v>181.6996</v>
      </c>
      <c r="N671" s="82" t="n">
        <v>0</v>
      </c>
      <c r="O671" s="82" t="n">
        <v>9570.395</v>
      </c>
      <c r="P671" s="83" t="n">
        <v>0</v>
      </c>
      <c r="Q671" s="83" t="n">
        <v>136.5</v>
      </c>
      <c r="R671" s="47" t="n">
        <v>22</v>
      </c>
      <c r="S671" s="66" t="s">
        <v>969</v>
      </c>
    </row>
    <row r="672" customFormat="false" ht="15" hidden="false" customHeight="false" outlineLevel="0" collapsed="false">
      <c r="A672" s="79" t="s">
        <v>201</v>
      </c>
      <c r="B672" s="79" t="s">
        <v>316</v>
      </c>
      <c r="C672" s="80" t="n">
        <v>2020</v>
      </c>
      <c r="D672" s="80" t="n">
        <v>4</v>
      </c>
      <c r="E672" s="81" t="n">
        <v>44196</v>
      </c>
      <c r="F672" s="79" t="s">
        <v>271</v>
      </c>
      <c r="G672" s="79" t="s">
        <v>272</v>
      </c>
      <c r="H672" s="79" t="s">
        <v>268</v>
      </c>
      <c r="I672" s="82" t="n">
        <v>8938.602</v>
      </c>
      <c r="J672" s="82" t="n">
        <v>1094.556</v>
      </c>
      <c r="K672" s="82" t="n">
        <v>548182000</v>
      </c>
      <c r="L672" s="83" t="n">
        <v>3.01</v>
      </c>
      <c r="M672" s="82" t="n">
        <v>181.6996</v>
      </c>
      <c r="N672" s="82" t="n">
        <v>0</v>
      </c>
      <c r="O672" s="82" t="n">
        <v>10573.627</v>
      </c>
      <c r="P672" s="83" t="n">
        <v>0</v>
      </c>
      <c r="Q672" s="83" t="n">
        <v>119.5</v>
      </c>
      <c r="R672" s="47" t="n">
        <v>23</v>
      </c>
      <c r="S672" s="66" t="s">
        <v>970</v>
      </c>
    </row>
    <row r="673" customFormat="false" ht="15" hidden="false" customHeight="false" outlineLevel="0" collapsed="false">
      <c r="A673" s="79" t="s">
        <v>201</v>
      </c>
      <c r="B673" s="79" t="s">
        <v>318</v>
      </c>
      <c r="C673" s="80" t="n">
        <v>2020</v>
      </c>
      <c r="D673" s="80" t="n">
        <v>3</v>
      </c>
      <c r="E673" s="81" t="n">
        <v>44104</v>
      </c>
      <c r="F673" s="79" t="s">
        <v>271</v>
      </c>
      <c r="G673" s="79" t="s">
        <v>272</v>
      </c>
      <c r="H673" s="79" t="s">
        <v>268</v>
      </c>
      <c r="I673" s="82" t="n">
        <v>9067.715</v>
      </c>
      <c r="J673" s="82" t="n">
        <v>1028.467</v>
      </c>
      <c r="K673" s="82" t="n">
        <v>521666000</v>
      </c>
      <c r="L673" s="83" t="n">
        <v>2.87</v>
      </c>
      <c r="M673" s="82" t="n">
        <v>181.6996</v>
      </c>
      <c r="N673" s="82" t="n">
        <v>0</v>
      </c>
      <c r="O673" s="82" t="n">
        <v>9893.143</v>
      </c>
      <c r="P673" s="83"/>
      <c r="Q673" s="83" t="n">
        <v>114</v>
      </c>
      <c r="R673" s="47" t="n">
        <v>24</v>
      </c>
      <c r="S673" s="66" t="s">
        <v>971</v>
      </c>
    </row>
    <row r="674" customFormat="false" ht="15" hidden="false" customHeight="false" outlineLevel="0" collapsed="false">
      <c r="A674" s="79" t="s">
        <v>218</v>
      </c>
      <c r="B674" s="79" t="s">
        <v>265</v>
      </c>
      <c r="C674" s="80" t="n">
        <v>2026</v>
      </c>
      <c r="D674" s="80" t="n">
        <v>3</v>
      </c>
      <c r="E674" s="81" t="n">
        <v>46295</v>
      </c>
      <c r="F674" s="79" t="s">
        <v>266</v>
      </c>
      <c r="G674" s="79" t="s">
        <v>267</v>
      </c>
      <c r="H674" s="79" t="s">
        <v>268</v>
      </c>
      <c r="I674" s="82"/>
      <c r="J674" s="82"/>
      <c r="K674" s="82"/>
      <c r="L674" s="83" t="n">
        <v>13.49</v>
      </c>
      <c r="M674" s="82"/>
      <c r="N674" s="82"/>
      <c r="O674" s="82"/>
      <c r="P674" s="83"/>
      <c r="Q674" s="83"/>
      <c r="R674" s="47" t="n">
        <v>0</v>
      </c>
      <c r="S674" s="66" t="s">
        <v>972</v>
      </c>
    </row>
    <row r="675" customFormat="false" ht="15" hidden="false" customHeight="false" outlineLevel="0" collapsed="false">
      <c r="A675" s="79" t="s">
        <v>218</v>
      </c>
      <c r="B675" s="79" t="s">
        <v>270</v>
      </c>
      <c r="C675" s="80" t="n">
        <v>2026</v>
      </c>
      <c r="D675" s="80" t="n">
        <v>2</v>
      </c>
      <c r="E675" s="81" t="n">
        <v>46203</v>
      </c>
      <c r="F675" s="79" t="s">
        <v>271</v>
      </c>
      <c r="G675" s="79" t="s">
        <v>272</v>
      </c>
      <c r="H675" s="79" t="s">
        <v>268</v>
      </c>
      <c r="I675" s="82" t="n">
        <v>3680.968</v>
      </c>
      <c r="J675" s="82" t="n">
        <v>2301.025</v>
      </c>
      <c r="K675" s="82" t="n">
        <v>890415000</v>
      </c>
      <c r="L675" s="83" t="n">
        <v>11.21</v>
      </c>
      <c r="M675" s="82" t="n">
        <v>80.4502</v>
      </c>
      <c r="N675" s="82" t="n">
        <v>200000</v>
      </c>
      <c r="O675" s="82" t="n">
        <v>13590.598</v>
      </c>
      <c r="P675" s="83" t="n">
        <v>0</v>
      </c>
      <c r="Q675" s="83" t="n">
        <v>1640</v>
      </c>
      <c r="R675" s="47" t="n">
        <v>1</v>
      </c>
      <c r="S675" s="66" t="s">
        <v>973</v>
      </c>
    </row>
    <row r="676" customFormat="false" ht="15" hidden="false" customHeight="false" outlineLevel="0" collapsed="false">
      <c r="A676" s="79" t="s">
        <v>218</v>
      </c>
      <c r="B676" s="79" t="s">
        <v>274</v>
      </c>
      <c r="C676" s="80" t="n">
        <v>2026</v>
      </c>
      <c r="D676" s="80" t="n">
        <v>1</v>
      </c>
      <c r="E676" s="81" t="n">
        <v>46112</v>
      </c>
      <c r="F676" s="79" t="s">
        <v>271</v>
      </c>
      <c r="G676" s="79" t="s">
        <v>272</v>
      </c>
      <c r="H676" s="79" t="s">
        <v>268</v>
      </c>
      <c r="I676" s="82" t="n">
        <v>2705.681</v>
      </c>
      <c r="J676" s="82" t="n">
        <v>1499.18</v>
      </c>
      <c r="K676" s="82" t="n">
        <v>606763000</v>
      </c>
      <c r="L676" s="83" t="n">
        <v>7.82</v>
      </c>
      <c r="M676" s="82" t="n">
        <v>78.0733</v>
      </c>
      <c r="N676" s="82" t="n">
        <v>200000</v>
      </c>
      <c r="O676" s="82" t="n">
        <v>7048.699</v>
      </c>
      <c r="P676" s="83" t="n">
        <v>0</v>
      </c>
      <c r="Q676" s="83" t="n">
        <v>1900</v>
      </c>
      <c r="R676" s="47" t="n">
        <v>2</v>
      </c>
      <c r="S676" s="66" t="s">
        <v>974</v>
      </c>
    </row>
    <row r="677" customFormat="false" ht="15" hidden="false" customHeight="false" outlineLevel="0" collapsed="false">
      <c r="A677" s="79" t="s">
        <v>218</v>
      </c>
      <c r="B677" s="79" t="s">
        <v>276</v>
      </c>
      <c r="C677" s="80" t="n">
        <v>2025</v>
      </c>
      <c r="D677" s="80" t="n">
        <v>4</v>
      </c>
      <c r="E677" s="81" t="n">
        <v>46022</v>
      </c>
      <c r="F677" s="79" t="s">
        <v>271</v>
      </c>
      <c r="G677" s="79" t="s">
        <v>272</v>
      </c>
      <c r="H677" s="79" t="s">
        <v>268</v>
      </c>
      <c r="I677" s="82" t="n">
        <v>2999.698</v>
      </c>
      <c r="J677" s="82" t="n">
        <v>1727.031</v>
      </c>
      <c r="K677" s="82" t="n">
        <v>731967000</v>
      </c>
      <c r="L677" s="83" t="n">
        <v>9.59</v>
      </c>
      <c r="M677" s="82" t="n">
        <v>78.0733</v>
      </c>
      <c r="N677" s="82" t="n">
        <v>200000</v>
      </c>
      <c r="O677" s="82" t="n">
        <v>6844.831</v>
      </c>
      <c r="P677" s="83" t="n">
        <v>0</v>
      </c>
      <c r="Q677" s="83" t="n">
        <v>1360</v>
      </c>
      <c r="R677" s="47" t="n">
        <v>3</v>
      </c>
      <c r="S677" s="66" t="s">
        <v>975</v>
      </c>
    </row>
    <row r="678" customFormat="false" ht="15" hidden="false" customHeight="false" outlineLevel="0" collapsed="false">
      <c r="A678" s="79" t="s">
        <v>218</v>
      </c>
      <c r="B678" s="79" t="s">
        <v>278</v>
      </c>
      <c r="C678" s="80" t="n">
        <v>2025</v>
      </c>
      <c r="D678" s="80" t="n">
        <v>3</v>
      </c>
      <c r="E678" s="81" t="n">
        <v>45930</v>
      </c>
      <c r="F678" s="79" t="s">
        <v>271</v>
      </c>
      <c r="G678" s="79" t="s">
        <v>272</v>
      </c>
      <c r="H678" s="79" t="s">
        <v>268</v>
      </c>
      <c r="I678" s="82" t="n">
        <v>2514.032</v>
      </c>
      <c r="J678" s="82" t="n">
        <v>1517.758</v>
      </c>
      <c r="K678" s="82" t="n">
        <v>529792000</v>
      </c>
      <c r="L678" s="83" t="n">
        <v>7.03</v>
      </c>
      <c r="M678" s="82" t="n">
        <v>76.0002</v>
      </c>
      <c r="N678" s="82" t="n">
        <v>200000</v>
      </c>
      <c r="O678" s="82" t="n">
        <v>4097.937</v>
      </c>
      <c r="P678" s="83" t="n">
        <v>8.62269123</v>
      </c>
      <c r="Q678" s="83" t="n">
        <v>793</v>
      </c>
      <c r="R678" s="47" t="n">
        <v>4</v>
      </c>
      <c r="S678" s="66" t="s">
        <v>976</v>
      </c>
    </row>
    <row r="679" customFormat="false" ht="15" hidden="false" customHeight="false" outlineLevel="0" collapsed="false">
      <c r="A679" s="79" t="s">
        <v>218</v>
      </c>
      <c r="B679" s="79" t="s">
        <v>280</v>
      </c>
      <c r="C679" s="80" t="n">
        <v>2025</v>
      </c>
      <c r="D679" s="80" t="n">
        <v>2</v>
      </c>
      <c r="E679" s="81" t="n">
        <v>45838</v>
      </c>
      <c r="F679" s="79" t="s">
        <v>271</v>
      </c>
      <c r="G679" s="79" t="s">
        <v>272</v>
      </c>
      <c r="H679" s="79" t="s">
        <v>268</v>
      </c>
      <c r="I679" s="82" t="n">
        <v>2908.774</v>
      </c>
      <c r="J679" s="82" t="n">
        <v>1793.874</v>
      </c>
      <c r="K679" s="82" t="n">
        <v>195802000</v>
      </c>
      <c r="L679" s="83" t="n">
        <v>2.6</v>
      </c>
      <c r="M679" s="82" t="n">
        <v>76.0002</v>
      </c>
      <c r="N679" s="82" t="n">
        <v>200000</v>
      </c>
      <c r="O679" s="82" t="n">
        <v>3514.644</v>
      </c>
      <c r="P679" s="83" t="n">
        <v>0</v>
      </c>
      <c r="Q679" s="83" t="n">
        <v>464</v>
      </c>
      <c r="R679" s="47" t="n">
        <v>5</v>
      </c>
      <c r="S679" s="66" t="s">
        <v>977</v>
      </c>
    </row>
    <row r="680" customFormat="false" ht="15" hidden="false" customHeight="false" outlineLevel="0" collapsed="false">
      <c r="A680" s="79" t="s">
        <v>218</v>
      </c>
      <c r="B680" s="79" t="s">
        <v>282</v>
      </c>
      <c r="C680" s="80" t="n">
        <v>2025</v>
      </c>
      <c r="D680" s="80" t="n">
        <v>1</v>
      </c>
      <c r="E680" s="81" t="n">
        <v>45747</v>
      </c>
      <c r="F680" s="79" t="s">
        <v>271</v>
      </c>
      <c r="G680" s="79" t="s">
        <v>272</v>
      </c>
      <c r="H680" s="79" t="s">
        <v>268</v>
      </c>
      <c r="I680" s="82" t="n">
        <v>2104.723</v>
      </c>
      <c r="J680" s="82" t="n">
        <v>1040.2</v>
      </c>
      <c r="K680" s="82" t="n">
        <v>321702000</v>
      </c>
      <c r="L680" s="83" t="n">
        <v>4.26</v>
      </c>
      <c r="M680" s="82" t="n">
        <v>76</v>
      </c>
      <c r="N680" s="82" t="n">
        <v>0</v>
      </c>
      <c r="O680" s="82" t="n">
        <v>3568.399</v>
      </c>
      <c r="P680" s="83" t="n">
        <v>0</v>
      </c>
      <c r="Q680" s="83" t="n">
        <v>412.5</v>
      </c>
      <c r="R680" s="47" t="n">
        <v>6</v>
      </c>
      <c r="S680" s="66" t="s">
        <v>978</v>
      </c>
    </row>
    <row r="681" customFormat="false" ht="15" hidden="false" customHeight="false" outlineLevel="0" collapsed="false">
      <c r="A681" s="79" t="s">
        <v>218</v>
      </c>
      <c r="B681" s="79" t="s">
        <v>284</v>
      </c>
      <c r="C681" s="80" t="n">
        <v>2024</v>
      </c>
      <c r="D681" s="80" t="n">
        <v>4</v>
      </c>
      <c r="E681" s="81" t="n">
        <v>45657</v>
      </c>
      <c r="F681" s="79" t="s">
        <v>271</v>
      </c>
      <c r="G681" s="79" t="s">
        <v>272</v>
      </c>
      <c r="H681" s="79" t="s">
        <v>268</v>
      </c>
      <c r="I681" s="82" t="n">
        <v>2500.991</v>
      </c>
      <c r="J681" s="82" t="n">
        <v>1353.807</v>
      </c>
      <c r="K681" s="82" t="n">
        <v>432057000</v>
      </c>
      <c r="L681" s="83" t="n">
        <v>5.78</v>
      </c>
      <c r="M681" s="82" t="n">
        <v>76</v>
      </c>
      <c r="N681" s="82" t="n">
        <v>0</v>
      </c>
      <c r="O681" s="82" t="n">
        <v>3696.075</v>
      </c>
      <c r="P681" s="83" t="n">
        <v>0</v>
      </c>
      <c r="Q681" s="83" t="n">
        <v>650</v>
      </c>
      <c r="R681" s="47" t="n">
        <v>7</v>
      </c>
      <c r="S681" s="66" t="s">
        <v>979</v>
      </c>
    </row>
    <row r="682" customFormat="false" ht="15" hidden="false" customHeight="false" outlineLevel="0" collapsed="false">
      <c r="A682" s="79" t="s">
        <v>218</v>
      </c>
      <c r="B682" s="79" t="s">
        <v>286</v>
      </c>
      <c r="C682" s="80" t="n">
        <v>2024</v>
      </c>
      <c r="D682" s="80" t="n">
        <v>3</v>
      </c>
      <c r="E682" s="81" t="n">
        <v>45565</v>
      </c>
      <c r="F682" s="79" t="s">
        <v>271</v>
      </c>
      <c r="G682" s="79" t="s">
        <v>272</v>
      </c>
      <c r="H682" s="79" t="s">
        <v>268</v>
      </c>
      <c r="I682" s="82" t="n">
        <v>1641.247</v>
      </c>
      <c r="J682" s="82" t="n">
        <v>1038.896</v>
      </c>
      <c r="K682" s="82" t="n">
        <v>259156000</v>
      </c>
      <c r="L682" s="83" t="n">
        <v>3.43</v>
      </c>
      <c r="M682" s="82" t="n">
        <v>75.6</v>
      </c>
      <c r="N682" s="82" t="n">
        <v>0</v>
      </c>
      <c r="O682" s="82" t="n">
        <v>3137.906</v>
      </c>
      <c r="P682" s="83" t="n">
        <v>2.1</v>
      </c>
      <c r="Q682" s="83" t="n">
        <v>374</v>
      </c>
      <c r="R682" s="47" t="n">
        <v>8</v>
      </c>
      <c r="S682" s="66" t="s">
        <v>980</v>
      </c>
    </row>
    <row r="683" customFormat="false" ht="15" hidden="false" customHeight="false" outlineLevel="0" collapsed="false">
      <c r="A683" s="79" t="s">
        <v>218</v>
      </c>
      <c r="B683" s="79" t="s">
        <v>288</v>
      </c>
      <c r="C683" s="80" t="n">
        <v>2024</v>
      </c>
      <c r="D683" s="80" t="n">
        <v>2</v>
      </c>
      <c r="E683" s="81" t="n">
        <v>45473</v>
      </c>
      <c r="F683" s="79" t="s">
        <v>271</v>
      </c>
      <c r="G683" s="79" t="s">
        <v>272</v>
      </c>
      <c r="H683" s="79" t="s">
        <v>268</v>
      </c>
      <c r="I683" s="82" t="n">
        <v>1441.848</v>
      </c>
      <c r="J683" s="82" t="n">
        <v>766.439</v>
      </c>
      <c r="K683" s="82" t="n">
        <v>247463000</v>
      </c>
      <c r="L683" s="83" t="n">
        <v>3.27</v>
      </c>
      <c r="M683" s="82" t="n">
        <v>75.6</v>
      </c>
      <c r="N683" s="82" t="n">
        <v>0</v>
      </c>
      <c r="O683" s="82" t="n">
        <v>2859.876</v>
      </c>
      <c r="P683" s="83" t="n">
        <v>0</v>
      </c>
      <c r="Q683" s="83" t="n">
        <v>336.5</v>
      </c>
      <c r="R683" s="47" t="n">
        <v>9</v>
      </c>
      <c r="S683" s="66" t="s">
        <v>981</v>
      </c>
    </row>
    <row r="684" customFormat="false" ht="15" hidden="false" customHeight="false" outlineLevel="0" collapsed="false">
      <c r="A684" s="79" t="s">
        <v>218</v>
      </c>
      <c r="B684" s="79" t="s">
        <v>290</v>
      </c>
      <c r="C684" s="80" t="n">
        <v>2024</v>
      </c>
      <c r="D684" s="80" t="n">
        <v>1</v>
      </c>
      <c r="E684" s="81" t="n">
        <v>45382</v>
      </c>
      <c r="F684" s="79" t="s">
        <v>271</v>
      </c>
      <c r="G684" s="79" t="s">
        <v>272</v>
      </c>
      <c r="H684" s="79" t="s">
        <v>268</v>
      </c>
      <c r="I684" s="82" t="n">
        <v>826.319</v>
      </c>
      <c r="J684" s="82" t="n">
        <v>406.034</v>
      </c>
      <c r="K684" s="82" t="n">
        <v>118925000</v>
      </c>
      <c r="L684" s="83" t="n">
        <v>1.72</v>
      </c>
      <c r="M684" s="82" t="n">
        <v>75.6</v>
      </c>
      <c r="N684" s="82" t="n">
        <v>0</v>
      </c>
      <c r="O684" s="82" t="n">
        <v>2757.327</v>
      </c>
      <c r="P684" s="83" t="n">
        <v>0</v>
      </c>
      <c r="Q684" s="83" t="n">
        <v>140.5</v>
      </c>
      <c r="R684" s="47" t="n">
        <v>10</v>
      </c>
      <c r="S684" s="66" t="s">
        <v>982</v>
      </c>
    </row>
    <row r="685" customFormat="false" ht="15" hidden="false" customHeight="false" outlineLevel="0" collapsed="false">
      <c r="A685" s="79" t="s">
        <v>218</v>
      </c>
      <c r="B685" s="79" t="s">
        <v>292</v>
      </c>
      <c r="C685" s="80" t="n">
        <v>2023</v>
      </c>
      <c r="D685" s="80" t="n">
        <v>4</v>
      </c>
      <c r="E685" s="81" t="n">
        <v>45291</v>
      </c>
      <c r="F685" s="79" t="s">
        <v>271</v>
      </c>
      <c r="G685" s="79" t="s">
        <v>272</v>
      </c>
      <c r="H685" s="79" t="s">
        <v>268</v>
      </c>
      <c r="I685" s="82" t="n">
        <v>620.029</v>
      </c>
      <c r="J685" s="82" t="n">
        <v>288.46</v>
      </c>
      <c r="K685" s="82" t="n">
        <v>25907000</v>
      </c>
      <c r="L685" s="83" t="n">
        <v>0.39</v>
      </c>
      <c r="M685" s="82" t="n">
        <v>66.3</v>
      </c>
      <c r="N685" s="82" t="n">
        <v>0</v>
      </c>
      <c r="O685" s="82" t="n">
        <v>2050.726</v>
      </c>
      <c r="P685" s="83" t="n">
        <v>0</v>
      </c>
      <c r="Q685" s="83" t="n">
        <v>70.3</v>
      </c>
      <c r="R685" s="47" t="n">
        <v>11</v>
      </c>
      <c r="S685" s="66" t="s">
        <v>983</v>
      </c>
    </row>
    <row r="686" customFormat="false" ht="15" hidden="false" customHeight="false" outlineLevel="0" collapsed="false">
      <c r="A686" s="79" t="s">
        <v>218</v>
      </c>
      <c r="B686" s="79" t="s">
        <v>294</v>
      </c>
      <c r="C686" s="80" t="n">
        <v>2023</v>
      </c>
      <c r="D686" s="80" t="n">
        <v>3</v>
      </c>
      <c r="E686" s="81" t="n">
        <v>45199</v>
      </c>
      <c r="F686" s="79" t="s">
        <v>271</v>
      </c>
      <c r="G686" s="79" t="s">
        <v>272</v>
      </c>
      <c r="H686" s="79" t="s">
        <v>268</v>
      </c>
      <c r="I686" s="82" t="n">
        <v>666.543</v>
      </c>
      <c r="J686" s="82" t="n">
        <v>224.464</v>
      </c>
      <c r="K686" s="82" t="n">
        <v>67669000</v>
      </c>
      <c r="L686" s="83" t="n">
        <v>1.02</v>
      </c>
      <c r="M686" s="82" t="n">
        <v>66.3</v>
      </c>
      <c r="N686" s="82" t="n">
        <v>0</v>
      </c>
      <c r="O686" s="82" t="n">
        <v>2012.74</v>
      </c>
      <c r="P686" s="83" t="n">
        <v>2.1</v>
      </c>
      <c r="Q686" s="83" t="n">
        <v>76.1</v>
      </c>
      <c r="R686" s="47" t="n">
        <v>12</v>
      </c>
      <c r="S686" s="66" t="s">
        <v>984</v>
      </c>
    </row>
    <row r="687" customFormat="false" ht="15" hidden="false" customHeight="false" outlineLevel="0" collapsed="false">
      <c r="A687" s="79" t="s">
        <v>218</v>
      </c>
      <c r="B687" s="79" t="s">
        <v>296</v>
      </c>
      <c r="C687" s="80" t="n">
        <v>2023</v>
      </c>
      <c r="D687" s="80" t="n">
        <v>2</v>
      </c>
      <c r="E687" s="81" t="n">
        <v>45107</v>
      </c>
      <c r="F687" s="79" t="s">
        <v>271</v>
      </c>
      <c r="G687" s="79" t="s">
        <v>272</v>
      </c>
      <c r="H687" s="79" t="s">
        <v>268</v>
      </c>
      <c r="I687" s="82" t="n">
        <v>698.592</v>
      </c>
      <c r="J687" s="82" t="n">
        <v>250.312</v>
      </c>
      <c r="K687" s="82" t="n">
        <v>70949000</v>
      </c>
      <c r="L687" s="83" t="n">
        <v>1.07</v>
      </c>
      <c r="M687" s="82" t="n">
        <v>66.3</v>
      </c>
      <c r="N687" s="82" t="n">
        <v>0</v>
      </c>
      <c r="O687" s="82" t="n">
        <v>1911.408</v>
      </c>
      <c r="P687" s="83" t="n">
        <v>0</v>
      </c>
      <c r="Q687" s="83" t="n">
        <v>51.4</v>
      </c>
      <c r="R687" s="47" t="n">
        <v>13</v>
      </c>
      <c r="S687" s="66" t="s">
        <v>985</v>
      </c>
    </row>
    <row r="688" customFormat="false" ht="15" hidden="false" customHeight="false" outlineLevel="0" collapsed="false">
      <c r="A688" s="79" t="s">
        <v>218</v>
      </c>
      <c r="B688" s="79" t="s">
        <v>298</v>
      </c>
      <c r="C688" s="80" t="n">
        <v>2023</v>
      </c>
      <c r="D688" s="80" t="n">
        <v>1</v>
      </c>
      <c r="E688" s="81" t="n">
        <v>45016</v>
      </c>
      <c r="F688" s="79" t="s">
        <v>271</v>
      </c>
      <c r="G688" s="79" t="s">
        <v>272</v>
      </c>
      <c r="H688" s="79" t="s">
        <v>268</v>
      </c>
      <c r="I688" s="82" t="n">
        <v>632.221</v>
      </c>
      <c r="J688" s="82" t="n">
        <v>167.151</v>
      </c>
      <c r="K688" s="82" t="n">
        <v>3517000</v>
      </c>
      <c r="L688" s="83" t="n">
        <v>0.05</v>
      </c>
      <c r="M688" s="82" t="n">
        <v>66.3</v>
      </c>
      <c r="N688" s="82" t="n">
        <v>0</v>
      </c>
      <c r="O688" s="82" t="n">
        <v>1855.723</v>
      </c>
      <c r="P688" s="83" t="n">
        <v>0</v>
      </c>
      <c r="Q688" s="83" t="n">
        <v>53.9</v>
      </c>
      <c r="R688" s="47" t="n">
        <v>14</v>
      </c>
      <c r="S688" s="66" t="s">
        <v>986</v>
      </c>
    </row>
    <row r="689" customFormat="false" ht="15" hidden="false" customHeight="false" outlineLevel="0" collapsed="false">
      <c r="A689" s="79" t="s">
        <v>218</v>
      </c>
      <c r="B689" s="79" t="s">
        <v>300</v>
      </c>
      <c r="C689" s="80" t="n">
        <v>2022</v>
      </c>
      <c r="D689" s="80" t="n">
        <v>4</v>
      </c>
      <c r="E689" s="81" t="n">
        <v>44926</v>
      </c>
      <c r="F689" s="79" t="s">
        <v>271</v>
      </c>
      <c r="G689" s="79" t="s">
        <v>272</v>
      </c>
      <c r="H689" s="79" t="s">
        <v>268</v>
      </c>
      <c r="I689" s="82" t="n">
        <v>584.015</v>
      </c>
      <c r="J689" s="82" t="n">
        <v>165.938</v>
      </c>
      <c r="K689" s="82" t="n">
        <v>8688000</v>
      </c>
      <c r="L689" s="83" t="n">
        <v>0.13</v>
      </c>
      <c r="M689" s="82" t="n">
        <v>69.3</v>
      </c>
      <c r="N689" s="82" t="n">
        <v>3000000</v>
      </c>
      <c r="O689" s="82" t="n">
        <v>1992.251</v>
      </c>
      <c r="P689" s="83" t="n">
        <v>0</v>
      </c>
      <c r="Q689" s="83" t="n">
        <v>43.6</v>
      </c>
      <c r="R689" s="47" t="n">
        <v>15</v>
      </c>
      <c r="S689" s="66" t="s">
        <v>987</v>
      </c>
    </row>
    <row r="690" customFormat="false" ht="15" hidden="false" customHeight="false" outlineLevel="0" collapsed="false">
      <c r="A690" s="79" t="s">
        <v>218</v>
      </c>
      <c r="B690" s="79" t="s">
        <v>302</v>
      </c>
      <c r="C690" s="80" t="n">
        <v>2022</v>
      </c>
      <c r="D690" s="80" t="n">
        <v>3</v>
      </c>
      <c r="E690" s="81" t="n">
        <v>44834</v>
      </c>
      <c r="F690" s="79" t="s">
        <v>271</v>
      </c>
      <c r="G690" s="79" t="s">
        <v>272</v>
      </c>
      <c r="H690" s="79" t="s">
        <v>268</v>
      </c>
      <c r="I690" s="82" t="n">
        <v>879.51</v>
      </c>
      <c r="J690" s="82" t="n">
        <v>323.78</v>
      </c>
      <c r="K690" s="82" t="n">
        <v>155277000</v>
      </c>
      <c r="L690" s="83" t="n">
        <v>2.34</v>
      </c>
      <c r="M690" s="82" t="n">
        <v>69.3</v>
      </c>
      <c r="N690" s="82" t="n">
        <v>3000000</v>
      </c>
      <c r="O690" s="82" t="n">
        <v>1992.244</v>
      </c>
      <c r="P690" s="83" t="n">
        <v>1.2</v>
      </c>
      <c r="Q690" s="83" t="n">
        <v>46.9</v>
      </c>
      <c r="R690" s="47" t="n">
        <v>16</v>
      </c>
      <c r="S690" s="66" t="s">
        <v>988</v>
      </c>
    </row>
    <row r="691" customFormat="false" ht="15" hidden="false" customHeight="false" outlineLevel="0" collapsed="false">
      <c r="A691" s="79" t="s">
        <v>218</v>
      </c>
      <c r="B691" s="79" t="s">
        <v>304</v>
      </c>
      <c r="C691" s="80" t="n">
        <v>2022</v>
      </c>
      <c r="D691" s="80" t="n">
        <v>2</v>
      </c>
      <c r="E691" s="81" t="n">
        <v>44742</v>
      </c>
      <c r="F691" s="79" t="s">
        <v>271</v>
      </c>
      <c r="G691" s="79" t="s">
        <v>272</v>
      </c>
      <c r="H691" s="79" t="s">
        <v>268</v>
      </c>
      <c r="I691" s="82" t="n">
        <v>770.139</v>
      </c>
      <c r="J691" s="82" t="n">
        <v>243.689</v>
      </c>
      <c r="K691" s="82" t="n">
        <v>82775000</v>
      </c>
      <c r="L691" s="83" t="n">
        <v>1.25</v>
      </c>
      <c r="M691" s="82" t="n">
        <v>69.3</v>
      </c>
      <c r="N691" s="82" t="n">
        <v>3000000</v>
      </c>
      <c r="O691" s="82" t="n">
        <v>1828.554</v>
      </c>
      <c r="P691" s="83" t="n">
        <v>0</v>
      </c>
      <c r="Q691" s="83" t="n">
        <v>40.85</v>
      </c>
      <c r="R691" s="47" t="n">
        <v>17</v>
      </c>
      <c r="S691" s="66" t="s">
        <v>989</v>
      </c>
    </row>
    <row r="692" customFormat="false" ht="15" hidden="false" customHeight="false" outlineLevel="0" collapsed="false">
      <c r="A692" s="79" t="s">
        <v>218</v>
      </c>
      <c r="B692" s="79" t="s">
        <v>306</v>
      </c>
      <c r="C692" s="80" t="n">
        <v>2022</v>
      </c>
      <c r="D692" s="80" t="n">
        <v>1</v>
      </c>
      <c r="E692" s="81" t="n">
        <v>44651</v>
      </c>
      <c r="F692" s="79" t="s">
        <v>271</v>
      </c>
      <c r="G692" s="79" t="s">
        <v>272</v>
      </c>
      <c r="H692" s="79" t="s">
        <v>268</v>
      </c>
      <c r="I692" s="82" t="n">
        <v>706.524</v>
      </c>
      <c r="J692" s="82" t="n">
        <v>201.814</v>
      </c>
      <c r="K692" s="82" t="n">
        <v>74925000</v>
      </c>
      <c r="L692" s="83" t="n">
        <v>1.13</v>
      </c>
      <c r="M692" s="82" t="n">
        <v>69.3</v>
      </c>
      <c r="N692" s="82" t="n">
        <v>3000000</v>
      </c>
      <c r="O692" s="82" t="n">
        <v>1757.456</v>
      </c>
      <c r="P692" s="83" t="n">
        <v>0</v>
      </c>
      <c r="Q692" s="83" t="n">
        <v>36.25</v>
      </c>
      <c r="R692" s="47" t="n">
        <v>18</v>
      </c>
      <c r="S692" s="66" t="s">
        <v>990</v>
      </c>
    </row>
    <row r="693" customFormat="false" ht="15" hidden="false" customHeight="false" outlineLevel="0" collapsed="false">
      <c r="A693" s="79" t="s">
        <v>218</v>
      </c>
      <c r="B693" s="79" t="s">
        <v>308</v>
      </c>
      <c r="C693" s="80" t="n">
        <v>2021</v>
      </c>
      <c r="D693" s="80" t="n">
        <v>4</v>
      </c>
      <c r="E693" s="81" t="n">
        <v>44561</v>
      </c>
      <c r="F693" s="79" t="s">
        <v>271</v>
      </c>
      <c r="G693" s="79" t="s">
        <v>272</v>
      </c>
      <c r="H693" s="79" t="s">
        <v>268</v>
      </c>
      <c r="I693" s="82" t="n">
        <v>627.018</v>
      </c>
      <c r="J693" s="82" t="n">
        <v>145.045</v>
      </c>
      <c r="K693" s="82" t="n">
        <v>31592000</v>
      </c>
      <c r="L693" s="83" t="n">
        <v>0.48</v>
      </c>
      <c r="M693" s="82" t="n">
        <v>69.3</v>
      </c>
      <c r="N693" s="82" t="n">
        <v>3000000</v>
      </c>
      <c r="O693" s="82" t="n">
        <v>1737.529</v>
      </c>
      <c r="P693" s="83" t="n">
        <v>0</v>
      </c>
      <c r="Q693" s="83" t="n">
        <v>35.95</v>
      </c>
      <c r="R693" s="47" t="n">
        <v>19</v>
      </c>
      <c r="S693" s="66" t="s">
        <v>991</v>
      </c>
    </row>
    <row r="694" customFormat="false" ht="15" hidden="false" customHeight="false" outlineLevel="0" collapsed="false">
      <c r="A694" s="79" t="s">
        <v>218</v>
      </c>
      <c r="B694" s="79" t="s">
        <v>310</v>
      </c>
      <c r="C694" s="80" t="n">
        <v>2021</v>
      </c>
      <c r="D694" s="80" t="n">
        <v>3</v>
      </c>
      <c r="E694" s="81" t="n">
        <v>44469</v>
      </c>
      <c r="F694" s="79" t="s">
        <v>271</v>
      </c>
      <c r="G694" s="79" t="s">
        <v>272</v>
      </c>
      <c r="H694" s="79" t="s">
        <v>268</v>
      </c>
      <c r="I694" s="82" t="n">
        <v>768.611</v>
      </c>
      <c r="J694" s="82" t="n">
        <v>144.113</v>
      </c>
      <c r="K694" s="82" t="n">
        <v>22859000</v>
      </c>
      <c r="L694" s="83" t="n">
        <v>0.34</v>
      </c>
      <c r="M694" s="82" t="n">
        <v>69.3</v>
      </c>
      <c r="N694" s="82" t="n">
        <v>3000000</v>
      </c>
      <c r="O694" s="82" t="n">
        <v>1698.998</v>
      </c>
      <c r="P694" s="83" t="n">
        <v>1</v>
      </c>
      <c r="Q694" s="83" t="n">
        <v>34.9</v>
      </c>
      <c r="R694" s="47" t="n">
        <v>20</v>
      </c>
      <c r="S694" s="66" t="s">
        <v>992</v>
      </c>
    </row>
    <row r="695" customFormat="false" ht="15" hidden="false" customHeight="false" outlineLevel="0" collapsed="false">
      <c r="A695" s="79" t="s">
        <v>218</v>
      </c>
      <c r="B695" s="79" t="s">
        <v>312</v>
      </c>
      <c r="C695" s="80" t="n">
        <v>2021</v>
      </c>
      <c r="D695" s="80" t="n">
        <v>2</v>
      </c>
      <c r="E695" s="81" t="n">
        <v>44377</v>
      </c>
      <c r="F695" s="79" t="s">
        <v>271</v>
      </c>
      <c r="G695" s="79" t="s">
        <v>272</v>
      </c>
      <c r="H695" s="79" t="s">
        <v>268</v>
      </c>
      <c r="I695" s="82" t="n">
        <v>727.566</v>
      </c>
      <c r="J695" s="82" t="n">
        <v>177.768</v>
      </c>
      <c r="K695" s="82" t="n">
        <v>34779000</v>
      </c>
      <c r="L695" s="83" t="n">
        <v>0.53</v>
      </c>
      <c r="M695" s="82" t="n">
        <v>69.3</v>
      </c>
      <c r="N695" s="82" t="n">
        <v>3000000</v>
      </c>
      <c r="O695" s="82" t="n">
        <v>1680.253</v>
      </c>
      <c r="P695" s="83" t="n">
        <v>0</v>
      </c>
      <c r="Q695" s="83" t="n">
        <v>34.55</v>
      </c>
      <c r="R695" s="47" t="n">
        <v>21</v>
      </c>
      <c r="S695" s="66" t="s">
        <v>993</v>
      </c>
    </row>
    <row r="696" customFormat="false" ht="15" hidden="false" customHeight="false" outlineLevel="0" collapsed="false">
      <c r="A696" s="79" t="s">
        <v>218</v>
      </c>
      <c r="B696" s="79" t="s">
        <v>314</v>
      </c>
      <c r="C696" s="80" t="n">
        <v>2021</v>
      </c>
      <c r="D696" s="80" t="n">
        <v>1</v>
      </c>
      <c r="E696" s="81" t="n">
        <v>44286</v>
      </c>
      <c r="F696" s="79" t="s">
        <v>271</v>
      </c>
      <c r="G696" s="79" t="s">
        <v>272</v>
      </c>
      <c r="H696" s="79" t="s">
        <v>268</v>
      </c>
      <c r="I696" s="82" t="n">
        <v>689.821</v>
      </c>
      <c r="J696" s="82" t="n">
        <v>134.327</v>
      </c>
      <c r="K696" s="82" t="n">
        <v>14175000</v>
      </c>
      <c r="L696" s="83" t="n">
        <v>0.21</v>
      </c>
      <c r="M696" s="82" t="n">
        <v>69.3</v>
      </c>
      <c r="N696" s="82" t="n">
        <v>3000000</v>
      </c>
      <c r="O696" s="82" t="n">
        <v>1651.321</v>
      </c>
      <c r="P696" s="83" t="n">
        <v>0</v>
      </c>
      <c r="Q696" s="83" t="n">
        <v>31.75</v>
      </c>
      <c r="R696" s="47" t="n">
        <v>22</v>
      </c>
      <c r="S696" s="66" t="s">
        <v>994</v>
      </c>
    </row>
    <row r="697" customFormat="false" ht="15" hidden="false" customHeight="false" outlineLevel="0" collapsed="false">
      <c r="A697" s="79" t="s">
        <v>218</v>
      </c>
      <c r="B697" s="79" t="s">
        <v>316</v>
      </c>
      <c r="C697" s="80" t="n">
        <v>2020</v>
      </c>
      <c r="D697" s="80" t="n">
        <v>4</v>
      </c>
      <c r="E697" s="81" t="n">
        <v>44196</v>
      </c>
      <c r="F697" s="79" t="s">
        <v>271</v>
      </c>
      <c r="G697" s="79" t="s">
        <v>272</v>
      </c>
      <c r="H697" s="79" t="s">
        <v>268</v>
      </c>
      <c r="I697" s="82" t="n">
        <v>624.778</v>
      </c>
      <c r="J697" s="82" t="n">
        <v>104.654</v>
      </c>
      <c r="K697" s="82" t="n">
        <v>-17035000</v>
      </c>
      <c r="L697" s="83" t="n">
        <v>-0.26</v>
      </c>
      <c r="M697" s="82" t="n">
        <v>69.3</v>
      </c>
      <c r="N697" s="82" t="n">
        <v>3000000</v>
      </c>
      <c r="O697" s="82" t="n">
        <v>1709.033</v>
      </c>
      <c r="P697" s="83" t="n">
        <v>0</v>
      </c>
      <c r="Q697" s="83" t="n">
        <v>29.7</v>
      </c>
      <c r="R697" s="47" t="n">
        <v>23</v>
      </c>
      <c r="S697" s="66" t="s">
        <v>995</v>
      </c>
    </row>
    <row r="698" customFormat="false" ht="15" hidden="false" customHeight="false" outlineLevel="0" collapsed="false">
      <c r="A698" s="79" t="s">
        <v>218</v>
      </c>
      <c r="B698" s="79" t="s">
        <v>318</v>
      </c>
      <c r="C698" s="80" t="n">
        <v>2020</v>
      </c>
      <c r="D698" s="80" t="n">
        <v>3</v>
      </c>
      <c r="E698" s="81" t="n">
        <v>44104</v>
      </c>
      <c r="F698" s="79" t="s">
        <v>271</v>
      </c>
      <c r="G698" s="79" t="s">
        <v>272</v>
      </c>
      <c r="H698" s="79" t="s">
        <v>268</v>
      </c>
      <c r="I698" s="82" t="n">
        <v>652.44</v>
      </c>
      <c r="J698" s="82" t="n">
        <v>133.774</v>
      </c>
      <c r="K698" s="82" t="n">
        <v>8361000</v>
      </c>
      <c r="L698" s="83" t="n">
        <v>0.13</v>
      </c>
      <c r="M698" s="82" t="n">
        <v>69.3</v>
      </c>
      <c r="N698" s="82" t="n">
        <v>3000000</v>
      </c>
      <c r="O698" s="82" t="n">
        <v>1725.055</v>
      </c>
      <c r="P698" s="83"/>
      <c r="Q698" s="83" t="n">
        <v>30.1</v>
      </c>
      <c r="R698" s="47" t="n">
        <v>24</v>
      </c>
      <c r="S698" s="66" t="s">
        <v>996</v>
      </c>
    </row>
    <row r="699" customFormat="false" ht="15" hidden="false" customHeight="false" outlineLevel="0" collapsed="false">
      <c r="A699" s="79" t="s">
        <v>243</v>
      </c>
      <c r="B699" s="79" t="s">
        <v>265</v>
      </c>
      <c r="C699" s="80" t="n">
        <v>2026</v>
      </c>
      <c r="D699" s="80" t="n">
        <v>3</v>
      </c>
      <c r="E699" s="81" t="n">
        <v>46295</v>
      </c>
      <c r="F699" s="79" t="s">
        <v>266</v>
      </c>
      <c r="G699" s="79" t="s">
        <v>267</v>
      </c>
      <c r="H699" s="79" t="s">
        <v>268</v>
      </c>
      <c r="I699" s="82"/>
      <c r="J699" s="82"/>
      <c r="K699" s="82"/>
      <c r="L699" s="83" t="n">
        <v>1.81</v>
      </c>
      <c r="M699" s="82"/>
      <c r="N699" s="82"/>
      <c r="O699" s="82"/>
      <c r="P699" s="83"/>
      <c r="Q699" s="83"/>
      <c r="R699" s="47" t="n">
        <v>0</v>
      </c>
      <c r="S699" s="66" t="s">
        <v>997</v>
      </c>
    </row>
    <row r="700" customFormat="false" ht="15" hidden="false" customHeight="false" outlineLevel="0" collapsed="false">
      <c r="A700" s="79" t="s">
        <v>243</v>
      </c>
      <c r="B700" s="79" t="s">
        <v>270</v>
      </c>
      <c r="C700" s="80" t="n">
        <v>2026</v>
      </c>
      <c r="D700" s="80" t="n">
        <v>2</v>
      </c>
      <c r="E700" s="81" t="n">
        <v>46203</v>
      </c>
      <c r="F700" s="79" t="s">
        <v>271</v>
      </c>
      <c r="G700" s="79" t="s">
        <v>272</v>
      </c>
      <c r="H700" s="79" t="s">
        <v>268</v>
      </c>
      <c r="I700" s="82" t="n">
        <v>635.155</v>
      </c>
      <c r="J700" s="82" t="n">
        <v>158.557</v>
      </c>
      <c r="K700" s="82" t="n">
        <v>18602000</v>
      </c>
      <c r="L700" s="83" t="n">
        <v>0.35</v>
      </c>
      <c r="M700" s="82" t="n">
        <v>54.4137</v>
      </c>
      <c r="N700" s="82" t="n">
        <v>0</v>
      </c>
      <c r="O700" s="82" t="n">
        <v>3395.213</v>
      </c>
      <c r="P700" s="83" t="n">
        <v>1</v>
      </c>
      <c r="Q700" s="83" t="n">
        <v>496.5</v>
      </c>
      <c r="R700" s="47" t="n">
        <v>1</v>
      </c>
      <c r="S700" s="66" t="s">
        <v>998</v>
      </c>
    </row>
    <row r="701" customFormat="false" ht="15" hidden="false" customHeight="false" outlineLevel="0" collapsed="false">
      <c r="A701" s="79" t="s">
        <v>243</v>
      </c>
      <c r="B701" s="79" t="s">
        <v>274</v>
      </c>
      <c r="C701" s="80" t="n">
        <v>2026</v>
      </c>
      <c r="D701" s="80" t="n">
        <v>1</v>
      </c>
      <c r="E701" s="81" t="n">
        <v>46112</v>
      </c>
      <c r="F701" s="79" t="s">
        <v>271</v>
      </c>
      <c r="G701" s="79" t="s">
        <v>272</v>
      </c>
      <c r="H701" s="79" t="s">
        <v>268</v>
      </c>
      <c r="I701" s="82" t="n">
        <v>578.726</v>
      </c>
      <c r="J701" s="82" t="n">
        <v>124.911</v>
      </c>
      <c r="K701" s="82" t="n">
        <v>-31853000</v>
      </c>
      <c r="L701" s="83" t="n">
        <v>-0.61</v>
      </c>
      <c r="M701" s="82" t="n">
        <v>53.4469</v>
      </c>
      <c r="N701" s="82" t="n">
        <v>0</v>
      </c>
      <c r="O701" s="82" t="n">
        <v>3231.371</v>
      </c>
      <c r="P701" s="83" t="n">
        <v>0</v>
      </c>
      <c r="Q701" s="83" t="n">
        <v>467.5</v>
      </c>
      <c r="R701" s="47" t="n">
        <v>2</v>
      </c>
      <c r="S701" s="66" t="s">
        <v>999</v>
      </c>
    </row>
    <row r="702" customFormat="false" ht="15" hidden="false" customHeight="false" outlineLevel="0" collapsed="false">
      <c r="A702" s="79" t="s">
        <v>243</v>
      </c>
      <c r="B702" s="79" t="s">
        <v>276</v>
      </c>
      <c r="C702" s="80" t="n">
        <v>2025</v>
      </c>
      <c r="D702" s="80" t="n">
        <v>4</v>
      </c>
      <c r="E702" s="81" t="n">
        <v>46022</v>
      </c>
      <c r="F702" s="79" t="s">
        <v>271</v>
      </c>
      <c r="G702" s="79" t="s">
        <v>272</v>
      </c>
      <c r="H702" s="79" t="s">
        <v>268</v>
      </c>
      <c r="I702" s="82" t="n">
        <v>592.194</v>
      </c>
      <c r="J702" s="82" t="n">
        <v>169.248</v>
      </c>
      <c r="K702" s="82" t="n">
        <v>-3660000</v>
      </c>
      <c r="L702" s="83" t="n">
        <v>-0.07</v>
      </c>
      <c r="M702" s="82" t="n">
        <v>51.7819</v>
      </c>
      <c r="N702" s="82" t="n">
        <v>0</v>
      </c>
      <c r="O702" s="82" t="n">
        <v>3040.646</v>
      </c>
      <c r="P702" s="83" t="n">
        <v>0</v>
      </c>
      <c r="Q702" s="83" t="n">
        <v>174</v>
      </c>
      <c r="R702" s="47" t="n">
        <v>3</v>
      </c>
      <c r="S702" s="66" t="s">
        <v>1000</v>
      </c>
    </row>
    <row r="703" customFormat="false" ht="15" hidden="false" customHeight="false" outlineLevel="0" collapsed="false">
      <c r="A703" s="79" t="s">
        <v>243</v>
      </c>
      <c r="B703" s="79" t="s">
        <v>278</v>
      </c>
      <c r="C703" s="80" t="n">
        <v>2025</v>
      </c>
      <c r="D703" s="80" t="n">
        <v>3</v>
      </c>
      <c r="E703" s="81" t="n">
        <v>45930</v>
      </c>
      <c r="F703" s="79" t="s">
        <v>271</v>
      </c>
      <c r="G703" s="79" t="s">
        <v>272</v>
      </c>
      <c r="H703" s="79" t="s">
        <v>268</v>
      </c>
      <c r="I703" s="82" t="n">
        <v>576.924</v>
      </c>
      <c r="J703" s="82" t="n">
        <v>145.922</v>
      </c>
      <c r="K703" s="82" t="n">
        <v>30526000</v>
      </c>
      <c r="L703" s="83" t="n">
        <v>0.59</v>
      </c>
      <c r="M703" s="82" t="n">
        <v>51.7819</v>
      </c>
      <c r="N703" s="82" t="n">
        <v>0</v>
      </c>
      <c r="O703" s="82" t="n">
        <v>2987.306</v>
      </c>
      <c r="P703" s="83" t="n">
        <v>1</v>
      </c>
      <c r="Q703" s="83" t="n">
        <v>166</v>
      </c>
      <c r="R703" s="47" t="n">
        <v>4</v>
      </c>
      <c r="S703" s="66" t="s">
        <v>1001</v>
      </c>
    </row>
    <row r="704" customFormat="false" ht="15" hidden="false" customHeight="false" outlineLevel="0" collapsed="false">
      <c r="A704" s="79" t="s">
        <v>243</v>
      </c>
      <c r="B704" s="79" t="s">
        <v>280</v>
      </c>
      <c r="C704" s="80" t="n">
        <v>2025</v>
      </c>
      <c r="D704" s="80" t="n">
        <v>2</v>
      </c>
      <c r="E704" s="81" t="n">
        <v>45838</v>
      </c>
      <c r="F704" s="79" t="s">
        <v>271</v>
      </c>
      <c r="G704" s="79" t="s">
        <v>272</v>
      </c>
      <c r="H704" s="79" t="s">
        <v>268</v>
      </c>
      <c r="I704" s="82" t="n">
        <v>544.836</v>
      </c>
      <c r="J704" s="82" t="n">
        <v>139.968</v>
      </c>
      <c r="K704" s="82" t="n">
        <v>-14675000</v>
      </c>
      <c r="L704" s="83" t="n">
        <v>-0.28</v>
      </c>
      <c r="M704" s="82" t="n">
        <v>51.7819</v>
      </c>
      <c r="N704" s="82" t="n">
        <v>0</v>
      </c>
      <c r="O704" s="82" t="n">
        <v>2902.165</v>
      </c>
      <c r="P704" s="83" t="n">
        <v>0</v>
      </c>
      <c r="Q704" s="83" t="n">
        <v>121</v>
      </c>
      <c r="R704" s="47" t="n">
        <v>5</v>
      </c>
      <c r="S704" s="66" t="s">
        <v>1002</v>
      </c>
    </row>
    <row r="705" customFormat="false" ht="15" hidden="false" customHeight="false" outlineLevel="0" collapsed="false">
      <c r="A705" s="79" t="s">
        <v>243</v>
      </c>
      <c r="B705" s="79" t="s">
        <v>282</v>
      </c>
      <c r="C705" s="80" t="n">
        <v>2025</v>
      </c>
      <c r="D705" s="80" t="n">
        <v>1</v>
      </c>
      <c r="E705" s="81" t="n">
        <v>45747</v>
      </c>
      <c r="F705" s="79" t="s">
        <v>271</v>
      </c>
      <c r="G705" s="79" t="s">
        <v>272</v>
      </c>
      <c r="H705" s="79" t="s">
        <v>268</v>
      </c>
      <c r="I705" s="82" t="n">
        <v>464.693</v>
      </c>
      <c r="J705" s="82" t="n">
        <v>61.123</v>
      </c>
      <c r="K705" s="82" t="n">
        <v>-48865000</v>
      </c>
      <c r="L705" s="83" t="n">
        <v>-0.94</v>
      </c>
      <c r="M705" s="82" t="n">
        <v>51.7819</v>
      </c>
      <c r="N705" s="82" t="n">
        <v>0</v>
      </c>
      <c r="O705" s="82" t="n">
        <v>3132.569</v>
      </c>
      <c r="P705" s="83" t="n">
        <v>0</v>
      </c>
      <c r="Q705" s="83" t="n">
        <v>131</v>
      </c>
      <c r="R705" s="47" t="n">
        <v>6</v>
      </c>
      <c r="S705" s="66" t="s">
        <v>1003</v>
      </c>
    </row>
    <row r="706" customFormat="false" ht="15" hidden="false" customHeight="false" outlineLevel="0" collapsed="false">
      <c r="A706" s="79" t="s">
        <v>243</v>
      </c>
      <c r="B706" s="79" t="s">
        <v>284</v>
      </c>
      <c r="C706" s="80" t="n">
        <v>2024</v>
      </c>
      <c r="D706" s="80" t="n">
        <v>4</v>
      </c>
      <c r="E706" s="81" t="n">
        <v>45657</v>
      </c>
      <c r="F706" s="79" t="s">
        <v>271</v>
      </c>
      <c r="G706" s="79" t="s">
        <v>272</v>
      </c>
      <c r="H706" s="79" t="s">
        <v>268</v>
      </c>
      <c r="I706" s="82" t="n">
        <v>504.015</v>
      </c>
      <c r="J706" s="82" t="n">
        <v>114.279</v>
      </c>
      <c r="K706" s="82" t="n">
        <v>20224000</v>
      </c>
      <c r="L706" s="83" t="n">
        <v>0.4</v>
      </c>
      <c r="M706" s="82" t="n">
        <v>51.7812</v>
      </c>
      <c r="N706" s="82" t="n">
        <v>0</v>
      </c>
      <c r="O706" s="82" t="n">
        <v>3148.412</v>
      </c>
      <c r="P706" s="83" t="n">
        <v>0</v>
      </c>
      <c r="Q706" s="83" t="n">
        <v>158.5</v>
      </c>
      <c r="R706" s="47" t="n">
        <v>7</v>
      </c>
      <c r="S706" s="66" t="s">
        <v>1004</v>
      </c>
    </row>
    <row r="707" customFormat="false" ht="15" hidden="false" customHeight="false" outlineLevel="0" collapsed="false">
      <c r="A707" s="79" t="s">
        <v>243</v>
      </c>
      <c r="B707" s="79" t="s">
        <v>286</v>
      </c>
      <c r="C707" s="80" t="n">
        <v>2024</v>
      </c>
      <c r="D707" s="80" t="n">
        <v>3</v>
      </c>
      <c r="E707" s="81" t="n">
        <v>45565</v>
      </c>
      <c r="F707" s="79" t="s">
        <v>271</v>
      </c>
      <c r="G707" s="79" t="s">
        <v>272</v>
      </c>
      <c r="H707" s="79" t="s">
        <v>268</v>
      </c>
      <c r="I707" s="82" t="n">
        <v>518.512</v>
      </c>
      <c r="J707" s="82" t="n">
        <v>140.265</v>
      </c>
      <c r="K707" s="82" t="n">
        <v>13561000</v>
      </c>
      <c r="L707" s="83" t="n">
        <v>0.28</v>
      </c>
      <c r="M707" s="82" t="n">
        <v>46.7812</v>
      </c>
      <c r="N707" s="82" t="n">
        <v>0</v>
      </c>
      <c r="O707" s="82" t="n">
        <v>3125.318</v>
      </c>
      <c r="P707" s="83" t="n">
        <v>4.5</v>
      </c>
      <c r="Q707" s="83" t="n">
        <v>177</v>
      </c>
      <c r="R707" s="47" t="n">
        <v>8</v>
      </c>
      <c r="S707" s="66" t="s">
        <v>1005</v>
      </c>
    </row>
    <row r="708" customFormat="false" ht="15" hidden="false" customHeight="false" outlineLevel="0" collapsed="false">
      <c r="A708" s="79" t="s">
        <v>243</v>
      </c>
      <c r="B708" s="79" t="s">
        <v>288</v>
      </c>
      <c r="C708" s="80" t="n">
        <v>2024</v>
      </c>
      <c r="D708" s="80" t="n">
        <v>2</v>
      </c>
      <c r="E708" s="81" t="n">
        <v>45473</v>
      </c>
      <c r="F708" s="79" t="s">
        <v>271</v>
      </c>
      <c r="G708" s="79" t="s">
        <v>272</v>
      </c>
      <c r="H708" s="79" t="s">
        <v>268</v>
      </c>
      <c r="I708" s="82" t="n">
        <v>509.291</v>
      </c>
      <c r="J708" s="82" t="n">
        <v>160.312</v>
      </c>
      <c r="K708" s="82" t="n">
        <v>40741000</v>
      </c>
      <c r="L708" s="83" t="n">
        <v>0.87</v>
      </c>
      <c r="M708" s="82" t="n">
        <v>46.7812</v>
      </c>
      <c r="N708" s="82" t="n">
        <v>0</v>
      </c>
      <c r="O708" s="82" t="n">
        <v>2402.744</v>
      </c>
      <c r="P708" s="83" t="n">
        <v>0</v>
      </c>
      <c r="Q708" s="83" t="n">
        <v>145</v>
      </c>
      <c r="R708" s="47" t="n">
        <v>9</v>
      </c>
      <c r="S708" s="66" t="s">
        <v>1006</v>
      </c>
    </row>
    <row r="709" customFormat="false" ht="15" hidden="false" customHeight="false" outlineLevel="0" collapsed="false">
      <c r="A709" s="79" t="s">
        <v>243</v>
      </c>
      <c r="B709" s="79" t="s">
        <v>290</v>
      </c>
      <c r="C709" s="80" t="n">
        <v>2024</v>
      </c>
      <c r="D709" s="80" t="n">
        <v>1</v>
      </c>
      <c r="E709" s="81" t="n">
        <v>45382</v>
      </c>
      <c r="F709" s="79" t="s">
        <v>271</v>
      </c>
      <c r="G709" s="79" t="s">
        <v>272</v>
      </c>
      <c r="H709" s="79" t="s">
        <v>268</v>
      </c>
      <c r="I709" s="82" t="n">
        <v>434.851</v>
      </c>
      <c r="J709" s="82" t="n">
        <v>109.406</v>
      </c>
      <c r="K709" s="82" t="n">
        <v>-9563000</v>
      </c>
      <c r="L709" s="83" t="n">
        <v>-0.2</v>
      </c>
      <c r="M709" s="82" t="n">
        <v>46.7812</v>
      </c>
      <c r="N709" s="82" t="n">
        <v>0</v>
      </c>
      <c r="O709" s="82" t="n">
        <v>2568.002</v>
      </c>
      <c r="P709" s="83" t="n">
        <v>0</v>
      </c>
      <c r="Q709" s="83" t="n">
        <v>142.5</v>
      </c>
      <c r="R709" s="47" t="n">
        <v>10</v>
      </c>
      <c r="S709" s="66" t="s">
        <v>1007</v>
      </c>
    </row>
    <row r="710" customFormat="false" ht="15" hidden="false" customHeight="false" outlineLevel="0" collapsed="false">
      <c r="A710" s="79" t="s">
        <v>243</v>
      </c>
      <c r="B710" s="79" t="s">
        <v>292</v>
      </c>
      <c r="C710" s="80" t="n">
        <v>2023</v>
      </c>
      <c r="D710" s="80" t="n">
        <v>4</v>
      </c>
      <c r="E710" s="81" t="n">
        <v>45291</v>
      </c>
      <c r="F710" s="79" t="s">
        <v>271</v>
      </c>
      <c r="G710" s="79" t="s">
        <v>272</v>
      </c>
      <c r="H710" s="79" t="s">
        <v>268</v>
      </c>
      <c r="I710" s="82" t="n">
        <v>468.928</v>
      </c>
      <c r="J710" s="82" t="n">
        <v>169.229</v>
      </c>
      <c r="K710" s="82" t="n">
        <v>72036000</v>
      </c>
      <c r="L710" s="83" t="n">
        <v>1.54</v>
      </c>
      <c r="M710" s="82" t="n">
        <v>46.7812</v>
      </c>
      <c r="N710" s="82" t="n">
        <v>0</v>
      </c>
      <c r="O710" s="82" t="n">
        <v>2566.403</v>
      </c>
      <c r="P710" s="83" t="n">
        <v>0</v>
      </c>
      <c r="Q710" s="83" t="n">
        <v>141.5</v>
      </c>
      <c r="R710" s="47" t="n">
        <v>11</v>
      </c>
      <c r="S710" s="66" t="s">
        <v>1008</v>
      </c>
    </row>
    <row r="711" customFormat="false" ht="15" hidden="false" customHeight="false" outlineLevel="0" collapsed="false">
      <c r="A711" s="79" t="s">
        <v>243</v>
      </c>
      <c r="B711" s="79" t="s">
        <v>294</v>
      </c>
      <c r="C711" s="80" t="n">
        <v>2023</v>
      </c>
      <c r="D711" s="80" t="n">
        <v>3</v>
      </c>
      <c r="E711" s="81" t="n">
        <v>45199</v>
      </c>
      <c r="F711" s="79" t="s">
        <v>271</v>
      </c>
      <c r="G711" s="79" t="s">
        <v>272</v>
      </c>
      <c r="H711" s="79" t="s">
        <v>268</v>
      </c>
      <c r="I711" s="82" t="n">
        <v>499.993</v>
      </c>
      <c r="J711" s="82" t="n">
        <v>201.933</v>
      </c>
      <c r="K711" s="82" t="n">
        <v>72203000</v>
      </c>
      <c r="L711" s="83" t="n">
        <v>1.54</v>
      </c>
      <c r="M711" s="82" t="n">
        <v>46.7812</v>
      </c>
      <c r="N711" s="82" t="n">
        <v>0</v>
      </c>
      <c r="O711" s="82" t="n">
        <v>2506.983</v>
      </c>
      <c r="P711" s="83" t="n">
        <v>0</v>
      </c>
      <c r="Q711" s="83" t="n">
        <v>147</v>
      </c>
      <c r="R711" s="47" t="n">
        <v>12</v>
      </c>
      <c r="S711" s="66" t="s">
        <v>1009</v>
      </c>
    </row>
    <row r="712" customFormat="false" ht="15" hidden="false" customHeight="false" outlineLevel="0" collapsed="false">
      <c r="A712" s="79" t="s">
        <v>243</v>
      </c>
      <c r="B712" s="79" t="s">
        <v>296</v>
      </c>
      <c r="C712" s="80" t="n">
        <v>2023</v>
      </c>
      <c r="D712" s="80" t="n">
        <v>2</v>
      </c>
      <c r="E712" s="81" t="n">
        <v>45107</v>
      </c>
      <c r="F712" s="79" t="s">
        <v>271</v>
      </c>
      <c r="G712" s="79" t="s">
        <v>272</v>
      </c>
      <c r="H712" s="79" t="s">
        <v>268</v>
      </c>
      <c r="I712" s="82" t="n">
        <v>503.609</v>
      </c>
      <c r="J712" s="82" t="n">
        <v>194.711</v>
      </c>
      <c r="K712" s="82" t="n">
        <v>81160000</v>
      </c>
      <c r="L712" s="83" t="n">
        <v>1.73</v>
      </c>
      <c r="M712" s="82" t="n">
        <v>46.7812</v>
      </c>
      <c r="N712" s="82" t="n">
        <v>0</v>
      </c>
      <c r="O712" s="82" t="n">
        <v>2417.167</v>
      </c>
      <c r="P712" s="83" t="n">
        <v>5.5</v>
      </c>
      <c r="Q712" s="83" t="n">
        <v>171</v>
      </c>
      <c r="R712" s="47" t="n">
        <v>13</v>
      </c>
      <c r="S712" s="66" t="s">
        <v>1010</v>
      </c>
    </row>
    <row r="713" customFormat="false" ht="15" hidden="false" customHeight="false" outlineLevel="0" collapsed="false">
      <c r="A713" s="79" t="s">
        <v>243</v>
      </c>
      <c r="B713" s="79" t="s">
        <v>298</v>
      </c>
      <c r="C713" s="80" t="n">
        <v>2023</v>
      </c>
      <c r="D713" s="80" t="n">
        <v>1</v>
      </c>
      <c r="E713" s="81" t="n">
        <v>45016</v>
      </c>
      <c r="F713" s="79" t="s">
        <v>271</v>
      </c>
      <c r="G713" s="79" t="s">
        <v>272</v>
      </c>
      <c r="H713" s="79" t="s">
        <v>268</v>
      </c>
      <c r="I713" s="82" t="n">
        <v>408.045</v>
      </c>
      <c r="J713" s="82" t="n">
        <v>131.126</v>
      </c>
      <c r="K713" s="82" t="n">
        <v>35881000</v>
      </c>
      <c r="L713" s="83" t="n">
        <v>0.77</v>
      </c>
      <c r="M713" s="82" t="n">
        <v>46.7812</v>
      </c>
      <c r="N713" s="82" t="n">
        <v>0</v>
      </c>
      <c r="O713" s="82" t="n">
        <v>2612.369</v>
      </c>
      <c r="P713" s="83" t="n">
        <v>0</v>
      </c>
      <c r="Q713" s="83" t="n">
        <v>138.5</v>
      </c>
      <c r="R713" s="47" t="n">
        <v>14</v>
      </c>
      <c r="S713" s="66" t="s">
        <v>1011</v>
      </c>
    </row>
    <row r="714" customFormat="false" ht="15" hidden="false" customHeight="false" outlineLevel="0" collapsed="false">
      <c r="A714" s="79" t="s">
        <v>243</v>
      </c>
      <c r="B714" s="79" t="s">
        <v>300</v>
      </c>
      <c r="C714" s="80" t="n">
        <v>2022</v>
      </c>
      <c r="D714" s="80" t="n">
        <v>4</v>
      </c>
      <c r="E714" s="81" t="n">
        <v>44926</v>
      </c>
      <c r="F714" s="79" t="s">
        <v>271</v>
      </c>
      <c r="G714" s="79" t="s">
        <v>272</v>
      </c>
      <c r="H714" s="79" t="s">
        <v>268</v>
      </c>
      <c r="I714" s="82" t="n">
        <v>472.442</v>
      </c>
      <c r="J714" s="82" t="n">
        <v>210.837</v>
      </c>
      <c r="K714" s="82" t="n">
        <v>109089000</v>
      </c>
      <c r="L714" s="83" t="n">
        <v>2.4</v>
      </c>
      <c r="M714" s="82" t="n">
        <v>46.7812</v>
      </c>
      <c r="N714" s="82" t="n">
        <v>0</v>
      </c>
      <c r="O714" s="82" t="n">
        <v>2573.721</v>
      </c>
      <c r="P714" s="83" t="n">
        <v>0</v>
      </c>
      <c r="Q714" s="83" t="n">
        <v>97.1</v>
      </c>
      <c r="R714" s="47" t="n">
        <v>15</v>
      </c>
      <c r="S714" s="66" t="s">
        <v>1012</v>
      </c>
    </row>
    <row r="715" customFormat="false" ht="15" hidden="false" customHeight="false" outlineLevel="0" collapsed="false">
      <c r="A715" s="79" t="s">
        <v>243</v>
      </c>
      <c r="B715" s="79" t="s">
        <v>302</v>
      </c>
      <c r="C715" s="80" t="n">
        <v>2022</v>
      </c>
      <c r="D715" s="80" t="n">
        <v>3</v>
      </c>
      <c r="E715" s="81" t="n">
        <v>44834</v>
      </c>
      <c r="F715" s="79" t="s">
        <v>271</v>
      </c>
      <c r="G715" s="79" t="s">
        <v>272</v>
      </c>
      <c r="H715" s="79" t="s">
        <v>268</v>
      </c>
      <c r="I715" s="82" t="n">
        <v>458.492</v>
      </c>
      <c r="J715" s="82" t="n">
        <v>191.581</v>
      </c>
      <c r="K715" s="82" t="n">
        <v>78007000</v>
      </c>
      <c r="L715" s="83" t="n">
        <v>1.8</v>
      </c>
      <c r="M715" s="82" t="n">
        <v>46.7812</v>
      </c>
      <c r="N715" s="82" t="n">
        <v>0</v>
      </c>
      <c r="O715" s="82" t="n">
        <v>2472.169</v>
      </c>
      <c r="P715" s="83" t="n">
        <v>4.5</v>
      </c>
      <c r="Q715" s="83" t="n">
        <v>97</v>
      </c>
      <c r="R715" s="47" t="n">
        <v>16</v>
      </c>
      <c r="S715" s="66" t="s">
        <v>1013</v>
      </c>
    </row>
    <row r="716" customFormat="false" ht="15" hidden="false" customHeight="false" outlineLevel="0" collapsed="false">
      <c r="A716" s="79" t="s">
        <v>243</v>
      </c>
      <c r="B716" s="79" t="s">
        <v>304</v>
      </c>
      <c r="C716" s="80" t="n">
        <v>2022</v>
      </c>
      <c r="D716" s="80" t="n">
        <v>2</v>
      </c>
      <c r="E716" s="81" t="n">
        <v>44742</v>
      </c>
      <c r="F716" s="79" t="s">
        <v>271</v>
      </c>
      <c r="G716" s="79" t="s">
        <v>272</v>
      </c>
      <c r="H716" s="79" t="s">
        <v>268</v>
      </c>
      <c r="I716" s="82" t="n">
        <v>420.05</v>
      </c>
      <c r="J716" s="82" t="n">
        <v>160.187</v>
      </c>
      <c r="K716" s="82" t="n">
        <v>57921000</v>
      </c>
      <c r="L716" s="83" t="n">
        <v>1.4</v>
      </c>
      <c r="M716" s="82" t="n">
        <v>41.2772</v>
      </c>
      <c r="N716" s="82" t="n">
        <v>0</v>
      </c>
      <c r="O716" s="82" t="n">
        <v>1803.718</v>
      </c>
      <c r="P716" s="83" t="n">
        <v>0</v>
      </c>
      <c r="Q716" s="83" t="n">
        <v>137</v>
      </c>
      <c r="R716" s="47" t="n">
        <v>17</v>
      </c>
      <c r="S716" s="66" t="s">
        <v>1014</v>
      </c>
    </row>
    <row r="717" customFormat="false" ht="15" hidden="false" customHeight="false" outlineLevel="0" collapsed="false">
      <c r="A717" s="79" t="s">
        <v>243</v>
      </c>
      <c r="B717" s="79" t="s">
        <v>306</v>
      </c>
      <c r="C717" s="80" t="n">
        <v>2022</v>
      </c>
      <c r="D717" s="80" t="n">
        <v>1</v>
      </c>
      <c r="E717" s="81" t="n">
        <v>44651</v>
      </c>
      <c r="F717" s="79" t="s">
        <v>271</v>
      </c>
      <c r="G717" s="79" t="s">
        <v>272</v>
      </c>
      <c r="H717" s="79" t="s">
        <v>268</v>
      </c>
      <c r="I717" s="82" t="n">
        <v>375.443</v>
      </c>
      <c r="J717" s="82" t="n">
        <v>132.322</v>
      </c>
      <c r="K717" s="82" t="n">
        <v>42981000</v>
      </c>
      <c r="L717" s="83" t="n">
        <v>1.04</v>
      </c>
      <c r="M717" s="82" t="n">
        <v>41.2772</v>
      </c>
      <c r="N717" s="82" t="n">
        <v>0</v>
      </c>
      <c r="O717" s="82" t="n">
        <v>1937.548</v>
      </c>
      <c r="P717" s="83" t="n">
        <v>0</v>
      </c>
      <c r="Q717" s="83" t="n">
        <v>177.5</v>
      </c>
      <c r="R717" s="47" t="n">
        <v>18</v>
      </c>
      <c r="S717" s="66" t="s">
        <v>1015</v>
      </c>
    </row>
    <row r="718" customFormat="false" ht="15" hidden="false" customHeight="false" outlineLevel="0" collapsed="false">
      <c r="A718" s="79" t="s">
        <v>243</v>
      </c>
      <c r="B718" s="79" t="s">
        <v>308</v>
      </c>
      <c r="C718" s="80" t="n">
        <v>2021</v>
      </c>
      <c r="D718" s="80" t="n">
        <v>4</v>
      </c>
      <c r="E718" s="81" t="n">
        <v>44561</v>
      </c>
      <c r="F718" s="79" t="s">
        <v>271</v>
      </c>
      <c r="G718" s="79" t="s">
        <v>272</v>
      </c>
      <c r="H718" s="79" t="s">
        <v>268</v>
      </c>
      <c r="I718" s="82" t="n">
        <v>805.258</v>
      </c>
      <c r="J718" s="82" t="n">
        <v>319.353</v>
      </c>
      <c r="K718" s="82" t="n">
        <v>169630000</v>
      </c>
      <c r="L718" s="83" t="n">
        <v>4.14</v>
      </c>
      <c r="M718" s="82" t="n">
        <v>41.2772</v>
      </c>
      <c r="N718" s="82" t="n">
        <v>0</v>
      </c>
      <c r="O718" s="82" t="n">
        <v>1879.726</v>
      </c>
      <c r="P718" s="83" t="n">
        <v>2.5</v>
      </c>
      <c r="Q718" s="83" t="n">
        <v>166</v>
      </c>
      <c r="R718" s="47" t="n">
        <v>19</v>
      </c>
      <c r="S718" s="66" t="s">
        <v>1016</v>
      </c>
    </row>
    <row r="719" customFormat="false" ht="15" hidden="false" customHeight="false" outlineLevel="0" collapsed="false">
      <c r="A719" s="79" t="s">
        <v>228</v>
      </c>
      <c r="B719" s="79" t="s">
        <v>265</v>
      </c>
      <c r="C719" s="80" t="n">
        <v>2026</v>
      </c>
      <c r="D719" s="80" t="n">
        <v>3</v>
      </c>
      <c r="E719" s="81" t="n">
        <v>46295</v>
      </c>
      <c r="F719" s="79" t="s">
        <v>266</v>
      </c>
      <c r="G719" s="79" t="s">
        <v>267</v>
      </c>
      <c r="H719" s="79" t="s">
        <v>268</v>
      </c>
      <c r="I719" s="82"/>
      <c r="J719" s="82"/>
      <c r="K719" s="82"/>
      <c r="L719" s="83" t="n">
        <v>119.73446</v>
      </c>
      <c r="M719" s="82"/>
      <c r="N719" s="82"/>
      <c r="O719" s="82"/>
      <c r="P719" s="83"/>
      <c r="Q719" s="83"/>
      <c r="R719" s="47" t="n">
        <v>0</v>
      </c>
      <c r="S719" s="66" t="s">
        <v>1017</v>
      </c>
    </row>
    <row r="720" customFormat="false" ht="15" hidden="false" customHeight="false" outlineLevel="0" collapsed="false">
      <c r="A720" s="79" t="s">
        <v>228</v>
      </c>
      <c r="B720" s="79" t="s">
        <v>270</v>
      </c>
      <c r="C720" s="80" t="n">
        <v>2026</v>
      </c>
      <c r="D720" s="80" t="n">
        <v>2</v>
      </c>
      <c r="E720" s="81" t="n">
        <v>46203</v>
      </c>
      <c r="F720" s="79" t="s">
        <v>271</v>
      </c>
      <c r="G720" s="79" t="s">
        <v>272</v>
      </c>
      <c r="H720" s="79" t="s">
        <v>268</v>
      </c>
      <c r="I720" s="82" t="n">
        <v>67888.256</v>
      </c>
      <c r="J720" s="82" t="n">
        <v>44364.904</v>
      </c>
      <c r="K720" s="82" t="n">
        <v>26217208000</v>
      </c>
      <c r="L720" s="83" t="n">
        <v>118.57</v>
      </c>
      <c r="M720" s="82" t="n">
        <v>221.0857</v>
      </c>
      <c r="N720" s="82" t="n">
        <v>0</v>
      </c>
      <c r="O720" s="82" t="n">
        <v>102058.81</v>
      </c>
      <c r="P720" s="83" t="n">
        <v>16.96425749</v>
      </c>
      <c r="Q720" s="83" t="n">
        <v>2385</v>
      </c>
      <c r="R720" s="47" t="n">
        <v>1</v>
      </c>
      <c r="S720" s="66" t="s">
        <v>1018</v>
      </c>
    </row>
    <row r="721" customFormat="false" ht="15" hidden="false" customHeight="false" outlineLevel="0" collapsed="false">
      <c r="A721" s="79" t="s">
        <v>228</v>
      </c>
      <c r="B721" s="79" t="s">
        <v>274</v>
      </c>
      <c r="C721" s="80" t="n">
        <v>2026</v>
      </c>
      <c r="D721" s="80" t="n">
        <v>1</v>
      </c>
      <c r="E721" s="81" t="n">
        <v>46112</v>
      </c>
      <c r="F721" s="79" t="s">
        <v>271</v>
      </c>
      <c r="G721" s="79" t="s">
        <v>272</v>
      </c>
      <c r="H721" s="79" t="s">
        <v>268</v>
      </c>
      <c r="I721" s="82" t="n">
        <v>40966.953</v>
      </c>
      <c r="J721" s="82" t="n">
        <v>25324.651</v>
      </c>
      <c r="K721" s="82" t="n">
        <v>15174020000</v>
      </c>
      <c r="L721" s="83" t="n">
        <v>68.8</v>
      </c>
      <c r="M721" s="82" t="n">
        <v>217.8343</v>
      </c>
      <c r="N721" s="82" t="n">
        <v>0</v>
      </c>
      <c r="O721" s="82" t="n">
        <v>74118.255</v>
      </c>
      <c r="P721" s="83" t="n">
        <v>0</v>
      </c>
      <c r="Q721" s="83" t="n">
        <v>1500</v>
      </c>
      <c r="R721" s="47" t="n">
        <v>2</v>
      </c>
      <c r="S721" s="66" t="s">
        <v>1019</v>
      </c>
    </row>
    <row r="722" customFormat="false" ht="15" hidden="false" customHeight="false" outlineLevel="0" collapsed="false">
      <c r="A722" s="79" t="s">
        <v>228</v>
      </c>
      <c r="B722" s="79" t="s">
        <v>276</v>
      </c>
      <c r="C722" s="80" t="n">
        <v>2025</v>
      </c>
      <c r="D722" s="80" t="n">
        <v>4</v>
      </c>
      <c r="E722" s="81" t="n">
        <v>46022</v>
      </c>
      <c r="F722" s="79" t="s">
        <v>271</v>
      </c>
      <c r="G722" s="79" t="s">
        <v>272</v>
      </c>
      <c r="H722" s="79" t="s">
        <v>268</v>
      </c>
      <c r="I722" s="82" t="n">
        <v>22798.658</v>
      </c>
      <c r="J722" s="82" t="n">
        <v>9547.31</v>
      </c>
      <c r="K722" s="82" t="n">
        <v>4628548000</v>
      </c>
      <c r="L722" s="83" t="n">
        <v>22.08</v>
      </c>
      <c r="M722" s="82" t="n">
        <v>207.9733</v>
      </c>
      <c r="N722" s="82" t="n">
        <v>0</v>
      </c>
      <c r="O722" s="82" t="n">
        <v>60097.121</v>
      </c>
      <c r="P722" s="83" t="n">
        <v>6.2283164</v>
      </c>
      <c r="Q722" s="83" t="n">
        <v>1450</v>
      </c>
      <c r="R722" s="47" t="n">
        <v>3</v>
      </c>
      <c r="S722" s="66" t="s">
        <v>1020</v>
      </c>
    </row>
    <row r="723" customFormat="false" ht="15" hidden="false" customHeight="false" outlineLevel="0" collapsed="false">
      <c r="A723" s="79" t="s">
        <v>228</v>
      </c>
      <c r="B723" s="79" t="s">
        <v>278</v>
      </c>
      <c r="C723" s="80" t="n">
        <v>2025</v>
      </c>
      <c r="D723" s="80" t="n">
        <v>3</v>
      </c>
      <c r="E723" s="81" t="n">
        <v>45930</v>
      </c>
      <c r="F723" s="79" t="s">
        <v>271</v>
      </c>
      <c r="G723" s="79" t="s">
        <v>272</v>
      </c>
      <c r="H723" s="79" t="s">
        <v>268</v>
      </c>
      <c r="I723" s="82" t="n">
        <v>18136.797</v>
      </c>
      <c r="J723" s="82" t="n">
        <v>5914.005</v>
      </c>
      <c r="K723" s="82" t="n">
        <v>2225486000</v>
      </c>
      <c r="L723" s="83" t="n">
        <v>10.75</v>
      </c>
      <c r="M723" s="82" t="n">
        <v>206.6278</v>
      </c>
      <c r="N723" s="82" t="n">
        <v>0</v>
      </c>
      <c r="O723" s="82" t="n">
        <v>50069.133</v>
      </c>
      <c r="P723" s="83" t="n">
        <v>11.95899874</v>
      </c>
      <c r="Q723" s="83" t="n">
        <v>706</v>
      </c>
      <c r="R723" s="47" t="n">
        <v>4</v>
      </c>
      <c r="S723" s="66" t="s">
        <v>1021</v>
      </c>
    </row>
    <row r="724" customFormat="false" ht="15" hidden="false" customHeight="false" outlineLevel="0" collapsed="false">
      <c r="A724" s="79" t="s">
        <v>228</v>
      </c>
      <c r="B724" s="79" t="s">
        <v>280</v>
      </c>
      <c r="C724" s="80" t="n">
        <v>2025</v>
      </c>
      <c r="D724" s="80" t="n">
        <v>2</v>
      </c>
      <c r="E724" s="81" t="n">
        <v>45838</v>
      </c>
      <c r="F724" s="79" t="s">
        <v>271</v>
      </c>
      <c r="G724" s="79" t="s">
        <v>272</v>
      </c>
      <c r="H724" s="79" t="s">
        <v>268</v>
      </c>
      <c r="I724" s="82" t="n">
        <v>17890.071</v>
      </c>
      <c r="J724" s="82" t="n">
        <v>5224.402</v>
      </c>
      <c r="K724" s="82" t="n">
        <v>744576000</v>
      </c>
      <c r="L724" s="83" t="n">
        <v>3.6</v>
      </c>
      <c r="M724" s="82" t="n">
        <v>206.5528</v>
      </c>
      <c r="N724" s="82" t="n">
        <v>0</v>
      </c>
      <c r="O724" s="82" t="n">
        <v>48521.837</v>
      </c>
      <c r="P724" s="83" t="n">
        <v>0</v>
      </c>
      <c r="Q724" s="83" t="n">
        <v>503</v>
      </c>
      <c r="R724" s="47" t="n">
        <v>5</v>
      </c>
      <c r="S724" s="66" t="s">
        <v>1022</v>
      </c>
    </row>
    <row r="725" customFormat="false" ht="15" hidden="false" customHeight="false" outlineLevel="0" collapsed="false">
      <c r="A725" s="79" t="s">
        <v>228</v>
      </c>
      <c r="B725" s="79" t="s">
        <v>282</v>
      </c>
      <c r="C725" s="80" t="n">
        <v>2025</v>
      </c>
      <c r="D725" s="80" t="n">
        <v>1</v>
      </c>
      <c r="E725" s="81" t="n">
        <v>45747</v>
      </c>
      <c r="F725" s="79" t="s">
        <v>271</v>
      </c>
      <c r="G725" s="79" t="s">
        <v>272</v>
      </c>
      <c r="H725" s="79" t="s">
        <v>268</v>
      </c>
      <c r="I725" s="82" t="n">
        <v>13838.565</v>
      </c>
      <c r="J725" s="82" t="n">
        <v>4312.936</v>
      </c>
      <c r="K725" s="82" t="n">
        <v>1140568000</v>
      </c>
      <c r="L725" s="83" t="n">
        <v>5.53</v>
      </c>
      <c r="M725" s="82" t="n">
        <v>205.8178</v>
      </c>
      <c r="N725" s="82" t="n">
        <v>0</v>
      </c>
      <c r="O725" s="82" t="n">
        <v>48217.191</v>
      </c>
      <c r="P725" s="83" t="n">
        <v>13.12356282</v>
      </c>
      <c r="Q725" s="83" t="n">
        <v>526</v>
      </c>
      <c r="R725" s="47" t="n">
        <v>6</v>
      </c>
      <c r="S725" s="66" t="s">
        <v>1023</v>
      </c>
    </row>
    <row r="726" customFormat="false" ht="15" hidden="false" customHeight="false" outlineLevel="0" collapsed="false">
      <c r="A726" s="79" t="s">
        <v>228</v>
      </c>
      <c r="B726" s="79" t="s">
        <v>284</v>
      </c>
      <c r="C726" s="80" t="n">
        <v>2024</v>
      </c>
      <c r="D726" s="80" t="n">
        <v>4</v>
      </c>
      <c r="E726" s="81" t="n">
        <v>45657</v>
      </c>
      <c r="F726" s="79" t="s">
        <v>271</v>
      </c>
      <c r="G726" s="79" t="s">
        <v>272</v>
      </c>
      <c r="H726" s="79" t="s">
        <v>268</v>
      </c>
      <c r="I726" s="82" t="n">
        <v>12572.309</v>
      </c>
      <c r="J726" s="82" t="n">
        <v>3813.642</v>
      </c>
      <c r="K726" s="82" t="n">
        <v>2391195000</v>
      </c>
      <c r="L726" s="83" t="n">
        <v>11.64</v>
      </c>
      <c r="M726" s="82" t="n">
        <v>205.3341</v>
      </c>
      <c r="N726" s="82" t="n">
        <v>0</v>
      </c>
      <c r="O726" s="82" t="n">
        <v>49056.697</v>
      </c>
      <c r="P726" s="83" t="n">
        <v>0</v>
      </c>
      <c r="Q726" s="83" t="n">
        <v>534</v>
      </c>
      <c r="R726" s="47" t="n">
        <v>7</v>
      </c>
      <c r="S726" s="66" t="s">
        <v>1024</v>
      </c>
    </row>
    <row r="727" customFormat="false" ht="15" hidden="false" customHeight="false" outlineLevel="0" collapsed="false">
      <c r="A727" s="79" t="s">
        <v>228</v>
      </c>
      <c r="B727" s="79" t="s">
        <v>286</v>
      </c>
      <c r="C727" s="80" t="n">
        <v>2024</v>
      </c>
      <c r="D727" s="80" t="n">
        <v>3</v>
      </c>
      <c r="E727" s="81" t="n">
        <v>45565</v>
      </c>
      <c r="F727" s="79" t="s">
        <v>271</v>
      </c>
      <c r="G727" s="79" t="s">
        <v>272</v>
      </c>
      <c r="H727" s="79" t="s">
        <v>268</v>
      </c>
      <c r="I727" s="82" t="n">
        <v>13942.559</v>
      </c>
      <c r="J727" s="82" t="n">
        <v>4082.04</v>
      </c>
      <c r="K727" s="82" t="n">
        <v>691424000</v>
      </c>
      <c r="L727" s="83" t="n">
        <v>3.37</v>
      </c>
      <c r="M727" s="82" t="n">
        <v>204.7811</v>
      </c>
      <c r="N727" s="82" t="n">
        <v>0</v>
      </c>
      <c r="O727" s="82" t="n">
        <v>47315.527</v>
      </c>
      <c r="P727" s="83" t="n">
        <v>8.65930424</v>
      </c>
      <c r="Q727" s="83" t="n">
        <v>494</v>
      </c>
      <c r="R727" s="47" t="n">
        <v>8</v>
      </c>
      <c r="S727" s="66" t="s">
        <v>1025</v>
      </c>
    </row>
    <row r="728" customFormat="false" ht="15" hidden="false" customHeight="false" outlineLevel="0" collapsed="false">
      <c r="A728" s="79" t="s">
        <v>228</v>
      </c>
      <c r="B728" s="79" t="s">
        <v>288</v>
      </c>
      <c r="C728" s="80" t="n">
        <v>2024</v>
      </c>
      <c r="D728" s="80" t="n">
        <v>2</v>
      </c>
      <c r="E728" s="81" t="n">
        <v>45473</v>
      </c>
      <c r="F728" s="79" t="s">
        <v>271</v>
      </c>
      <c r="G728" s="79" t="s">
        <v>272</v>
      </c>
      <c r="H728" s="79" t="s">
        <v>268</v>
      </c>
      <c r="I728" s="82" t="n">
        <v>15894.768</v>
      </c>
      <c r="J728" s="82" t="n">
        <v>5604.201</v>
      </c>
      <c r="K728" s="82" t="n">
        <v>2450969000</v>
      </c>
      <c r="L728" s="83" t="n">
        <v>11.97</v>
      </c>
      <c r="M728" s="82" t="n">
        <v>204.7798</v>
      </c>
      <c r="N728" s="82" t="n">
        <v>0</v>
      </c>
      <c r="O728" s="82" t="n">
        <v>49094.506</v>
      </c>
      <c r="P728" s="83" t="n">
        <v>0</v>
      </c>
      <c r="Q728" s="83" t="n">
        <v>617</v>
      </c>
      <c r="R728" s="47" t="n">
        <v>9</v>
      </c>
      <c r="S728" s="66" t="s">
        <v>1026</v>
      </c>
    </row>
    <row r="729" customFormat="false" ht="15" hidden="false" customHeight="false" outlineLevel="0" collapsed="false">
      <c r="A729" s="79" t="s">
        <v>228</v>
      </c>
      <c r="B729" s="79" t="s">
        <v>290</v>
      </c>
      <c r="C729" s="80" t="n">
        <v>2024</v>
      </c>
      <c r="D729" s="80" t="n">
        <v>1</v>
      </c>
      <c r="E729" s="81" t="n">
        <v>45382</v>
      </c>
      <c r="F729" s="79" t="s">
        <v>271</v>
      </c>
      <c r="G729" s="79" t="s">
        <v>272</v>
      </c>
      <c r="H729" s="79" t="s">
        <v>268</v>
      </c>
      <c r="I729" s="82" t="n">
        <v>16525.877</v>
      </c>
      <c r="J729" s="82" t="n">
        <v>5607.875</v>
      </c>
      <c r="K729" s="82" t="n">
        <v>2419618000</v>
      </c>
      <c r="L729" s="83" t="n">
        <v>12.02</v>
      </c>
      <c r="M729" s="82" t="n">
        <v>204.769</v>
      </c>
      <c r="N729" s="82" t="n">
        <v>0</v>
      </c>
      <c r="O729" s="82" t="n">
        <v>46537.677</v>
      </c>
      <c r="P729" s="83" t="n">
        <v>0</v>
      </c>
      <c r="Q729" s="83" t="n">
        <v>708</v>
      </c>
      <c r="R729" s="47" t="n">
        <v>10</v>
      </c>
      <c r="S729" s="66" t="s">
        <v>1027</v>
      </c>
    </row>
    <row r="730" customFormat="false" ht="15" hidden="false" customHeight="false" outlineLevel="0" collapsed="false">
      <c r="A730" s="79" t="s">
        <v>228</v>
      </c>
      <c r="B730" s="79" t="s">
        <v>292</v>
      </c>
      <c r="C730" s="80" t="n">
        <v>2023</v>
      </c>
      <c r="D730" s="80" t="n">
        <v>4</v>
      </c>
      <c r="E730" s="81" t="n">
        <v>45291</v>
      </c>
      <c r="F730" s="79" t="s">
        <v>271</v>
      </c>
      <c r="G730" s="79" t="s">
        <v>272</v>
      </c>
      <c r="H730" s="79" t="s">
        <v>268</v>
      </c>
      <c r="I730" s="82" t="n">
        <v>15748</v>
      </c>
      <c r="J730" s="82" t="n">
        <v>5689.141</v>
      </c>
      <c r="K730" s="82" t="n">
        <v>2083624000</v>
      </c>
      <c r="L730" s="83" t="n">
        <v>10.57</v>
      </c>
      <c r="M730" s="82" t="n">
        <v>204.469</v>
      </c>
      <c r="N730" s="82" t="n">
        <v>4184500</v>
      </c>
      <c r="O730" s="82" t="n">
        <v>42788.153</v>
      </c>
      <c r="P730" s="83" t="n">
        <v>4.42484464</v>
      </c>
      <c r="Q730" s="83" t="n">
        <v>520</v>
      </c>
      <c r="R730" s="47" t="n">
        <v>11</v>
      </c>
      <c r="S730" s="66" t="s">
        <v>1028</v>
      </c>
    </row>
    <row r="731" customFormat="false" ht="15" hidden="false" customHeight="false" outlineLevel="0" collapsed="false">
      <c r="A731" s="79" t="s">
        <v>228</v>
      </c>
      <c r="B731" s="79" t="s">
        <v>294</v>
      </c>
      <c r="C731" s="80" t="n">
        <v>2023</v>
      </c>
      <c r="D731" s="80" t="n">
        <v>3</v>
      </c>
      <c r="E731" s="81" t="n">
        <v>45199</v>
      </c>
      <c r="F731" s="79" t="s">
        <v>271</v>
      </c>
      <c r="G731" s="79" t="s">
        <v>272</v>
      </c>
      <c r="H731" s="79" t="s">
        <v>268</v>
      </c>
      <c r="I731" s="82" t="n">
        <v>12388.565</v>
      </c>
      <c r="J731" s="82" t="n">
        <v>4014.364</v>
      </c>
      <c r="K731" s="82" t="n">
        <v>858013000</v>
      </c>
      <c r="L731" s="83" t="n">
        <v>4.32</v>
      </c>
      <c r="M731" s="82" t="n">
        <v>201.4185</v>
      </c>
      <c r="N731" s="82" t="n">
        <v>4184500</v>
      </c>
      <c r="O731" s="82" t="n">
        <v>40761.054</v>
      </c>
      <c r="P731" s="83" t="n">
        <v>4.45090808</v>
      </c>
      <c r="Q731" s="83" t="n">
        <v>456</v>
      </c>
      <c r="R731" s="47" t="n">
        <v>12</v>
      </c>
      <c r="S731" s="66" t="s">
        <v>1029</v>
      </c>
    </row>
    <row r="732" customFormat="false" ht="15" hidden="false" customHeight="false" outlineLevel="0" collapsed="false">
      <c r="A732" s="79" t="s">
        <v>228</v>
      </c>
      <c r="B732" s="79" t="s">
        <v>296</v>
      </c>
      <c r="C732" s="80" t="n">
        <v>2023</v>
      </c>
      <c r="D732" s="80" t="n">
        <v>2</v>
      </c>
      <c r="E732" s="81" t="n">
        <v>45107</v>
      </c>
      <c r="F732" s="79" t="s">
        <v>271</v>
      </c>
      <c r="G732" s="79" t="s">
        <v>272</v>
      </c>
      <c r="H732" s="79" t="s">
        <v>268</v>
      </c>
      <c r="I732" s="82" t="n">
        <v>10006.644</v>
      </c>
      <c r="J732" s="82" t="n">
        <v>3247.823</v>
      </c>
      <c r="K732" s="82" t="n">
        <v>440688000</v>
      </c>
      <c r="L732" s="83" t="n">
        <v>2.28</v>
      </c>
      <c r="M732" s="82" t="n">
        <v>199.6095</v>
      </c>
      <c r="N732" s="82" t="n">
        <v>6860000</v>
      </c>
      <c r="O732" s="82" t="n">
        <v>38588.071</v>
      </c>
      <c r="P732" s="83" t="n">
        <v>0</v>
      </c>
      <c r="Q732" s="83" t="n">
        <v>411.5</v>
      </c>
      <c r="R732" s="47" t="n">
        <v>13</v>
      </c>
      <c r="S732" s="66" t="s">
        <v>1030</v>
      </c>
    </row>
    <row r="733" customFormat="false" ht="15" hidden="false" customHeight="false" outlineLevel="0" collapsed="false">
      <c r="A733" s="79" t="s">
        <v>228</v>
      </c>
      <c r="B733" s="79" t="s">
        <v>298</v>
      </c>
      <c r="C733" s="80" t="n">
        <v>2023</v>
      </c>
      <c r="D733" s="80" t="n">
        <v>1</v>
      </c>
      <c r="E733" s="81" t="n">
        <v>45016</v>
      </c>
      <c r="F733" s="79" t="s">
        <v>271</v>
      </c>
      <c r="G733" s="79" t="s">
        <v>272</v>
      </c>
      <c r="H733" s="79" t="s">
        <v>268</v>
      </c>
      <c r="I733" s="82" t="n">
        <v>10078.421</v>
      </c>
      <c r="J733" s="82" t="n">
        <v>3213.11</v>
      </c>
      <c r="K733" s="82" t="n">
        <v>242103000</v>
      </c>
      <c r="L733" s="83" t="n">
        <v>1.26</v>
      </c>
      <c r="M733" s="82" t="n">
        <v>198.6585</v>
      </c>
      <c r="N733" s="82" t="n">
        <v>6860000</v>
      </c>
      <c r="O733" s="82" t="n">
        <v>37401.417</v>
      </c>
      <c r="P733" s="83" t="n">
        <v>0</v>
      </c>
      <c r="Q733" s="83" t="n">
        <v>392</v>
      </c>
      <c r="R733" s="47" t="n">
        <v>14</v>
      </c>
      <c r="S733" s="66" t="s">
        <v>1031</v>
      </c>
    </row>
    <row r="734" customFormat="false" ht="15" hidden="false" customHeight="false" outlineLevel="0" collapsed="false">
      <c r="A734" s="79" t="s">
        <v>228</v>
      </c>
      <c r="B734" s="79" t="s">
        <v>300</v>
      </c>
      <c r="C734" s="80" t="n">
        <v>2022</v>
      </c>
      <c r="D734" s="80" t="n">
        <v>4</v>
      </c>
      <c r="E734" s="81" t="n">
        <v>44926</v>
      </c>
      <c r="F734" s="79" t="s">
        <v>271</v>
      </c>
      <c r="G734" s="79" t="s">
        <v>272</v>
      </c>
      <c r="H734" s="79" t="s">
        <v>268</v>
      </c>
      <c r="I734" s="82" t="n">
        <v>12290.26</v>
      </c>
      <c r="J734" s="82" t="n">
        <v>3419.397</v>
      </c>
      <c r="K734" s="82" t="n">
        <v>217217000</v>
      </c>
      <c r="L734" s="83" t="n">
        <v>1.29</v>
      </c>
      <c r="M734" s="82" t="n">
        <v>197.074</v>
      </c>
      <c r="N734" s="82" t="n">
        <v>6860000</v>
      </c>
      <c r="O734" s="82" t="n">
        <v>37631.822</v>
      </c>
      <c r="P734" s="83" t="n">
        <v>10.27746561</v>
      </c>
      <c r="Q734" s="83" t="n">
        <v>315</v>
      </c>
      <c r="R734" s="47" t="n">
        <v>15</v>
      </c>
      <c r="S734" s="66" t="s">
        <v>1032</v>
      </c>
    </row>
    <row r="735" customFormat="false" ht="15" hidden="false" customHeight="false" outlineLevel="0" collapsed="false">
      <c r="A735" s="79" t="s">
        <v>228</v>
      </c>
      <c r="B735" s="79" t="s">
        <v>302</v>
      </c>
      <c r="C735" s="80" t="n">
        <v>2022</v>
      </c>
      <c r="D735" s="80" t="n">
        <v>3</v>
      </c>
      <c r="E735" s="81" t="n">
        <v>44834</v>
      </c>
      <c r="F735" s="79" t="s">
        <v>271</v>
      </c>
      <c r="G735" s="79" t="s">
        <v>272</v>
      </c>
      <c r="H735" s="79" t="s">
        <v>268</v>
      </c>
      <c r="I735" s="82" t="n">
        <v>14574.608</v>
      </c>
      <c r="J735" s="82" t="n">
        <v>3532.661</v>
      </c>
      <c r="K735" s="82" t="n">
        <v>1192014000</v>
      </c>
      <c r="L735" s="83" t="n">
        <v>6.13</v>
      </c>
      <c r="M735" s="82" t="n">
        <v>197.074</v>
      </c>
      <c r="N735" s="82" t="n">
        <v>6860000</v>
      </c>
      <c r="O735" s="82" t="n">
        <v>36678.52</v>
      </c>
      <c r="P735" s="83" t="n">
        <v>0</v>
      </c>
      <c r="Q735" s="83" t="n">
        <v>265.5</v>
      </c>
      <c r="R735" s="47" t="n">
        <v>16</v>
      </c>
      <c r="S735" s="66" t="s">
        <v>1033</v>
      </c>
    </row>
    <row r="736" customFormat="false" ht="15" hidden="false" customHeight="false" outlineLevel="0" collapsed="false">
      <c r="A736" s="79" t="s">
        <v>228</v>
      </c>
      <c r="B736" s="79" t="s">
        <v>304</v>
      </c>
      <c r="C736" s="80" t="n">
        <v>2022</v>
      </c>
      <c r="D736" s="80" t="n">
        <v>2</v>
      </c>
      <c r="E736" s="81" t="n">
        <v>44742</v>
      </c>
      <c r="F736" s="79" t="s">
        <v>271</v>
      </c>
      <c r="G736" s="79" t="s">
        <v>272</v>
      </c>
      <c r="H736" s="79" t="s">
        <v>268</v>
      </c>
      <c r="I736" s="82" t="n">
        <v>16285.415</v>
      </c>
      <c r="J736" s="82" t="n">
        <v>4991.058</v>
      </c>
      <c r="K736" s="82" t="n">
        <v>1806854000</v>
      </c>
      <c r="L736" s="83" t="n">
        <v>9.17</v>
      </c>
      <c r="M736" s="82" t="n">
        <v>197.074</v>
      </c>
      <c r="N736" s="82" t="n">
        <v>0</v>
      </c>
      <c r="O736" s="82" t="n">
        <v>38987.722</v>
      </c>
      <c r="P736" s="83" t="n">
        <v>13</v>
      </c>
      <c r="Q736" s="83" t="n">
        <v>271</v>
      </c>
      <c r="R736" s="47" t="n">
        <v>17</v>
      </c>
      <c r="S736" s="66" t="s">
        <v>1034</v>
      </c>
    </row>
    <row r="737" customFormat="false" ht="15" hidden="false" customHeight="false" outlineLevel="0" collapsed="false">
      <c r="A737" s="79" t="s">
        <v>228</v>
      </c>
      <c r="B737" s="79" t="s">
        <v>306</v>
      </c>
      <c r="C737" s="80" t="n">
        <v>2022</v>
      </c>
      <c r="D737" s="80" t="n">
        <v>1</v>
      </c>
      <c r="E737" s="81" t="n">
        <v>44651</v>
      </c>
      <c r="F737" s="79" t="s">
        <v>271</v>
      </c>
      <c r="G737" s="79" t="s">
        <v>272</v>
      </c>
      <c r="H737" s="79" t="s">
        <v>268</v>
      </c>
      <c r="I737" s="82" t="n">
        <v>17105.859</v>
      </c>
      <c r="J737" s="82" t="n">
        <v>5389.499</v>
      </c>
      <c r="K737" s="82" t="n">
        <v>2185061000</v>
      </c>
      <c r="L737" s="83" t="n">
        <v>11.09</v>
      </c>
      <c r="M737" s="82" t="n">
        <v>197.074</v>
      </c>
      <c r="N737" s="82" t="n">
        <v>0</v>
      </c>
      <c r="O737" s="82" t="n">
        <v>37302.065</v>
      </c>
      <c r="P737" s="83" t="n">
        <v>0</v>
      </c>
      <c r="Q737" s="83" t="n">
        <v>475.5</v>
      </c>
      <c r="R737" s="47" t="n">
        <v>18</v>
      </c>
      <c r="S737" s="66" t="s">
        <v>1035</v>
      </c>
    </row>
    <row r="738" customFormat="false" ht="15" hidden="false" customHeight="false" outlineLevel="0" collapsed="false">
      <c r="A738" s="79" t="s">
        <v>228</v>
      </c>
      <c r="B738" s="79" t="s">
        <v>308</v>
      </c>
      <c r="C738" s="80" t="n">
        <v>2021</v>
      </c>
      <c r="D738" s="80" t="n">
        <v>4</v>
      </c>
      <c r="E738" s="81" t="n">
        <v>44561</v>
      </c>
      <c r="F738" s="79" t="s">
        <v>271</v>
      </c>
      <c r="G738" s="79" t="s">
        <v>272</v>
      </c>
      <c r="H738" s="79" t="s">
        <v>268</v>
      </c>
      <c r="I738" s="82" t="n">
        <v>16832.72</v>
      </c>
      <c r="J738" s="82" t="n">
        <v>4763.261</v>
      </c>
      <c r="K738" s="82" t="n">
        <v>1811747000</v>
      </c>
      <c r="L738" s="83" t="n">
        <v>9.19</v>
      </c>
      <c r="M738" s="82" t="n">
        <v>197.074</v>
      </c>
      <c r="N738" s="82" t="n">
        <v>0</v>
      </c>
      <c r="O738" s="82" t="n">
        <v>37308.434</v>
      </c>
      <c r="P738" s="83" t="n">
        <v>10</v>
      </c>
      <c r="Q738" s="83" t="n">
        <v>512</v>
      </c>
      <c r="R738" s="47" t="n">
        <v>19</v>
      </c>
      <c r="S738" s="66" t="s">
        <v>1036</v>
      </c>
    </row>
    <row r="739" customFormat="false" ht="15" hidden="false" customHeight="false" outlineLevel="0" collapsed="false">
      <c r="A739" s="79" t="s">
        <v>228</v>
      </c>
      <c r="B739" s="79" t="s">
        <v>310</v>
      </c>
      <c r="C739" s="80" t="n">
        <v>2021</v>
      </c>
      <c r="D739" s="80" t="n">
        <v>3</v>
      </c>
      <c r="E739" s="81" t="n">
        <v>44469</v>
      </c>
      <c r="F739" s="79" t="s">
        <v>271</v>
      </c>
      <c r="G739" s="79" t="s">
        <v>272</v>
      </c>
      <c r="H739" s="79" t="s">
        <v>268</v>
      </c>
      <c r="I739" s="82" t="n">
        <v>16926.546</v>
      </c>
      <c r="J739" s="82" t="n">
        <v>5375.6</v>
      </c>
      <c r="K739" s="82" t="n">
        <v>2383847000</v>
      </c>
      <c r="L739" s="83" t="n">
        <v>12.1</v>
      </c>
      <c r="M739" s="82" t="n">
        <v>197.074</v>
      </c>
      <c r="N739" s="82" t="n">
        <v>0</v>
      </c>
      <c r="O739" s="82" t="n">
        <v>34981.988</v>
      </c>
      <c r="P739" s="83" t="n">
        <v>23</v>
      </c>
      <c r="Q739" s="83" t="n">
        <v>377</v>
      </c>
      <c r="R739" s="47" t="n">
        <v>20</v>
      </c>
      <c r="S739" s="66" t="s">
        <v>1037</v>
      </c>
    </row>
    <row r="740" customFormat="false" ht="15" hidden="false" customHeight="false" outlineLevel="0" collapsed="false">
      <c r="A740" s="79" t="s">
        <v>228</v>
      </c>
      <c r="B740" s="79" t="s">
        <v>312</v>
      </c>
      <c r="C740" s="80" t="n">
        <v>2021</v>
      </c>
      <c r="D740" s="80" t="n">
        <v>2</v>
      </c>
      <c r="E740" s="81" t="n">
        <v>44377</v>
      </c>
      <c r="F740" s="79" t="s">
        <v>271</v>
      </c>
      <c r="G740" s="79" t="s">
        <v>272</v>
      </c>
      <c r="H740" s="79" t="s">
        <v>268</v>
      </c>
      <c r="I740" s="82" t="n">
        <v>15909.976</v>
      </c>
      <c r="J740" s="82" t="n">
        <v>5186.681</v>
      </c>
      <c r="K740" s="82" t="n">
        <v>2264081000</v>
      </c>
      <c r="L740" s="83" t="n">
        <v>11.49</v>
      </c>
      <c r="M740" s="82" t="n">
        <v>197.074</v>
      </c>
      <c r="N740" s="82" t="n">
        <v>0</v>
      </c>
      <c r="O740" s="82" t="n">
        <v>34304.007</v>
      </c>
      <c r="P740" s="83" t="n">
        <v>0</v>
      </c>
      <c r="Q740" s="83" t="n">
        <v>480</v>
      </c>
      <c r="R740" s="47" t="n">
        <v>21</v>
      </c>
      <c r="S740" s="66" t="s">
        <v>1038</v>
      </c>
    </row>
    <row r="741" customFormat="false" ht="15" hidden="false" customHeight="false" outlineLevel="0" collapsed="false">
      <c r="A741" s="79" t="s">
        <v>228</v>
      </c>
      <c r="B741" s="79" t="s">
        <v>314</v>
      </c>
      <c r="C741" s="80" t="n">
        <v>2021</v>
      </c>
      <c r="D741" s="80" t="n">
        <v>1</v>
      </c>
      <c r="E741" s="81" t="n">
        <v>44286</v>
      </c>
      <c r="F741" s="79" t="s">
        <v>271</v>
      </c>
      <c r="G741" s="79" t="s">
        <v>272</v>
      </c>
      <c r="H741" s="79" t="s">
        <v>268</v>
      </c>
      <c r="I741" s="82" t="n">
        <v>12887.95</v>
      </c>
      <c r="J741" s="82" t="n">
        <v>3828.838</v>
      </c>
      <c r="K741" s="82" t="n">
        <v>1687540000</v>
      </c>
      <c r="L741" s="83" t="n">
        <v>8.56</v>
      </c>
      <c r="M741" s="82" t="n">
        <v>197.074</v>
      </c>
      <c r="N741" s="82" t="n">
        <v>0</v>
      </c>
      <c r="O741" s="82" t="n">
        <v>36554.821</v>
      </c>
      <c r="P741" s="83" t="n">
        <v>0</v>
      </c>
      <c r="Q741" s="83" t="n">
        <v>488.5</v>
      </c>
      <c r="R741" s="47" t="n">
        <v>22</v>
      </c>
      <c r="S741" s="66" t="s">
        <v>1039</v>
      </c>
    </row>
    <row r="742" customFormat="false" ht="15" hidden="false" customHeight="false" outlineLevel="0" collapsed="false">
      <c r="A742" s="79" t="s">
        <v>228</v>
      </c>
      <c r="B742" s="79" t="s">
        <v>316</v>
      </c>
      <c r="C742" s="80" t="n">
        <v>2020</v>
      </c>
      <c r="D742" s="80" t="n">
        <v>4</v>
      </c>
      <c r="E742" s="81" t="n">
        <v>44196</v>
      </c>
      <c r="F742" s="79" t="s">
        <v>271</v>
      </c>
      <c r="G742" s="79" t="s">
        <v>272</v>
      </c>
      <c r="H742" s="79" t="s">
        <v>268</v>
      </c>
      <c r="I742" s="82" t="n">
        <v>12840.973</v>
      </c>
      <c r="J742" s="82" t="n">
        <v>2959.936</v>
      </c>
      <c r="K742" s="82" t="n">
        <v>3783938000</v>
      </c>
      <c r="L742" s="83" t="n">
        <v>19.2</v>
      </c>
      <c r="M742" s="82" t="n">
        <v>197.074</v>
      </c>
      <c r="N742" s="82" t="n">
        <v>0</v>
      </c>
      <c r="O742" s="82" t="n">
        <v>35155.467</v>
      </c>
      <c r="P742" s="83" t="n">
        <v>0</v>
      </c>
      <c r="Q742" s="83" t="n">
        <v>332.5</v>
      </c>
      <c r="R742" s="47" t="n">
        <v>23</v>
      </c>
      <c r="S742" s="66" t="s">
        <v>1040</v>
      </c>
    </row>
    <row r="743" customFormat="false" ht="15" hidden="false" customHeight="false" outlineLevel="0" collapsed="false">
      <c r="A743" s="79" t="s">
        <v>228</v>
      </c>
      <c r="B743" s="79" t="s">
        <v>318</v>
      </c>
      <c r="C743" s="80" t="n">
        <v>2020</v>
      </c>
      <c r="D743" s="80" t="n">
        <v>3</v>
      </c>
      <c r="E743" s="81" t="n">
        <v>44104</v>
      </c>
      <c r="F743" s="79" t="s">
        <v>271</v>
      </c>
      <c r="G743" s="79" t="s">
        <v>272</v>
      </c>
      <c r="H743" s="79" t="s">
        <v>268</v>
      </c>
      <c r="I743" s="82" t="n">
        <v>11933.997</v>
      </c>
      <c r="J743" s="82" t="n">
        <v>2697.699</v>
      </c>
      <c r="K743" s="82" t="n">
        <v>1833764000</v>
      </c>
      <c r="L743" s="83" t="n">
        <v>9.3</v>
      </c>
      <c r="M743" s="82" t="n">
        <v>197.074</v>
      </c>
      <c r="N743" s="82" t="n">
        <v>0</v>
      </c>
      <c r="O743" s="82" t="n">
        <v>31396.792</v>
      </c>
      <c r="P743" s="83"/>
      <c r="Q743" s="83" t="n">
        <v>264.5</v>
      </c>
      <c r="R743" s="47" t="n">
        <v>24</v>
      </c>
      <c r="S743" s="66" t="s">
        <v>1041</v>
      </c>
    </row>
    <row r="745" customFormat="false" ht="15" hidden="false" customHeight="false" outlineLevel="0" collapsed="false">
      <c r="A745" s="84" t="s">
        <v>1042</v>
      </c>
    </row>
    <row r="746" customFormat="false" ht="15" hidden="false" customHeight="false" outlineLevel="0" collapsed="false">
      <c r="A746" s="41" t="s">
        <v>1043</v>
      </c>
    </row>
    <row r="747" customFormat="false" ht="15" hidden="false" customHeight="false" outlineLevel="0" collapsed="false">
      <c r="A747" s="85" t="s">
        <v>1044</v>
      </c>
      <c r="C747" s="24" t="s">
        <v>1045</v>
      </c>
    </row>
    <row r="748" customFormat="false" ht="15" hidden="false" customHeight="false" outlineLevel="0" collapsed="false">
      <c r="A748" s="85" t="s">
        <v>1046</v>
      </c>
      <c r="C748" s="24" t="s">
        <v>1045</v>
      </c>
    </row>
    <row r="749" customFormat="false" ht="15" hidden="false" customHeight="false" outlineLevel="0" collapsed="false">
      <c r="A749" s="85" t="s">
        <v>1047</v>
      </c>
      <c r="C749" s="24" t="s">
        <v>1045</v>
      </c>
    </row>
    <row r="750" customFormat="false" ht="15" hidden="false" customHeight="false" outlineLevel="0" collapsed="false">
      <c r="A750" s="85" t="s">
        <v>1048</v>
      </c>
      <c r="C750" s="24" t="s">
        <v>1045</v>
      </c>
    </row>
    <row r="751" customFormat="false" ht="15" hidden="false" customHeight="false" outlineLevel="0" collapsed="false">
      <c r="A751" s="85" t="s">
        <v>1049</v>
      </c>
      <c r="C751" s="24" t="s">
        <v>1045</v>
      </c>
    </row>
    <row r="752" customFormat="false" ht="15" hidden="false" customHeight="false" outlineLevel="0" collapsed="false">
      <c r="A752" s="85" t="s">
        <v>1050</v>
      </c>
      <c r="C752" s="24" t="s">
        <v>1051</v>
      </c>
    </row>
    <row r="753" customFormat="false" ht="15" hidden="false" customHeight="false" outlineLevel="0" collapsed="false">
      <c r="A753" s="85" t="s">
        <v>1052</v>
      </c>
      <c r="C753" s="24" t="s">
        <v>1051</v>
      </c>
    </row>
    <row r="754" customFormat="false" ht="15" hidden="false" customHeight="false" outlineLevel="0" collapsed="false">
      <c r="A754" s="85" t="s">
        <v>1053</v>
      </c>
      <c r="C754" s="25" t="s">
        <v>1054</v>
      </c>
    </row>
    <row r="755" customFormat="false" ht="15" hidden="false" customHeight="false" outlineLevel="0" collapsed="false">
      <c r="A755" s="85" t="s">
        <v>1055</v>
      </c>
      <c r="C755" s="24" t="s">
        <v>1056</v>
      </c>
    </row>
    <row r="756" customFormat="false" ht="15" hidden="false" customHeight="false" outlineLevel="0" collapsed="false">
      <c r="A756" s="85" t="s">
        <v>1057</v>
      </c>
      <c r="C756" s="24" t="s">
        <v>1058</v>
      </c>
    </row>
    <row r="757" customFormat="false" ht="15" hidden="false" customHeight="false" outlineLevel="0" collapsed="false">
      <c r="A757" s="85" t="s">
        <v>1059</v>
      </c>
      <c r="C757" s="25" t="s">
        <v>1060</v>
      </c>
    </row>
    <row r="758" customFormat="false" ht="15" hidden="false" customHeight="false" outlineLevel="0" collapsed="false">
      <c r="A758" s="85" t="s">
        <v>1061</v>
      </c>
      <c r="C758" s="25" t="s">
        <v>1062</v>
      </c>
    </row>
    <row r="759" customFormat="false" ht="15" hidden="false" customHeight="false" outlineLevel="0" collapsed="false">
      <c r="A759" s="85" t="s">
        <v>1063</v>
      </c>
      <c r="C759" s="24" t="s">
        <v>1064</v>
      </c>
    </row>
    <row r="760" customFormat="false" ht="15" hidden="false" customHeight="false" outlineLevel="0" collapsed="false">
      <c r="A760" s="85" t="s">
        <v>1065</v>
      </c>
      <c r="C760" s="24" t="s">
        <v>1066</v>
      </c>
    </row>
    <row r="761" customFormat="false" ht="15" hidden="false" customHeight="false" outlineLevel="0" collapsed="false">
      <c r="A761" s="85" t="s">
        <v>1067</v>
      </c>
      <c r="C761" s="25" t="s">
        <v>1068</v>
      </c>
    </row>
    <row r="762" customFormat="false" ht="15" hidden="false" customHeight="false" outlineLevel="0" collapsed="false">
      <c r="A762" s="85" t="s">
        <v>1069</v>
      </c>
      <c r="C762" s="24" t="s">
        <v>51</v>
      </c>
    </row>
    <row r="763" customFormat="false" ht="15" hidden="false" customHeight="false" outlineLevel="0" collapsed="false">
      <c r="A763" s="85" t="s">
        <v>1070</v>
      </c>
      <c r="C763" s="24" t="s">
        <v>1071</v>
      </c>
    </row>
    <row r="765" customFormat="false" ht="15" hidden="false" customHeight="false" outlineLevel="0" collapsed="false">
      <c r="A765" s="24" t="s">
        <v>1072</v>
      </c>
    </row>
  </sheetData>
  <autoFilter ref="A1:S743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08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9"/>
    <col collapsed="false" customWidth="true" hidden="false" outlineLevel="0" max="4" min="4" style="0" width="12"/>
    <col collapsed="false" customWidth="true" hidden="false" outlineLevel="0" max="5" min="5" style="0" width="14"/>
    <col collapsed="false" customWidth="true" hidden="false" outlineLevel="0" max="6" min="6" style="0" width="7"/>
    <col collapsed="false" customWidth="true" hidden="false" outlineLevel="0" max="7" min="7" style="0" width="12"/>
  </cols>
  <sheetData>
    <row r="1" customFormat="false" ht="31.5" hidden="false" customHeight="true" outlineLevel="0" collapsed="false">
      <c r="A1" s="15" t="s">
        <v>167</v>
      </c>
      <c r="B1" s="15" t="s">
        <v>1073</v>
      </c>
      <c r="C1" s="15" t="s">
        <v>1074</v>
      </c>
      <c r="D1" s="15" t="s">
        <v>1075</v>
      </c>
      <c r="E1" s="15" t="s">
        <v>1076</v>
      </c>
      <c r="F1" s="15" t="s">
        <v>1077</v>
      </c>
      <c r="G1" s="15" t="s">
        <v>1078</v>
      </c>
    </row>
    <row r="2" customFormat="false" ht="15" hidden="false" customHeight="false" outlineLevel="0" collapsed="false">
      <c r="A2" s="79" t="s">
        <v>208</v>
      </c>
      <c r="B2" s="79" t="s">
        <v>1079</v>
      </c>
      <c r="C2" s="80" t="n">
        <v>202610</v>
      </c>
      <c r="D2" s="81" t="n">
        <v>46296</v>
      </c>
      <c r="E2" s="82" t="n">
        <v>4464.393</v>
      </c>
      <c r="F2" s="80" t="n">
        <v>1</v>
      </c>
      <c r="G2" s="79" t="s">
        <v>273</v>
      </c>
    </row>
    <row r="3" customFormat="false" ht="15" hidden="false" customHeight="false" outlineLevel="0" collapsed="false">
      <c r="A3" s="79" t="s">
        <v>208</v>
      </c>
      <c r="B3" s="79" t="s">
        <v>1080</v>
      </c>
      <c r="C3" s="80" t="n">
        <v>202609</v>
      </c>
      <c r="D3" s="81" t="n">
        <v>46266</v>
      </c>
      <c r="E3" s="82" t="n">
        <v>6466.169</v>
      </c>
      <c r="F3" s="80" t="n">
        <v>2</v>
      </c>
      <c r="G3" s="79" t="s">
        <v>275</v>
      </c>
    </row>
    <row r="4" customFormat="false" ht="15" hidden="false" customHeight="false" outlineLevel="0" collapsed="false">
      <c r="A4" s="79" t="s">
        <v>208</v>
      </c>
      <c r="B4" s="79" t="s">
        <v>1081</v>
      </c>
      <c r="C4" s="80" t="n">
        <v>202608</v>
      </c>
      <c r="D4" s="81" t="n">
        <v>46235</v>
      </c>
      <c r="E4" s="82" t="n">
        <v>6407.256</v>
      </c>
      <c r="F4" s="80" t="n">
        <v>3</v>
      </c>
      <c r="G4" s="79" t="s">
        <v>277</v>
      </c>
    </row>
    <row r="5" customFormat="false" ht="15" hidden="false" customHeight="false" outlineLevel="0" collapsed="false">
      <c r="A5" s="79" t="s">
        <v>208</v>
      </c>
      <c r="B5" s="79" t="s">
        <v>1082</v>
      </c>
      <c r="C5" s="80" t="n">
        <v>202607</v>
      </c>
      <c r="D5" s="81" t="n">
        <v>46204</v>
      </c>
      <c r="E5" s="82" t="n">
        <v>4442.581</v>
      </c>
      <c r="F5" s="80" t="n">
        <v>4</v>
      </c>
      <c r="G5" s="79" t="s">
        <v>279</v>
      </c>
    </row>
    <row r="6" customFormat="false" ht="15" hidden="false" customHeight="false" outlineLevel="0" collapsed="false">
      <c r="A6" s="79" t="s">
        <v>208</v>
      </c>
      <c r="B6" s="79" t="s">
        <v>1083</v>
      </c>
      <c r="C6" s="80" t="n">
        <v>202606</v>
      </c>
      <c r="D6" s="81" t="n">
        <v>46174</v>
      </c>
      <c r="E6" s="82" t="n">
        <v>3791.303</v>
      </c>
      <c r="F6" s="80" t="n">
        <v>5</v>
      </c>
      <c r="G6" s="79" t="s">
        <v>281</v>
      </c>
    </row>
    <row r="7" customFormat="false" ht="15" hidden="false" customHeight="false" outlineLevel="0" collapsed="false">
      <c r="A7" s="79" t="s">
        <v>208</v>
      </c>
      <c r="B7" s="79" t="s">
        <v>1084</v>
      </c>
      <c r="C7" s="80" t="n">
        <v>202605</v>
      </c>
      <c r="D7" s="81" t="n">
        <v>46143</v>
      </c>
      <c r="E7" s="82" t="n">
        <v>2595.892</v>
      </c>
      <c r="F7" s="80" t="n">
        <v>6</v>
      </c>
      <c r="G7" s="79" t="s">
        <v>283</v>
      </c>
    </row>
    <row r="8" customFormat="false" ht="15" hidden="false" customHeight="false" outlineLevel="0" collapsed="false">
      <c r="A8" s="79" t="s">
        <v>208</v>
      </c>
      <c r="B8" s="79" t="s">
        <v>1085</v>
      </c>
      <c r="C8" s="80" t="n">
        <v>202604</v>
      </c>
      <c r="D8" s="81" t="n">
        <v>46113</v>
      </c>
      <c r="E8" s="82" t="n">
        <v>1918.166</v>
      </c>
      <c r="F8" s="80" t="n">
        <v>7</v>
      </c>
      <c r="G8" s="79" t="s">
        <v>285</v>
      </c>
    </row>
    <row r="9" customFormat="false" ht="15" hidden="false" customHeight="false" outlineLevel="0" collapsed="false">
      <c r="A9" s="79" t="s">
        <v>208</v>
      </c>
      <c r="B9" s="79" t="s">
        <v>1086</v>
      </c>
      <c r="C9" s="80" t="n">
        <v>202603</v>
      </c>
      <c r="D9" s="81" t="n">
        <v>46082</v>
      </c>
      <c r="E9" s="82" t="n">
        <v>1756.868</v>
      </c>
      <c r="F9" s="80" t="n">
        <v>8</v>
      </c>
      <c r="G9" s="79" t="s">
        <v>287</v>
      </c>
    </row>
    <row r="10" customFormat="false" ht="15" hidden="false" customHeight="false" outlineLevel="0" collapsed="false">
      <c r="A10" s="79" t="s">
        <v>208</v>
      </c>
      <c r="B10" s="79" t="s">
        <v>1087</v>
      </c>
      <c r="C10" s="80" t="n">
        <v>202602</v>
      </c>
      <c r="D10" s="81" t="n">
        <v>46054</v>
      </c>
      <c r="E10" s="82" t="n">
        <v>1774.956</v>
      </c>
      <c r="F10" s="80" t="n">
        <v>9</v>
      </c>
      <c r="G10" s="79" t="s">
        <v>289</v>
      </c>
    </row>
    <row r="11" customFormat="false" ht="15" hidden="false" customHeight="false" outlineLevel="0" collapsed="false">
      <c r="A11" s="79" t="s">
        <v>208</v>
      </c>
      <c r="B11" s="79" t="s">
        <v>1088</v>
      </c>
      <c r="C11" s="80" t="n">
        <v>202601</v>
      </c>
      <c r="D11" s="81" t="n">
        <v>46023</v>
      </c>
      <c r="E11" s="82" t="n">
        <v>1722.455</v>
      </c>
      <c r="F11" s="80" t="n">
        <v>10</v>
      </c>
      <c r="G11" s="79" t="s">
        <v>291</v>
      </c>
    </row>
    <row r="12" customFormat="false" ht="15" hidden="false" customHeight="false" outlineLevel="0" collapsed="false">
      <c r="A12" s="79" t="s">
        <v>208</v>
      </c>
      <c r="B12" s="79" t="s">
        <v>1089</v>
      </c>
      <c r="C12" s="80" t="n">
        <v>202512</v>
      </c>
      <c r="D12" s="81" t="n">
        <v>45992</v>
      </c>
      <c r="E12" s="82" t="n">
        <v>1659.348</v>
      </c>
      <c r="F12" s="80" t="n">
        <v>11</v>
      </c>
      <c r="G12" s="79" t="s">
        <v>293</v>
      </c>
    </row>
    <row r="13" customFormat="false" ht="15" hidden="false" customHeight="false" outlineLevel="0" collapsed="false">
      <c r="A13" s="79" t="s">
        <v>208</v>
      </c>
      <c r="B13" s="79" t="s">
        <v>1090</v>
      </c>
      <c r="C13" s="80" t="n">
        <v>202511</v>
      </c>
      <c r="D13" s="81" t="n">
        <v>45962</v>
      </c>
      <c r="E13" s="82" t="n">
        <v>1567.264</v>
      </c>
      <c r="F13" s="80" t="n">
        <v>12</v>
      </c>
      <c r="G13" s="79" t="s">
        <v>295</v>
      </c>
    </row>
    <row r="14" customFormat="false" ht="15" hidden="false" customHeight="false" outlineLevel="0" collapsed="false">
      <c r="A14" s="79" t="s">
        <v>208</v>
      </c>
      <c r="B14" s="79" t="s">
        <v>1091</v>
      </c>
      <c r="C14" s="80" t="n">
        <v>202510</v>
      </c>
      <c r="D14" s="81" t="n">
        <v>45931</v>
      </c>
      <c r="E14" s="82" t="n">
        <v>1507.097</v>
      </c>
      <c r="F14" s="80" t="n">
        <v>13</v>
      </c>
      <c r="G14" s="79" t="s">
        <v>297</v>
      </c>
    </row>
    <row r="15" customFormat="false" ht="15" hidden="false" customHeight="false" outlineLevel="0" collapsed="false">
      <c r="A15" s="79" t="s">
        <v>208</v>
      </c>
      <c r="B15" s="79" t="s">
        <v>1092</v>
      </c>
      <c r="C15" s="80" t="n">
        <v>202509</v>
      </c>
      <c r="D15" s="81" t="n">
        <v>45901</v>
      </c>
      <c r="E15" s="82" t="n">
        <v>1454.984</v>
      </c>
      <c r="F15" s="80" t="n">
        <v>14</v>
      </c>
      <c r="G15" s="79" t="s">
        <v>299</v>
      </c>
    </row>
    <row r="16" customFormat="false" ht="15" hidden="false" customHeight="false" outlineLevel="0" collapsed="false">
      <c r="A16" s="79" t="s">
        <v>208</v>
      </c>
      <c r="B16" s="79" t="s">
        <v>1093</v>
      </c>
      <c r="C16" s="80" t="n">
        <v>202508</v>
      </c>
      <c r="D16" s="81" t="n">
        <v>45870</v>
      </c>
      <c r="E16" s="82" t="n">
        <v>1406.573</v>
      </c>
      <c r="F16" s="80" t="n">
        <v>15</v>
      </c>
      <c r="G16" s="79" t="s">
        <v>301</v>
      </c>
    </row>
    <row r="17" customFormat="false" ht="15" hidden="false" customHeight="false" outlineLevel="0" collapsed="false">
      <c r="A17" s="79" t="s">
        <v>208</v>
      </c>
      <c r="B17" s="79" t="s">
        <v>1094</v>
      </c>
      <c r="C17" s="80" t="n">
        <v>202507</v>
      </c>
      <c r="D17" s="81" t="n">
        <v>45839</v>
      </c>
      <c r="E17" s="82" t="n">
        <v>1386.041</v>
      </c>
      <c r="F17" s="80" t="n">
        <v>16</v>
      </c>
      <c r="G17" s="79" t="s">
        <v>303</v>
      </c>
    </row>
    <row r="18" customFormat="false" ht="15" hidden="false" customHeight="false" outlineLevel="0" collapsed="false">
      <c r="A18" s="79" t="s">
        <v>208</v>
      </c>
      <c r="B18" s="79" t="s">
        <v>1095</v>
      </c>
      <c r="C18" s="80" t="n">
        <v>202506</v>
      </c>
      <c r="D18" s="81" t="n">
        <v>45809</v>
      </c>
      <c r="E18" s="82" t="n">
        <v>1393.592</v>
      </c>
      <c r="F18" s="80" t="n">
        <v>17</v>
      </c>
      <c r="G18" s="79" t="s">
        <v>305</v>
      </c>
    </row>
    <row r="19" customFormat="false" ht="15" hidden="false" customHeight="false" outlineLevel="0" collapsed="false">
      <c r="A19" s="79" t="s">
        <v>208</v>
      </c>
      <c r="B19" s="79" t="s">
        <v>1096</v>
      </c>
      <c r="C19" s="80" t="n">
        <v>202505</v>
      </c>
      <c r="D19" s="81" t="n">
        <v>45778</v>
      </c>
      <c r="E19" s="82" t="n">
        <v>1449.099</v>
      </c>
      <c r="F19" s="80" t="n">
        <v>18</v>
      </c>
      <c r="G19" s="79" t="s">
        <v>307</v>
      </c>
    </row>
    <row r="20" customFormat="false" ht="15" hidden="false" customHeight="false" outlineLevel="0" collapsed="false">
      <c r="A20" s="79" t="s">
        <v>208</v>
      </c>
      <c r="B20" s="79" t="s">
        <v>1097</v>
      </c>
      <c r="C20" s="80" t="n">
        <v>202504</v>
      </c>
      <c r="D20" s="81" t="n">
        <v>45748</v>
      </c>
      <c r="E20" s="82" t="n">
        <v>1381.226</v>
      </c>
      <c r="F20" s="80" t="n">
        <v>19</v>
      </c>
      <c r="G20" s="79" t="s">
        <v>309</v>
      </c>
    </row>
    <row r="21" customFormat="false" ht="15" hidden="false" customHeight="false" outlineLevel="0" collapsed="false">
      <c r="A21" s="79" t="s">
        <v>208</v>
      </c>
      <c r="B21" s="79" t="s">
        <v>1098</v>
      </c>
      <c r="C21" s="80" t="n">
        <v>202503</v>
      </c>
      <c r="D21" s="81" t="n">
        <v>45717</v>
      </c>
      <c r="E21" s="82" t="n">
        <v>1339.536</v>
      </c>
      <c r="F21" s="80" t="n">
        <v>20</v>
      </c>
      <c r="G21" s="79" t="s">
        <v>311</v>
      </c>
    </row>
    <row r="22" customFormat="false" ht="15" hidden="false" customHeight="false" outlineLevel="0" collapsed="false">
      <c r="A22" s="79" t="s">
        <v>208</v>
      </c>
      <c r="B22" s="79" t="s">
        <v>1099</v>
      </c>
      <c r="C22" s="80" t="n">
        <v>202502</v>
      </c>
      <c r="D22" s="81" t="n">
        <v>45689</v>
      </c>
      <c r="E22" s="82" t="n">
        <v>1233.439</v>
      </c>
      <c r="F22" s="80" t="n">
        <v>21</v>
      </c>
      <c r="G22" s="79" t="s">
        <v>313</v>
      </c>
    </row>
    <row r="23" customFormat="false" ht="15" hidden="false" customHeight="false" outlineLevel="0" collapsed="false">
      <c r="A23" s="79" t="s">
        <v>208</v>
      </c>
      <c r="B23" s="79" t="s">
        <v>1100</v>
      </c>
      <c r="C23" s="80" t="n">
        <v>202501</v>
      </c>
      <c r="D23" s="81" t="n">
        <v>45658</v>
      </c>
      <c r="E23" s="82" t="n">
        <v>1122.385</v>
      </c>
      <c r="F23" s="80" t="n">
        <v>22</v>
      </c>
      <c r="G23" s="79" t="s">
        <v>315</v>
      </c>
    </row>
    <row r="24" customFormat="false" ht="15" hidden="false" customHeight="false" outlineLevel="0" collapsed="false">
      <c r="A24" s="79" t="s">
        <v>208</v>
      </c>
      <c r="B24" s="79" t="s">
        <v>1101</v>
      </c>
      <c r="C24" s="80" t="n">
        <v>202412</v>
      </c>
      <c r="D24" s="81" t="n">
        <v>45627</v>
      </c>
      <c r="E24" s="82" t="n">
        <v>1013.472</v>
      </c>
      <c r="F24" s="80" t="n">
        <v>23</v>
      </c>
      <c r="G24" s="79" t="s">
        <v>317</v>
      </c>
    </row>
    <row r="25" customFormat="false" ht="15" hidden="false" customHeight="false" outlineLevel="0" collapsed="false">
      <c r="A25" s="79" t="s">
        <v>208</v>
      </c>
      <c r="B25" s="79" t="s">
        <v>1102</v>
      </c>
      <c r="C25" s="80" t="n">
        <v>202411</v>
      </c>
      <c r="D25" s="81" t="n">
        <v>45597</v>
      </c>
      <c r="E25" s="82" t="n">
        <v>962.289</v>
      </c>
      <c r="F25" s="80" t="n">
        <v>24</v>
      </c>
      <c r="G25" s="79" t="s">
        <v>319</v>
      </c>
    </row>
    <row r="26" customFormat="false" ht="15" hidden="false" customHeight="false" outlineLevel="0" collapsed="false">
      <c r="A26" s="79" t="s">
        <v>208</v>
      </c>
      <c r="B26" s="79" t="s">
        <v>1103</v>
      </c>
      <c r="C26" s="80" t="n">
        <v>202410</v>
      </c>
      <c r="D26" s="81" t="n">
        <v>45566</v>
      </c>
      <c r="E26" s="82" t="n">
        <v>821.999</v>
      </c>
      <c r="F26" s="80" t="n">
        <v>25</v>
      </c>
      <c r="G26" s="79" t="s">
        <v>1104</v>
      </c>
    </row>
    <row r="27" customFormat="false" ht="15" hidden="false" customHeight="false" outlineLevel="0" collapsed="false">
      <c r="A27" s="79" t="s">
        <v>208</v>
      </c>
      <c r="B27" s="79" t="s">
        <v>1105</v>
      </c>
      <c r="C27" s="80" t="n">
        <v>202409</v>
      </c>
      <c r="D27" s="81" t="n">
        <v>45536</v>
      </c>
      <c r="E27" s="82" t="n">
        <v>868.862</v>
      </c>
      <c r="F27" s="80" t="n">
        <v>26</v>
      </c>
      <c r="G27" s="79" t="s">
        <v>1106</v>
      </c>
    </row>
    <row r="28" customFormat="false" ht="15" hidden="false" customHeight="false" outlineLevel="0" collapsed="false">
      <c r="A28" s="79" t="s">
        <v>208</v>
      </c>
      <c r="B28" s="79" t="s">
        <v>1107</v>
      </c>
      <c r="C28" s="80" t="n">
        <v>202408</v>
      </c>
      <c r="D28" s="81" t="n">
        <v>45505</v>
      </c>
      <c r="E28" s="82" t="n">
        <v>885.818</v>
      </c>
      <c r="F28" s="80" t="n">
        <v>27</v>
      </c>
      <c r="G28" s="79" t="s">
        <v>1108</v>
      </c>
    </row>
    <row r="29" customFormat="false" ht="15" hidden="false" customHeight="false" outlineLevel="0" collapsed="false">
      <c r="A29" s="79" t="s">
        <v>208</v>
      </c>
      <c r="B29" s="79" t="s">
        <v>1109</v>
      </c>
      <c r="C29" s="80" t="n">
        <v>202407</v>
      </c>
      <c r="D29" s="81" t="n">
        <v>45474</v>
      </c>
      <c r="E29" s="82" t="n">
        <v>853.539</v>
      </c>
      <c r="F29" s="80" t="n">
        <v>28</v>
      </c>
      <c r="G29" s="79" t="s">
        <v>1110</v>
      </c>
    </row>
    <row r="30" customFormat="false" ht="15" hidden="false" customHeight="false" outlineLevel="0" collapsed="false">
      <c r="A30" s="79" t="s">
        <v>208</v>
      </c>
      <c r="B30" s="79" t="s">
        <v>1111</v>
      </c>
      <c r="C30" s="80" t="n">
        <v>202406</v>
      </c>
      <c r="D30" s="81" t="n">
        <v>45444</v>
      </c>
      <c r="E30" s="82" t="n">
        <v>868.403</v>
      </c>
      <c r="F30" s="80" t="n">
        <v>29</v>
      </c>
      <c r="G30" s="79" t="s">
        <v>1112</v>
      </c>
    </row>
    <row r="31" customFormat="false" ht="15" hidden="false" customHeight="false" outlineLevel="0" collapsed="false">
      <c r="A31" s="79" t="s">
        <v>208</v>
      </c>
      <c r="B31" s="79" t="s">
        <v>1113</v>
      </c>
      <c r="C31" s="80" t="n">
        <v>202405</v>
      </c>
      <c r="D31" s="81" t="n">
        <v>45413</v>
      </c>
      <c r="E31" s="82" t="n">
        <v>794.727</v>
      </c>
      <c r="F31" s="80" t="n">
        <v>30</v>
      </c>
      <c r="G31" s="79" t="s">
        <v>1114</v>
      </c>
    </row>
    <row r="32" customFormat="false" ht="15" hidden="false" customHeight="false" outlineLevel="0" collapsed="false">
      <c r="A32" s="79" t="s">
        <v>208</v>
      </c>
      <c r="B32" s="79" t="s">
        <v>1115</v>
      </c>
      <c r="C32" s="80" t="n">
        <v>202404</v>
      </c>
      <c r="D32" s="81" t="n">
        <v>45383</v>
      </c>
      <c r="E32" s="82" t="n">
        <v>776.192</v>
      </c>
      <c r="F32" s="80" t="n">
        <v>31</v>
      </c>
      <c r="G32" s="79" t="s">
        <v>1116</v>
      </c>
    </row>
    <row r="33" customFormat="false" ht="15" hidden="false" customHeight="false" outlineLevel="0" collapsed="false">
      <c r="A33" s="79" t="s">
        <v>208</v>
      </c>
      <c r="B33" s="79" t="s">
        <v>1117</v>
      </c>
      <c r="C33" s="80" t="n">
        <v>202403</v>
      </c>
      <c r="D33" s="81" t="n">
        <v>45352</v>
      </c>
      <c r="E33" s="82" t="n">
        <v>506.067</v>
      </c>
      <c r="F33" s="80" t="n">
        <v>32</v>
      </c>
      <c r="G33" s="79" t="s">
        <v>1118</v>
      </c>
    </row>
    <row r="34" customFormat="false" ht="15" hidden="false" customHeight="false" outlineLevel="0" collapsed="false">
      <c r="A34" s="79" t="s">
        <v>208</v>
      </c>
      <c r="B34" s="79" t="s">
        <v>1119</v>
      </c>
      <c r="C34" s="80" t="n">
        <v>202402</v>
      </c>
      <c r="D34" s="81" t="n">
        <v>45323</v>
      </c>
      <c r="E34" s="82" t="n">
        <v>655.548</v>
      </c>
      <c r="F34" s="80" t="n">
        <v>33</v>
      </c>
      <c r="G34" s="79" t="s">
        <v>1120</v>
      </c>
    </row>
    <row r="35" customFormat="false" ht="15" hidden="false" customHeight="false" outlineLevel="0" collapsed="false">
      <c r="A35" s="79" t="s">
        <v>208</v>
      </c>
      <c r="B35" s="79" t="s">
        <v>1121</v>
      </c>
      <c r="C35" s="80" t="n">
        <v>202401</v>
      </c>
      <c r="D35" s="81" t="n">
        <v>45292</v>
      </c>
      <c r="E35" s="82" t="n">
        <v>639.013</v>
      </c>
      <c r="F35" s="80" t="n">
        <v>34</v>
      </c>
      <c r="G35" s="79" t="s">
        <v>1122</v>
      </c>
    </row>
    <row r="36" customFormat="false" ht="15" hidden="false" customHeight="false" outlineLevel="0" collapsed="false">
      <c r="A36" s="79" t="s">
        <v>208</v>
      </c>
      <c r="B36" s="79" t="s">
        <v>1123</v>
      </c>
      <c r="C36" s="80" t="n">
        <v>202312</v>
      </c>
      <c r="D36" s="81" t="n">
        <v>45261</v>
      </c>
      <c r="E36" s="82" t="n">
        <v>610.458</v>
      </c>
      <c r="F36" s="80" t="n">
        <v>35</v>
      </c>
      <c r="G36" s="79" t="s">
        <v>1124</v>
      </c>
    </row>
    <row r="37" customFormat="false" ht="15" hidden="false" customHeight="false" outlineLevel="0" collapsed="false">
      <c r="A37" s="79" t="s">
        <v>208</v>
      </c>
      <c r="B37" s="79" t="s">
        <v>1125</v>
      </c>
      <c r="C37" s="80" t="n">
        <v>202311</v>
      </c>
      <c r="D37" s="81" t="n">
        <v>45231</v>
      </c>
      <c r="E37" s="82" t="n">
        <v>615.32</v>
      </c>
      <c r="F37" s="80" t="n">
        <v>36</v>
      </c>
      <c r="G37" s="79" t="s">
        <v>1126</v>
      </c>
    </row>
    <row r="38" customFormat="false" ht="15" hidden="false" customHeight="false" outlineLevel="0" collapsed="false">
      <c r="A38" s="79" t="s">
        <v>220</v>
      </c>
      <c r="B38" s="79" t="s">
        <v>1079</v>
      </c>
      <c r="C38" s="80" t="n">
        <v>202610</v>
      </c>
      <c r="D38" s="81" t="n">
        <v>46296</v>
      </c>
      <c r="E38" s="82" t="n">
        <v>25350.431</v>
      </c>
      <c r="F38" s="80" t="n">
        <v>1</v>
      </c>
      <c r="G38" s="79" t="s">
        <v>321</v>
      </c>
    </row>
    <row r="39" customFormat="false" ht="15" hidden="false" customHeight="false" outlineLevel="0" collapsed="false">
      <c r="A39" s="79" t="s">
        <v>220</v>
      </c>
      <c r="B39" s="79" t="s">
        <v>1080</v>
      </c>
      <c r="C39" s="80" t="n">
        <v>202609</v>
      </c>
      <c r="D39" s="81" t="n">
        <v>46266</v>
      </c>
      <c r="E39" s="82" t="n">
        <v>25044.641</v>
      </c>
      <c r="F39" s="80" t="n">
        <v>2</v>
      </c>
      <c r="G39" s="79" t="s">
        <v>322</v>
      </c>
    </row>
    <row r="40" customFormat="false" ht="15" hidden="false" customHeight="false" outlineLevel="0" collapsed="false">
      <c r="A40" s="79" t="s">
        <v>220</v>
      </c>
      <c r="B40" s="79" t="s">
        <v>1081</v>
      </c>
      <c r="C40" s="80" t="n">
        <v>202608</v>
      </c>
      <c r="D40" s="81" t="n">
        <v>46235</v>
      </c>
      <c r="E40" s="82" t="n">
        <v>23844.045</v>
      </c>
      <c r="F40" s="80" t="n">
        <v>3</v>
      </c>
      <c r="G40" s="79" t="s">
        <v>323</v>
      </c>
    </row>
    <row r="41" customFormat="false" ht="15" hidden="false" customHeight="false" outlineLevel="0" collapsed="false">
      <c r="A41" s="79" t="s">
        <v>220</v>
      </c>
      <c r="B41" s="79" t="s">
        <v>1082</v>
      </c>
      <c r="C41" s="80" t="n">
        <v>202607</v>
      </c>
      <c r="D41" s="81" t="n">
        <v>46204</v>
      </c>
      <c r="E41" s="82" t="n">
        <v>23124.962</v>
      </c>
      <c r="F41" s="80" t="n">
        <v>4</v>
      </c>
      <c r="G41" s="79" t="s">
        <v>324</v>
      </c>
    </row>
    <row r="42" customFormat="false" ht="15" hidden="false" customHeight="false" outlineLevel="0" collapsed="false">
      <c r="A42" s="79" t="s">
        <v>220</v>
      </c>
      <c r="B42" s="79" t="s">
        <v>1083</v>
      </c>
      <c r="C42" s="80" t="n">
        <v>202606</v>
      </c>
      <c r="D42" s="81" t="n">
        <v>46174</v>
      </c>
      <c r="E42" s="82" t="n">
        <v>22943.755</v>
      </c>
      <c r="F42" s="80" t="n">
        <v>5</v>
      </c>
      <c r="G42" s="79" t="s">
        <v>325</v>
      </c>
    </row>
    <row r="43" customFormat="false" ht="15" hidden="false" customHeight="false" outlineLevel="0" collapsed="false">
      <c r="A43" s="79" t="s">
        <v>220</v>
      </c>
      <c r="B43" s="79" t="s">
        <v>1084</v>
      </c>
      <c r="C43" s="80" t="n">
        <v>202605</v>
      </c>
      <c r="D43" s="81" t="n">
        <v>46143</v>
      </c>
      <c r="E43" s="82" t="n">
        <v>22663.945</v>
      </c>
      <c r="F43" s="80" t="n">
        <v>6</v>
      </c>
      <c r="G43" s="79" t="s">
        <v>326</v>
      </c>
    </row>
    <row r="44" customFormat="false" ht="15" hidden="false" customHeight="false" outlineLevel="0" collapsed="false">
      <c r="A44" s="79" t="s">
        <v>220</v>
      </c>
      <c r="B44" s="79" t="s">
        <v>1085</v>
      </c>
      <c r="C44" s="80" t="n">
        <v>202604</v>
      </c>
      <c r="D44" s="81" t="n">
        <v>46113</v>
      </c>
      <c r="E44" s="82" t="n">
        <v>20830.626</v>
      </c>
      <c r="F44" s="80" t="n">
        <v>7</v>
      </c>
      <c r="G44" s="79" t="s">
        <v>327</v>
      </c>
    </row>
    <row r="45" customFormat="false" ht="15" hidden="false" customHeight="false" outlineLevel="0" collapsed="false">
      <c r="A45" s="79" t="s">
        <v>220</v>
      </c>
      <c r="B45" s="79" t="s">
        <v>1086</v>
      </c>
      <c r="C45" s="80" t="n">
        <v>202603</v>
      </c>
      <c r="D45" s="81" t="n">
        <v>46082</v>
      </c>
      <c r="E45" s="82" t="n">
        <v>19345.126</v>
      </c>
      <c r="F45" s="80" t="n">
        <v>8</v>
      </c>
      <c r="G45" s="79" t="s">
        <v>328</v>
      </c>
    </row>
    <row r="46" customFormat="false" ht="15" hidden="false" customHeight="false" outlineLevel="0" collapsed="false">
      <c r="A46" s="79" t="s">
        <v>220</v>
      </c>
      <c r="B46" s="79" t="s">
        <v>1087</v>
      </c>
      <c r="C46" s="80" t="n">
        <v>202602</v>
      </c>
      <c r="D46" s="81" t="n">
        <v>46054</v>
      </c>
      <c r="E46" s="82" t="n">
        <v>20862.15</v>
      </c>
      <c r="F46" s="80" t="n">
        <v>9</v>
      </c>
      <c r="G46" s="79" t="s">
        <v>329</v>
      </c>
    </row>
    <row r="47" customFormat="false" ht="15" hidden="false" customHeight="false" outlineLevel="0" collapsed="false">
      <c r="A47" s="79" t="s">
        <v>220</v>
      </c>
      <c r="B47" s="79" t="s">
        <v>1088</v>
      </c>
      <c r="C47" s="80" t="n">
        <v>202601</v>
      </c>
      <c r="D47" s="81" t="n">
        <v>46023</v>
      </c>
      <c r="E47" s="82" t="n">
        <v>19280.724</v>
      </c>
      <c r="F47" s="80" t="n">
        <v>10</v>
      </c>
      <c r="G47" s="79" t="s">
        <v>330</v>
      </c>
    </row>
    <row r="48" customFormat="false" ht="15" hidden="false" customHeight="false" outlineLevel="0" collapsed="false">
      <c r="A48" s="79" t="s">
        <v>220</v>
      </c>
      <c r="B48" s="79" t="s">
        <v>1089</v>
      </c>
      <c r="C48" s="80" t="n">
        <v>202512</v>
      </c>
      <c r="D48" s="81" t="n">
        <v>45992</v>
      </c>
      <c r="E48" s="82" t="n">
        <v>21233.847</v>
      </c>
      <c r="F48" s="80" t="n">
        <v>11</v>
      </c>
      <c r="G48" s="79" t="s">
        <v>331</v>
      </c>
    </row>
    <row r="49" customFormat="false" ht="15" hidden="false" customHeight="false" outlineLevel="0" collapsed="false">
      <c r="A49" s="79" t="s">
        <v>220</v>
      </c>
      <c r="B49" s="79" t="s">
        <v>1090</v>
      </c>
      <c r="C49" s="80" t="n">
        <v>202511</v>
      </c>
      <c r="D49" s="81" t="n">
        <v>45962</v>
      </c>
      <c r="E49" s="82" t="n">
        <v>21294.974</v>
      </c>
      <c r="F49" s="80" t="n">
        <v>12</v>
      </c>
      <c r="G49" s="79" t="s">
        <v>332</v>
      </c>
    </row>
    <row r="50" customFormat="false" ht="15" hidden="false" customHeight="false" outlineLevel="0" collapsed="false">
      <c r="A50" s="79" t="s">
        <v>220</v>
      </c>
      <c r="B50" s="79" t="s">
        <v>1091</v>
      </c>
      <c r="C50" s="80" t="n">
        <v>202510</v>
      </c>
      <c r="D50" s="81" t="n">
        <v>45931</v>
      </c>
      <c r="E50" s="82" t="n">
        <v>19927.175</v>
      </c>
      <c r="F50" s="80" t="n">
        <v>13</v>
      </c>
      <c r="G50" s="79" t="s">
        <v>333</v>
      </c>
    </row>
    <row r="51" customFormat="false" ht="15" hidden="false" customHeight="false" outlineLevel="0" collapsed="false">
      <c r="A51" s="79" t="s">
        <v>220</v>
      </c>
      <c r="B51" s="79" t="s">
        <v>1092</v>
      </c>
      <c r="C51" s="80" t="n">
        <v>202509</v>
      </c>
      <c r="D51" s="81" t="n">
        <v>45901</v>
      </c>
      <c r="E51" s="82" t="n">
        <v>19159.816</v>
      </c>
      <c r="F51" s="80" t="n">
        <v>14</v>
      </c>
      <c r="G51" s="79" t="s">
        <v>334</v>
      </c>
    </row>
    <row r="52" customFormat="false" ht="15" hidden="false" customHeight="false" outlineLevel="0" collapsed="false">
      <c r="A52" s="79" t="s">
        <v>220</v>
      </c>
      <c r="B52" s="79" t="s">
        <v>1093</v>
      </c>
      <c r="C52" s="80" t="n">
        <v>202508</v>
      </c>
      <c r="D52" s="81" t="n">
        <v>45870</v>
      </c>
      <c r="E52" s="82" t="n">
        <v>20040.049</v>
      </c>
      <c r="F52" s="80" t="n">
        <v>15</v>
      </c>
      <c r="G52" s="79" t="s">
        <v>335</v>
      </c>
    </row>
    <row r="53" customFormat="false" ht="15" hidden="false" customHeight="false" outlineLevel="0" collapsed="false">
      <c r="A53" s="79" t="s">
        <v>220</v>
      </c>
      <c r="B53" s="79" t="s">
        <v>1094</v>
      </c>
      <c r="C53" s="80" t="n">
        <v>202507</v>
      </c>
      <c r="D53" s="81" t="n">
        <v>45839</v>
      </c>
      <c r="E53" s="82" t="n">
        <v>18823.07</v>
      </c>
      <c r="F53" s="80" t="n">
        <v>16</v>
      </c>
      <c r="G53" s="79" t="s">
        <v>336</v>
      </c>
    </row>
    <row r="54" customFormat="false" ht="15" hidden="false" customHeight="false" outlineLevel="0" collapsed="false">
      <c r="A54" s="79" t="s">
        <v>220</v>
      </c>
      <c r="B54" s="79" t="s">
        <v>1095</v>
      </c>
      <c r="C54" s="80" t="n">
        <v>202506</v>
      </c>
      <c r="D54" s="81" t="n">
        <v>45809</v>
      </c>
      <c r="E54" s="82" t="n">
        <v>19480.057</v>
      </c>
      <c r="F54" s="80" t="n">
        <v>17</v>
      </c>
      <c r="G54" s="79" t="s">
        <v>337</v>
      </c>
    </row>
    <row r="55" customFormat="false" ht="15" hidden="false" customHeight="false" outlineLevel="0" collapsed="false">
      <c r="A55" s="79" t="s">
        <v>220</v>
      </c>
      <c r="B55" s="79" t="s">
        <v>1096</v>
      </c>
      <c r="C55" s="80" t="n">
        <v>202505</v>
      </c>
      <c r="D55" s="81" t="n">
        <v>45778</v>
      </c>
      <c r="E55" s="82" t="n">
        <v>20454.53</v>
      </c>
      <c r="F55" s="80" t="n">
        <v>18</v>
      </c>
      <c r="G55" s="79" t="s">
        <v>338</v>
      </c>
    </row>
    <row r="56" customFormat="false" ht="15" hidden="false" customHeight="false" outlineLevel="0" collapsed="false">
      <c r="A56" s="79" t="s">
        <v>220</v>
      </c>
      <c r="B56" s="79" t="s">
        <v>1097</v>
      </c>
      <c r="C56" s="80" t="n">
        <v>202504</v>
      </c>
      <c r="D56" s="81" t="n">
        <v>45748</v>
      </c>
      <c r="E56" s="82" t="n">
        <v>19858.647</v>
      </c>
      <c r="F56" s="80" t="n">
        <v>19</v>
      </c>
      <c r="G56" s="79" t="s">
        <v>339</v>
      </c>
    </row>
    <row r="57" customFormat="false" ht="15" hidden="false" customHeight="false" outlineLevel="0" collapsed="false">
      <c r="A57" s="79" t="s">
        <v>220</v>
      </c>
      <c r="B57" s="79" t="s">
        <v>1098</v>
      </c>
      <c r="C57" s="80" t="n">
        <v>202503</v>
      </c>
      <c r="D57" s="81" t="n">
        <v>45717</v>
      </c>
      <c r="E57" s="82" t="n">
        <v>18193.515</v>
      </c>
      <c r="F57" s="80" t="n">
        <v>20</v>
      </c>
      <c r="G57" s="79" t="s">
        <v>340</v>
      </c>
    </row>
    <row r="58" customFormat="false" ht="15" hidden="false" customHeight="false" outlineLevel="0" collapsed="false">
      <c r="A58" s="79" t="s">
        <v>220</v>
      </c>
      <c r="B58" s="79" t="s">
        <v>1099</v>
      </c>
      <c r="C58" s="80" t="n">
        <v>202502</v>
      </c>
      <c r="D58" s="81" t="n">
        <v>45689</v>
      </c>
      <c r="E58" s="82" t="n">
        <v>19806.795</v>
      </c>
      <c r="F58" s="80" t="n">
        <v>21</v>
      </c>
      <c r="G58" s="79" t="s">
        <v>341</v>
      </c>
    </row>
    <row r="59" customFormat="false" ht="15" hidden="false" customHeight="false" outlineLevel="0" collapsed="false">
      <c r="A59" s="79" t="s">
        <v>220</v>
      </c>
      <c r="B59" s="79" t="s">
        <v>1100</v>
      </c>
      <c r="C59" s="80" t="n">
        <v>202501</v>
      </c>
      <c r="D59" s="81" t="n">
        <v>45658</v>
      </c>
      <c r="E59" s="82" t="n">
        <v>18965.818</v>
      </c>
      <c r="F59" s="80" t="n">
        <v>22</v>
      </c>
      <c r="G59" s="79" t="s">
        <v>342</v>
      </c>
    </row>
    <row r="60" customFormat="false" ht="15" hidden="false" customHeight="false" outlineLevel="0" collapsed="false">
      <c r="A60" s="79" t="s">
        <v>220</v>
      </c>
      <c r="B60" s="79" t="s">
        <v>1101</v>
      </c>
      <c r="C60" s="80" t="n">
        <v>202412</v>
      </c>
      <c r="D60" s="81" t="n">
        <v>45627</v>
      </c>
      <c r="E60" s="82" t="n">
        <v>20049.182</v>
      </c>
      <c r="F60" s="80" t="n">
        <v>23</v>
      </c>
      <c r="G60" s="79" t="s">
        <v>343</v>
      </c>
    </row>
    <row r="61" customFormat="false" ht="15" hidden="false" customHeight="false" outlineLevel="0" collapsed="false">
      <c r="A61" s="79" t="s">
        <v>220</v>
      </c>
      <c r="B61" s="79" t="s">
        <v>1102</v>
      </c>
      <c r="C61" s="80" t="n">
        <v>202411</v>
      </c>
      <c r="D61" s="81" t="n">
        <v>45597</v>
      </c>
      <c r="E61" s="82" t="n">
        <v>21371.11</v>
      </c>
      <c r="F61" s="80" t="n">
        <v>24</v>
      </c>
      <c r="G61" s="79" t="s">
        <v>344</v>
      </c>
    </row>
    <row r="62" customFormat="false" ht="15" hidden="false" customHeight="false" outlineLevel="0" collapsed="false">
      <c r="A62" s="79" t="s">
        <v>220</v>
      </c>
      <c r="B62" s="79" t="s">
        <v>1103</v>
      </c>
      <c r="C62" s="80" t="n">
        <v>202410</v>
      </c>
      <c r="D62" s="81" t="n">
        <v>45566</v>
      </c>
      <c r="E62" s="82" t="n">
        <v>18942.714</v>
      </c>
      <c r="F62" s="80" t="n">
        <v>25</v>
      </c>
      <c r="G62" s="79" t="s">
        <v>1127</v>
      </c>
    </row>
    <row r="63" customFormat="false" ht="15" hidden="false" customHeight="false" outlineLevel="0" collapsed="false">
      <c r="A63" s="79" t="s">
        <v>220</v>
      </c>
      <c r="B63" s="79" t="s">
        <v>1105</v>
      </c>
      <c r="C63" s="80" t="n">
        <v>202409</v>
      </c>
      <c r="D63" s="81" t="n">
        <v>45536</v>
      </c>
      <c r="E63" s="82" t="n">
        <v>20645.494</v>
      </c>
      <c r="F63" s="80" t="n">
        <v>26</v>
      </c>
      <c r="G63" s="79" t="s">
        <v>1128</v>
      </c>
    </row>
    <row r="64" customFormat="false" ht="15" hidden="false" customHeight="false" outlineLevel="0" collapsed="false">
      <c r="A64" s="79" t="s">
        <v>220</v>
      </c>
      <c r="B64" s="79" t="s">
        <v>1107</v>
      </c>
      <c r="C64" s="80" t="n">
        <v>202408</v>
      </c>
      <c r="D64" s="81" t="n">
        <v>45505</v>
      </c>
      <c r="E64" s="82" t="n">
        <v>20896.877</v>
      </c>
      <c r="F64" s="80" t="n">
        <v>27</v>
      </c>
      <c r="G64" s="79" t="s">
        <v>1129</v>
      </c>
    </row>
    <row r="65" customFormat="false" ht="15" hidden="false" customHeight="false" outlineLevel="0" collapsed="false">
      <c r="A65" s="79" t="s">
        <v>220</v>
      </c>
      <c r="B65" s="79" t="s">
        <v>1109</v>
      </c>
      <c r="C65" s="80" t="n">
        <v>202407</v>
      </c>
      <c r="D65" s="81" t="n">
        <v>45474</v>
      </c>
      <c r="E65" s="82" t="n">
        <v>17548.413</v>
      </c>
      <c r="F65" s="80" t="n">
        <v>28</v>
      </c>
      <c r="G65" s="79" t="s">
        <v>1130</v>
      </c>
    </row>
    <row r="66" customFormat="false" ht="15" hidden="false" customHeight="false" outlineLevel="0" collapsed="false">
      <c r="A66" s="79" t="s">
        <v>220</v>
      </c>
      <c r="B66" s="79" t="s">
        <v>1111</v>
      </c>
      <c r="C66" s="80" t="n">
        <v>202406</v>
      </c>
      <c r="D66" s="81" t="n">
        <v>45444</v>
      </c>
      <c r="E66" s="82" t="n">
        <v>19509.486</v>
      </c>
      <c r="F66" s="80" t="n">
        <v>29</v>
      </c>
      <c r="G66" s="79" t="s">
        <v>1131</v>
      </c>
    </row>
    <row r="67" customFormat="false" ht="15" hidden="false" customHeight="false" outlineLevel="0" collapsed="false">
      <c r="A67" s="79" t="s">
        <v>220</v>
      </c>
      <c r="B67" s="79" t="s">
        <v>1113</v>
      </c>
      <c r="C67" s="80" t="n">
        <v>202405</v>
      </c>
      <c r="D67" s="81" t="n">
        <v>45413</v>
      </c>
      <c r="E67" s="82" t="n">
        <v>19741.391</v>
      </c>
      <c r="F67" s="80" t="n">
        <v>30</v>
      </c>
      <c r="G67" s="79" t="s">
        <v>1132</v>
      </c>
    </row>
    <row r="68" customFormat="false" ht="15" hidden="false" customHeight="false" outlineLevel="0" collapsed="false">
      <c r="A68" s="79" t="s">
        <v>220</v>
      </c>
      <c r="B68" s="79" t="s">
        <v>1115</v>
      </c>
      <c r="C68" s="80" t="n">
        <v>202404</v>
      </c>
      <c r="D68" s="81" t="n">
        <v>45383</v>
      </c>
      <c r="E68" s="82" t="n">
        <v>18167.134</v>
      </c>
      <c r="F68" s="80" t="n">
        <v>31</v>
      </c>
      <c r="G68" s="79" t="s">
        <v>1133</v>
      </c>
    </row>
    <row r="69" customFormat="false" ht="15" hidden="false" customHeight="false" outlineLevel="0" collapsed="false">
      <c r="A69" s="79" t="s">
        <v>220</v>
      </c>
      <c r="B69" s="79" t="s">
        <v>1117</v>
      </c>
      <c r="C69" s="80" t="n">
        <v>202403</v>
      </c>
      <c r="D69" s="81" t="n">
        <v>45352</v>
      </c>
      <c r="E69" s="82" t="n">
        <v>17451.268</v>
      </c>
      <c r="F69" s="80" t="n">
        <v>32</v>
      </c>
      <c r="G69" s="79" t="s">
        <v>1134</v>
      </c>
    </row>
    <row r="70" customFormat="false" ht="15" hidden="false" customHeight="false" outlineLevel="0" collapsed="false">
      <c r="A70" s="79" t="s">
        <v>220</v>
      </c>
      <c r="B70" s="79" t="s">
        <v>1119</v>
      </c>
      <c r="C70" s="80" t="n">
        <v>202402</v>
      </c>
      <c r="D70" s="81" t="n">
        <v>45323</v>
      </c>
      <c r="E70" s="82" t="n">
        <v>19013.697</v>
      </c>
      <c r="F70" s="80" t="n">
        <v>33</v>
      </c>
      <c r="G70" s="79" t="s">
        <v>1135</v>
      </c>
    </row>
    <row r="71" customFormat="false" ht="15" hidden="false" customHeight="false" outlineLevel="0" collapsed="false">
      <c r="A71" s="79" t="s">
        <v>220</v>
      </c>
      <c r="B71" s="79" t="s">
        <v>1121</v>
      </c>
      <c r="C71" s="80" t="n">
        <v>202401</v>
      </c>
      <c r="D71" s="81" t="n">
        <v>45292</v>
      </c>
      <c r="E71" s="82" t="n">
        <v>16979.226</v>
      </c>
      <c r="F71" s="80" t="n">
        <v>34</v>
      </c>
      <c r="G71" s="79" t="s">
        <v>1136</v>
      </c>
    </row>
    <row r="72" customFormat="false" ht="15" hidden="false" customHeight="false" outlineLevel="0" collapsed="false">
      <c r="A72" s="79" t="s">
        <v>220</v>
      </c>
      <c r="B72" s="79" t="s">
        <v>1123</v>
      </c>
      <c r="C72" s="80" t="n">
        <v>202312</v>
      </c>
      <c r="D72" s="81" t="n">
        <v>45261</v>
      </c>
      <c r="E72" s="82" t="n">
        <v>18787.67</v>
      </c>
      <c r="F72" s="80" t="n">
        <v>35</v>
      </c>
      <c r="G72" s="79" t="s">
        <v>1137</v>
      </c>
    </row>
    <row r="73" customFormat="false" ht="15" hidden="false" customHeight="false" outlineLevel="0" collapsed="false">
      <c r="A73" s="79" t="s">
        <v>220</v>
      </c>
      <c r="B73" s="79" t="s">
        <v>1125</v>
      </c>
      <c r="C73" s="80" t="n">
        <v>202311</v>
      </c>
      <c r="D73" s="81" t="n">
        <v>45231</v>
      </c>
      <c r="E73" s="82" t="n">
        <v>19191.382</v>
      </c>
      <c r="F73" s="80" t="n">
        <v>36</v>
      </c>
      <c r="G73" s="79" t="s">
        <v>1138</v>
      </c>
    </row>
    <row r="74" customFormat="false" ht="15" hidden="false" customHeight="false" outlineLevel="0" collapsed="false">
      <c r="A74" s="79" t="s">
        <v>345</v>
      </c>
      <c r="B74" s="79" t="s">
        <v>1079</v>
      </c>
      <c r="C74" s="80" t="n">
        <v>202610</v>
      </c>
      <c r="D74" s="81" t="n">
        <v>46296</v>
      </c>
      <c r="E74" s="82" t="n">
        <v>17068.153</v>
      </c>
      <c r="F74" s="80" t="n">
        <v>1</v>
      </c>
      <c r="G74" s="79" t="s">
        <v>347</v>
      </c>
    </row>
    <row r="75" customFormat="false" ht="15" hidden="false" customHeight="false" outlineLevel="0" collapsed="false">
      <c r="A75" s="79" t="s">
        <v>345</v>
      </c>
      <c r="B75" s="79" t="s">
        <v>1080</v>
      </c>
      <c r="C75" s="80" t="n">
        <v>202609</v>
      </c>
      <c r="D75" s="81" t="n">
        <v>46266</v>
      </c>
      <c r="E75" s="82" t="n">
        <v>16332.196</v>
      </c>
      <c r="F75" s="80" t="n">
        <v>2</v>
      </c>
      <c r="G75" s="79" t="s">
        <v>348</v>
      </c>
    </row>
    <row r="76" customFormat="false" ht="15" hidden="false" customHeight="false" outlineLevel="0" collapsed="false">
      <c r="A76" s="79" t="s">
        <v>345</v>
      </c>
      <c r="B76" s="79" t="s">
        <v>1081</v>
      </c>
      <c r="C76" s="80" t="n">
        <v>202608</v>
      </c>
      <c r="D76" s="81" t="n">
        <v>46235</v>
      </c>
      <c r="E76" s="82" t="n">
        <v>16131.188</v>
      </c>
      <c r="F76" s="80" t="n">
        <v>3</v>
      </c>
      <c r="G76" s="79" t="s">
        <v>349</v>
      </c>
    </row>
    <row r="77" customFormat="false" ht="15" hidden="false" customHeight="false" outlineLevel="0" collapsed="false">
      <c r="A77" s="79" t="s">
        <v>345</v>
      </c>
      <c r="B77" s="79" t="s">
        <v>1082</v>
      </c>
      <c r="C77" s="80" t="n">
        <v>202607</v>
      </c>
      <c r="D77" s="81" t="n">
        <v>46204</v>
      </c>
      <c r="E77" s="82" t="n">
        <v>15359.009</v>
      </c>
      <c r="F77" s="80" t="n">
        <v>4</v>
      </c>
      <c r="G77" s="79" t="s">
        <v>350</v>
      </c>
    </row>
    <row r="78" customFormat="false" ht="15" hidden="false" customHeight="false" outlineLevel="0" collapsed="false">
      <c r="A78" s="79" t="s">
        <v>345</v>
      </c>
      <c r="B78" s="79" t="s">
        <v>1083</v>
      </c>
      <c r="C78" s="80" t="n">
        <v>202606</v>
      </c>
      <c r="D78" s="81" t="n">
        <v>46174</v>
      </c>
      <c r="E78" s="82" t="n">
        <v>15058.22</v>
      </c>
      <c r="F78" s="80" t="n">
        <v>5</v>
      </c>
      <c r="G78" s="79" t="s">
        <v>351</v>
      </c>
    </row>
    <row r="79" customFormat="false" ht="15" hidden="false" customHeight="false" outlineLevel="0" collapsed="false">
      <c r="A79" s="79" t="s">
        <v>345</v>
      </c>
      <c r="B79" s="79" t="s">
        <v>1084</v>
      </c>
      <c r="C79" s="80" t="n">
        <v>202605</v>
      </c>
      <c r="D79" s="81" t="n">
        <v>46143</v>
      </c>
      <c r="E79" s="82" t="n">
        <v>14039.098</v>
      </c>
      <c r="F79" s="80" t="n">
        <v>6</v>
      </c>
      <c r="G79" s="79" t="s">
        <v>352</v>
      </c>
    </row>
    <row r="80" customFormat="false" ht="15" hidden="false" customHeight="false" outlineLevel="0" collapsed="false">
      <c r="A80" s="79" t="s">
        <v>345</v>
      </c>
      <c r="B80" s="79" t="s">
        <v>1085</v>
      </c>
      <c r="C80" s="80" t="n">
        <v>202604</v>
      </c>
      <c r="D80" s="81" t="n">
        <v>46113</v>
      </c>
      <c r="E80" s="82" t="n">
        <v>13630.196</v>
      </c>
      <c r="F80" s="80" t="n">
        <v>7</v>
      </c>
      <c r="G80" s="79" t="s">
        <v>353</v>
      </c>
    </row>
    <row r="81" customFormat="false" ht="15" hidden="false" customHeight="false" outlineLevel="0" collapsed="false">
      <c r="A81" s="79" t="s">
        <v>345</v>
      </c>
      <c r="B81" s="79" t="s">
        <v>1086</v>
      </c>
      <c r="C81" s="80" t="n">
        <v>202603</v>
      </c>
      <c r="D81" s="81" t="n">
        <v>46082</v>
      </c>
      <c r="E81" s="82" t="n">
        <v>11505.323</v>
      </c>
      <c r="F81" s="80" t="n">
        <v>8</v>
      </c>
      <c r="G81" s="79" t="s">
        <v>354</v>
      </c>
    </row>
    <row r="82" customFormat="false" ht="15" hidden="false" customHeight="false" outlineLevel="0" collapsed="false">
      <c r="A82" s="79" t="s">
        <v>345</v>
      </c>
      <c r="B82" s="79" t="s">
        <v>1087</v>
      </c>
      <c r="C82" s="80" t="n">
        <v>202602</v>
      </c>
      <c r="D82" s="81" t="n">
        <v>46054</v>
      </c>
      <c r="E82" s="82" t="n">
        <v>13030.129</v>
      </c>
      <c r="F82" s="80" t="n">
        <v>9</v>
      </c>
      <c r="G82" s="79" t="s">
        <v>355</v>
      </c>
    </row>
    <row r="83" customFormat="false" ht="15" hidden="false" customHeight="false" outlineLevel="0" collapsed="false">
      <c r="A83" s="79" t="s">
        <v>345</v>
      </c>
      <c r="B83" s="79" t="s">
        <v>1088</v>
      </c>
      <c r="C83" s="80" t="n">
        <v>202601</v>
      </c>
      <c r="D83" s="81" t="n">
        <v>46023</v>
      </c>
      <c r="E83" s="82" t="n">
        <v>12350.934</v>
      </c>
      <c r="F83" s="80" t="n">
        <v>10</v>
      </c>
      <c r="G83" s="79" t="s">
        <v>356</v>
      </c>
    </row>
    <row r="84" customFormat="false" ht="15" hidden="false" customHeight="false" outlineLevel="0" collapsed="false">
      <c r="A84" s="79" t="s">
        <v>345</v>
      </c>
      <c r="B84" s="79" t="s">
        <v>1089</v>
      </c>
      <c r="C84" s="80" t="n">
        <v>202512</v>
      </c>
      <c r="D84" s="81" t="n">
        <v>45992</v>
      </c>
      <c r="E84" s="82" t="n">
        <v>12264.829</v>
      </c>
      <c r="F84" s="80" t="n">
        <v>11</v>
      </c>
      <c r="G84" s="79" t="s">
        <v>357</v>
      </c>
    </row>
    <row r="85" customFormat="false" ht="15" hidden="false" customHeight="false" outlineLevel="0" collapsed="false">
      <c r="A85" s="79" t="s">
        <v>345</v>
      </c>
      <c r="B85" s="79" t="s">
        <v>1090</v>
      </c>
      <c r="C85" s="80" t="n">
        <v>202511</v>
      </c>
      <c r="D85" s="81" t="n">
        <v>45962</v>
      </c>
      <c r="E85" s="82" t="n">
        <v>11352.46</v>
      </c>
      <c r="F85" s="80" t="n">
        <v>12</v>
      </c>
      <c r="G85" s="79" t="s">
        <v>358</v>
      </c>
    </row>
    <row r="86" customFormat="false" ht="15" hidden="false" customHeight="false" outlineLevel="0" collapsed="false">
      <c r="A86" s="79" t="s">
        <v>345</v>
      </c>
      <c r="B86" s="79" t="s">
        <v>1091</v>
      </c>
      <c r="C86" s="80" t="n">
        <v>202510</v>
      </c>
      <c r="D86" s="81" t="n">
        <v>45931</v>
      </c>
      <c r="E86" s="82" t="n">
        <v>11680.869</v>
      </c>
      <c r="F86" s="80" t="n">
        <v>13</v>
      </c>
      <c r="G86" s="79" t="s">
        <v>359</v>
      </c>
    </row>
    <row r="87" customFormat="false" ht="15" hidden="false" customHeight="false" outlineLevel="0" collapsed="false">
      <c r="A87" s="79" t="s">
        <v>345</v>
      </c>
      <c r="B87" s="79" t="s">
        <v>1092</v>
      </c>
      <c r="C87" s="80" t="n">
        <v>202509</v>
      </c>
      <c r="D87" s="81" t="n">
        <v>45901</v>
      </c>
      <c r="E87" s="82" t="n">
        <v>10759.05</v>
      </c>
      <c r="F87" s="80" t="n">
        <v>14</v>
      </c>
      <c r="G87" s="79" t="s">
        <v>360</v>
      </c>
    </row>
    <row r="88" customFormat="false" ht="15" hidden="false" customHeight="false" outlineLevel="0" collapsed="false">
      <c r="A88" s="79" t="s">
        <v>345</v>
      </c>
      <c r="B88" s="79" t="s">
        <v>1093</v>
      </c>
      <c r="C88" s="80" t="n">
        <v>202508</v>
      </c>
      <c r="D88" s="81" t="n">
        <v>45870</v>
      </c>
      <c r="E88" s="82" t="n">
        <v>10646.791</v>
      </c>
      <c r="F88" s="80" t="n">
        <v>15</v>
      </c>
      <c r="G88" s="79" t="s">
        <v>361</v>
      </c>
    </row>
    <row r="89" customFormat="false" ht="15" hidden="false" customHeight="false" outlineLevel="0" collapsed="false">
      <c r="A89" s="79" t="s">
        <v>345</v>
      </c>
      <c r="B89" s="79" t="s">
        <v>1094</v>
      </c>
      <c r="C89" s="80" t="n">
        <v>202507</v>
      </c>
      <c r="D89" s="81" t="n">
        <v>45839</v>
      </c>
      <c r="E89" s="82" t="n">
        <v>11056.49</v>
      </c>
      <c r="F89" s="80" t="n">
        <v>16</v>
      </c>
      <c r="G89" s="79" t="s">
        <v>362</v>
      </c>
    </row>
    <row r="90" customFormat="false" ht="15" hidden="false" customHeight="false" outlineLevel="0" collapsed="false">
      <c r="A90" s="79" t="s">
        <v>345</v>
      </c>
      <c r="B90" s="79" t="s">
        <v>1095</v>
      </c>
      <c r="C90" s="80" t="n">
        <v>202506</v>
      </c>
      <c r="D90" s="81" t="n">
        <v>45809</v>
      </c>
      <c r="E90" s="82" t="n">
        <v>10211.491</v>
      </c>
      <c r="F90" s="80" t="n">
        <v>17</v>
      </c>
      <c r="G90" s="79" t="s">
        <v>363</v>
      </c>
    </row>
    <row r="91" customFormat="false" ht="15" hidden="false" customHeight="false" outlineLevel="0" collapsed="false">
      <c r="A91" s="79" t="s">
        <v>345</v>
      </c>
      <c r="B91" s="79" t="s">
        <v>1096</v>
      </c>
      <c r="C91" s="80" t="n">
        <v>202505</v>
      </c>
      <c r="D91" s="81" t="n">
        <v>45778</v>
      </c>
      <c r="E91" s="82" t="n">
        <v>11503.407</v>
      </c>
      <c r="F91" s="80" t="n">
        <v>18</v>
      </c>
      <c r="G91" s="79" t="s">
        <v>364</v>
      </c>
    </row>
    <row r="92" customFormat="false" ht="15" hidden="false" customHeight="false" outlineLevel="0" collapsed="false">
      <c r="A92" s="79" t="s">
        <v>345</v>
      </c>
      <c r="B92" s="79" t="s">
        <v>1097</v>
      </c>
      <c r="C92" s="80" t="n">
        <v>202504</v>
      </c>
      <c r="D92" s="81" t="n">
        <v>45748</v>
      </c>
      <c r="E92" s="82" t="n">
        <v>11101.274</v>
      </c>
      <c r="F92" s="80" t="n">
        <v>19</v>
      </c>
      <c r="G92" s="79" t="s">
        <v>365</v>
      </c>
    </row>
    <row r="93" customFormat="false" ht="15" hidden="false" customHeight="false" outlineLevel="0" collapsed="false">
      <c r="A93" s="79" t="s">
        <v>345</v>
      </c>
      <c r="B93" s="79" t="s">
        <v>1098</v>
      </c>
      <c r="C93" s="80" t="n">
        <v>202503</v>
      </c>
      <c r="D93" s="81" t="n">
        <v>45717</v>
      </c>
      <c r="E93" s="82" t="n">
        <v>9752.95</v>
      </c>
      <c r="F93" s="80" t="n">
        <v>20</v>
      </c>
      <c r="G93" s="79" t="s">
        <v>366</v>
      </c>
    </row>
    <row r="94" customFormat="false" ht="15" hidden="false" customHeight="false" outlineLevel="0" collapsed="false">
      <c r="A94" s="79" t="s">
        <v>345</v>
      </c>
      <c r="B94" s="79" t="s">
        <v>1099</v>
      </c>
      <c r="C94" s="80" t="n">
        <v>202502</v>
      </c>
      <c r="D94" s="81" t="n">
        <v>45689</v>
      </c>
      <c r="E94" s="82" t="n">
        <v>10249.471</v>
      </c>
      <c r="F94" s="80" t="n">
        <v>21</v>
      </c>
      <c r="G94" s="79" t="s">
        <v>367</v>
      </c>
    </row>
    <row r="95" customFormat="false" ht="15" hidden="false" customHeight="false" outlineLevel="0" collapsed="false">
      <c r="A95" s="79" t="s">
        <v>345</v>
      </c>
      <c r="B95" s="79" t="s">
        <v>1100</v>
      </c>
      <c r="C95" s="80" t="n">
        <v>202501</v>
      </c>
      <c r="D95" s="81" t="n">
        <v>45658</v>
      </c>
      <c r="E95" s="82" t="n">
        <v>9519.583</v>
      </c>
      <c r="F95" s="80" t="n">
        <v>22</v>
      </c>
      <c r="G95" s="79" t="s">
        <v>368</v>
      </c>
    </row>
    <row r="96" customFormat="false" ht="15" hidden="false" customHeight="false" outlineLevel="0" collapsed="false">
      <c r="A96" s="79" t="s">
        <v>345</v>
      </c>
      <c r="B96" s="79" t="s">
        <v>1101</v>
      </c>
      <c r="C96" s="80" t="n">
        <v>202412</v>
      </c>
      <c r="D96" s="81" t="n">
        <v>45627</v>
      </c>
      <c r="E96" s="82" t="n">
        <v>10020.442</v>
      </c>
      <c r="F96" s="80" t="n">
        <v>23</v>
      </c>
      <c r="G96" s="79" t="s">
        <v>369</v>
      </c>
    </row>
    <row r="97" customFormat="false" ht="15" hidden="false" customHeight="false" outlineLevel="0" collapsed="false">
      <c r="A97" s="79" t="s">
        <v>345</v>
      </c>
      <c r="B97" s="79" t="s">
        <v>1102</v>
      </c>
      <c r="C97" s="80" t="n">
        <v>202411</v>
      </c>
      <c r="D97" s="81" t="n">
        <v>45597</v>
      </c>
      <c r="E97" s="82" t="n">
        <v>10465.92</v>
      </c>
      <c r="F97" s="80" t="n">
        <v>24</v>
      </c>
      <c r="G97" s="79" t="s">
        <v>370</v>
      </c>
    </row>
    <row r="98" customFormat="false" ht="15" hidden="false" customHeight="false" outlineLevel="0" collapsed="false">
      <c r="A98" s="79" t="s">
        <v>345</v>
      </c>
      <c r="B98" s="79" t="s">
        <v>1103</v>
      </c>
      <c r="C98" s="80" t="n">
        <v>202410</v>
      </c>
      <c r="D98" s="81" t="n">
        <v>45566</v>
      </c>
      <c r="E98" s="82" t="n">
        <v>10415.225</v>
      </c>
      <c r="F98" s="80" t="n">
        <v>25</v>
      </c>
      <c r="G98" s="79" t="s">
        <v>1139</v>
      </c>
    </row>
    <row r="99" customFormat="false" ht="15" hidden="false" customHeight="false" outlineLevel="0" collapsed="false">
      <c r="A99" s="79" t="s">
        <v>345</v>
      </c>
      <c r="B99" s="79" t="s">
        <v>1105</v>
      </c>
      <c r="C99" s="80" t="n">
        <v>202409</v>
      </c>
      <c r="D99" s="81" t="n">
        <v>45536</v>
      </c>
      <c r="E99" s="82" t="n">
        <v>10317.72</v>
      </c>
      <c r="F99" s="80" t="n">
        <v>26</v>
      </c>
      <c r="G99" s="79" t="s">
        <v>1140</v>
      </c>
    </row>
    <row r="100" customFormat="false" ht="15" hidden="false" customHeight="false" outlineLevel="0" collapsed="false">
      <c r="A100" s="79" t="s">
        <v>345</v>
      </c>
      <c r="B100" s="79" t="s">
        <v>1107</v>
      </c>
      <c r="C100" s="80" t="n">
        <v>202408</v>
      </c>
      <c r="D100" s="81" t="n">
        <v>45505</v>
      </c>
      <c r="E100" s="82" t="n">
        <v>11005.022</v>
      </c>
      <c r="F100" s="80" t="n">
        <v>27</v>
      </c>
      <c r="G100" s="79" t="s">
        <v>1141</v>
      </c>
    </row>
    <row r="101" customFormat="false" ht="15" hidden="false" customHeight="false" outlineLevel="0" collapsed="false">
      <c r="A101" s="79" t="s">
        <v>345</v>
      </c>
      <c r="B101" s="79" t="s">
        <v>1109</v>
      </c>
      <c r="C101" s="80" t="n">
        <v>202407</v>
      </c>
      <c r="D101" s="81" t="n">
        <v>45474</v>
      </c>
      <c r="E101" s="82" t="n">
        <v>10003.61</v>
      </c>
      <c r="F101" s="80" t="n">
        <v>28</v>
      </c>
      <c r="G101" s="79" t="s">
        <v>1142</v>
      </c>
    </row>
    <row r="102" customFormat="false" ht="15" hidden="false" customHeight="false" outlineLevel="0" collapsed="false">
      <c r="A102" s="79" t="s">
        <v>345</v>
      </c>
      <c r="B102" s="79" t="s">
        <v>1111</v>
      </c>
      <c r="C102" s="80" t="n">
        <v>202406</v>
      </c>
      <c r="D102" s="81" t="n">
        <v>45444</v>
      </c>
      <c r="E102" s="82" t="n">
        <v>10711.943</v>
      </c>
      <c r="F102" s="80" t="n">
        <v>29</v>
      </c>
      <c r="G102" s="79" t="s">
        <v>1143</v>
      </c>
    </row>
    <row r="103" customFormat="false" ht="15" hidden="false" customHeight="false" outlineLevel="0" collapsed="false">
      <c r="A103" s="79" t="s">
        <v>345</v>
      </c>
      <c r="B103" s="79" t="s">
        <v>1113</v>
      </c>
      <c r="C103" s="80" t="n">
        <v>202405</v>
      </c>
      <c r="D103" s="81" t="n">
        <v>45413</v>
      </c>
      <c r="E103" s="82" t="n">
        <v>10703.166</v>
      </c>
      <c r="F103" s="80" t="n">
        <v>30</v>
      </c>
      <c r="G103" s="79" t="s">
        <v>1144</v>
      </c>
    </row>
    <row r="104" customFormat="false" ht="15" hidden="false" customHeight="false" outlineLevel="0" collapsed="false">
      <c r="A104" s="79" t="s">
        <v>345</v>
      </c>
      <c r="B104" s="79" t="s">
        <v>1115</v>
      </c>
      <c r="C104" s="80" t="n">
        <v>202404</v>
      </c>
      <c r="D104" s="81" t="n">
        <v>45383</v>
      </c>
      <c r="E104" s="82" t="n">
        <v>10023.146</v>
      </c>
      <c r="F104" s="80" t="n">
        <v>31</v>
      </c>
      <c r="G104" s="79" t="s">
        <v>1145</v>
      </c>
    </row>
    <row r="105" customFormat="false" ht="15" hidden="false" customHeight="false" outlineLevel="0" collapsed="false">
      <c r="A105" s="79" t="s">
        <v>345</v>
      </c>
      <c r="B105" s="79" t="s">
        <v>1117</v>
      </c>
      <c r="C105" s="80" t="n">
        <v>202403</v>
      </c>
      <c r="D105" s="81" t="n">
        <v>45352</v>
      </c>
      <c r="E105" s="82" t="n">
        <v>8460.627</v>
      </c>
      <c r="F105" s="80" t="n">
        <v>32</v>
      </c>
      <c r="G105" s="79" t="s">
        <v>1146</v>
      </c>
    </row>
    <row r="106" customFormat="false" ht="15" hidden="false" customHeight="false" outlineLevel="0" collapsed="false">
      <c r="A106" s="79" t="s">
        <v>345</v>
      </c>
      <c r="B106" s="79" t="s">
        <v>1119</v>
      </c>
      <c r="C106" s="80" t="n">
        <v>202402</v>
      </c>
      <c r="D106" s="81" t="n">
        <v>45323</v>
      </c>
      <c r="E106" s="82" t="n">
        <v>10020.808</v>
      </c>
      <c r="F106" s="80" t="n">
        <v>33</v>
      </c>
      <c r="G106" s="79" t="s">
        <v>1147</v>
      </c>
    </row>
    <row r="107" customFormat="false" ht="15" hidden="false" customHeight="false" outlineLevel="0" collapsed="false">
      <c r="A107" s="79" t="s">
        <v>345</v>
      </c>
      <c r="B107" s="79" t="s">
        <v>1121</v>
      </c>
      <c r="C107" s="80" t="n">
        <v>202401</v>
      </c>
      <c r="D107" s="81" t="n">
        <v>45292</v>
      </c>
      <c r="E107" s="82" t="n">
        <v>8948.352</v>
      </c>
      <c r="F107" s="80" t="n">
        <v>34</v>
      </c>
      <c r="G107" s="79" t="s">
        <v>1148</v>
      </c>
    </row>
    <row r="108" customFormat="false" ht="15" hidden="false" customHeight="false" outlineLevel="0" collapsed="false">
      <c r="A108" s="79" t="s">
        <v>345</v>
      </c>
      <c r="B108" s="79" t="s">
        <v>1123</v>
      </c>
      <c r="C108" s="80" t="n">
        <v>202312</v>
      </c>
      <c r="D108" s="81" t="n">
        <v>45261</v>
      </c>
      <c r="E108" s="82" t="n">
        <v>9350.393</v>
      </c>
      <c r="F108" s="80" t="n">
        <v>35</v>
      </c>
      <c r="G108" s="79" t="s">
        <v>1149</v>
      </c>
    </row>
    <row r="109" customFormat="false" ht="15" hidden="false" customHeight="false" outlineLevel="0" collapsed="false">
      <c r="A109" s="79" t="s">
        <v>345</v>
      </c>
      <c r="B109" s="79" t="s">
        <v>1125</v>
      </c>
      <c r="C109" s="80" t="n">
        <v>202311</v>
      </c>
      <c r="D109" s="81" t="n">
        <v>45231</v>
      </c>
      <c r="E109" s="82" t="n">
        <v>9061.774</v>
      </c>
      <c r="F109" s="80" t="n">
        <v>36</v>
      </c>
      <c r="G109" s="79" t="s">
        <v>1150</v>
      </c>
    </row>
    <row r="110" customFormat="false" ht="15" hidden="false" customHeight="false" outlineLevel="0" collapsed="false">
      <c r="A110" s="79" t="s">
        <v>79</v>
      </c>
      <c r="B110" s="79" t="s">
        <v>1079</v>
      </c>
      <c r="C110" s="80" t="n">
        <v>202610</v>
      </c>
      <c r="D110" s="81" t="n">
        <v>46296</v>
      </c>
      <c r="E110" s="82" t="n">
        <v>511857.399</v>
      </c>
      <c r="F110" s="80" t="n">
        <v>1</v>
      </c>
      <c r="G110" s="79" t="s">
        <v>372</v>
      </c>
    </row>
    <row r="111" customFormat="false" ht="15" hidden="false" customHeight="false" outlineLevel="0" collapsed="false">
      <c r="A111" s="79" t="s">
        <v>79</v>
      </c>
      <c r="B111" s="79" t="s">
        <v>1080</v>
      </c>
      <c r="C111" s="80" t="n">
        <v>202609</v>
      </c>
      <c r="D111" s="81" t="n">
        <v>46266</v>
      </c>
      <c r="E111" s="82" t="n">
        <v>514805.337</v>
      </c>
      <c r="F111" s="80" t="n">
        <v>2</v>
      </c>
      <c r="G111" s="79" t="s">
        <v>373</v>
      </c>
    </row>
    <row r="112" customFormat="false" ht="15" hidden="false" customHeight="false" outlineLevel="0" collapsed="false">
      <c r="A112" s="79" t="s">
        <v>79</v>
      </c>
      <c r="B112" s="79" t="s">
        <v>1081</v>
      </c>
      <c r="C112" s="80" t="n">
        <v>202608</v>
      </c>
      <c r="D112" s="81" t="n">
        <v>46235</v>
      </c>
      <c r="E112" s="82" t="n">
        <v>467580.548</v>
      </c>
      <c r="F112" s="80" t="n">
        <v>3</v>
      </c>
      <c r="G112" s="79" t="s">
        <v>374</v>
      </c>
    </row>
    <row r="113" customFormat="false" ht="15" hidden="false" customHeight="false" outlineLevel="0" collapsed="false">
      <c r="A113" s="79" t="s">
        <v>79</v>
      </c>
      <c r="B113" s="79" t="s">
        <v>1082</v>
      </c>
      <c r="C113" s="80" t="n">
        <v>202607</v>
      </c>
      <c r="D113" s="81" t="n">
        <v>46204</v>
      </c>
      <c r="E113" s="82" t="n">
        <v>442679.969</v>
      </c>
      <c r="F113" s="80" t="n">
        <v>4</v>
      </c>
      <c r="G113" s="79" t="s">
        <v>375</v>
      </c>
    </row>
    <row r="114" customFormat="false" ht="15" hidden="false" customHeight="false" outlineLevel="0" collapsed="false">
      <c r="A114" s="79" t="s">
        <v>79</v>
      </c>
      <c r="B114" s="79" t="s">
        <v>1083</v>
      </c>
      <c r="C114" s="80" t="n">
        <v>202606</v>
      </c>
      <c r="D114" s="81" t="n">
        <v>46174</v>
      </c>
      <c r="E114" s="82" t="n">
        <v>416975.163</v>
      </c>
      <c r="F114" s="80" t="n">
        <v>5</v>
      </c>
      <c r="G114" s="79" t="s">
        <v>376</v>
      </c>
    </row>
    <row r="115" customFormat="false" ht="15" hidden="false" customHeight="false" outlineLevel="0" collapsed="false">
      <c r="A115" s="79" t="s">
        <v>79</v>
      </c>
      <c r="B115" s="79" t="s">
        <v>1084</v>
      </c>
      <c r="C115" s="80" t="n">
        <v>202605</v>
      </c>
      <c r="D115" s="81" t="n">
        <v>46143</v>
      </c>
      <c r="E115" s="82" t="n">
        <v>410725.118</v>
      </c>
      <c r="F115" s="80" t="n">
        <v>6</v>
      </c>
      <c r="G115" s="79" t="s">
        <v>377</v>
      </c>
    </row>
    <row r="116" customFormat="false" ht="15" hidden="false" customHeight="false" outlineLevel="0" collapsed="false">
      <c r="A116" s="79" t="s">
        <v>79</v>
      </c>
      <c r="B116" s="79" t="s">
        <v>1085</v>
      </c>
      <c r="C116" s="80" t="n">
        <v>202604</v>
      </c>
      <c r="D116" s="81" t="n">
        <v>46113</v>
      </c>
      <c r="E116" s="82" t="n">
        <v>415191.699</v>
      </c>
      <c r="F116" s="80" t="n">
        <v>7</v>
      </c>
      <c r="G116" s="79" t="s">
        <v>378</v>
      </c>
    </row>
    <row r="117" customFormat="false" ht="15" hidden="false" customHeight="false" outlineLevel="0" collapsed="false">
      <c r="A117" s="79" t="s">
        <v>79</v>
      </c>
      <c r="B117" s="79" t="s">
        <v>1086</v>
      </c>
      <c r="C117" s="80" t="n">
        <v>202603</v>
      </c>
      <c r="D117" s="81" t="n">
        <v>46082</v>
      </c>
      <c r="E117" s="82" t="n">
        <v>317656.613</v>
      </c>
      <c r="F117" s="80" t="n">
        <v>8</v>
      </c>
      <c r="G117" s="79" t="s">
        <v>379</v>
      </c>
    </row>
    <row r="118" customFormat="false" ht="15" hidden="false" customHeight="false" outlineLevel="0" collapsed="false">
      <c r="A118" s="79" t="s">
        <v>79</v>
      </c>
      <c r="B118" s="79" t="s">
        <v>1087</v>
      </c>
      <c r="C118" s="80" t="n">
        <v>202602</v>
      </c>
      <c r="D118" s="81" t="n">
        <v>46054</v>
      </c>
      <c r="E118" s="82" t="n">
        <v>401255.128</v>
      </c>
      <c r="F118" s="80" t="n">
        <v>9</v>
      </c>
      <c r="G118" s="79" t="s">
        <v>380</v>
      </c>
    </row>
    <row r="119" customFormat="false" ht="15" hidden="false" customHeight="false" outlineLevel="0" collapsed="false">
      <c r="A119" s="79" t="s">
        <v>79</v>
      </c>
      <c r="B119" s="79" t="s">
        <v>1088</v>
      </c>
      <c r="C119" s="80" t="n">
        <v>202601</v>
      </c>
      <c r="D119" s="81" t="n">
        <v>46023</v>
      </c>
      <c r="E119" s="82" t="n">
        <v>335003.568</v>
      </c>
      <c r="F119" s="80" t="n">
        <v>10</v>
      </c>
      <c r="G119" s="79" t="s">
        <v>381</v>
      </c>
    </row>
    <row r="120" customFormat="false" ht="15" hidden="false" customHeight="false" outlineLevel="0" collapsed="false">
      <c r="A120" s="79" t="s">
        <v>79</v>
      </c>
      <c r="B120" s="79" t="s">
        <v>1089</v>
      </c>
      <c r="C120" s="80" t="n">
        <v>202512</v>
      </c>
      <c r="D120" s="81" t="n">
        <v>45992</v>
      </c>
      <c r="E120" s="82" t="n">
        <v>343613.802</v>
      </c>
      <c r="F120" s="80" t="n">
        <v>11</v>
      </c>
      <c r="G120" s="79" t="s">
        <v>382</v>
      </c>
    </row>
    <row r="121" customFormat="false" ht="15" hidden="false" customHeight="false" outlineLevel="0" collapsed="false">
      <c r="A121" s="79" t="s">
        <v>79</v>
      </c>
      <c r="B121" s="79" t="s">
        <v>1090</v>
      </c>
      <c r="C121" s="80" t="n">
        <v>202511</v>
      </c>
      <c r="D121" s="81" t="n">
        <v>45962</v>
      </c>
      <c r="E121" s="82" t="n">
        <v>367473.051</v>
      </c>
      <c r="F121" s="80" t="n">
        <v>12</v>
      </c>
      <c r="G121" s="79" t="s">
        <v>383</v>
      </c>
    </row>
    <row r="122" customFormat="false" ht="15" hidden="false" customHeight="false" outlineLevel="0" collapsed="false">
      <c r="A122" s="79" t="s">
        <v>79</v>
      </c>
      <c r="B122" s="79" t="s">
        <v>1091</v>
      </c>
      <c r="C122" s="80" t="n">
        <v>202510</v>
      </c>
      <c r="D122" s="81" t="n">
        <v>45931</v>
      </c>
      <c r="E122" s="82" t="n">
        <v>330980.92</v>
      </c>
      <c r="F122" s="80" t="n">
        <v>13</v>
      </c>
      <c r="G122" s="79" t="s">
        <v>384</v>
      </c>
    </row>
    <row r="123" customFormat="false" ht="15" hidden="false" customHeight="false" outlineLevel="0" collapsed="false">
      <c r="A123" s="79" t="s">
        <v>79</v>
      </c>
      <c r="B123" s="79" t="s">
        <v>1092</v>
      </c>
      <c r="C123" s="80" t="n">
        <v>202509</v>
      </c>
      <c r="D123" s="81" t="n">
        <v>45901</v>
      </c>
      <c r="E123" s="82" t="n">
        <v>335771.691</v>
      </c>
      <c r="F123" s="80" t="n">
        <v>14</v>
      </c>
      <c r="G123" s="79" t="s">
        <v>385</v>
      </c>
    </row>
    <row r="124" customFormat="false" ht="15" hidden="false" customHeight="false" outlineLevel="0" collapsed="false">
      <c r="A124" s="79" t="s">
        <v>79</v>
      </c>
      <c r="B124" s="79" t="s">
        <v>1093</v>
      </c>
      <c r="C124" s="80" t="n">
        <v>202508</v>
      </c>
      <c r="D124" s="81" t="n">
        <v>45870</v>
      </c>
      <c r="E124" s="82" t="n">
        <v>323165.707</v>
      </c>
      <c r="F124" s="80" t="n">
        <v>15</v>
      </c>
      <c r="G124" s="79" t="s">
        <v>386</v>
      </c>
    </row>
    <row r="125" customFormat="false" ht="15" hidden="false" customHeight="false" outlineLevel="0" collapsed="false">
      <c r="A125" s="79" t="s">
        <v>79</v>
      </c>
      <c r="B125" s="79" t="s">
        <v>1094</v>
      </c>
      <c r="C125" s="80" t="n">
        <v>202507</v>
      </c>
      <c r="D125" s="81" t="n">
        <v>45839</v>
      </c>
      <c r="E125" s="82" t="n">
        <v>263708.978</v>
      </c>
      <c r="F125" s="80" t="n">
        <v>16</v>
      </c>
      <c r="G125" s="79" t="s">
        <v>387</v>
      </c>
    </row>
    <row r="126" customFormat="false" ht="15" hidden="false" customHeight="false" outlineLevel="0" collapsed="false">
      <c r="A126" s="79" t="s">
        <v>79</v>
      </c>
      <c r="B126" s="79" t="s">
        <v>1095</v>
      </c>
      <c r="C126" s="80" t="n">
        <v>202506</v>
      </c>
      <c r="D126" s="81" t="n">
        <v>45809</v>
      </c>
      <c r="E126" s="82" t="n">
        <v>320515.951</v>
      </c>
      <c r="F126" s="80" t="n">
        <v>17</v>
      </c>
      <c r="G126" s="79" t="s">
        <v>388</v>
      </c>
    </row>
    <row r="127" customFormat="false" ht="15" hidden="false" customHeight="false" outlineLevel="0" collapsed="false">
      <c r="A127" s="79" t="s">
        <v>79</v>
      </c>
      <c r="B127" s="79" t="s">
        <v>1096</v>
      </c>
      <c r="C127" s="80" t="n">
        <v>202505</v>
      </c>
      <c r="D127" s="81" t="n">
        <v>45778</v>
      </c>
      <c r="E127" s="82" t="n">
        <v>349566.94</v>
      </c>
      <c r="F127" s="80" t="n">
        <v>18</v>
      </c>
      <c r="G127" s="79" t="s">
        <v>389</v>
      </c>
    </row>
    <row r="128" customFormat="false" ht="15" hidden="false" customHeight="false" outlineLevel="0" collapsed="false">
      <c r="A128" s="79" t="s">
        <v>79</v>
      </c>
      <c r="B128" s="79" t="s">
        <v>1097</v>
      </c>
      <c r="C128" s="80" t="n">
        <v>202504</v>
      </c>
      <c r="D128" s="81" t="n">
        <v>45748</v>
      </c>
      <c r="E128" s="82" t="n">
        <v>285956.83</v>
      </c>
      <c r="F128" s="80" t="n">
        <v>19</v>
      </c>
      <c r="G128" s="79" t="s">
        <v>390</v>
      </c>
    </row>
    <row r="129" customFormat="false" ht="15" hidden="false" customHeight="false" outlineLevel="0" collapsed="false">
      <c r="A129" s="79" t="s">
        <v>79</v>
      </c>
      <c r="B129" s="79" t="s">
        <v>1098</v>
      </c>
      <c r="C129" s="80" t="n">
        <v>202503</v>
      </c>
      <c r="D129" s="81" t="n">
        <v>45717</v>
      </c>
      <c r="E129" s="82" t="n">
        <v>260008.796</v>
      </c>
      <c r="F129" s="80" t="n">
        <v>20</v>
      </c>
      <c r="G129" s="79" t="s">
        <v>391</v>
      </c>
    </row>
    <row r="130" customFormat="false" ht="15" hidden="false" customHeight="false" outlineLevel="0" collapsed="false">
      <c r="A130" s="79" t="s">
        <v>79</v>
      </c>
      <c r="B130" s="79" t="s">
        <v>1099</v>
      </c>
      <c r="C130" s="80" t="n">
        <v>202502</v>
      </c>
      <c r="D130" s="81" t="n">
        <v>45689</v>
      </c>
      <c r="E130" s="82" t="n">
        <v>293288.038</v>
      </c>
      <c r="F130" s="80" t="n">
        <v>21</v>
      </c>
      <c r="G130" s="79" t="s">
        <v>392</v>
      </c>
    </row>
    <row r="131" customFormat="false" ht="15" hidden="false" customHeight="false" outlineLevel="0" collapsed="false">
      <c r="A131" s="79" t="s">
        <v>79</v>
      </c>
      <c r="B131" s="79" t="s">
        <v>1100</v>
      </c>
      <c r="C131" s="80" t="n">
        <v>202501</v>
      </c>
      <c r="D131" s="81" t="n">
        <v>45658</v>
      </c>
      <c r="E131" s="82" t="n">
        <v>278163.107</v>
      </c>
      <c r="F131" s="80" t="n">
        <v>22</v>
      </c>
      <c r="G131" s="79" t="s">
        <v>393</v>
      </c>
    </row>
    <row r="132" customFormat="false" ht="15" hidden="false" customHeight="false" outlineLevel="0" collapsed="false">
      <c r="A132" s="79" t="s">
        <v>79</v>
      </c>
      <c r="B132" s="79" t="s">
        <v>1101</v>
      </c>
      <c r="C132" s="80" t="n">
        <v>202412</v>
      </c>
      <c r="D132" s="81" t="n">
        <v>45627</v>
      </c>
      <c r="E132" s="82" t="n">
        <v>276058.358</v>
      </c>
      <c r="F132" s="80" t="n">
        <v>23</v>
      </c>
      <c r="G132" s="79" t="s">
        <v>394</v>
      </c>
    </row>
    <row r="133" customFormat="false" ht="15" hidden="false" customHeight="false" outlineLevel="0" collapsed="false">
      <c r="A133" s="79" t="s">
        <v>79</v>
      </c>
      <c r="B133" s="79" t="s">
        <v>1102</v>
      </c>
      <c r="C133" s="80" t="n">
        <v>202411</v>
      </c>
      <c r="D133" s="81" t="n">
        <v>45597</v>
      </c>
      <c r="E133" s="82" t="n">
        <v>314239.713</v>
      </c>
      <c r="F133" s="80" t="n">
        <v>24</v>
      </c>
      <c r="G133" s="79" t="s">
        <v>395</v>
      </c>
    </row>
    <row r="134" customFormat="false" ht="15" hidden="false" customHeight="false" outlineLevel="0" collapsed="false">
      <c r="A134" s="79" t="s">
        <v>79</v>
      </c>
      <c r="B134" s="79" t="s">
        <v>1103</v>
      </c>
      <c r="C134" s="80" t="n">
        <v>202410</v>
      </c>
      <c r="D134" s="81" t="n">
        <v>45566</v>
      </c>
      <c r="E134" s="82" t="n">
        <v>251872.717</v>
      </c>
      <c r="F134" s="80" t="n">
        <v>25</v>
      </c>
      <c r="G134" s="79" t="s">
        <v>1151</v>
      </c>
    </row>
    <row r="135" customFormat="false" ht="15" hidden="false" customHeight="false" outlineLevel="0" collapsed="false">
      <c r="A135" s="79" t="s">
        <v>79</v>
      </c>
      <c r="B135" s="79" t="s">
        <v>1105</v>
      </c>
      <c r="C135" s="80" t="n">
        <v>202409</v>
      </c>
      <c r="D135" s="81" t="n">
        <v>45536</v>
      </c>
      <c r="E135" s="82" t="n">
        <v>250866.368</v>
      </c>
      <c r="F135" s="80" t="n">
        <v>26</v>
      </c>
      <c r="G135" s="79" t="s">
        <v>1152</v>
      </c>
    </row>
    <row r="136" customFormat="false" ht="15" hidden="false" customHeight="false" outlineLevel="0" collapsed="false">
      <c r="A136" s="79" t="s">
        <v>79</v>
      </c>
      <c r="B136" s="79" t="s">
        <v>1107</v>
      </c>
      <c r="C136" s="80" t="n">
        <v>202408</v>
      </c>
      <c r="D136" s="81" t="n">
        <v>45505</v>
      </c>
      <c r="E136" s="82" t="n">
        <v>256953.058</v>
      </c>
      <c r="F136" s="80" t="n">
        <v>27</v>
      </c>
      <c r="G136" s="79" t="s">
        <v>1153</v>
      </c>
    </row>
    <row r="137" customFormat="false" ht="15" hidden="false" customHeight="false" outlineLevel="0" collapsed="false">
      <c r="A137" s="79" t="s">
        <v>79</v>
      </c>
      <c r="B137" s="79" t="s">
        <v>1109</v>
      </c>
      <c r="C137" s="80" t="n">
        <v>202407</v>
      </c>
      <c r="D137" s="81" t="n">
        <v>45474</v>
      </c>
      <c r="E137" s="82" t="n">
        <v>207868.693</v>
      </c>
      <c r="F137" s="80" t="n">
        <v>28</v>
      </c>
      <c r="G137" s="79" t="s">
        <v>1154</v>
      </c>
    </row>
    <row r="138" customFormat="false" ht="15" hidden="false" customHeight="false" outlineLevel="0" collapsed="false">
      <c r="A138" s="79" t="s">
        <v>79</v>
      </c>
      <c r="B138" s="79" t="s">
        <v>1111</v>
      </c>
      <c r="C138" s="80" t="n">
        <v>202406</v>
      </c>
      <c r="D138" s="81" t="n">
        <v>45444</v>
      </c>
      <c r="E138" s="82" t="n">
        <v>229620.372</v>
      </c>
      <c r="F138" s="80" t="n">
        <v>29</v>
      </c>
      <c r="G138" s="79" t="s">
        <v>1155</v>
      </c>
    </row>
    <row r="139" customFormat="false" ht="15" hidden="false" customHeight="false" outlineLevel="0" collapsed="false">
      <c r="A139" s="79" t="s">
        <v>79</v>
      </c>
      <c r="B139" s="79" t="s">
        <v>1113</v>
      </c>
      <c r="C139" s="80" t="n">
        <v>202405</v>
      </c>
      <c r="D139" s="81" t="n">
        <v>45413</v>
      </c>
      <c r="E139" s="82" t="n">
        <v>236021.112</v>
      </c>
      <c r="F139" s="80" t="n">
        <v>30</v>
      </c>
      <c r="G139" s="79" t="s">
        <v>1156</v>
      </c>
    </row>
    <row r="140" customFormat="false" ht="15" hidden="false" customHeight="false" outlineLevel="0" collapsed="false">
      <c r="A140" s="79" t="s">
        <v>79</v>
      </c>
      <c r="B140" s="79" t="s">
        <v>1115</v>
      </c>
      <c r="C140" s="80" t="n">
        <v>202404</v>
      </c>
      <c r="D140" s="81" t="n">
        <v>45383</v>
      </c>
      <c r="E140" s="82" t="n">
        <v>195210.804</v>
      </c>
      <c r="F140" s="80" t="n">
        <v>31</v>
      </c>
      <c r="G140" s="79" t="s">
        <v>1157</v>
      </c>
    </row>
    <row r="141" customFormat="false" ht="15" hidden="false" customHeight="false" outlineLevel="0" collapsed="false">
      <c r="A141" s="79" t="s">
        <v>79</v>
      </c>
      <c r="B141" s="79" t="s">
        <v>1117</v>
      </c>
      <c r="C141" s="80" t="n">
        <v>202403</v>
      </c>
      <c r="D141" s="81" t="n">
        <v>45352</v>
      </c>
      <c r="E141" s="82" t="n">
        <v>181648.27</v>
      </c>
      <c r="F141" s="80" t="n">
        <v>32</v>
      </c>
      <c r="G141" s="79" t="s">
        <v>1158</v>
      </c>
    </row>
    <row r="142" customFormat="false" ht="15" hidden="false" customHeight="false" outlineLevel="0" collapsed="false">
      <c r="A142" s="79" t="s">
        <v>79</v>
      </c>
      <c r="B142" s="79" t="s">
        <v>1119</v>
      </c>
      <c r="C142" s="80" t="n">
        <v>202402</v>
      </c>
      <c r="D142" s="81" t="n">
        <v>45323</v>
      </c>
      <c r="E142" s="82" t="n">
        <v>215785.127</v>
      </c>
      <c r="F142" s="80" t="n">
        <v>33</v>
      </c>
      <c r="G142" s="79" t="s">
        <v>1159</v>
      </c>
    </row>
    <row r="143" customFormat="false" ht="15" hidden="false" customHeight="false" outlineLevel="0" collapsed="false">
      <c r="A143" s="79" t="s">
        <v>79</v>
      </c>
      <c r="B143" s="79" t="s">
        <v>1121</v>
      </c>
      <c r="C143" s="80" t="n">
        <v>202401</v>
      </c>
      <c r="D143" s="81" t="n">
        <v>45292</v>
      </c>
      <c r="E143" s="82" t="n">
        <v>176299.866</v>
      </c>
      <c r="F143" s="80" t="n">
        <v>34</v>
      </c>
      <c r="G143" s="79" t="s">
        <v>1160</v>
      </c>
    </row>
    <row r="144" customFormat="false" ht="15" hidden="false" customHeight="false" outlineLevel="0" collapsed="false">
      <c r="A144" s="79" t="s">
        <v>79</v>
      </c>
      <c r="B144" s="79" t="s">
        <v>1123</v>
      </c>
      <c r="C144" s="80" t="n">
        <v>202312</v>
      </c>
      <c r="D144" s="81" t="n">
        <v>45261</v>
      </c>
      <c r="E144" s="82" t="n">
        <v>206026.179</v>
      </c>
      <c r="F144" s="80" t="n">
        <v>35</v>
      </c>
      <c r="G144" s="79" t="s">
        <v>1161</v>
      </c>
    </row>
    <row r="145" customFormat="false" ht="15" hidden="false" customHeight="false" outlineLevel="0" collapsed="false">
      <c r="A145" s="79" t="s">
        <v>79</v>
      </c>
      <c r="B145" s="79" t="s">
        <v>1125</v>
      </c>
      <c r="C145" s="80" t="n">
        <v>202311</v>
      </c>
      <c r="D145" s="81" t="n">
        <v>45231</v>
      </c>
      <c r="E145" s="82" t="n">
        <v>243202.811</v>
      </c>
      <c r="F145" s="80" t="n">
        <v>36</v>
      </c>
      <c r="G145" s="79" t="s">
        <v>1162</v>
      </c>
    </row>
    <row r="146" customFormat="false" ht="15" hidden="false" customHeight="false" outlineLevel="0" collapsed="false">
      <c r="A146" s="79" t="s">
        <v>236</v>
      </c>
      <c r="B146" s="79" t="s">
        <v>1079</v>
      </c>
      <c r="C146" s="80" t="n">
        <v>202610</v>
      </c>
      <c r="D146" s="81" t="n">
        <v>46296</v>
      </c>
      <c r="E146" s="82" t="n">
        <v>28248.909</v>
      </c>
      <c r="F146" s="80" t="n">
        <v>1</v>
      </c>
      <c r="G146" s="79" t="s">
        <v>397</v>
      </c>
    </row>
    <row r="147" customFormat="false" ht="15" hidden="false" customHeight="false" outlineLevel="0" collapsed="false">
      <c r="A147" s="79" t="s">
        <v>236</v>
      </c>
      <c r="B147" s="79" t="s">
        <v>1080</v>
      </c>
      <c r="C147" s="80" t="n">
        <v>202609</v>
      </c>
      <c r="D147" s="81" t="n">
        <v>46266</v>
      </c>
      <c r="E147" s="82" t="n">
        <v>27308.717</v>
      </c>
      <c r="F147" s="80" t="n">
        <v>2</v>
      </c>
      <c r="G147" s="79" t="s">
        <v>398</v>
      </c>
    </row>
    <row r="148" customFormat="false" ht="15" hidden="false" customHeight="false" outlineLevel="0" collapsed="false">
      <c r="A148" s="79" t="s">
        <v>236</v>
      </c>
      <c r="B148" s="79" t="s">
        <v>1081</v>
      </c>
      <c r="C148" s="80" t="n">
        <v>202608</v>
      </c>
      <c r="D148" s="81" t="n">
        <v>46235</v>
      </c>
      <c r="E148" s="82" t="n">
        <v>26773.179</v>
      </c>
      <c r="F148" s="80" t="n">
        <v>3</v>
      </c>
      <c r="G148" s="79" t="s">
        <v>399</v>
      </c>
    </row>
    <row r="149" customFormat="false" ht="15" hidden="false" customHeight="false" outlineLevel="0" collapsed="false">
      <c r="A149" s="79" t="s">
        <v>236</v>
      </c>
      <c r="B149" s="79" t="s">
        <v>1082</v>
      </c>
      <c r="C149" s="80" t="n">
        <v>202607</v>
      </c>
      <c r="D149" s="81" t="n">
        <v>46204</v>
      </c>
      <c r="E149" s="82" t="n">
        <v>20596.799</v>
      </c>
      <c r="F149" s="80" t="n">
        <v>4</v>
      </c>
      <c r="G149" s="79" t="s">
        <v>400</v>
      </c>
    </row>
    <row r="150" customFormat="false" ht="15" hidden="false" customHeight="false" outlineLevel="0" collapsed="false">
      <c r="A150" s="79" t="s">
        <v>236</v>
      </c>
      <c r="B150" s="79" t="s">
        <v>1083</v>
      </c>
      <c r="C150" s="80" t="n">
        <v>202606</v>
      </c>
      <c r="D150" s="81" t="n">
        <v>46174</v>
      </c>
      <c r="E150" s="82" t="n">
        <v>20001.444</v>
      </c>
      <c r="F150" s="80" t="n">
        <v>5</v>
      </c>
      <c r="G150" s="79" t="s">
        <v>401</v>
      </c>
    </row>
    <row r="151" customFormat="false" ht="15" hidden="false" customHeight="false" outlineLevel="0" collapsed="false">
      <c r="A151" s="79" t="s">
        <v>236</v>
      </c>
      <c r="B151" s="79" t="s">
        <v>1084</v>
      </c>
      <c r="C151" s="80" t="n">
        <v>202605</v>
      </c>
      <c r="D151" s="81" t="n">
        <v>46143</v>
      </c>
      <c r="E151" s="82" t="n">
        <v>19245.022</v>
      </c>
      <c r="F151" s="80" t="n">
        <v>6</v>
      </c>
      <c r="G151" s="79" t="s">
        <v>402</v>
      </c>
    </row>
    <row r="152" customFormat="false" ht="15" hidden="false" customHeight="false" outlineLevel="0" collapsed="false">
      <c r="A152" s="79" t="s">
        <v>236</v>
      </c>
      <c r="B152" s="79" t="s">
        <v>1085</v>
      </c>
      <c r="C152" s="80" t="n">
        <v>202604</v>
      </c>
      <c r="D152" s="81" t="n">
        <v>46113</v>
      </c>
      <c r="E152" s="82" t="n">
        <v>14501.399</v>
      </c>
      <c r="F152" s="80" t="n">
        <v>7</v>
      </c>
      <c r="G152" s="79" t="s">
        <v>403</v>
      </c>
    </row>
    <row r="153" customFormat="false" ht="15" hidden="false" customHeight="false" outlineLevel="0" collapsed="false">
      <c r="A153" s="79" t="s">
        <v>236</v>
      </c>
      <c r="B153" s="79" t="s">
        <v>1086</v>
      </c>
      <c r="C153" s="80" t="n">
        <v>202603</v>
      </c>
      <c r="D153" s="81" t="n">
        <v>46082</v>
      </c>
      <c r="E153" s="82" t="n">
        <v>11973.254</v>
      </c>
      <c r="F153" s="80" t="n">
        <v>8</v>
      </c>
      <c r="G153" s="79" t="s">
        <v>404</v>
      </c>
    </row>
    <row r="154" customFormat="false" ht="15" hidden="false" customHeight="false" outlineLevel="0" collapsed="false">
      <c r="A154" s="79" t="s">
        <v>236</v>
      </c>
      <c r="B154" s="79" t="s">
        <v>1087</v>
      </c>
      <c r="C154" s="80" t="n">
        <v>202602</v>
      </c>
      <c r="D154" s="81" t="n">
        <v>46054</v>
      </c>
      <c r="E154" s="82" t="n">
        <v>11778.411</v>
      </c>
      <c r="F154" s="80" t="n">
        <v>9</v>
      </c>
      <c r="G154" s="79" t="s">
        <v>405</v>
      </c>
    </row>
    <row r="155" customFormat="false" ht="15" hidden="false" customHeight="false" outlineLevel="0" collapsed="false">
      <c r="A155" s="79" t="s">
        <v>236</v>
      </c>
      <c r="B155" s="79" t="s">
        <v>1088</v>
      </c>
      <c r="C155" s="80" t="n">
        <v>202601</v>
      </c>
      <c r="D155" s="81" t="n">
        <v>46023</v>
      </c>
      <c r="E155" s="82" t="n">
        <v>9770.303</v>
      </c>
      <c r="F155" s="80" t="n">
        <v>10</v>
      </c>
      <c r="G155" s="79" t="s">
        <v>406</v>
      </c>
    </row>
    <row r="156" customFormat="false" ht="15" hidden="false" customHeight="false" outlineLevel="0" collapsed="false">
      <c r="A156" s="79" t="s">
        <v>236</v>
      </c>
      <c r="B156" s="79" t="s">
        <v>1089</v>
      </c>
      <c r="C156" s="80" t="n">
        <v>202512</v>
      </c>
      <c r="D156" s="81" t="n">
        <v>45992</v>
      </c>
      <c r="E156" s="82" t="n">
        <v>8629.567</v>
      </c>
      <c r="F156" s="80" t="n">
        <v>11</v>
      </c>
      <c r="G156" s="79" t="s">
        <v>407</v>
      </c>
    </row>
    <row r="157" customFormat="false" ht="15" hidden="false" customHeight="false" outlineLevel="0" collapsed="false">
      <c r="A157" s="79" t="s">
        <v>236</v>
      </c>
      <c r="B157" s="79" t="s">
        <v>1090</v>
      </c>
      <c r="C157" s="80" t="n">
        <v>202511</v>
      </c>
      <c r="D157" s="81" t="n">
        <v>45962</v>
      </c>
      <c r="E157" s="82" t="n">
        <v>8225.204</v>
      </c>
      <c r="F157" s="80" t="n">
        <v>12</v>
      </c>
      <c r="G157" s="79" t="s">
        <v>408</v>
      </c>
    </row>
    <row r="158" customFormat="false" ht="15" hidden="false" customHeight="false" outlineLevel="0" collapsed="false">
      <c r="A158" s="79" t="s">
        <v>236</v>
      </c>
      <c r="B158" s="79" t="s">
        <v>1091</v>
      </c>
      <c r="C158" s="80" t="n">
        <v>202510</v>
      </c>
      <c r="D158" s="81" t="n">
        <v>45931</v>
      </c>
      <c r="E158" s="82" t="n">
        <v>7920.21</v>
      </c>
      <c r="F158" s="80" t="n">
        <v>13</v>
      </c>
      <c r="G158" s="79" t="s">
        <v>409</v>
      </c>
    </row>
    <row r="159" customFormat="false" ht="15" hidden="false" customHeight="false" outlineLevel="0" collapsed="false">
      <c r="A159" s="79" t="s">
        <v>236</v>
      </c>
      <c r="B159" s="79" t="s">
        <v>1092</v>
      </c>
      <c r="C159" s="80" t="n">
        <v>202509</v>
      </c>
      <c r="D159" s="81" t="n">
        <v>45901</v>
      </c>
      <c r="E159" s="82" t="n">
        <v>7012.528</v>
      </c>
      <c r="F159" s="80" t="n">
        <v>14</v>
      </c>
      <c r="G159" s="79" t="s">
        <v>410</v>
      </c>
    </row>
    <row r="160" customFormat="false" ht="15" hidden="false" customHeight="false" outlineLevel="0" collapsed="false">
      <c r="A160" s="79" t="s">
        <v>236</v>
      </c>
      <c r="B160" s="79" t="s">
        <v>1093</v>
      </c>
      <c r="C160" s="80" t="n">
        <v>202508</v>
      </c>
      <c r="D160" s="81" t="n">
        <v>45870</v>
      </c>
      <c r="E160" s="82" t="n">
        <v>6837.785</v>
      </c>
      <c r="F160" s="80" t="n">
        <v>15</v>
      </c>
      <c r="G160" s="79" t="s">
        <v>411</v>
      </c>
    </row>
    <row r="161" customFormat="false" ht="15" hidden="false" customHeight="false" outlineLevel="0" collapsed="false">
      <c r="A161" s="79" t="s">
        <v>236</v>
      </c>
      <c r="B161" s="79" t="s">
        <v>1094</v>
      </c>
      <c r="C161" s="80" t="n">
        <v>202507</v>
      </c>
      <c r="D161" s="81" t="n">
        <v>45839</v>
      </c>
      <c r="E161" s="82" t="n">
        <v>7105.364</v>
      </c>
      <c r="F161" s="80" t="n">
        <v>16</v>
      </c>
      <c r="G161" s="79" t="s">
        <v>412</v>
      </c>
    </row>
    <row r="162" customFormat="false" ht="15" hidden="false" customHeight="false" outlineLevel="0" collapsed="false">
      <c r="A162" s="79" t="s">
        <v>236</v>
      </c>
      <c r="B162" s="79" t="s">
        <v>1095</v>
      </c>
      <c r="C162" s="80" t="n">
        <v>202506</v>
      </c>
      <c r="D162" s="81" t="n">
        <v>45809</v>
      </c>
      <c r="E162" s="82" t="n">
        <v>7093.516</v>
      </c>
      <c r="F162" s="80" t="n">
        <v>17</v>
      </c>
      <c r="G162" s="79" t="s">
        <v>413</v>
      </c>
    </row>
    <row r="163" customFormat="false" ht="15" hidden="false" customHeight="false" outlineLevel="0" collapsed="false">
      <c r="A163" s="79" t="s">
        <v>236</v>
      </c>
      <c r="B163" s="79" t="s">
        <v>1096</v>
      </c>
      <c r="C163" s="80" t="n">
        <v>202505</v>
      </c>
      <c r="D163" s="81" t="n">
        <v>45778</v>
      </c>
      <c r="E163" s="82" t="n">
        <v>6819.077</v>
      </c>
      <c r="F163" s="80" t="n">
        <v>18</v>
      </c>
      <c r="G163" s="79" t="s">
        <v>414</v>
      </c>
    </row>
    <row r="164" customFormat="false" ht="15" hidden="false" customHeight="false" outlineLevel="0" collapsed="false">
      <c r="A164" s="79" t="s">
        <v>236</v>
      </c>
      <c r="B164" s="79" t="s">
        <v>1097</v>
      </c>
      <c r="C164" s="80" t="n">
        <v>202504</v>
      </c>
      <c r="D164" s="81" t="n">
        <v>45748</v>
      </c>
      <c r="E164" s="82" t="n">
        <v>7572.802</v>
      </c>
      <c r="F164" s="80" t="n">
        <v>19</v>
      </c>
      <c r="G164" s="79" t="s">
        <v>415</v>
      </c>
    </row>
    <row r="165" customFormat="false" ht="15" hidden="false" customHeight="false" outlineLevel="0" collapsed="false">
      <c r="A165" s="79" t="s">
        <v>236</v>
      </c>
      <c r="B165" s="79" t="s">
        <v>1098</v>
      </c>
      <c r="C165" s="80" t="n">
        <v>202503</v>
      </c>
      <c r="D165" s="81" t="n">
        <v>45717</v>
      </c>
      <c r="E165" s="82" t="n">
        <v>6353.503</v>
      </c>
      <c r="F165" s="80" t="n">
        <v>20</v>
      </c>
      <c r="G165" s="79" t="s">
        <v>416</v>
      </c>
    </row>
    <row r="166" customFormat="false" ht="15" hidden="false" customHeight="false" outlineLevel="0" collapsed="false">
      <c r="A166" s="79" t="s">
        <v>236</v>
      </c>
      <c r="B166" s="79" t="s">
        <v>1099</v>
      </c>
      <c r="C166" s="80" t="n">
        <v>202502</v>
      </c>
      <c r="D166" s="81" t="n">
        <v>45689</v>
      </c>
      <c r="E166" s="82" t="n">
        <v>6066.312</v>
      </c>
      <c r="F166" s="80" t="n">
        <v>21</v>
      </c>
      <c r="G166" s="79" t="s">
        <v>417</v>
      </c>
    </row>
    <row r="167" customFormat="false" ht="15" hidden="false" customHeight="false" outlineLevel="0" collapsed="false">
      <c r="A167" s="79" t="s">
        <v>236</v>
      </c>
      <c r="B167" s="79" t="s">
        <v>1100</v>
      </c>
      <c r="C167" s="80" t="n">
        <v>202501</v>
      </c>
      <c r="D167" s="81" t="n">
        <v>45658</v>
      </c>
      <c r="E167" s="82" t="n">
        <v>6372.253</v>
      </c>
      <c r="F167" s="80" t="n">
        <v>22</v>
      </c>
      <c r="G167" s="79" t="s">
        <v>418</v>
      </c>
    </row>
    <row r="168" customFormat="false" ht="15" hidden="false" customHeight="false" outlineLevel="0" collapsed="false">
      <c r="A168" s="79" t="s">
        <v>236</v>
      </c>
      <c r="B168" s="79" t="s">
        <v>1101</v>
      </c>
      <c r="C168" s="80" t="n">
        <v>202412</v>
      </c>
      <c r="D168" s="81" t="n">
        <v>45627</v>
      </c>
      <c r="E168" s="82" t="n">
        <v>6221.805</v>
      </c>
      <c r="F168" s="80" t="n">
        <v>23</v>
      </c>
      <c r="G168" s="79" t="s">
        <v>419</v>
      </c>
    </row>
    <row r="169" customFormat="false" ht="15" hidden="false" customHeight="false" outlineLevel="0" collapsed="false">
      <c r="A169" s="79" t="s">
        <v>236</v>
      </c>
      <c r="B169" s="79" t="s">
        <v>1102</v>
      </c>
      <c r="C169" s="80" t="n">
        <v>202411</v>
      </c>
      <c r="D169" s="81" t="n">
        <v>45597</v>
      </c>
      <c r="E169" s="82" t="n">
        <v>6097.945</v>
      </c>
      <c r="F169" s="80" t="n">
        <v>24</v>
      </c>
      <c r="G169" s="79" t="s">
        <v>420</v>
      </c>
    </row>
    <row r="170" customFormat="false" ht="15" hidden="false" customHeight="false" outlineLevel="0" collapsed="false">
      <c r="A170" s="79" t="s">
        <v>236</v>
      </c>
      <c r="B170" s="79" t="s">
        <v>1103</v>
      </c>
      <c r="C170" s="80" t="n">
        <v>202410</v>
      </c>
      <c r="D170" s="81" t="n">
        <v>45566</v>
      </c>
      <c r="E170" s="82" t="n">
        <v>7231.483</v>
      </c>
      <c r="F170" s="80" t="n">
        <v>25</v>
      </c>
      <c r="G170" s="79" t="s">
        <v>1163</v>
      </c>
    </row>
    <row r="171" customFormat="false" ht="15" hidden="false" customHeight="false" outlineLevel="0" collapsed="false">
      <c r="A171" s="79" t="s">
        <v>236</v>
      </c>
      <c r="B171" s="79" t="s">
        <v>1105</v>
      </c>
      <c r="C171" s="80" t="n">
        <v>202409</v>
      </c>
      <c r="D171" s="81" t="n">
        <v>45536</v>
      </c>
      <c r="E171" s="82" t="n">
        <v>6997.545</v>
      </c>
      <c r="F171" s="80" t="n">
        <v>26</v>
      </c>
      <c r="G171" s="79" t="s">
        <v>1164</v>
      </c>
    </row>
    <row r="172" customFormat="false" ht="15" hidden="false" customHeight="false" outlineLevel="0" collapsed="false">
      <c r="A172" s="79" t="s">
        <v>236</v>
      </c>
      <c r="B172" s="79" t="s">
        <v>1107</v>
      </c>
      <c r="C172" s="80" t="n">
        <v>202408</v>
      </c>
      <c r="D172" s="81" t="n">
        <v>45505</v>
      </c>
      <c r="E172" s="82" t="n">
        <v>7083.403</v>
      </c>
      <c r="F172" s="80" t="n">
        <v>27</v>
      </c>
      <c r="G172" s="79" t="s">
        <v>1165</v>
      </c>
    </row>
    <row r="173" customFormat="false" ht="15" hidden="false" customHeight="false" outlineLevel="0" collapsed="false">
      <c r="A173" s="79" t="s">
        <v>236</v>
      </c>
      <c r="B173" s="79" t="s">
        <v>1109</v>
      </c>
      <c r="C173" s="80" t="n">
        <v>202407</v>
      </c>
      <c r="D173" s="81" t="n">
        <v>45474</v>
      </c>
      <c r="E173" s="82" t="n">
        <v>7377.553</v>
      </c>
      <c r="F173" s="80" t="n">
        <v>28</v>
      </c>
      <c r="G173" s="79" t="s">
        <v>1166</v>
      </c>
    </row>
    <row r="174" customFormat="false" ht="15" hidden="false" customHeight="false" outlineLevel="0" collapsed="false">
      <c r="A174" s="79" t="s">
        <v>236</v>
      </c>
      <c r="B174" s="79" t="s">
        <v>1111</v>
      </c>
      <c r="C174" s="80" t="n">
        <v>202406</v>
      </c>
      <c r="D174" s="81" t="n">
        <v>45444</v>
      </c>
      <c r="E174" s="82" t="n">
        <v>7125.163</v>
      </c>
      <c r="F174" s="80" t="n">
        <v>29</v>
      </c>
      <c r="G174" s="79" t="s">
        <v>1167</v>
      </c>
    </row>
    <row r="175" customFormat="false" ht="15" hidden="false" customHeight="false" outlineLevel="0" collapsed="false">
      <c r="A175" s="79" t="s">
        <v>236</v>
      </c>
      <c r="B175" s="79" t="s">
        <v>1113</v>
      </c>
      <c r="C175" s="80" t="n">
        <v>202405</v>
      </c>
      <c r="D175" s="81" t="n">
        <v>45413</v>
      </c>
      <c r="E175" s="82" t="n">
        <v>6981.267</v>
      </c>
      <c r="F175" s="80" t="n">
        <v>30</v>
      </c>
      <c r="G175" s="79" t="s">
        <v>1168</v>
      </c>
    </row>
    <row r="176" customFormat="false" ht="15" hidden="false" customHeight="false" outlineLevel="0" collapsed="false">
      <c r="A176" s="79" t="s">
        <v>236</v>
      </c>
      <c r="B176" s="79" t="s">
        <v>1115</v>
      </c>
      <c r="C176" s="80" t="n">
        <v>202404</v>
      </c>
      <c r="D176" s="81" t="n">
        <v>45383</v>
      </c>
      <c r="E176" s="82" t="n">
        <v>7511.33</v>
      </c>
      <c r="F176" s="80" t="n">
        <v>31</v>
      </c>
      <c r="G176" s="79" t="s">
        <v>1169</v>
      </c>
    </row>
    <row r="177" customFormat="false" ht="15" hidden="false" customHeight="false" outlineLevel="0" collapsed="false">
      <c r="A177" s="79" t="s">
        <v>236</v>
      </c>
      <c r="B177" s="79" t="s">
        <v>1117</v>
      </c>
      <c r="C177" s="80" t="n">
        <v>202403</v>
      </c>
      <c r="D177" s="81" t="n">
        <v>45352</v>
      </c>
      <c r="E177" s="82" t="n">
        <v>6207.435</v>
      </c>
      <c r="F177" s="80" t="n">
        <v>32</v>
      </c>
      <c r="G177" s="79" t="s">
        <v>1170</v>
      </c>
    </row>
    <row r="178" customFormat="false" ht="15" hidden="false" customHeight="false" outlineLevel="0" collapsed="false">
      <c r="A178" s="79" t="s">
        <v>236</v>
      </c>
      <c r="B178" s="79" t="s">
        <v>1119</v>
      </c>
      <c r="C178" s="80" t="n">
        <v>202402</v>
      </c>
      <c r="D178" s="81" t="n">
        <v>45323</v>
      </c>
      <c r="E178" s="82" t="n">
        <v>6402.586</v>
      </c>
      <c r="F178" s="80" t="n">
        <v>33</v>
      </c>
      <c r="G178" s="79" t="s">
        <v>1171</v>
      </c>
    </row>
    <row r="179" customFormat="false" ht="15" hidden="false" customHeight="false" outlineLevel="0" collapsed="false">
      <c r="A179" s="79" t="s">
        <v>236</v>
      </c>
      <c r="B179" s="79" t="s">
        <v>1121</v>
      </c>
      <c r="C179" s="80" t="n">
        <v>202401</v>
      </c>
      <c r="D179" s="81" t="n">
        <v>45292</v>
      </c>
      <c r="E179" s="82" t="n">
        <v>6507.308</v>
      </c>
      <c r="F179" s="80" t="n">
        <v>34</v>
      </c>
      <c r="G179" s="79" t="s">
        <v>1172</v>
      </c>
    </row>
    <row r="180" customFormat="false" ht="15" hidden="false" customHeight="false" outlineLevel="0" collapsed="false">
      <c r="A180" s="79" t="s">
        <v>236</v>
      </c>
      <c r="B180" s="79" t="s">
        <v>1123</v>
      </c>
      <c r="C180" s="80" t="n">
        <v>202312</v>
      </c>
      <c r="D180" s="81" t="n">
        <v>45261</v>
      </c>
      <c r="E180" s="82" t="n">
        <v>6368.389</v>
      </c>
      <c r="F180" s="80" t="n">
        <v>35</v>
      </c>
      <c r="G180" s="79" t="s">
        <v>1173</v>
      </c>
    </row>
    <row r="181" customFormat="false" ht="15" hidden="false" customHeight="false" outlineLevel="0" collapsed="false">
      <c r="A181" s="79" t="s">
        <v>236</v>
      </c>
      <c r="B181" s="79" t="s">
        <v>1125</v>
      </c>
      <c r="C181" s="80" t="n">
        <v>202311</v>
      </c>
      <c r="D181" s="81" t="n">
        <v>45231</v>
      </c>
      <c r="E181" s="82" t="n">
        <v>6297.972</v>
      </c>
      <c r="F181" s="80" t="n">
        <v>36</v>
      </c>
      <c r="G181" s="79" t="s">
        <v>1174</v>
      </c>
    </row>
    <row r="182" customFormat="false" ht="15" hidden="false" customHeight="false" outlineLevel="0" collapsed="false">
      <c r="A182" s="79" t="s">
        <v>205</v>
      </c>
      <c r="B182" s="79" t="s">
        <v>1079</v>
      </c>
      <c r="C182" s="80" t="n">
        <v>202610</v>
      </c>
      <c r="D182" s="81" t="n">
        <v>46296</v>
      </c>
      <c r="E182" s="82" t="n">
        <v>63099.342</v>
      </c>
      <c r="F182" s="80" t="n">
        <v>1</v>
      </c>
      <c r="G182" s="79" t="s">
        <v>422</v>
      </c>
    </row>
    <row r="183" customFormat="false" ht="15" hidden="false" customHeight="false" outlineLevel="0" collapsed="false">
      <c r="A183" s="79" t="s">
        <v>205</v>
      </c>
      <c r="B183" s="79" t="s">
        <v>1080</v>
      </c>
      <c r="C183" s="80" t="n">
        <v>202609</v>
      </c>
      <c r="D183" s="81" t="n">
        <v>46266</v>
      </c>
      <c r="E183" s="82" t="n">
        <v>47400.848</v>
      </c>
      <c r="F183" s="80" t="n">
        <v>2</v>
      </c>
      <c r="G183" s="79" t="s">
        <v>423</v>
      </c>
    </row>
    <row r="184" customFormat="false" ht="15" hidden="false" customHeight="false" outlineLevel="0" collapsed="false">
      <c r="A184" s="79" t="s">
        <v>205</v>
      </c>
      <c r="B184" s="79" t="s">
        <v>1081</v>
      </c>
      <c r="C184" s="80" t="n">
        <v>202608</v>
      </c>
      <c r="D184" s="81" t="n">
        <v>46235</v>
      </c>
      <c r="E184" s="82" t="n">
        <v>44213.037</v>
      </c>
      <c r="F184" s="80" t="n">
        <v>3</v>
      </c>
      <c r="G184" s="79" t="s">
        <v>424</v>
      </c>
    </row>
    <row r="185" customFormat="false" ht="15" hidden="false" customHeight="false" outlineLevel="0" collapsed="false">
      <c r="A185" s="79" t="s">
        <v>205</v>
      </c>
      <c r="B185" s="79" t="s">
        <v>1082</v>
      </c>
      <c r="C185" s="80" t="n">
        <v>202607</v>
      </c>
      <c r="D185" s="81" t="n">
        <v>46204</v>
      </c>
      <c r="E185" s="82" t="n">
        <v>42892.46</v>
      </c>
      <c r="F185" s="80" t="n">
        <v>4</v>
      </c>
      <c r="G185" s="79" t="s">
        <v>425</v>
      </c>
    </row>
    <row r="186" customFormat="false" ht="15" hidden="false" customHeight="false" outlineLevel="0" collapsed="false">
      <c r="A186" s="79" t="s">
        <v>205</v>
      </c>
      <c r="B186" s="79" t="s">
        <v>1083</v>
      </c>
      <c r="C186" s="80" t="n">
        <v>202606</v>
      </c>
      <c r="D186" s="81" t="n">
        <v>46174</v>
      </c>
      <c r="E186" s="82" t="n">
        <v>49053.47</v>
      </c>
      <c r="F186" s="80" t="n">
        <v>5</v>
      </c>
      <c r="G186" s="79" t="s">
        <v>426</v>
      </c>
    </row>
    <row r="187" customFormat="false" ht="15" hidden="false" customHeight="false" outlineLevel="0" collapsed="false">
      <c r="A187" s="79" t="s">
        <v>205</v>
      </c>
      <c r="B187" s="79" t="s">
        <v>1084</v>
      </c>
      <c r="C187" s="80" t="n">
        <v>202605</v>
      </c>
      <c r="D187" s="81" t="n">
        <v>46143</v>
      </c>
      <c r="E187" s="82" t="n">
        <v>52267.73</v>
      </c>
      <c r="F187" s="80" t="n">
        <v>6</v>
      </c>
      <c r="G187" s="79" t="s">
        <v>427</v>
      </c>
    </row>
    <row r="188" customFormat="false" ht="15" hidden="false" customHeight="false" outlineLevel="0" collapsed="false">
      <c r="A188" s="79" t="s">
        <v>205</v>
      </c>
      <c r="B188" s="79" t="s">
        <v>1085</v>
      </c>
      <c r="C188" s="80" t="n">
        <v>202604</v>
      </c>
      <c r="D188" s="81" t="n">
        <v>46113</v>
      </c>
      <c r="E188" s="82" t="n">
        <v>39028.8</v>
      </c>
      <c r="F188" s="80" t="n">
        <v>7</v>
      </c>
      <c r="G188" s="79" t="s">
        <v>428</v>
      </c>
    </row>
    <row r="189" customFormat="false" ht="15" hidden="false" customHeight="false" outlineLevel="0" collapsed="false">
      <c r="A189" s="79" t="s">
        <v>205</v>
      </c>
      <c r="B189" s="79" t="s">
        <v>1086</v>
      </c>
      <c r="C189" s="80" t="n">
        <v>202603</v>
      </c>
      <c r="D189" s="81" t="n">
        <v>46082</v>
      </c>
      <c r="E189" s="82" t="n">
        <v>32908.194</v>
      </c>
      <c r="F189" s="80" t="n">
        <v>8</v>
      </c>
      <c r="G189" s="79" t="s">
        <v>429</v>
      </c>
    </row>
    <row r="190" customFormat="false" ht="15" hidden="false" customHeight="false" outlineLevel="0" collapsed="false">
      <c r="A190" s="79" t="s">
        <v>205</v>
      </c>
      <c r="B190" s="79" t="s">
        <v>1087</v>
      </c>
      <c r="C190" s="80" t="n">
        <v>202602</v>
      </c>
      <c r="D190" s="81" t="n">
        <v>46054</v>
      </c>
      <c r="E190" s="82" t="n">
        <v>33118.551</v>
      </c>
      <c r="F190" s="80" t="n">
        <v>9</v>
      </c>
      <c r="G190" s="79" t="s">
        <v>430</v>
      </c>
    </row>
    <row r="191" customFormat="false" ht="15" hidden="false" customHeight="false" outlineLevel="0" collapsed="false">
      <c r="A191" s="79" t="s">
        <v>205</v>
      </c>
      <c r="B191" s="79" t="s">
        <v>1088</v>
      </c>
      <c r="C191" s="80" t="n">
        <v>202601</v>
      </c>
      <c r="D191" s="81" t="n">
        <v>46023</v>
      </c>
      <c r="E191" s="82" t="n">
        <v>30306.21</v>
      </c>
      <c r="F191" s="80" t="n">
        <v>10</v>
      </c>
      <c r="G191" s="79" t="s">
        <v>431</v>
      </c>
    </row>
    <row r="192" customFormat="false" ht="15" hidden="false" customHeight="false" outlineLevel="0" collapsed="false">
      <c r="A192" s="79" t="s">
        <v>205</v>
      </c>
      <c r="B192" s="79" t="s">
        <v>1089</v>
      </c>
      <c r="C192" s="80" t="n">
        <v>202512</v>
      </c>
      <c r="D192" s="81" t="n">
        <v>45992</v>
      </c>
      <c r="E192" s="82" t="n">
        <v>30729.748</v>
      </c>
      <c r="F192" s="80" t="n">
        <v>11</v>
      </c>
      <c r="G192" s="79" t="s">
        <v>432</v>
      </c>
    </row>
    <row r="193" customFormat="false" ht="15" hidden="false" customHeight="false" outlineLevel="0" collapsed="false">
      <c r="A193" s="79" t="s">
        <v>205</v>
      </c>
      <c r="B193" s="79" t="s">
        <v>1090</v>
      </c>
      <c r="C193" s="80" t="n">
        <v>202511</v>
      </c>
      <c r="D193" s="81" t="n">
        <v>45962</v>
      </c>
      <c r="E193" s="82" t="n">
        <v>28318.245</v>
      </c>
      <c r="F193" s="80" t="n">
        <v>12</v>
      </c>
      <c r="G193" s="79" t="s">
        <v>433</v>
      </c>
    </row>
    <row r="194" customFormat="false" ht="15" hidden="false" customHeight="false" outlineLevel="0" collapsed="false">
      <c r="A194" s="79" t="s">
        <v>205</v>
      </c>
      <c r="B194" s="79" t="s">
        <v>1091</v>
      </c>
      <c r="C194" s="80" t="n">
        <v>202510</v>
      </c>
      <c r="D194" s="81" t="n">
        <v>45931</v>
      </c>
      <c r="E194" s="82" t="n">
        <v>27988.237</v>
      </c>
      <c r="F194" s="80" t="n">
        <v>13</v>
      </c>
      <c r="G194" s="79" t="s">
        <v>434</v>
      </c>
    </row>
    <row r="195" customFormat="false" ht="15" hidden="false" customHeight="false" outlineLevel="0" collapsed="false">
      <c r="A195" s="79" t="s">
        <v>205</v>
      </c>
      <c r="B195" s="79" t="s">
        <v>1092</v>
      </c>
      <c r="C195" s="80" t="n">
        <v>202509</v>
      </c>
      <c r="D195" s="81" t="n">
        <v>45901</v>
      </c>
      <c r="E195" s="82" t="n">
        <v>23888.296</v>
      </c>
      <c r="F195" s="80" t="n">
        <v>14</v>
      </c>
      <c r="G195" s="79" t="s">
        <v>435</v>
      </c>
    </row>
    <row r="196" customFormat="false" ht="15" hidden="false" customHeight="false" outlineLevel="0" collapsed="false">
      <c r="A196" s="79" t="s">
        <v>205</v>
      </c>
      <c r="B196" s="79" t="s">
        <v>1093</v>
      </c>
      <c r="C196" s="80" t="n">
        <v>202508</v>
      </c>
      <c r="D196" s="81" t="n">
        <v>45870</v>
      </c>
      <c r="E196" s="82" t="n">
        <v>27690.083</v>
      </c>
      <c r="F196" s="80" t="n">
        <v>15</v>
      </c>
      <c r="G196" s="79" t="s">
        <v>436</v>
      </c>
    </row>
    <row r="197" customFormat="false" ht="15" hidden="false" customHeight="false" outlineLevel="0" collapsed="false">
      <c r="A197" s="79" t="s">
        <v>205</v>
      </c>
      <c r="B197" s="79" t="s">
        <v>1094</v>
      </c>
      <c r="C197" s="80" t="n">
        <v>202507</v>
      </c>
      <c r="D197" s="81" t="n">
        <v>45839</v>
      </c>
      <c r="E197" s="82" t="n">
        <v>25447.702</v>
      </c>
      <c r="F197" s="80" t="n">
        <v>16</v>
      </c>
      <c r="G197" s="79" t="s">
        <v>437</v>
      </c>
    </row>
    <row r="198" customFormat="false" ht="15" hidden="false" customHeight="false" outlineLevel="0" collapsed="false">
      <c r="A198" s="79" t="s">
        <v>205</v>
      </c>
      <c r="B198" s="79" t="s">
        <v>1095</v>
      </c>
      <c r="C198" s="80" t="n">
        <v>202506</v>
      </c>
      <c r="D198" s="81" t="n">
        <v>45809</v>
      </c>
      <c r="E198" s="82" t="n">
        <v>46728.346</v>
      </c>
      <c r="F198" s="80" t="n">
        <v>17</v>
      </c>
      <c r="G198" s="79" t="s">
        <v>438</v>
      </c>
    </row>
    <row r="199" customFormat="false" ht="15" hidden="false" customHeight="false" outlineLevel="0" collapsed="false">
      <c r="A199" s="79" t="s">
        <v>205</v>
      </c>
      <c r="B199" s="79" t="s">
        <v>1096</v>
      </c>
      <c r="C199" s="80" t="n">
        <v>202505</v>
      </c>
      <c r="D199" s="81" t="n">
        <v>45778</v>
      </c>
      <c r="E199" s="82" t="n">
        <v>30098.1</v>
      </c>
      <c r="F199" s="80" t="n">
        <v>18</v>
      </c>
      <c r="G199" s="79" t="s">
        <v>439</v>
      </c>
    </row>
    <row r="200" customFormat="false" ht="15" hidden="false" customHeight="false" outlineLevel="0" collapsed="false">
      <c r="A200" s="79" t="s">
        <v>205</v>
      </c>
      <c r="B200" s="79" t="s">
        <v>1097</v>
      </c>
      <c r="C200" s="80" t="n">
        <v>202504</v>
      </c>
      <c r="D200" s="81" t="n">
        <v>45748</v>
      </c>
      <c r="E200" s="82" t="n">
        <v>22322.801</v>
      </c>
      <c r="F200" s="80" t="n">
        <v>19</v>
      </c>
      <c r="G200" s="79" t="s">
        <v>440</v>
      </c>
    </row>
    <row r="201" customFormat="false" ht="15" hidden="false" customHeight="false" outlineLevel="0" collapsed="false">
      <c r="A201" s="79" t="s">
        <v>205</v>
      </c>
      <c r="B201" s="79" t="s">
        <v>1098</v>
      </c>
      <c r="C201" s="80" t="n">
        <v>202503</v>
      </c>
      <c r="D201" s="81" t="n">
        <v>45717</v>
      </c>
      <c r="E201" s="82" t="n">
        <v>22326.218</v>
      </c>
      <c r="F201" s="80" t="n">
        <v>20</v>
      </c>
      <c r="G201" s="79" t="s">
        <v>441</v>
      </c>
    </row>
    <row r="202" customFormat="false" ht="15" hidden="false" customHeight="false" outlineLevel="0" collapsed="false">
      <c r="A202" s="79" t="s">
        <v>205</v>
      </c>
      <c r="B202" s="79" t="s">
        <v>1099</v>
      </c>
      <c r="C202" s="80" t="n">
        <v>202502</v>
      </c>
      <c r="D202" s="81" t="n">
        <v>45689</v>
      </c>
      <c r="E202" s="82" t="n">
        <v>21091.561</v>
      </c>
      <c r="F202" s="80" t="n">
        <v>21</v>
      </c>
      <c r="G202" s="79" t="s">
        <v>442</v>
      </c>
    </row>
    <row r="203" customFormat="false" ht="15" hidden="false" customHeight="false" outlineLevel="0" collapsed="false">
      <c r="A203" s="79" t="s">
        <v>205</v>
      </c>
      <c r="B203" s="79" t="s">
        <v>1100</v>
      </c>
      <c r="C203" s="80" t="n">
        <v>202501</v>
      </c>
      <c r="D203" s="81" t="n">
        <v>45658</v>
      </c>
      <c r="E203" s="82" t="n">
        <v>17597.178</v>
      </c>
      <c r="F203" s="80" t="n">
        <v>22</v>
      </c>
      <c r="G203" s="79" t="s">
        <v>443</v>
      </c>
    </row>
    <row r="204" customFormat="false" ht="15" hidden="false" customHeight="false" outlineLevel="0" collapsed="false">
      <c r="A204" s="79" t="s">
        <v>205</v>
      </c>
      <c r="B204" s="79" t="s">
        <v>1101</v>
      </c>
      <c r="C204" s="80" t="n">
        <v>202412</v>
      </c>
      <c r="D204" s="81" t="n">
        <v>45627</v>
      </c>
      <c r="E204" s="82" t="n">
        <v>22242.93</v>
      </c>
      <c r="F204" s="80" t="n">
        <v>23</v>
      </c>
      <c r="G204" s="79" t="s">
        <v>444</v>
      </c>
    </row>
    <row r="205" customFormat="false" ht="15" hidden="false" customHeight="false" outlineLevel="0" collapsed="false">
      <c r="A205" s="79" t="s">
        <v>205</v>
      </c>
      <c r="B205" s="79" t="s">
        <v>1102</v>
      </c>
      <c r="C205" s="80" t="n">
        <v>202411</v>
      </c>
      <c r="D205" s="81" t="n">
        <v>45597</v>
      </c>
      <c r="E205" s="82" t="n">
        <v>25771.684</v>
      </c>
      <c r="F205" s="80" t="n">
        <v>24</v>
      </c>
      <c r="G205" s="79" t="s">
        <v>445</v>
      </c>
    </row>
    <row r="206" customFormat="false" ht="15" hidden="false" customHeight="false" outlineLevel="0" collapsed="false">
      <c r="A206" s="79" t="s">
        <v>205</v>
      </c>
      <c r="B206" s="79" t="s">
        <v>1103</v>
      </c>
      <c r="C206" s="80" t="n">
        <v>202410</v>
      </c>
      <c r="D206" s="81" t="n">
        <v>45566</v>
      </c>
      <c r="E206" s="82" t="n">
        <v>26735.874</v>
      </c>
      <c r="F206" s="80" t="n">
        <v>25</v>
      </c>
      <c r="G206" s="79" t="s">
        <v>1175</v>
      </c>
    </row>
    <row r="207" customFormat="false" ht="15" hidden="false" customHeight="false" outlineLevel="0" collapsed="false">
      <c r="A207" s="79" t="s">
        <v>205</v>
      </c>
      <c r="B207" s="79" t="s">
        <v>1105</v>
      </c>
      <c r="C207" s="80" t="n">
        <v>202409</v>
      </c>
      <c r="D207" s="81" t="n">
        <v>45536</v>
      </c>
      <c r="E207" s="82" t="n">
        <v>24662.927</v>
      </c>
      <c r="F207" s="80" t="n">
        <v>26</v>
      </c>
      <c r="G207" s="79" t="s">
        <v>1176</v>
      </c>
    </row>
    <row r="208" customFormat="false" ht="15" hidden="false" customHeight="false" outlineLevel="0" collapsed="false">
      <c r="A208" s="79" t="s">
        <v>205</v>
      </c>
      <c r="B208" s="79" t="s">
        <v>1107</v>
      </c>
      <c r="C208" s="80" t="n">
        <v>202408</v>
      </c>
      <c r="D208" s="81" t="n">
        <v>45505</v>
      </c>
      <c r="E208" s="82" t="n">
        <v>19035.807</v>
      </c>
      <c r="F208" s="80" t="n">
        <v>27</v>
      </c>
      <c r="G208" s="79" t="s">
        <v>1177</v>
      </c>
    </row>
    <row r="209" customFormat="false" ht="15" hidden="false" customHeight="false" outlineLevel="0" collapsed="false">
      <c r="A209" s="79" t="s">
        <v>205</v>
      </c>
      <c r="B209" s="79" t="s">
        <v>1109</v>
      </c>
      <c r="C209" s="80" t="n">
        <v>202407</v>
      </c>
      <c r="D209" s="81" t="n">
        <v>45474</v>
      </c>
      <c r="E209" s="82" t="n">
        <v>22932.13</v>
      </c>
      <c r="F209" s="80" t="n">
        <v>28</v>
      </c>
      <c r="G209" s="79" t="s">
        <v>1178</v>
      </c>
    </row>
    <row r="210" customFormat="false" ht="15" hidden="false" customHeight="false" outlineLevel="0" collapsed="false">
      <c r="A210" s="79" t="s">
        <v>205</v>
      </c>
      <c r="B210" s="79" t="s">
        <v>1111</v>
      </c>
      <c r="C210" s="80" t="n">
        <v>202406</v>
      </c>
      <c r="D210" s="81" t="n">
        <v>45444</v>
      </c>
      <c r="E210" s="82" t="n">
        <v>22477.138</v>
      </c>
      <c r="F210" s="80" t="n">
        <v>29</v>
      </c>
      <c r="G210" s="79" t="s">
        <v>1179</v>
      </c>
    </row>
    <row r="211" customFormat="false" ht="15" hidden="false" customHeight="false" outlineLevel="0" collapsed="false">
      <c r="A211" s="79" t="s">
        <v>205</v>
      </c>
      <c r="B211" s="79" t="s">
        <v>1113</v>
      </c>
      <c r="C211" s="80" t="n">
        <v>202405</v>
      </c>
      <c r="D211" s="81" t="n">
        <v>45413</v>
      </c>
      <c r="E211" s="82" t="n">
        <v>28523.875</v>
      </c>
      <c r="F211" s="80" t="n">
        <v>30</v>
      </c>
      <c r="G211" s="79" t="s">
        <v>1180</v>
      </c>
    </row>
    <row r="212" customFormat="false" ht="15" hidden="false" customHeight="false" outlineLevel="0" collapsed="false">
      <c r="A212" s="79" t="s">
        <v>205</v>
      </c>
      <c r="B212" s="79" t="s">
        <v>1115</v>
      </c>
      <c r="C212" s="80" t="n">
        <v>202404</v>
      </c>
      <c r="D212" s="81" t="n">
        <v>45383</v>
      </c>
      <c r="E212" s="82" t="n">
        <v>24253.194</v>
      </c>
      <c r="F212" s="80" t="n">
        <v>31</v>
      </c>
      <c r="G212" s="79" t="s">
        <v>1181</v>
      </c>
    </row>
    <row r="213" customFormat="false" ht="15" hidden="false" customHeight="false" outlineLevel="0" collapsed="false">
      <c r="A213" s="79" t="s">
        <v>205</v>
      </c>
      <c r="B213" s="79" t="s">
        <v>1117</v>
      </c>
      <c r="C213" s="80" t="n">
        <v>202403</v>
      </c>
      <c r="D213" s="81" t="n">
        <v>45352</v>
      </c>
      <c r="E213" s="82" t="n">
        <v>13968.881</v>
      </c>
      <c r="F213" s="80" t="n">
        <v>32</v>
      </c>
      <c r="G213" s="79" t="s">
        <v>1182</v>
      </c>
    </row>
    <row r="214" customFormat="false" ht="15" hidden="false" customHeight="false" outlineLevel="0" collapsed="false">
      <c r="A214" s="79" t="s">
        <v>205</v>
      </c>
      <c r="B214" s="79" t="s">
        <v>1119</v>
      </c>
      <c r="C214" s="80" t="n">
        <v>202402</v>
      </c>
      <c r="D214" s="81" t="n">
        <v>45323</v>
      </c>
      <c r="E214" s="82" t="n">
        <v>16930.021</v>
      </c>
      <c r="F214" s="80" t="n">
        <v>33</v>
      </c>
      <c r="G214" s="79" t="s">
        <v>1183</v>
      </c>
    </row>
    <row r="215" customFormat="false" ht="15" hidden="false" customHeight="false" outlineLevel="0" collapsed="false">
      <c r="A215" s="79" t="s">
        <v>205</v>
      </c>
      <c r="B215" s="79" t="s">
        <v>1121</v>
      </c>
      <c r="C215" s="80" t="n">
        <v>202401</v>
      </c>
      <c r="D215" s="81" t="n">
        <v>45292</v>
      </c>
      <c r="E215" s="82" t="n">
        <v>12845.855</v>
      </c>
      <c r="F215" s="80" t="n">
        <v>34</v>
      </c>
      <c r="G215" s="79" t="s">
        <v>1184</v>
      </c>
    </row>
    <row r="216" customFormat="false" ht="15" hidden="false" customHeight="false" outlineLevel="0" collapsed="false">
      <c r="A216" s="79" t="s">
        <v>205</v>
      </c>
      <c r="B216" s="79" t="s">
        <v>1123</v>
      </c>
      <c r="C216" s="80" t="n">
        <v>202312</v>
      </c>
      <c r="D216" s="81" t="n">
        <v>45261</v>
      </c>
      <c r="E216" s="82" t="n">
        <v>15915.793</v>
      </c>
      <c r="F216" s="80" t="n">
        <v>35</v>
      </c>
      <c r="G216" s="79" t="s">
        <v>1185</v>
      </c>
    </row>
    <row r="217" customFormat="false" ht="15" hidden="false" customHeight="false" outlineLevel="0" collapsed="false">
      <c r="A217" s="79" t="s">
        <v>205</v>
      </c>
      <c r="B217" s="79" t="s">
        <v>1125</v>
      </c>
      <c r="C217" s="80" t="n">
        <v>202311</v>
      </c>
      <c r="D217" s="81" t="n">
        <v>45231</v>
      </c>
      <c r="E217" s="82" t="n">
        <v>16764.958</v>
      </c>
      <c r="F217" s="80" t="n">
        <v>36</v>
      </c>
      <c r="G217" s="79" t="s">
        <v>1186</v>
      </c>
    </row>
    <row r="218" customFormat="false" ht="15" hidden="false" customHeight="false" outlineLevel="0" collapsed="false">
      <c r="A218" s="79" t="s">
        <v>182</v>
      </c>
      <c r="B218" s="79" t="s">
        <v>1079</v>
      </c>
      <c r="C218" s="80" t="n">
        <v>202610</v>
      </c>
      <c r="D218" s="81" t="n">
        <v>46296</v>
      </c>
      <c r="E218" s="82" t="n">
        <v>45091.089</v>
      </c>
      <c r="F218" s="80" t="n">
        <v>1</v>
      </c>
      <c r="G218" s="79" t="s">
        <v>447</v>
      </c>
    </row>
    <row r="219" customFormat="false" ht="15" hidden="false" customHeight="false" outlineLevel="0" collapsed="false">
      <c r="A219" s="79" t="s">
        <v>182</v>
      </c>
      <c r="B219" s="79" t="s">
        <v>1080</v>
      </c>
      <c r="C219" s="80" t="n">
        <v>202609</v>
      </c>
      <c r="D219" s="81" t="n">
        <v>46266</v>
      </c>
      <c r="E219" s="82" t="n">
        <v>44690.268</v>
      </c>
      <c r="F219" s="80" t="n">
        <v>2</v>
      </c>
      <c r="G219" s="79" t="s">
        <v>448</v>
      </c>
    </row>
    <row r="220" customFormat="false" ht="15" hidden="false" customHeight="false" outlineLevel="0" collapsed="false">
      <c r="A220" s="79" t="s">
        <v>182</v>
      </c>
      <c r="B220" s="79" t="s">
        <v>1081</v>
      </c>
      <c r="C220" s="80" t="n">
        <v>202608</v>
      </c>
      <c r="D220" s="81" t="n">
        <v>46235</v>
      </c>
      <c r="E220" s="82" t="n">
        <v>43867.609</v>
      </c>
      <c r="F220" s="80" t="n">
        <v>3</v>
      </c>
      <c r="G220" s="79" t="s">
        <v>449</v>
      </c>
    </row>
    <row r="221" customFormat="false" ht="15" hidden="false" customHeight="false" outlineLevel="0" collapsed="false">
      <c r="A221" s="79" t="s">
        <v>182</v>
      </c>
      <c r="B221" s="79" t="s">
        <v>1082</v>
      </c>
      <c r="C221" s="80" t="n">
        <v>202607</v>
      </c>
      <c r="D221" s="81" t="n">
        <v>46204</v>
      </c>
      <c r="E221" s="82" t="n">
        <v>29388.309</v>
      </c>
      <c r="F221" s="80" t="n">
        <v>4</v>
      </c>
      <c r="G221" s="79" t="s">
        <v>450</v>
      </c>
    </row>
    <row r="222" customFormat="false" ht="15" hidden="false" customHeight="false" outlineLevel="0" collapsed="false">
      <c r="A222" s="79" t="s">
        <v>182</v>
      </c>
      <c r="B222" s="79" t="s">
        <v>1083</v>
      </c>
      <c r="C222" s="80" t="n">
        <v>202606</v>
      </c>
      <c r="D222" s="81" t="n">
        <v>46174</v>
      </c>
      <c r="E222" s="82" t="n">
        <v>27669.563</v>
      </c>
      <c r="F222" s="80" t="n">
        <v>5</v>
      </c>
      <c r="G222" s="79" t="s">
        <v>451</v>
      </c>
    </row>
    <row r="223" customFormat="false" ht="15" hidden="false" customHeight="false" outlineLevel="0" collapsed="false">
      <c r="A223" s="79" t="s">
        <v>182</v>
      </c>
      <c r="B223" s="79" t="s">
        <v>1084</v>
      </c>
      <c r="C223" s="80" t="n">
        <v>202605</v>
      </c>
      <c r="D223" s="81" t="n">
        <v>46143</v>
      </c>
      <c r="E223" s="82" t="n">
        <v>25491.201</v>
      </c>
      <c r="F223" s="80" t="n">
        <v>6</v>
      </c>
      <c r="G223" s="79" t="s">
        <v>452</v>
      </c>
    </row>
    <row r="224" customFormat="false" ht="15" hidden="false" customHeight="false" outlineLevel="0" collapsed="false">
      <c r="A224" s="79" t="s">
        <v>182</v>
      </c>
      <c r="B224" s="79" t="s">
        <v>1085</v>
      </c>
      <c r="C224" s="80" t="n">
        <v>202604</v>
      </c>
      <c r="D224" s="81" t="n">
        <v>46113</v>
      </c>
      <c r="E224" s="82" t="n">
        <v>18169.76</v>
      </c>
      <c r="F224" s="80" t="n">
        <v>7</v>
      </c>
      <c r="G224" s="79" t="s">
        <v>453</v>
      </c>
    </row>
    <row r="225" customFormat="false" ht="15" hidden="false" customHeight="false" outlineLevel="0" collapsed="false">
      <c r="A225" s="79" t="s">
        <v>182</v>
      </c>
      <c r="B225" s="79" t="s">
        <v>1086</v>
      </c>
      <c r="C225" s="80" t="n">
        <v>202603</v>
      </c>
      <c r="D225" s="81" t="n">
        <v>46082</v>
      </c>
      <c r="E225" s="82" t="n">
        <v>15607.184</v>
      </c>
      <c r="F225" s="80" t="n">
        <v>8</v>
      </c>
      <c r="G225" s="79" t="s">
        <v>454</v>
      </c>
    </row>
    <row r="226" customFormat="false" ht="15" hidden="false" customHeight="false" outlineLevel="0" collapsed="false">
      <c r="A226" s="79" t="s">
        <v>182</v>
      </c>
      <c r="B226" s="79" t="s">
        <v>1087</v>
      </c>
      <c r="C226" s="80" t="n">
        <v>202602</v>
      </c>
      <c r="D226" s="81" t="n">
        <v>46054</v>
      </c>
      <c r="E226" s="82" t="n">
        <v>15309.988</v>
      </c>
      <c r="F226" s="80" t="n">
        <v>9</v>
      </c>
      <c r="G226" s="79" t="s">
        <v>455</v>
      </c>
    </row>
    <row r="227" customFormat="false" ht="15" hidden="false" customHeight="false" outlineLevel="0" collapsed="false">
      <c r="A227" s="79" t="s">
        <v>182</v>
      </c>
      <c r="B227" s="79" t="s">
        <v>1088</v>
      </c>
      <c r="C227" s="80" t="n">
        <v>202601</v>
      </c>
      <c r="D227" s="81" t="n">
        <v>46023</v>
      </c>
      <c r="E227" s="82" t="n">
        <v>12017.152</v>
      </c>
      <c r="F227" s="80" t="n">
        <v>10</v>
      </c>
      <c r="G227" s="79" t="s">
        <v>456</v>
      </c>
    </row>
    <row r="228" customFormat="false" ht="15" hidden="false" customHeight="false" outlineLevel="0" collapsed="false">
      <c r="A228" s="79" t="s">
        <v>182</v>
      </c>
      <c r="B228" s="79" t="s">
        <v>1089</v>
      </c>
      <c r="C228" s="80" t="n">
        <v>202512</v>
      </c>
      <c r="D228" s="81" t="n">
        <v>45992</v>
      </c>
      <c r="E228" s="82" t="n">
        <v>10168.737</v>
      </c>
      <c r="F228" s="80" t="n">
        <v>11</v>
      </c>
      <c r="G228" s="79" t="s">
        <v>457</v>
      </c>
    </row>
    <row r="229" customFormat="false" ht="15" hidden="false" customHeight="false" outlineLevel="0" collapsed="false">
      <c r="A229" s="79" t="s">
        <v>182</v>
      </c>
      <c r="B229" s="79" t="s">
        <v>1090</v>
      </c>
      <c r="C229" s="80" t="n">
        <v>202511</v>
      </c>
      <c r="D229" s="81" t="n">
        <v>45962</v>
      </c>
      <c r="E229" s="82" t="n">
        <v>7907.729</v>
      </c>
      <c r="F229" s="80" t="n">
        <v>12</v>
      </c>
      <c r="G229" s="79" t="s">
        <v>458</v>
      </c>
    </row>
    <row r="230" customFormat="false" ht="15" hidden="false" customHeight="false" outlineLevel="0" collapsed="false">
      <c r="A230" s="79" t="s">
        <v>182</v>
      </c>
      <c r="B230" s="79" t="s">
        <v>1091</v>
      </c>
      <c r="C230" s="80" t="n">
        <v>202510</v>
      </c>
      <c r="D230" s="81" t="n">
        <v>45931</v>
      </c>
      <c r="E230" s="82" t="n">
        <v>6664.14</v>
      </c>
      <c r="F230" s="80" t="n">
        <v>13</v>
      </c>
      <c r="G230" s="79" t="s">
        <v>459</v>
      </c>
    </row>
    <row r="231" customFormat="false" ht="15" hidden="false" customHeight="false" outlineLevel="0" collapsed="false">
      <c r="A231" s="79" t="s">
        <v>182</v>
      </c>
      <c r="B231" s="79" t="s">
        <v>1092</v>
      </c>
      <c r="C231" s="80" t="n">
        <v>202509</v>
      </c>
      <c r="D231" s="81" t="n">
        <v>45901</v>
      </c>
      <c r="E231" s="82" t="n">
        <v>6762.501</v>
      </c>
      <c r="F231" s="80" t="n">
        <v>14</v>
      </c>
      <c r="G231" s="79" t="s">
        <v>460</v>
      </c>
    </row>
    <row r="232" customFormat="false" ht="15" hidden="false" customHeight="false" outlineLevel="0" collapsed="false">
      <c r="A232" s="79" t="s">
        <v>182</v>
      </c>
      <c r="B232" s="79" t="s">
        <v>1093</v>
      </c>
      <c r="C232" s="80" t="n">
        <v>202508</v>
      </c>
      <c r="D232" s="81" t="n">
        <v>45870</v>
      </c>
      <c r="E232" s="82" t="n">
        <v>5352.227</v>
      </c>
      <c r="F232" s="80" t="n">
        <v>15</v>
      </c>
      <c r="G232" s="79" t="s">
        <v>461</v>
      </c>
    </row>
    <row r="233" customFormat="false" ht="15" hidden="false" customHeight="false" outlineLevel="0" collapsed="false">
      <c r="A233" s="79" t="s">
        <v>182</v>
      </c>
      <c r="B233" s="79" t="s">
        <v>1094</v>
      </c>
      <c r="C233" s="80" t="n">
        <v>202507</v>
      </c>
      <c r="D233" s="81" t="n">
        <v>45839</v>
      </c>
      <c r="E233" s="82" t="n">
        <v>4074.153</v>
      </c>
      <c r="F233" s="80" t="n">
        <v>16</v>
      </c>
      <c r="G233" s="79" t="s">
        <v>462</v>
      </c>
    </row>
    <row r="234" customFormat="false" ht="15" hidden="false" customHeight="false" outlineLevel="0" collapsed="false">
      <c r="A234" s="79" t="s">
        <v>182</v>
      </c>
      <c r="B234" s="79" t="s">
        <v>1095</v>
      </c>
      <c r="C234" s="80" t="n">
        <v>202506</v>
      </c>
      <c r="D234" s="81" t="n">
        <v>45809</v>
      </c>
      <c r="E234" s="82" t="n">
        <v>3333.121</v>
      </c>
      <c r="F234" s="80" t="n">
        <v>17</v>
      </c>
      <c r="G234" s="79" t="s">
        <v>463</v>
      </c>
    </row>
    <row r="235" customFormat="false" ht="15" hidden="false" customHeight="false" outlineLevel="0" collapsed="false">
      <c r="A235" s="79" t="s">
        <v>182</v>
      </c>
      <c r="B235" s="79" t="s">
        <v>1096</v>
      </c>
      <c r="C235" s="80" t="n">
        <v>202505</v>
      </c>
      <c r="D235" s="81" t="n">
        <v>45778</v>
      </c>
      <c r="E235" s="82" t="n">
        <v>3118.82</v>
      </c>
      <c r="F235" s="80" t="n">
        <v>18</v>
      </c>
      <c r="G235" s="79" t="s">
        <v>464</v>
      </c>
    </row>
    <row r="236" customFormat="false" ht="15" hidden="false" customHeight="false" outlineLevel="0" collapsed="false">
      <c r="A236" s="79" t="s">
        <v>182</v>
      </c>
      <c r="B236" s="79" t="s">
        <v>1097</v>
      </c>
      <c r="C236" s="80" t="n">
        <v>202504</v>
      </c>
      <c r="D236" s="81" t="n">
        <v>45748</v>
      </c>
      <c r="E236" s="82" t="n">
        <v>2752.833</v>
      </c>
      <c r="F236" s="80" t="n">
        <v>19</v>
      </c>
      <c r="G236" s="79" t="s">
        <v>465</v>
      </c>
    </row>
    <row r="237" customFormat="false" ht="15" hidden="false" customHeight="false" outlineLevel="0" collapsed="false">
      <c r="A237" s="79" t="s">
        <v>182</v>
      </c>
      <c r="B237" s="79" t="s">
        <v>1098</v>
      </c>
      <c r="C237" s="80" t="n">
        <v>202503</v>
      </c>
      <c r="D237" s="81" t="n">
        <v>45717</v>
      </c>
      <c r="E237" s="82" t="n">
        <v>2272.734</v>
      </c>
      <c r="F237" s="80" t="n">
        <v>20</v>
      </c>
      <c r="G237" s="79" t="s">
        <v>466</v>
      </c>
    </row>
    <row r="238" customFormat="false" ht="15" hidden="false" customHeight="false" outlineLevel="0" collapsed="false">
      <c r="A238" s="79" t="s">
        <v>182</v>
      </c>
      <c r="B238" s="79" t="s">
        <v>1099</v>
      </c>
      <c r="C238" s="80" t="n">
        <v>202502</v>
      </c>
      <c r="D238" s="81" t="n">
        <v>45689</v>
      </c>
      <c r="E238" s="82" t="n">
        <v>2162.373</v>
      </c>
      <c r="F238" s="80" t="n">
        <v>21</v>
      </c>
      <c r="G238" s="79" t="s">
        <v>467</v>
      </c>
    </row>
    <row r="239" customFormat="false" ht="15" hidden="false" customHeight="false" outlineLevel="0" collapsed="false">
      <c r="A239" s="79" t="s">
        <v>182</v>
      </c>
      <c r="B239" s="79" t="s">
        <v>1100</v>
      </c>
      <c r="C239" s="80" t="n">
        <v>202501</v>
      </c>
      <c r="D239" s="81" t="n">
        <v>45658</v>
      </c>
      <c r="E239" s="82" t="n">
        <v>2205.531</v>
      </c>
      <c r="F239" s="80" t="n">
        <v>22</v>
      </c>
      <c r="G239" s="79" t="s">
        <v>468</v>
      </c>
    </row>
    <row r="240" customFormat="false" ht="15" hidden="false" customHeight="false" outlineLevel="0" collapsed="false">
      <c r="A240" s="79" t="s">
        <v>182</v>
      </c>
      <c r="B240" s="79" t="s">
        <v>1101</v>
      </c>
      <c r="C240" s="80" t="n">
        <v>202412</v>
      </c>
      <c r="D240" s="81" t="n">
        <v>45627</v>
      </c>
      <c r="E240" s="82" t="n">
        <v>2187.326</v>
      </c>
      <c r="F240" s="80" t="n">
        <v>23</v>
      </c>
      <c r="G240" s="79" t="s">
        <v>469</v>
      </c>
    </row>
    <row r="241" customFormat="false" ht="15" hidden="false" customHeight="false" outlineLevel="0" collapsed="false">
      <c r="A241" s="79" t="s">
        <v>182</v>
      </c>
      <c r="B241" s="79" t="s">
        <v>1102</v>
      </c>
      <c r="C241" s="80" t="n">
        <v>202411</v>
      </c>
      <c r="D241" s="81" t="n">
        <v>45597</v>
      </c>
      <c r="E241" s="82" t="n">
        <v>2182.24</v>
      </c>
      <c r="F241" s="80" t="n">
        <v>24</v>
      </c>
      <c r="G241" s="79" t="s">
        <v>470</v>
      </c>
    </row>
    <row r="242" customFormat="false" ht="15" hidden="false" customHeight="false" outlineLevel="0" collapsed="false">
      <c r="A242" s="79" t="s">
        <v>182</v>
      </c>
      <c r="B242" s="79" t="s">
        <v>1103</v>
      </c>
      <c r="C242" s="80" t="n">
        <v>202410</v>
      </c>
      <c r="D242" s="81" t="n">
        <v>45566</v>
      </c>
      <c r="E242" s="82" t="n">
        <v>2584.927</v>
      </c>
      <c r="F242" s="80" t="n">
        <v>25</v>
      </c>
      <c r="G242" s="79" t="s">
        <v>1187</v>
      </c>
    </row>
    <row r="243" customFormat="false" ht="15" hidden="false" customHeight="false" outlineLevel="0" collapsed="false">
      <c r="A243" s="79" t="s">
        <v>182</v>
      </c>
      <c r="B243" s="79" t="s">
        <v>1105</v>
      </c>
      <c r="C243" s="80" t="n">
        <v>202409</v>
      </c>
      <c r="D243" s="81" t="n">
        <v>45536</v>
      </c>
      <c r="E243" s="82" t="n">
        <v>2802.25</v>
      </c>
      <c r="F243" s="80" t="n">
        <v>26</v>
      </c>
      <c r="G243" s="79" t="s">
        <v>1188</v>
      </c>
    </row>
    <row r="244" customFormat="false" ht="15" hidden="false" customHeight="false" outlineLevel="0" collapsed="false">
      <c r="A244" s="79" t="s">
        <v>182</v>
      </c>
      <c r="B244" s="79" t="s">
        <v>1107</v>
      </c>
      <c r="C244" s="80" t="n">
        <v>202408</v>
      </c>
      <c r="D244" s="81" t="n">
        <v>45505</v>
      </c>
      <c r="E244" s="82" t="n">
        <v>2745.416</v>
      </c>
      <c r="F244" s="80" t="n">
        <v>27</v>
      </c>
      <c r="G244" s="79" t="s">
        <v>1189</v>
      </c>
    </row>
    <row r="245" customFormat="false" ht="15" hidden="false" customHeight="false" outlineLevel="0" collapsed="false">
      <c r="A245" s="79" t="s">
        <v>182</v>
      </c>
      <c r="B245" s="79" t="s">
        <v>1109</v>
      </c>
      <c r="C245" s="80" t="n">
        <v>202407</v>
      </c>
      <c r="D245" s="81" t="n">
        <v>45474</v>
      </c>
      <c r="E245" s="82" t="n">
        <v>3363.197</v>
      </c>
      <c r="F245" s="80" t="n">
        <v>28</v>
      </c>
      <c r="G245" s="79" t="s">
        <v>1190</v>
      </c>
    </row>
    <row r="246" customFormat="false" ht="15" hidden="false" customHeight="false" outlineLevel="0" collapsed="false">
      <c r="A246" s="79" t="s">
        <v>182</v>
      </c>
      <c r="B246" s="79" t="s">
        <v>1111</v>
      </c>
      <c r="C246" s="80" t="n">
        <v>202406</v>
      </c>
      <c r="D246" s="81" t="n">
        <v>45444</v>
      </c>
      <c r="E246" s="82" t="n">
        <v>3351.375</v>
      </c>
      <c r="F246" s="80" t="n">
        <v>29</v>
      </c>
      <c r="G246" s="79" t="s">
        <v>1191</v>
      </c>
    </row>
    <row r="247" customFormat="false" ht="15" hidden="false" customHeight="false" outlineLevel="0" collapsed="false">
      <c r="A247" s="79" t="s">
        <v>182</v>
      </c>
      <c r="B247" s="79" t="s">
        <v>1113</v>
      </c>
      <c r="C247" s="80" t="n">
        <v>202405</v>
      </c>
      <c r="D247" s="81" t="n">
        <v>45413</v>
      </c>
      <c r="E247" s="82" t="n">
        <v>3206.471</v>
      </c>
      <c r="F247" s="80" t="n">
        <v>30</v>
      </c>
      <c r="G247" s="79" t="s">
        <v>1192</v>
      </c>
    </row>
    <row r="248" customFormat="false" ht="15" hidden="false" customHeight="false" outlineLevel="0" collapsed="false">
      <c r="A248" s="79" t="s">
        <v>182</v>
      </c>
      <c r="B248" s="79" t="s">
        <v>1115</v>
      </c>
      <c r="C248" s="80" t="n">
        <v>202404</v>
      </c>
      <c r="D248" s="81" t="n">
        <v>45383</v>
      </c>
      <c r="E248" s="82" t="n">
        <v>3391.358</v>
      </c>
      <c r="F248" s="80" t="n">
        <v>31</v>
      </c>
      <c r="G248" s="79" t="s">
        <v>1193</v>
      </c>
    </row>
    <row r="249" customFormat="false" ht="15" hidden="false" customHeight="false" outlineLevel="0" collapsed="false">
      <c r="A249" s="79" t="s">
        <v>182</v>
      </c>
      <c r="B249" s="79" t="s">
        <v>1117</v>
      </c>
      <c r="C249" s="80" t="n">
        <v>202403</v>
      </c>
      <c r="D249" s="81" t="n">
        <v>45352</v>
      </c>
      <c r="E249" s="82" t="n">
        <v>3050.934</v>
      </c>
      <c r="F249" s="80" t="n">
        <v>32</v>
      </c>
      <c r="G249" s="79" t="s">
        <v>1194</v>
      </c>
    </row>
    <row r="250" customFormat="false" ht="15" hidden="false" customHeight="false" outlineLevel="0" collapsed="false">
      <c r="A250" s="79" t="s">
        <v>182</v>
      </c>
      <c r="B250" s="79" t="s">
        <v>1119</v>
      </c>
      <c r="C250" s="80" t="n">
        <v>202402</v>
      </c>
      <c r="D250" s="81" t="n">
        <v>45323</v>
      </c>
      <c r="E250" s="82" t="n">
        <v>3060.645</v>
      </c>
      <c r="F250" s="80" t="n">
        <v>33</v>
      </c>
      <c r="G250" s="79" t="s">
        <v>1195</v>
      </c>
    </row>
    <row r="251" customFormat="false" ht="15" hidden="false" customHeight="false" outlineLevel="0" collapsed="false">
      <c r="A251" s="79" t="s">
        <v>182</v>
      </c>
      <c r="B251" s="79" t="s">
        <v>1121</v>
      </c>
      <c r="C251" s="80" t="n">
        <v>202401</v>
      </c>
      <c r="D251" s="81" t="n">
        <v>45292</v>
      </c>
      <c r="E251" s="82" t="n">
        <v>3161.948</v>
      </c>
      <c r="F251" s="80" t="n">
        <v>34</v>
      </c>
      <c r="G251" s="79" t="s">
        <v>1196</v>
      </c>
    </row>
    <row r="252" customFormat="false" ht="15" hidden="false" customHeight="false" outlineLevel="0" collapsed="false">
      <c r="A252" s="79" t="s">
        <v>182</v>
      </c>
      <c r="B252" s="79" t="s">
        <v>1123</v>
      </c>
      <c r="C252" s="80" t="n">
        <v>202312</v>
      </c>
      <c r="D252" s="81" t="n">
        <v>45261</v>
      </c>
      <c r="E252" s="82" t="n">
        <v>2874</v>
      </c>
      <c r="F252" s="80" t="n">
        <v>35</v>
      </c>
      <c r="G252" s="79" t="s">
        <v>1197</v>
      </c>
    </row>
    <row r="253" customFormat="false" ht="15" hidden="false" customHeight="false" outlineLevel="0" collapsed="false">
      <c r="A253" s="79" t="s">
        <v>182</v>
      </c>
      <c r="B253" s="79" t="s">
        <v>1125</v>
      </c>
      <c r="C253" s="80" t="n">
        <v>202311</v>
      </c>
      <c r="D253" s="81" t="n">
        <v>45231</v>
      </c>
      <c r="E253" s="82" t="n">
        <v>2668.03</v>
      </c>
      <c r="F253" s="80" t="n">
        <v>36</v>
      </c>
      <c r="G253" s="79" t="s">
        <v>1198</v>
      </c>
    </row>
    <row r="254" customFormat="false" ht="15" hidden="false" customHeight="false" outlineLevel="0" collapsed="false">
      <c r="A254" s="79" t="s">
        <v>471</v>
      </c>
      <c r="B254" s="79" t="s">
        <v>1080</v>
      </c>
      <c r="C254" s="80" t="n">
        <v>202609</v>
      </c>
      <c r="D254" s="81" t="n">
        <v>46266</v>
      </c>
      <c r="E254" s="82" t="n">
        <v>23101.65</v>
      </c>
      <c r="F254" s="80" t="n">
        <v>1</v>
      </c>
      <c r="G254" s="79" t="s">
        <v>473</v>
      </c>
    </row>
    <row r="255" customFormat="false" ht="15" hidden="false" customHeight="false" outlineLevel="0" collapsed="false">
      <c r="A255" s="79" t="s">
        <v>471</v>
      </c>
      <c r="B255" s="79" t="s">
        <v>1081</v>
      </c>
      <c r="C255" s="80" t="n">
        <v>202608</v>
      </c>
      <c r="D255" s="81" t="n">
        <v>46235</v>
      </c>
      <c r="E255" s="82" t="n">
        <v>20370.071</v>
      </c>
      <c r="F255" s="80" t="n">
        <v>2</v>
      </c>
      <c r="G255" s="79" t="s">
        <v>474</v>
      </c>
    </row>
    <row r="256" customFormat="false" ht="15" hidden="false" customHeight="false" outlineLevel="0" collapsed="false">
      <c r="A256" s="79" t="s">
        <v>471</v>
      </c>
      <c r="B256" s="79" t="s">
        <v>1082</v>
      </c>
      <c r="C256" s="80" t="n">
        <v>202607</v>
      </c>
      <c r="D256" s="81" t="n">
        <v>46204</v>
      </c>
      <c r="E256" s="82" t="n">
        <v>24952.469</v>
      </c>
      <c r="F256" s="80" t="n">
        <v>3</v>
      </c>
      <c r="G256" s="79" t="s">
        <v>475</v>
      </c>
    </row>
    <row r="257" customFormat="false" ht="15" hidden="false" customHeight="false" outlineLevel="0" collapsed="false">
      <c r="A257" s="79" t="s">
        <v>471</v>
      </c>
      <c r="B257" s="79" t="s">
        <v>1083</v>
      </c>
      <c r="C257" s="80" t="n">
        <v>202606</v>
      </c>
      <c r="D257" s="81" t="n">
        <v>46174</v>
      </c>
      <c r="E257" s="82" t="n">
        <v>23838.344</v>
      </c>
      <c r="F257" s="80" t="n">
        <v>4</v>
      </c>
      <c r="G257" s="79" t="s">
        <v>476</v>
      </c>
    </row>
    <row r="258" customFormat="false" ht="15" hidden="false" customHeight="false" outlineLevel="0" collapsed="false">
      <c r="A258" s="79" t="s">
        <v>471</v>
      </c>
      <c r="B258" s="79" t="s">
        <v>1084</v>
      </c>
      <c r="C258" s="80" t="n">
        <v>202605</v>
      </c>
      <c r="D258" s="81" t="n">
        <v>46143</v>
      </c>
      <c r="E258" s="82" t="n">
        <v>22100.381</v>
      </c>
      <c r="F258" s="80" t="n">
        <v>5</v>
      </c>
      <c r="G258" s="79" t="s">
        <v>477</v>
      </c>
    </row>
    <row r="259" customFormat="false" ht="15" hidden="false" customHeight="false" outlineLevel="0" collapsed="false">
      <c r="A259" s="79" t="s">
        <v>471</v>
      </c>
      <c r="B259" s="79" t="s">
        <v>1085</v>
      </c>
      <c r="C259" s="80" t="n">
        <v>202604</v>
      </c>
      <c r="D259" s="81" t="n">
        <v>46113</v>
      </c>
      <c r="E259" s="82" t="n">
        <v>26020.73</v>
      </c>
      <c r="F259" s="80" t="n">
        <v>6</v>
      </c>
      <c r="G259" s="79" t="s">
        <v>478</v>
      </c>
    </row>
    <row r="260" customFormat="false" ht="15" hidden="false" customHeight="false" outlineLevel="0" collapsed="false">
      <c r="A260" s="79" t="s">
        <v>471</v>
      </c>
      <c r="B260" s="79" t="s">
        <v>1086</v>
      </c>
      <c r="C260" s="80" t="n">
        <v>202603</v>
      </c>
      <c r="D260" s="81" t="n">
        <v>46082</v>
      </c>
      <c r="E260" s="82" t="n">
        <v>20505.355</v>
      </c>
      <c r="F260" s="80" t="n">
        <v>7</v>
      </c>
      <c r="G260" s="79" t="s">
        <v>479</v>
      </c>
    </row>
    <row r="261" customFormat="false" ht="15" hidden="false" customHeight="false" outlineLevel="0" collapsed="false">
      <c r="A261" s="79" t="s">
        <v>471</v>
      </c>
      <c r="B261" s="79" t="s">
        <v>1087</v>
      </c>
      <c r="C261" s="80" t="n">
        <v>202602</v>
      </c>
      <c r="D261" s="81" t="n">
        <v>46054</v>
      </c>
      <c r="E261" s="82" t="n">
        <v>22505.27</v>
      </c>
      <c r="F261" s="80" t="n">
        <v>8</v>
      </c>
      <c r="G261" s="79" t="s">
        <v>480</v>
      </c>
    </row>
    <row r="262" customFormat="false" ht="15" hidden="false" customHeight="false" outlineLevel="0" collapsed="false">
      <c r="A262" s="79" t="s">
        <v>471</v>
      </c>
      <c r="B262" s="79" t="s">
        <v>1088</v>
      </c>
      <c r="C262" s="80" t="n">
        <v>202601</v>
      </c>
      <c r="D262" s="81" t="n">
        <v>46023</v>
      </c>
      <c r="E262" s="82" t="n">
        <v>25189.52</v>
      </c>
      <c r="F262" s="80" t="n">
        <v>9</v>
      </c>
      <c r="G262" s="79" t="s">
        <v>481</v>
      </c>
    </row>
    <row r="263" customFormat="false" ht="15" hidden="false" customHeight="false" outlineLevel="0" collapsed="false">
      <c r="A263" s="79" t="s">
        <v>471</v>
      </c>
      <c r="B263" s="79" t="s">
        <v>1089</v>
      </c>
      <c r="C263" s="80" t="n">
        <v>202512</v>
      </c>
      <c r="D263" s="81" t="n">
        <v>45992</v>
      </c>
      <c r="E263" s="82" t="n">
        <v>24036.31</v>
      </c>
      <c r="F263" s="80" t="n">
        <v>10</v>
      </c>
      <c r="G263" s="79" t="s">
        <v>482</v>
      </c>
    </row>
    <row r="264" customFormat="false" ht="15" hidden="false" customHeight="false" outlineLevel="0" collapsed="false">
      <c r="A264" s="79" t="s">
        <v>471</v>
      </c>
      <c r="B264" s="79" t="s">
        <v>1090</v>
      </c>
      <c r="C264" s="80" t="n">
        <v>202511</v>
      </c>
      <c r="D264" s="81" t="n">
        <v>45962</v>
      </c>
      <c r="E264" s="82" t="n">
        <v>20915.737</v>
      </c>
      <c r="F264" s="80" t="n">
        <v>11</v>
      </c>
      <c r="G264" s="79" t="s">
        <v>483</v>
      </c>
    </row>
    <row r="265" customFormat="false" ht="15" hidden="false" customHeight="false" outlineLevel="0" collapsed="false">
      <c r="A265" s="79" t="s">
        <v>471</v>
      </c>
      <c r="B265" s="79" t="s">
        <v>1091</v>
      </c>
      <c r="C265" s="80" t="n">
        <v>202510</v>
      </c>
      <c r="D265" s="81" t="n">
        <v>45931</v>
      </c>
      <c r="E265" s="82" t="n">
        <v>24445.426</v>
      </c>
      <c r="F265" s="80" t="n">
        <v>12</v>
      </c>
      <c r="G265" s="79" t="s">
        <v>484</v>
      </c>
    </row>
    <row r="266" customFormat="false" ht="15" hidden="false" customHeight="false" outlineLevel="0" collapsed="false">
      <c r="A266" s="79" t="s">
        <v>471</v>
      </c>
      <c r="B266" s="79" t="s">
        <v>1092</v>
      </c>
      <c r="C266" s="80" t="n">
        <v>202509</v>
      </c>
      <c r="D266" s="81" t="n">
        <v>45901</v>
      </c>
      <c r="E266" s="82" t="n">
        <v>24539.457</v>
      </c>
      <c r="F266" s="80" t="n">
        <v>13</v>
      </c>
      <c r="G266" s="79" t="s">
        <v>485</v>
      </c>
    </row>
    <row r="267" customFormat="false" ht="15" hidden="false" customHeight="false" outlineLevel="0" collapsed="false">
      <c r="A267" s="79" t="s">
        <v>471</v>
      </c>
      <c r="B267" s="79" t="s">
        <v>1093</v>
      </c>
      <c r="C267" s="80" t="n">
        <v>202508</v>
      </c>
      <c r="D267" s="81" t="n">
        <v>45870</v>
      </c>
      <c r="E267" s="82" t="n">
        <v>20922.673</v>
      </c>
      <c r="F267" s="80" t="n">
        <v>14</v>
      </c>
      <c r="G267" s="79" t="s">
        <v>486</v>
      </c>
    </row>
    <row r="268" customFormat="false" ht="15" hidden="false" customHeight="false" outlineLevel="0" collapsed="false">
      <c r="A268" s="79" t="s">
        <v>471</v>
      </c>
      <c r="B268" s="79" t="s">
        <v>1094</v>
      </c>
      <c r="C268" s="80" t="n">
        <v>202507</v>
      </c>
      <c r="D268" s="81" t="n">
        <v>45839</v>
      </c>
      <c r="E268" s="82" t="n">
        <v>21921.538</v>
      </c>
      <c r="F268" s="80" t="n">
        <v>15</v>
      </c>
      <c r="G268" s="79" t="s">
        <v>487</v>
      </c>
    </row>
    <row r="269" customFormat="false" ht="15" hidden="false" customHeight="false" outlineLevel="0" collapsed="false">
      <c r="A269" s="79" t="s">
        <v>471</v>
      </c>
      <c r="B269" s="79" t="s">
        <v>1095</v>
      </c>
      <c r="C269" s="80" t="n">
        <v>202506</v>
      </c>
      <c r="D269" s="81" t="n">
        <v>45809</v>
      </c>
      <c r="E269" s="82" t="n">
        <v>24177.397</v>
      </c>
      <c r="F269" s="80" t="n">
        <v>16</v>
      </c>
      <c r="G269" s="79" t="s">
        <v>488</v>
      </c>
    </row>
    <row r="270" customFormat="false" ht="15" hidden="false" customHeight="false" outlineLevel="0" collapsed="false">
      <c r="A270" s="79" t="s">
        <v>471</v>
      </c>
      <c r="B270" s="79" t="s">
        <v>1096</v>
      </c>
      <c r="C270" s="80" t="n">
        <v>202505</v>
      </c>
      <c r="D270" s="81" t="n">
        <v>45778</v>
      </c>
      <c r="E270" s="82" t="n">
        <v>23137.814</v>
      </c>
      <c r="F270" s="80" t="n">
        <v>17</v>
      </c>
      <c r="G270" s="79" t="s">
        <v>489</v>
      </c>
    </row>
    <row r="271" customFormat="false" ht="15" hidden="false" customHeight="false" outlineLevel="0" collapsed="false">
      <c r="A271" s="79" t="s">
        <v>471</v>
      </c>
      <c r="B271" s="79" t="s">
        <v>1097</v>
      </c>
      <c r="C271" s="80" t="n">
        <v>202504</v>
      </c>
      <c r="D271" s="81" t="n">
        <v>45748</v>
      </c>
      <c r="E271" s="82" t="n">
        <v>25852.917</v>
      </c>
      <c r="F271" s="80" t="n">
        <v>18</v>
      </c>
      <c r="G271" s="79" t="s">
        <v>490</v>
      </c>
    </row>
    <row r="272" customFormat="false" ht="15" hidden="false" customHeight="false" outlineLevel="0" collapsed="false">
      <c r="A272" s="79" t="s">
        <v>471</v>
      </c>
      <c r="B272" s="79" t="s">
        <v>1098</v>
      </c>
      <c r="C272" s="80" t="n">
        <v>202503</v>
      </c>
      <c r="D272" s="81" t="n">
        <v>45717</v>
      </c>
      <c r="E272" s="82" t="n">
        <v>24605.664</v>
      </c>
      <c r="F272" s="80" t="n">
        <v>19</v>
      </c>
      <c r="G272" s="79" t="s">
        <v>491</v>
      </c>
    </row>
    <row r="273" customFormat="false" ht="15" hidden="false" customHeight="false" outlineLevel="0" collapsed="false">
      <c r="A273" s="79" t="s">
        <v>471</v>
      </c>
      <c r="B273" s="79" t="s">
        <v>1099</v>
      </c>
      <c r="C273" s="80" t="n">
        <v>202502</v>
      </c>
      <c r="D273" s="81" t="n">
        <v>45689</v>
      </c>
      <c r="E273" s="82" t="n">
        <v>21643.289</v>
      </c>
      <c r="F273" s="80" t="n">
        <v>20</v>
      </c>
      <c r="G273" s="79" t="s">
        <v>492</v>
      </c>
    </row>
    <row r="274" customFormat="false" ht="15" hidden="false" customHeight="false" outlineLevel="0" collapsed="false">
      <c r="A274" s="79" t="s">
        <v>471</v>
      </c>
      <c r="B274" s="79" t="s">
        <v>1100</v>
      </c>
      <c r="C274" s="80" t="n">
        <v>202501</v>
      </c>
      <c r="D274" s="81" t="n">
        <v>45658</v>
      </c>
      <c r="E274" s="82" t="n">
        <v>24593.946</v>
      </c>
      <c r="F274" s="80" t="n">
        <v>21</v>
      </c>
      <c r="G274" s="79" t="s">
        <v>493</v>
      </c>
    </row>
    <row r="275" customFormat="false" ht="15" hidden="false" customHeight="false" outlineLevel="0" collapsed="false">
      <c r="A275" s="79" t="s">
        <v>471</v>
      </c>
      <c r="B275" s="79" t="s">
        <v>1101</v>
      </c>
      <c r="C275" s="80" t="n">
        <v>202412</v>
      </c>
      <c r="D275" s="81" t="n">
        <v>45627</v>
      </c>
      <c r="E275" s="82" t="n">
        <v>23256.94</v>
      </c>
      <c r="F275" s="80" t="n">
        <v>22</v>
      </c>
      <c r="G275" s="79" t="s">
        <v>494</v>
      </c>
    </row>
    <row r="276" customFormat="false" ht="15" hidden="false" customHeight="false" outlineLevel="0" collapsed="false">
      <c r="A276" s="79" t="s">
        <v>471</v>
      </c>
      <c r="B276" s="79" t="s">
        <v>1102</v>
      </c>
      <c r="C276" s="80" t="n">
        <v>202411</v>
      </c>
      <c r="D276" s="81" t="n">
        <v>45597</v>
      </c>
      <c r="E276" s="82" t="n">
        <v>20873.385</v>
      </c>
      <c r="F276" s="80" t="n">
        <v>23</v>
      </c>
      <c r="G276" s="79" t="s">
        <v>495</v>
      </c>
    </row>
    <row r="277" customFormat="false" ht="15" hidden="false" customHeight="false" outlineLevel="0" collapsed="false">
      <c r="A277" s="79" t="s">
        <v>471</v>
      </c>
      <c r="B277" s="79" t="s">
        <v>1103</v>
      </c>
      <c r="C277" s="80" t="n">
        <v>202410</v>
      </c>
      <c r="D277" s="81" t="n">
        <v>45566</v>
      </c>
      <c r="E277" s="82" t="n">
        <v>25871.576</v>
      </c>
      <c r="F277" s="80" t="n">
        <v>24</v>
      </c>
      <c r="G277" s="79" t="s">
        <v>496</v>
      </c>
    </row>
    <row r="278" customFormat="false" ht="15" hidden="false" customHeight="false" outlineLevel="0" collapsed="false">
      <c r="A278" s="79" t="s">
        <v>471</v>
      </c>
      <c r="B278" s="79" t="s">
        <v>1105</v>
      </c>
      <c r="C278" s="80" t="n">
        <v>202409</v>
      </c>
      <c r="D278" s="81" t="n">
        <v>45536</v>
      </c>
      <c r="E278" s="82" t="n">
        <v>27012.994</v>
      </c>
      <c r="F278" s="80" t="n">
        <v>25</v>
      </c>
      <c r="G278" s="79" t="s">
        <v>1199</v>
      </c>
    </row>
    <row r="279" customFormat="false" ht="15" hidden="false" customHeight="false" outlineLevel="0" collapsed="false">
      <c r="A279" s="79" t="s">
        <v>471</v>
      </c>
      <c r="B279" s="79" t="s">
        <v>1107</v>
      </c>
      <c r="C279" s="80" t="n">
        <v>202408</v>
      </c>
      <c r="D279" s="81" t="n">
        <v>45505</v>
      </c>
      <c r="E279" s="82" t="n">
        <v>24863.565</v>
      </c>
      <c r="F279" s="80" t="n">
        <v>26</v>
      </c>
      <c r="G279" s="79" t="s">
        <v>1200</v>
      </c>
    </row>
    <row r="280" customFormat="false" ht="15" hidden="false" customHeight="false" outlineLevel="0" collapsed="false">
      <c r="A280" s="79" t="s">
        <v>471</v>
      </c>
      <c r="B280" s="79" t="s">
        <v>1109</v>
      </c>
      <c r="C280" s="80" t="n">
        <v>202407</v>
      </c>
      <c r="D280" s="81" t="n">
        <v>45474</v>
      </c>
      <c r="E280" s="82" t="n">
        <v>25221.323</v>
      </c>
      <c r="F280" s="80" t="n">
        <v>27</v>
      </c>
      <c r="G280" s="79" t="s">
        <v>1201</v>
      </c>
    </row>
    <row r="281" customFormat="false" ht="15" hidden="false" customHeight="false" outlineLevel="0" collapsed="false">
      <c r="A281" s="79" t="s">
        <v>471</v>
      </c>
      <c r="B281" s="79" t="s">
        <v>1111</v>
      </c>
      <c r="C281" s="80" t="n">
        <v>202406</v>
      </c>
      <c r="D281" s="81" t="n">
        <v>45444</v>
      </c>
      <c r="E281" s="82" t="n">
        <v>25339.522</v>
      </c>
      <c r="F281" s="80" t="n">
        <v>28</v>
      </c>
      <c r="G281" s="79" t="s">
        <v>1202</v>
      </c>
    </row>
    <row r="282" customFormat="false" ht="15" hidden="false" customHeight="false" outlineLevel="0" collapsed="false">
      <c r="A282" s="79" t="s">
        <v>471</v>
      </c>
      <c r="B282" s="79" t="s">
        <v>1113</v>
      </c>
      <c r="C282" s="80" t="n">
        <v>202405</v>
      </c>
      <c r="D282" s="81" t="n">
        <v>45413</v>
      </c>
      <c r="E282" s="82" t="n">
        <v>23767.101</v>
      </c>
      <c r="F282" s="80" t="n">
        <v>29</v>
      </c>
      <c r="G282" s="79" t="s">
        <v>1203</v>
      </c>
    </row>
    <row r="283" customFormat="false" ht="15" hidden="false" customHeight="false" outlineLevel="0" collapsed="false">
      <c r="A283" s="79" t="s">
        <v>471</v>
      </c>
      <c r="B283" s="79" t="s">
        <v>1115</v>
      </c>
      <c r="C283" s="80" t="n">
        <v>202404</v>
      </c>
      <c r="D283" s="81" t="n">
        <v>45383</v>
      </c>
      <c r="E283" s="82" t="n">
        <v>21203.584</v>
      </c>
      <c r="F283" s="80" t="n">
        <v>30</v>
      </c>
      <c r="G283" s="79" t="s">
        <v>1204</v>
      </c>
    </row>
    <row r="284" customFormat="false" ht="15" hidden="false" customHeight="false" outlineLevel="0" collapsed="false">
      <c r="A284" s="79" t="s">
        <v>471</v>
      </c>
      <c r="B284" s="79" t="s">
        <v>1117</v>
      </c>
      <c r="C284" s="80" t="n">
        <v>202403</v>
      </c>
      <c r="D284" s="81" t="n">
        <v>45352</v>
      </c>
      <c r="E284" s="82" t="n">
        <v>19832.105</v>
      </c>
      <c r="F284" s="80" t="n">
        <v>31</v>
      </c>
      <c r="G284" s="79" t="s">
        <v>1205</v>
      </c>
    </row>
    <row r="285" customFormat="false" ht="15" hidden="false" customHeight="false" outlineLevel="0" collapsed="false">
      <c r="A285" s="79" t="s">
        <v>471</v>
      </c>
      <c r="B285" s="79" t="s">
        <v>1119</v>
      </c>
      <c r="C285" s="80" t="n">
        <v>202402</v>
      </c>
      <c r="D285" s="81" t="n">
        <v>45323</v>
      </c>
      <c r="E285" s="82" t="n">
        <v>18441.642</v>
      </c>
      <c r="F285" s="80" t="n">
        <v>32</v>
      </c>
      <c r="G285" s="79" t="s">
        <v>1206</v>
      </c>
    </row>
    <row r="286" customFormat="false" ht="15" hidden="false" customHeight="false" outlineLevel="0" collapsed="false">
      <c r="A286" s="79" t="s">
        <v>471</v>
      </c>
      <c r="B286" s="79" t="s">
        <v>1121</v>
      </c>
      <c r="C286" s="80" t="n">
        <v>202401</v>
      </c>
      <c r="D286" s="81" t="n">
        <v>45292</v>
      </c>
      <c r="E286" s="82" t="n">
        <v>21996.796</v>
      </c>
      <c r="F286" s="80" t="n">
        <v>33</v>
      </c>
      <c r="G286" s="79" t="s">
        <v>1207</v>
      </c>
    </row>
    <row r="287" customFormat="false" ht="15" hidden="false" customHeight="false" outlineLevel="0" collapsed="false">
      <c r="A287" s="79" t="s">
        <v>471</v>
      </c>
      <c r="B287" s="79" t="s">
        <v>1123</v>
      </c>
      <c r="C287" s="80" t="n">
        <v>202312</v>
      </c>
      <c r="D287" s="81" t="n">
        <v>45261</v>
      </c>
      <c r="E287" s="82" t="n">
        <v>20181.223</v>
      </c>
      <c r="F287" s="80" t="n">
        <v>34</v>
      </c>
      <c r="G287" s="79" t="s">
        <v>1208</v>
      </c>
    </row>
    <row r="288" customFormat="false" ht="15" hidden="false" customHeight="false" outlineLevel="0" collapsed="false">
      <c r="A288" s="79" t="s">
        <v>471</v>
      </c>
      <c r="B288" s="79" t="s">
        <v>1125</v>
      </c>
      <c r="C288" s="80" t="n">
        <v>202311</v>
      </c>
      <c r="D288" s="81" t="n">
        <v>45231</v>
      </c>
      <c r="E288" s="82" t="n">
        <v>21167.778</v>
      </c>
      <c r="F288" s="80" t="n">
        <v>35</v>
      </c>
      <c r="G288" s="79" t="s">
        <v>1209</v>
      </c>
    </row>
    <row r="289" customFormat="false" ht="15" hidden="false" customHeight="false" outlineLevel="0" collapsed="false">
      <c r="A289" s="79" t="s">
        <v>471</v>
      </c>
      <c r="B289" s="79" t="s">
        <v>1210</v>
      </c>
      <c r="C289" s="80" t="n">
        <v>202310</v>
      </c>
      <c r="D289" s="81" t="n">
        <v>45200</v>
      </c>
      <c r="E289" s="82" t="n">
        <v>24568.621</v>
      </c>
      <c r="F289" s="80" t="n">
        <v>36</v>
      </c>
      <c r="G289" s="79" t="s">
        <v>1211</v>
      </c>
    </row>
    <row r="290" customFormat="false" ht="15" hidden="false" customHeight="false" outlineLevel="0" collapsed="false">
      <c r="A290" s="79" t="s">
        <v>222</v>
      </c>
      <c r="B290" s="79" t="s">
        <v>1079</v>
      </c>
      <c r="C290" s="80" t="n">
        <v>202610</v>
      </c>
      <c r="D290" s="81" t="n">
        <v>46296</v>
      </c>
      <c r="E290" s="82" t="n">
        <v>55399.497</v>
      </c>
      <c r="F290" s="80" t="n">
        <v>1</v>
      </c>
      <c r="G290" s="79" t="s">
        <v>498</v>
      </c>
    </row>
    <row r="291" customFormat="false" ht="15" hidden="false" customHeight="false" outlineLevel="0" collapsed="false">
      <c r="A291" s="79" t="s">
        <v>222</v>
      </c>
      <c r="B291" s="79" t="s">
        <v>1080</v>
      </c>
      <c r="C291" s="80" t="n">
        <v>202609</v>
      </c>
      <c r="D291" s="81" t="n">
        <v>46266</v>
      </c>
      <c r="E291" s="82" t="n">
        <v>64183.361</v>
      </c>
      <c r="F291" s="80" t="n">
        <v>2</v>
      </c>
      <c r="G291" s="79" t="s">
        <v>499</v>
      </c>
    </row>
    <row r="292" customFormat="false" ht="15" hidden="false" customHeight="false" outlineLevel="0" collapsed="false">
      <c r="A292" s="79" t="s">
        <v>222</v>
      </c>
      <c r="B292" s="79" t="s">
        <v>1081</v>
      </c>
      <c r="C292" s="80" t="n">
        <v>202608</v>
      </c>
      <c r="D292" s="81" t="n">
        <v>46235</v>
      </c>
      <c r="E292" s="82" t="n">
        <v>48474.93</v>
      </c>
      <c r="F292" s="80" t="n">
        <v>3</v>
      </c>
      <c r="G292" s="79" t="s">
        <v>500</v>
      </c>
    </row>
    <row r="293" customFormat="false" ht="15" hidden="false" customHeight="false" outlineLevel="0" collapsed="false">
      <c r="A293" s="79" t="s">
        <v>222</v>
      </c>
      <c r="B293" s="79" t="s">
        <v>1082</v>
      </c>
      <c r="C293" s="80" t="n">
        <v>202607</v>
      </c>
      <c r="D293" s="81" t="n">
        <v>46204</v>
      </c>
      <c r="E293" s="82" t="n">
        <v>58011.756</v>
      </c>
      <c r="F293" s="80" t="n">
        <v>4</v>
      </c>
      <c r="G293" s="79" t="s">
        <v>501</v>
      </c>
    </row>
    <row r="294" customFormat="false" ht="15" hidden="false" customHeight="false" outlineLevel="0" collapsed="false">
      <c r="A294" s="79" t="s">
        <v>222</v>
      </c>
      <c r="B294" s="79" t="s">
        <v>1083</v>
      </c>
      <c r="C294" s="80" t="n">
        <v>202606</v>
      </c>
      <c r="D294" s="81" t="n">
        <v>46174</v>
      </c>
      <c r="E294" s="82" t="n">
        <v>47434.191</v>
      </c>
      <c r="F294" s="80" t="n">
        <v>5</v>
      </c>
      <c r="G294" s="79" t="s">
        <v>502</v>
      </c>
    </row>
    <row r="295" customFormat="false" ht="15" hidden="false" customHeight="false" outlineLevel="0" collapsed="false">
      <c r="A295" s="79" t="s">
        <v>222</v>
      </c>
      <c r="B295" s="79" t="s">
        <v>1084</v>
      </c>
      <c r="C295" s="80" t="n">
        <v>202605</v>
      </c>
      <c r="D295" s="81" t="n">
        <v>46143</v>
      </c>
      <c r="E295" s="82" t="n">
        <v>46736.664</v>
      </c>
      <c r="F295" s="80" t="n">
        <v>6</v>
      </c>
      <c r="G295" s="79" t="s">
        <v>503</v>
      </c>
    </row>
    <row r="296" customFormat="false" ht="15" hidden="false" customHeight="false" outlineLevel="0" collapsed="false">
      <c r="A296" s="79" t="s">
        <v>222</v>
      </c>
      <c r="B296" s="79" t="s">
        <v>1085</v>
      </c>
      <c r="C296" s="80" t="n">
        <v>202604</v>
      </c>
      <c r="D296" s="81" t="n">
        <v>46113</v>
      </c>
      <c r="E296" s="82" t="n">
        <v>63219.184</v>
      </c>
      <c r="F296" s="80" t="n">
        <v>7</v>
      </c>
      <c r="G296" s="79" t="s">
        <v>504</v>
      </c>
    </row>
    <row r="297" customFormat="false" ht="15" hidden="false" customHeight="false" outlineLevel="0" collapsed="false">
      <c r="A297" s="79" t="s">
        <v>222</v>
      </c>
      <c r="B297" s="79" t="s">
        <v>1086</v>
      </c>
      <c r="C297" s="80" t="n">
        <v>202603</v>
      </c>
      <c r="D297" s="81" t="n">
        <v>46082</v>
      </c>
      <c r="E297" s="82" t="n">
        <v>38954.271</v>
      </c>
      <c r="F297" s="80" t="n">
        <v>8</v>
      </c>
      <c r="G297" s="79" t="s">
        <v>505</v>
      </c>
    </row>
    <row r="298" customFormat="false" ht="15" hidden="false" customHeight="false" outlineLevel="0" collapsed="false">
      <c r="A298" s="79" t="s">
        <v>222</v>
      </c>
      <c r="B298" s="79" t="s">
        <v>1087</v>
      </c>
      <c r="C298" s="80" t="n">
        <v>202602</v>
      </c>
      <c r="D298" s="81" t="n">
        <v>46054</v>
      </c>
      <c r="E298" s="82" t="n">
        <v>46977.055</v>
      </c>
      <c r="F298" s="80" t="n">
        <v>9</v>
      </c>
      <c r="G298" s="79" t="s">
        <v>506</v>
      </c>
    </row>
    <row r="299" customFormat="false" ht="15" hidden="false" customHeight="false" outlineLevel="0" collapsed="false">
      <c r="A299" s="79" t="s">
        <v>222</v>
      </c>
      <c r="B299" s="79" t="s">
        <v>1088</v>
      </c>
      <c r="C299" s="80" t="n">
        <v>202601</v>
      </c>
      <c r="D299" s="81" t="n">
        <v>46023</v>
      </c>
      <c r="E299" s="82" t="n">
        <v>51266.079</v>
      </c>
      <c r="F299" s="80" t="n">
        <v>10</v>
      </c>
      <c r="G299" s="79" t="s">
        <v>507</v>
      </c>
    </row>
    <row r="300" customFormat="false" ht="15" hidden="false" customHeight="false" outlineLevel="0" collapsed="false">
      <c r="A300" s="79" t="s">
        <v>222</v>
      </c>
      <c r="B300" s="79" t="s">
        <v>1089</v>
      </c>
      <c r="C300" s="80" t="n">
        <v>202512</v>
      </c>
      <c r="D300" s="81" t="n">
        <v>45992</v>
      </c>
      <c r="E300" s="82" t="n">
        <v>46895.68</v>
      </c>
      <c r="F300" s="80" t="n">
        <v>11</v>
      </c>
      <c r="G300" s="79" t="s">
        <v>508</v>
      </c>
    </row>
    <row r="301" customFormat="false" ht="15" hidden="false" customHeight="false" outlineLevel="0" collapsed="false">
      <c r="A301" s="79" t="s">
        <v>222</v>
      </c>
      <c r="B301" s="79" t="s">
        <v>1090</v>
      </c>
      <c r="C301" s="80" t="n">
        <v>202511</v>
      </c>
      <c r="D301" s="81" t="n">
        <v>45962</v>
      </c>
      <c r="E301" s="82" t="n">
        <v>52026.251</v>
      </c>
      <c r="F301" s="80" t="n">
        <v>12</v>
      </c>
      <c r="G301" s="79" t="s">
        <v>509</v>
      </c>
    </row>
    <row r="302" customFormat="false" ht="15" hidden="false" customHeight="false" outlineLevel="0" collapsed="false">
      <c r="A302" s="79" t="s">
        <v>222</v>
      </c>
      <c r="B302" s="79" t="s">
        <v>1091</v>
      </c>
      <c r="C302" s="80" t="n">
        <v>202510</v>
      </c>
      <c r="D302" s="81" t="n">
        <v>45931</v>
      </c>
      <c r="E302" s="82" t="n">
        <v>54330.057</v>
      </c>
      <c r="F302" s="80" t="n">
        <v>13</v>
      </c>
      <c r="G302" s="79" t="s">
        <v>510</v>
      </c>
    </row>
    <row r="303" customFormat="false" ht="15" hidden="false" customHeight="false" outlineLevel="0" collapsed="false">
      <c r="A303" s="79" t="s">
        <v>222</v>
      </c>
      <c r="B303" s="79" t="s">
        <v>1092</v>
      </c>
      <c r="C303" s="80" t="n">
        <v>202509</v>
      </c>
      <c r="D303" s="81" t="n">
        <v>45901</v>
      </c>
      <c r="E303" s="82" t="n">
        <v>44546.643</v>
      </c>
      <c r="F303" s="80" t="n">
        <v>14</v>
      </c>
      <c r="G303" s="79" t="s">
        <v>511</v>
      </c>
    </row>
    <row r="304" customFormat="false" ht="15" hidden="false" customHeight="false" outlineLevel="0" collapsed="false">
      <c r="A304" s="79" t="s">
        <v>222</v>
      </c>
      <c r="B304" s="79" t="s">
        <v>1093</v>
      </c>
      <c r="C304" s="80" t="n">
        <v>202508</v>
      </c>
      <c r="D304" s="81" t="n">
        <v>45870</v>
      </c>
      <c r="E304" s="82" t="n">
        <v>43220.164</v>
      </c>
      <c r="F304" s="80" t="n">
        <v>15</v>
      </c>
      <c r="G304" s="79" t="s">
        <v>512</v>
      </c>
    </row>
    <row r="305" customFormat="false" ht="15" hidden="false" customHeight="false" outlineLevel="0" collapsed="false">
      <c r="A305" s="79" t="s">
        <v>222</v>
      </c>
      <c r="B305" s="79" t="s">
        <v>1094</v>
      </c>
      <c r="C305" s="80" t="n">
        <v>202507</v>
      </c>
      <c r="D305" s="81" t="n">
        <v>45839</v>
      </c>
      <c r="E305" s="82" t="n">
        <v>56433.621</v>
      </c>
      <c r="F305" s="80" t="n">
        <v>16</v>
      </c>
      <c r="G305" s="79" t="s">
        <v>513</v>
      </c>
    </row>
    <row r="306" customFormat="false" ht="15" hidden="false" customHeight="false" outlineLevel="0" collapsed="false">
      <c r="A306" s="79" t="s">
        <v>222</v>
      </c>
      <c r="B306" s="79" t="s">
        <v>1095</v>
      </c>
      <c r="C306" s="80" t="n">
        <v>202506</v>
      </c>
      <c r="D306" s="81" t="n">
        <v>45809</v>
      </c>
      <c r="E306" s="82" t="n">
        <v>45180.526</v>
      </c>
      <c r="F306" s="80" t="n">
        <v>17</v>
      </c>
      <c r="G306" s="79" t="s">
        <v>514</v>
      </c>
    </row>
    <row r="307" customFormat="false" ht="15" hidden="false" customHeight="false" outlineLevel="0" collapsed="false">
      <c r="A307" s="79" t="s">
        <v>222</v>
      </c>
      <c r="B307" s="79" t="s">
        <v>1096</v>
      </c>
      <c r="C307" s="80" t="n">
        <v>202505</v>
      </c>
      <c r="D307" s="81" t="n">
        <v>45778</v>
      </c>
      <c r="E307" s="82" t="n">
        <v>48754.424</v>
      </c>
      <c r="F307" s="80" t="n">
        <v>18</v>
      </c>
      <c r="G307" s="79" t="s">
        <v>515</v>
      </c>
    </row>
    <row r="308" customFormat="false" ht="15" hidden="false" customHeight="false" outlineLevel="0" collapsed="false">
      <c r="A308" s="79" t="s">
        <v>222</v>
      </c>
      <c r="B308" s="79" t="s">
        <v>1097</v>
      </c>
      <c r="C308" s="80" t="n">
        <v>202504</v>
      </c>
      <c r="D308" s="81" t="n">
        <v>45748</v>
      </c>
      <c r="E308" s="82" t="n">
        <v>55996.226</v>
      </c>
      <c r="F308" s="80" t="n">
        <v>19</v>
      </c>
      <c r="G308" s="79" t="s">
        <v>516</v>
      </c>
    </row>
    <row r="309" customFormat="false" ht="15" hidden="false" customHeight="false" outlineLevel="0" collapsed="false">
      <c r="A309" s="79" t="s">
        <v>222</v>
      </c>
      <c r="B309" s="79" t="s">
        <v>1098</v>
      </c>
      <c r="C309" s="80" t="n">
        <v>202503</v>
      </c>
      <c r="D309" s="81" t="n">
        <v>45717</v>
      </c>
      <c r="E309" s="82" t="n">
        <v>46171.723</v>
      </c>
      <c r="F309" s="80" t="n">
        <v>20</v>
      </c>
      <c r="G309" s="79" t="s">
        <v>517</v>
      </c>
    </row>
    <row r="310" customFormat="false" ht="15" hidden="false" customHeight="false" outlineLevel="0" collapsed="false">
      <c r="A310" s="79" t="s">
        <v>222</v>
      </c>
      <c r="B310" s="79" t="s">
        <v>1099</v>
      </c>
      <c r="C310" s="80" t="n">
        <v>202502</v>
      </c>
      <c r="D310" s="81" t="n">
        <v>45689</v>
      </c>
      <c r="E310" s="82" t="n">
        <v>51144.288</v>
      </c>
      <c r="F310" s="80" t="n">
        <v>21</v>
      </c>
      <c r="G310" s="79" t="s">
        <v>518</v>
      </c>
    </row>
    <row r="311" customFormat="false" ht="15" hidden="false" customHeight="false" outlineLevel="0" collapsed="false">
      <c r="A311" s="79" t="s">
        <v>222</v>
      </c>
      <c r="B311" s="79" t="s">
        <v>1100</v>
      </c>
      <c r="C311" s="80" t="n">
        <v>202501</v>
      </c>
      <c r="D311" s="81" t="n">
        <v>45658</v>
      </c>
      <c r="E311" s="82" t="n">
        <v>41683.43</v>
      </c>
      <c r="F311" s="80" t="n">
        <v>22</v>
      </c>
      <c r="G311" s="79" t="s">
        <v>519</v>
      </c>
    </row>
    <row r="312" customFormat="false" ht="15" hidden="false" customHeight="false" outlineLevel="0" collapsed="false">
      <c r="A312" s="79" t="s">
        <v>222</v>
      </c>
      <c r="B312" s="79" t="s">
        <v>1101</v>
      </c>
      <c r="C312" s="80" t="n">
        <v>202412</v>
      </c>
      <c r="D312" s="81" t="n">
        <v>45627</v>
      </c>
      <c r="E312" s="82" t="n">
        <v>45242.346</v>
      </c>
      <c r="F312" s="80" t="n">
        <v>23</v>
      </c>
      <c r="G312" s="79" t="s">
        <v>520</v>
      </c>
    </row>
    <row r="313" customFormat="false" ht="15" hidden="false" customHeight="false" outlineLevel="0" collapsed="false">
      <c r="A313" s="79" t="s">
        <v>222</v>
      </c>
      <c r="B313" s="79" t="s">
        <v>1102</v>
      </c>
      <c r="C313" s="80" t="n">
        <v>202411</v>
      </c>
      <c r="D313" s="81" t="n">
        <v>45597</v>
      </c>
      <c r="E313" s="82" t="n">
        <v>51117.348</v>
      </c>
      <c r="F313" s="80" t="n">
        <v>24</v>
      </c>
      <c r="G313" s="79" t="s">
        <v>521</v>
      </c>
    </row>
    <row r="314" customFormat="false" ht="15" hidden="false" customHeight="false" outlineLevel="0" collapsed="false">
      <c r="A314" s="79" t="s">
        <v>222</v>
      </c>
      <c r="B314" s="79" t="s">
        <v>1103</v>
      </c>
      <c r="C314" s="80" t="n">
        <v>202410</v>
      </c>
      <c r="D314" s="81" t="n">
        <v>45566</v>
      </c>
      <c r="E314" s="82" t="n">
        <v>44675.936</v>
      </c>
      <c r="F314" s="80" t="n">
        <v>25</v>
      </c>
      <c r="G314" s="79" t="s">
        <v>1212</v>
      </c>
    </row>
    <row r="315" customFormat="false" ht="15" hidden="false" customHeight="false" outlineLevel="0" collapsed="false">
      <c r="A315" s="79" t="s">
        <v>222</v>
      </c>
      <c r="B315" s="79" t="s">
        <v>1105</v>
      </c>
      <c r="C315" s="80" t="n">
        <v>202409</v>
      </c>
      <c r="D315" s="81" t="n">
        <v>45536</v>
      </c>
      <c r="E315" s="82" t="n">
        <v>41527.835</v>
      </c>
      <c r="F315" s="80" t="n">
        <v>26</v>
      </c>
      <c r="G315" s="79" t="s">
        <v>1213</v>
      </c>
    </row>
    <row r="316" customFormat="false" ht="15" hidden="false" customHeight="false" outlineLevel="0" collapsed="false">
      <c r="A316" s="79" t="s">
        <v>222</v>
      </c>
      <c r="B316" s="79" t="s">
        <v>1107</v>
      </c>
      <c r="C316" s="80" t="n">
        <v>202408</v>
      </c>
      <c r="D316" s="81" t="n">
        <v>45505</v>
      </c>
      <c r="E316" s="82" t="n">
        <v>45609.723</v>
      </c>
      <c r="F316" s="80" t="n">
        <v>27</v>
      </c>
      <c r="G316" s="79" t="s">
        <v>1214</v>
      </c>
    </row>
    <row r="317" customFormat="false" ht="15" hidden="false" customHeight="false" outlineLevel="0" collapsed="false">
      <c r="A317" s="79" t="s">
        <v>222</v>
      </c>
      <c r="B317" s="79" t="s">
        <v>1109</v>
      </c>
      <c r="C317" s="80" t="n">
        <v>202407</v>
      </c>
      <c r="D317" s="81" t="n">
        <v>45474</v>
      </c>
      <c r="E317" s="82" t="n">
        <v>43092.056</v>
      </c>
      <c r="F317" s="80" t="n">
        <v>28</v>
      </c>
      <c r="G317" s="79" t="s">
        <v>1215</v>
      </c>
    </row>
    <row r="318" customFormat="false" ht="15" hidden="false" customHeight="false" outlineLevel="0" collapsed="false">
      <c r="A318" s="79" t="s">
        <v>222</v>
      </c>
      <c r="B318" s="79" t="s">
        <v>1111</v>
      </c>
      <c r="C318" s="80" t="n">
        <v>202406</v>
      </c>
      <c r="D318" s="81" t="n">
        <v>45444</v>
      </c>
      <c r="E318" s="82" t="n">
        <v>42151.178</v>
      </c>
      <c r="F318" s="80" t="n">
        <v>29</v>
      </c>
      <c r="G318" s="79" t="s">
        <v>1216</v>
      </c>
    </row>
    <row r="319" customFormat="false" ht="15" hidden="false" customHeight="false" outlineLevel="0" collapsed="false">
      <c r="A319" s="79" t="s">
        <v>222</v>
      </c>
      <c r="B319" s="79" t="s">
        <v>1113</v>
      </c>
      <c r="C319" s="80" t="n">
        <v>202405</v>
      </c>
      <c r="D319" s="81" t="n">
        <v>45413</v>
      </c>
      <c r="E319" s="82" t="n">
        <v>42027.887</v>
      </c>
      <c r="F319" s="80" t="n">
        <v>30</v>
      </c>
      <c r="G319" s="79" t="s">
        <v>1217</v>
      </c>
    </row>
    <row r="320" customFormat="false" ht="15" hidden="false" customHeight="false" outlineLevel="0" collapsed="false">
      <c r="A320" s="79" t="s">
        <v>222</v>
      </c>
      <c r="B320" s="79" t="s">
        <v>1115</v>
      </c>
      <c r="C320" s="80" t="n">
        <v>202404</v>
      </c>
      <c r="D320" s="81" t="n">
        <v>45383</v>
      </c>
      <c r="E320" s="82" t="n">
        <v>50479.987</v>
      </c>
      <c r="F320" s="80" t="n">
        <v>31</v>
      </c>
      <c r="G320" s="79" t="s">
        <v>1218</v>
      </c>
    </row>
    <row r="321" customFormat="false" ht="15" hidden="false" customHeight="false" outlineLevel="0" collapsed="false">
      <c r="A321" s="79" t="s">
        <v>222</v>
      </c>
      <c r="B321" s="79" t="s">
        <v>1117</v>
      </c>
      <c r="C321" s="80" t="n">
        <v>202403</v>
      </c>
      <c r="D321" s="81" t="n">
        <v>45352</v>
      </c>
      <c r="E321" s="82" t="n">
        <v>38481.87</v>
      </c>
      <c r="F321" s="80" t="n">
        <v>32</v>
      </c>
      <c r="G321" s="79" t="s">
        <v>1219</v>
      </c>
    </row>
    <row r="322" customFormat="false" ht="15" hidden="false" customHeight="false" outlineLevel="0" collapsed="false">
      <c r="A322" s="79" t="s">
        <v>222</v>
      </c>
      <c r="B322" s="79" t="s">
        <v>1119</v>
      </c>
      <c r="C322" s="80" t="n">
        <v>202402</v>
      </c>
      <c r="D322" s="81" t="n">
        <v>45323</v>
      </c>
      <c r="E322" s="82" t="n">
        <v>44496.29</v>
      </c>
      <c r="F322" s="80" t="n">
        <v>33</v>
      </c>
      <c r="G322" s="79" t="s">
        <v>1220</v>
      </c>
    </row>
    <row r="323" customFormat="false" ht="15" hidden="false" customHeight="false" outlineLevel="0" collapsed="false">
      <c r="A323" s="79" t="s">
        <v>222</v>
      </c>
      <c r="B323" s="79" t="s">
        <v>1121</v>
      </c>
      <c r="C323" s="80" t="n">
        <v>202401</v>
      </c>
      <c r="D323" s="81" t="n">
        <v>45292</v>
      </c>
      <c r="E323" s="82" t="n">
        <v>43679.986</v>
      </c>
      <c r="F323" s="80" t="n">
        <v>34</v>
      </c>
      <c r="G323" s="79" t="s">
        <v>1221</v>
      </c>
    </row>
    <row r="324" customFormat="false" ht="15" hidden="false" customHeight="false" outlineLevel="0" collapsed="false">
      <c r="A324" s="79" t="s">
        <v>222</v>
      </c>
      <c r="B324" s="79" t="s">
        <v>1123</v>
      </c>
      <c r="C324" s="80" t="n">
        <v>202312</v>
      </c>
      <c r="D324" s="81" t="n">
        <v>45261</v>
      </c>
      <c r="E324" s="82" t="n">
        <v>43071.172</v>
      </c>
      <c r="F324" s="80" t="n">
        <v>35</v>
      </c>
      <c r="G324" s="79" t="s">
        <v>1222</v>
      </c>
    </row>
    <row r="325" customFormat="false" ht="15" hidden="false" customHeight="false" outlineLevel="0" collapsed="false">
      <c r="A325" s="79" t="s">
        <v>222</v>
      </c>
      <c r="B325" s="79" t="s">
        <v>1125</v>
      </c>
      <c r="C325" s="80" t="n">
        <v>202311</v>
      </c>
      <c r="D325" s="81" t="n">
        <v>45231</v>
      </c>
      <c r="E325" s="82" t="n">
        <v>42810.847</v>
      </c>
      <c r="F325" s="80" t="n">
        <v>36</v>
      </c>
      <c r="G325" s="79" t="s">
        <v>1223</v>
      </c>
    </row>
    <row r="326" customFormat="false" ht="15" hidden="false" customHeight="false" outlineLevel="0" collapsed="false">
      <c r="A326" s="79" t="s">
        <v>190</v>
      </c>
      <c r="B326" s="79" t="s">
        <v>1079</v>
      </c>
      <c r="C326" s="80" t="n">
        <v>202610</v>
      </c>
      <c r="D326" s="81" t="n">
        <v>46296</v>
      </c>
      <c r="E326" s="82" t="n">
        <v>449.063</v>
      </c>
      <c r="F326" s="80" t="n">
        <v>1</v>
      </c>
      <c r="G326" s="79" t="s">
        <v>523</v>
      </c>
    </row>
    <row r="327" customFormat="false" ht="15" hidden="false" customHeight="false" outlineLevel="0" collapsed="false">
      <c r="A327" s="79" t="s">
        <v>190</v>
      </c>
      <c r="B327" s="79" t="s">
        <v>1080</v>
      </c>
      <c r="C327" s="80" t="n">
        <v>202609</v>
      </c>
      <c r="D327" s="81" t="n">
        <v>46266</v>
      </c>
      <c r="E327" s="82" t="n">
        <v>470.904</v>
      </c>
      <c r="F327" s="80" t="n">
        <v>2</v>
      </c>
      <c r="G327" s="79" t="s">
        <v>524</v>
      </c>
    </row>
    <row r="328" customFormat="false" ht="15" hidden="false" customHeight="false" outlineLevel="0" collapsed="false">
      <c r="A328" s="79" t="s">
        <v>190</v>
      </c>
      <c r="B328" s="79" t="s">
        <v>1081</v>
      </c>
      <c r="C328" s="80" t="n">
        <v>202608</v>
      </c>
      <c r="D328" s="81" t="n">
        <v>46235</v>
      </c>
      <c r="E328" s="82" t="n">
        <v>422.106</v>
      </c>
      <c r="F328" s="80" t="n">
        <v>3</v>
      </c>
      <c r="G328" s="79" t="s">
        <v>525</v>
      </c>
    </row>
    <row r="329" customFormat="false" ht="15" hidden="false" customHeight="false" outlineLevel="0" collapsed="false">
      <c r="A329" s="79" t="s">
        <v>190</v>
      </c>
      <c r="B329" s="79" t="s">
        <v>1082</v>
      </c>
      <c r="C329" s="80" t="n">
        <v>202607</v>
      </c>
      <c r="D329" s="81" t="n">
        <v>46204</v>
      </c>
      <c r="E329" s="82" t="n">
        <v>325.993</v>
      </c>
      <c r="F329" s="80" t="n">
        <v>4</v>
      </c>
      <c r="G329" s="79" t="s">
        <v>526</v>
      </c>
    </row>
    <row r="330" customFormat="false" ht="15" hidden="false" customHeight="false" outlineLevel="0" collapsed="false">
      <c r="A330" s="79" t="s">
        <v>190</v>
      </c>
      <c r="B330" s="79" t="s">
        <v>1083</v>
      </c>
      <c r="C330" s="80" t="n">
        <v>202606</v>
      </c>
      <c r="D330" s="81" t="n">
        <v>46174</v>
      </c>
      <c r="E330" s="82" t="n">
        <v>320.785</v>
      </c>
      <c r="F330" s="80" t="n">
        <v>5</v>
      </c>
      <c r="G330" s="79" t="s">
        <v>527</v>
      </c>
    </row>
    <row r="331" customFormat="false" ht="15" hidden="false" customHeight="false" outlineLevel="0" collapsed="false">
      <c r="A331" s="79" t="s">
        <v>190</v>
      </c>
      <c r="B331" s="79" t="s">
        <v>1084</v>
      </c>
      <c r="C331" s="80" t="n">
        <v>202605</v>
      </c>
      <c r="D331" s="81" t="n">
        <v>46143</v>
      </c>
      <c r="E331" s="82" t="n">
        <v>318.595</v>
      </c>
      <c r="F331" s="80" t="n">
        <v>6</v>
      </c>
      <c r="G331" s="79" t="s">
        <v>528</v>
      </c>
    </row>
    <row r="332" customFormat="false" ht="15" hidden="false" customHeight="false" outlineLevel="0" collapsed="false">
      <c r="A332" s="79" t="s">
        <v>190</v>
      </c>
      <c r="B332" s="79" t="s">
        <v>1085</v>
      </c>
      <c r="C332" s="80" t="n">
        <v>202604</v>
      </c>
      <c r="D332" s="81" t="n">
        <v>46113</v>
      </c>
      <c r="E332" s="82" t="n">
        <v>311.246</v>
      </c>
      <c r="F332" s="80" t="n">
        <v>7</v>
      </c>
      <c r="G332" s="79" t="s">
        <v>529</v>
      </c>
    </row>
    <row r="333" customFormat="false" ht="15" hidden="false" customHeight="false" outlineLevel="0" collapsed="false">
      <c r="A333" s="79" t="s">
        <v>190</v>
      </c>
      <c r="B333" s="79" t="s">
        <v>1086</v>
      </c>
      <c r="C333" s="80" t="n">
        <v>202603</v>
      </c>
      <c r="D333" s="81" t="n">
        <v>46082</v>
      </c>
      <c r="E333" s="82" t="n">
        <v>307.741</v>
      </c>
      <c r="F333" s="80" t="n">
        <v>8</v>
      </c>
      <c r="G333" s="79" t="s">
        <v>530</v>
      </c>
    </row>
    <row r="334" customFormat="false" ht="15" hidden="false" customHeight="false" outlineLevel="0" collapsed="false">
      <c r="A334" s="79" t="s">
        <v>190</v>
      </c>
      <c r="B334" s="79" t="s">
        <v>1087</v>
      </c>
      <c r="C334" s="80" t="n">
        <v>202602</v>
      </c>
      <c r="D334" s="81" t="n">
        <v>46054</v>
      </c>
      <c r="E334" s="82" t="n">
        <v>340.323</v>
      </c>
      <c r="F334" s="80" t="n">
        <v>9</v>
      </c>
      <c r="G334" s="79" t="s">
        <v>531</v>
      </c>
    </row>
    <row r="335" customFormat="false" ht="15" hidden="false" customHeight="false" outlineLevel="0" collapsed="false">
      <c r="A335" s="79" t="s">
        <v>190</v>
      </c>
      <c r="B335" s="79" t="s">
        <v>1088</v>
      </c>
      <c r="C335" s="80" t="n">
        <v>202601</v>
      </c>
      <c r="D335" s="81" t="n">
        <v>46023</v>
      </c>
      <c r="E335" s="82" t="n">
        <v>319.238</v>
      </c>
      <c r="F335" s="80" t="n">
        <v>10</v>
      </c>
      <c r="G335" s="79" t="s">
        <v>532</v>
      </c>
    </row>
    <row r="336" customFormat="false" ht="15" hidden="false" customHeight="false" outlineLevel="0" collapsed="false">
      <c r="A336" s="79" t="s">
        <v>190</v>
      </c>
      <c r="B336" s="79" t="s">
        <v>1089</v>
      </c>
      <c r="C336" s="80" t="n">
        <v>202512</v>
      </c>
      <c r="D336" s="81" t="n">
        <v>45992</v>
      </c>
      <c r="E336" s="82" t="n">
        <v>285.178</v>
      </c>
      <c r="F336" s="80" t="n">
        <v>11</v>
      </c>
      <c r="G336" s="79" t="s">
        <v>533</v>
      </c>
    </row>
    <row r="337" customFormat="false" ht="15" hidden="false" customHeight="false" outlineLevel="0" collapsed="false">
      <c r="A337" s="79" t="s">
        <v>190</v>
      </c>
      <c r="B337" s="79" t="s">
        <v>1090</v>
      </c>
      <c r="C337" s="80" t="n">
        <v>202511</v>
      </c>
      <c r="D337" s="81" t="n">
        <v>45962</v>
      </c>
      <c r="E337" s="82" t="n">
        <v>355.173</v>
      </c>
      <c r="F337" s="80" t="n">
        <v>12</v>
      </c>
      <c r="G337" s="79" t="s">
        <v>534</v>
      </c>
    </row>
    <row r="338" customFormat="false" ht="15" hidden="false" customHeight="false" outlineLevel="0" collapsed="false">
      <c r="A338" s="79" t="s">
        <v>190</v>
      </c>
      <c r="B338" s="79" t="s">
        <v>1091</v>
      </c>
      <c r="C338" s="80" t="n">
        <v>202510</v>
      </c>
      <c r="D338" s="81" t="n">
        <v>45931</v>
      </c>
      <c r="E338" s="82" t="n">
        <v>346.803</v>
      </c>
      <c r="F338" s="80" t="n">
        <v>13</v>
      </c>
      <c r="G338" s="79" t="s">
        <v>535</v>
      </c>
    </row>
    <row r="339" customFormat="false" ht="15" hidden="false" customHeight="false" outlineLevel="0" collapsed="false">
      <c r="A339" s="79" t="s">
        <v>190</v>
      </c>
      <c r="B339" s="79" t="s">
        <v>1092</v>
      </c>
      <c r="C339" s="80" t="n">
        <v>202509</v>
      </c>
      <c r="D339" s="81" t="n">
        <v>45901</v>
      </c>
      <c r="E339" s="82" t="n">
        <v>275.126</v>
      </c>
      <c r="F339" s="80" t="n">
        <v>14</v>
      </c>
      <c r="G339" s="79" t="s">
        <v>536</v>
      </c>
    </row>
    <row r="340" customFormat="false" ht="15" hidden="false" customHeight="false" outlineLevel="0" collapsed="false">
      <c r="A340" s="79" t="s">
        <v>190</v>
      </c>
      <c r="B340" s="79" t="s">
        <v>1093</v>
      </c>
      <c r="C340" s="80" t="n">
        <v>202508</v>
      </c>
      <c r="D340" s="81" t="n">
        <v>45870</v>
      </c>
      <c r="E340" s="82" t="n">
        <v>290.875</v>
      </c>
      <c r="F340" s="80" t="n">
        <v>15</v>
      </c>
      <c r="G340" s="79" t="s">
        <v>537</v>
      </c>
    </row>
    <row r="341" customFormat="false" ht="15" hidden="false" customHeight="false" outlineLevel="0" collapsed="false">
      <c r="A341" s="79" t="s">
        <v>190</v>
      </c>
      <c r="B341" s="79" t="s">
        <v>1094</v>
      </c>
      <c r="C341" s="80" t="n">
        <v>202507</v>
      </c>
      <c r="D341" s="81" t="n">
        <v>45839</v>
      </c>
      <c r="E341" s="82" t="n">
        <v>263.848</v>
      </c>
      <c r="F341" s="80" t="n">
        <v>16</v>
      </c>
      <c r="G341" s="79" t="s">
        <v>538</v>
      </c>
    </row>
    <row r="342" customFormat="false" ht="15" hidden="false" customHeight="false" outlineLevel="0" collapsed="false">
      <c r="A342" s="79" t="s">
        <v>190</v>
      </c>
      <c r="B342" s="79" t="s">
        <v>1095</v>
      </c>
      <c r="C342" s="80" t="n">
        <v>202506</v>
      </c>
      <c r="D342" s="81" t="n">
        <v>45809</v>
      </c>
      <c r="E342" s="82" t="n">
        <v>218.948</v>
      </c>
      <c r="F342" s="80" t="n">
        <v>17</v>
      </c>
      <c r="G342" s="79" t="s">
        <v>539</v>
      </c>
    </row>
    <row r="343" customFormat="false" ht="15" hidden="false" customHeight="false" outlineLevel="0" collapsed="false">
      <c r="A343" s="79" t="s">
        <v>190</v>
      </c>
      <c r="B343" s="79" t="s">
        <v>1096</v>
      </c>
      <c r="C343" s="80" t="n">
        <v>202505</v>
      </c>
      <c r="D343" s="81" t="n">
        <v>45778</v>
      </c>
      <c r="E343" s="82" t="n">
        <v>231.292</v>
      </c>
      <c r="F343" s="80" t="n">
        <v>18</v>
      </c>
      <c r="G343" s="79" t="s">
        <v>540</v>
      </c>
    </row>
    <row r="344" customFormat="false" ht="15" hidden="false" customHeight="false" outlineLevel="0" collapsed="false">
      <c r="A344" s="79" t="s">
        <v>190</v>
      </c>
      <c r="B344" s="79" t="s">
        <v>1097</v>
      </c>
      <c r="C344" s="80" t="n">
        <v>202504</v>
      </c>
      <c r="D344" s="81" t="n">
        <v>45748</v>
      </c>
      <c r="E344" s="82" t="n">
        <v>266.842</v>
      </c>
      <c r="F344" s="80" t="n">
        <v>19</v>
      </c>
      <c r="G344" s="79" t="s">
        <v>541</v>
      </c>
    </row>
    <row r="345" customFormat="false" ht="15" hidden="false" customHeight="false" outlineLevel="0" collapsed="false">
      <c r="A345" s="79" t="s">
        <v>190</v>
      </c>
      <c r="B345" s="79" t="s">
        <v>1098</v>
      </c>
      <c r="C345" s="80" t="n">
        <v>202503</v>
      </c>
      <c r="D345" s="81" t="n">
        <v>45717</v>
      </c>
      <c r="E345" s="82" t="n">
        <v>265.548</v>
      </c>
      <c r="F345" s="80" t="n">
        <v>20</v>
      </c>
      <c r="G345" s="79" t="s">
        <v>542</v>
      </c>
    </row>
    <row r="346" customFormat="false" ht="15" hidden="false" customHeight="false" outlineLevel="0" collapsed="false">
      <c r="A346" s="79" t="s">
        <v>190</v>
      </c>
      <c r="B346" s="79" t="s">
        <v>1099</v>
      </c>
      <c r="C346" s="80" t="n">
        <v>202502</v>
      </c>
      <c r="D346" s="81" t="n">
        <v>45689</v>
      </c>
      <c r="E346" s="82" t="n">
        <v>261.272</v>
      </c>
      <c r="F346" s="80" t="n">
        <v>21</v>
      </c>
      <c r="G346" s="79" t="s">
        <v>543</v>
      </c>
    </row>
    <row r="347" customFormat="false" ht="15" hidden="false" customHeight="false" outlineLevel="0" collapsed="false">
      <c r="A347" s="79" t="s">
        <v>190</v>
      </c>
      <c r="B347" s="79" t="s">
        <v>1100</v>
      </c>
      <c r="C347" s="80" t="n">
        <v>202501</v>
      </c>
      <c r="D347" s="81" t="n">
        <v>45658</v>
      </c>
      <c r="E347" s="82" t="n">
        <v>248.868</v>
      </c>
      <c r="F347" s="80" t="n">
        <v>22</v>
      </c>
      <c r="G347" s="79" t="s">
        <v>544</v>
      </c>
    </row>
    <row r="348" customFormat="false" ht="15" hidden="false" customHeight="false" outlineLevel="0" collapsed="false">
      <c r="A348" s="79" t="s">
        <v>190</v>
      </c>
      <c r="B348" s="79" t="s">
        <v>1101</v>
      </c>
      <c r="C348" s="80" t="n">
        <v>202412</v>
      </c>
      <c r="D348" s="81" t="n">
        <v>45627</v>
      </c>
      <c r="E348" s="82" t="n">
        <v>237.339</v>
      </c>
      <c r="F348" s="80" t="n">
        <v>23</v>
      </c>
      <c r="G348" s="79" t="s">
        <v>545</v>
      </c>
    </row>
    <row r="349" customFormat="false" ht="15" hidden="false" customHeight="false" outlineLevel="0" collapsed="false">
      <c r="A349" s="79" t="s">
        <v>190</v>
      </c>
      <c r="B349" s="79" t="s">
        <v>1102</v>
      </c>
      <c r="C349" s="80" t="n">
        <v>202411</v>
      </c>
      <c r="D349" s="81" t="n">
        <v>45597</v>
      </c>
      <c r="E349" s="82" t="n">
        <v>236.267</v>
      </c>
      <c r="F349" s="80" t="n">
        <v>24</v>
      </c>
      <c r="G349" s="79" t="s">
        <v>546</v>
      </c>
    </row>
    <row r="350" customFormat="false" ht="15" hidden="false" customHeight="false" outlineLevel="0" collapsed="false">
      <c r="A350" s="79" t="s">
        <v>190</v>
      </c>
      <c r="B350" s="79" t="s">
        <v>1103</v>
      </c>
      <c r="C350" s="80" t="n">
        <v>202410</v>
      </c>
      <c r="D350" s="81" t="n">
        <v>45566</v>
      </c>
      <c r="E350" s="82" t="n">
        <v>269.294</v>
      </c>
      <c r="F350" s="80" t="n">
        <v>25</v>
      </c>
      <c r="G350" s="79" t="s">
        <v>1224</v>
      </c>
    </row>
    <row r="351" customFormat="false" ht="15" hidden="false" customHeight="false" outlineLevel="0" collapsed="false">
      <c r="A351" s="79" t="s">
        <v>190</v>
      </c>
      <c r="B351" s="79" t="s">
        <v>1105</v>
      </c>
      <c r="C351" s="80" t="n">
        <v>202409</v>
      </c>
      <c r="D351" s="81" t="n">
        <v>45536</v>
      </c>
      <c r="E351" s="82" t="n">
        <v>273.961</v>
      </c>
      <c r="F351" s="80" t="n">
        <v>26</v>
      </c>
      <c r="G351" s="79" t="s">
        <v>1225</v>
      </c>
    </row>
    <row r="352" customFormat="false" ht="15" hidden="false" customHeight="false" outlineLevel="0" collapsed="false">
      <c r="A352" s="79" t="s">
        <v>190</v>
      </c>
      <c r="B352" s="79" t="s">
        <v>1107</v>
      </c>
      <c r="C352" s="80" t="n">
        <v>202408</v>
      </c>
      <c r="D352" s="81" t="n">
        <v>45505</v>
      </c>
      <c r="E352" s="82" t="n">
        <v>262.493</v>
      </c>
      <c r="F352" s="80" t="n">
        <v>27</v>
      </c>
      <c r="G352" s="79" t="s">
        <v>1226</v>
      </c>
    </row>
    <row r="353" customFormat="false" ht="15" hidden="false" customHeight="false" outlineLevel="0" collapsed="false">
      <c r="A353" s="79" t="s">
        <v>190</v>
      </c>
      <c r="B353" s="79" t="s">
        <v>1109</v>
      </c>
      <c r="C353" s="80" t="n">
        <v>202407</v>
      </c>
      <c r="D353" s="81" t="n">
        <v>45474</v>
      </c>
      <c r="E353" s="82" t="n">
        <v>296.919</v>
      </c>
      <c r="F353" s="80" t="n">
        <v>28</v>
      </c>
      <c r="G353" s="79" t="s">
        <v>1227</v>
      </c>
    </row>
    <row r="354" customFormat="false" ht="15" hidden="false" customHeight="false" outlineLevel="0" collapsed="false">
      <c r="A354" s="79" t="s">
        <v>190</v>
      </c>
      <c r="B354" s="79" t="s">
        <v>1111</v>
      </c>
      <c r="C354" s="80" t="n">
        <v>202406</v>
      </c>
      <c r="D354" s="81" t="n">
        <v>45444</v>
      </c>
      <c r="E354" s="82" t="n">
        <v>291.927</v>
      </c>
      <c r="F354" s="80" t="n">
        <v>29</v>
      </c>
      <c r="G354" s="79" t="s">
        <v>1228</v>
      </c>
    </row>
    <row r="355" customFormat="false" ht="15" hidden="false" customHeight="false" outlineLevel="0" collapsed="false">
      <c r="A355" s="79" t="s">
        <v>190</v>
      </c>
      <c r="B355" s="79" t="s">
        <v>1113</v>
      </c>
      <c r="C355" s="80" t="n">
        <v>202405</v>
      </c>
      <c r="D355" s="81" t="n">
        <v>45413</v>
      </c>
      <c r="E355" s="82" t="n">
        <v>286.755</v>
      </c>
      <c r="F355" s="80" t="n">
        <v>30</v>
      </c>
      <c r="G355" s="79" t="s">
        <v>1229</v>
      </c>
    </row>
    <row r="356" customFormat="false" ht="15" hidden="false" customHeight="false" outlineLevel="0" collapsed="false">
      <c r="A356" s="79" t="s">
        <v>190</v>
      </c>
      <c r="B356" s="79" t="s">
        <v>1115</v>
      </c>
      <c r="C356" s="80" t="n">
        <v>202404</v>
      </c>
      <c r="D356" s="81" t="n">
        <v>45383</v>
      </c>
      <c r="E356" s="82" t="n">
        <v>295.997</v>
      </c>
      <c r="F356" s="80" t="n">
        <v>31</v>
      </c>
      <c r="G356" s="79" t="s">
        <v>1230</v>
      </c>
    </row>
    <row r="357" customFormat="false" ht="15" hidden="false" customHeight="false" outlineLevel="0" collapsed="false">
      <c r="A357" s="79" t="s">
        <v>190</v>
      </c>
      <c r="B357" s="79" t="s">
        <v>1117</v>
      </c>
      <c r="C357" s="80" t="n">
        <v>202403</v>
      </c>
      <c r="D357" s="81" t="n">
        <v>45352</v>
      </c>
      <c r="E357" s="82" t="n">
        <v>263.703</v>
      </c>
      <c r="F357" s="80" t="n">
        <v>32</v>
      </c>
      <c r="G357" s="79" t="s">
        <v>1231</v>
      </c>
    </row>
    <row r="358" customFormat="false" ht="15" hidden="false" customHeight="false" outlineLevel="0" collapsed="false">
      <c r="A358" s="79" t="s">
        <v>190</v>
      </c>
      <c r="B358" s="79" t="s">
        <v>1119</v>
      </c>
      <c r="C358" s="80" t="n">
        <v>202402</v>
      </c>
      <c r="D358" s="81" t="n">
        <v>45323</v>
      </c>
      <c r="E358" s="82" t="n">
        <v>277.694</v>
      </c>
      <c r="F358" s="80" t="n">
        <v>33</v>
      </c>
      <c r="G358" s="79" t="s">
        <v>1232</v>
      </c>
    </row>
    <row r="359" customFormat="false" ht="15" hidden="false" customHeight="false" outlineLevel="0" collapsed="false">
      <c r="A359" s="79" t="s">
        <v>190</v>
      </c>
      <c r="B359" s="79" t="s">
        <v>1121</v>
      </c>
      <c r="C359" s="80" t="n">
        <v>202401</v>
      </c>
      <c r="D359" s="81" t="n">
        <v>45292</v>
      </c>
      <c r="E359" s="82" t="n">
        <v>294.549</v>
      </c>
      <c r="F359" s="80" t="n">
        <v>34</v>
      </c>
      <c r="G359" s="79" t="s">
        <v>1233</v>
      </c>
    </row>
    <row r="360" customFormat="false" ht="15" hidden="false" customHeight="false" outlineLevel="0" collapsed="false">
      <c r="A360" s="79" t="s">
        <v>190</v>
      </c>
      <c r="B360" s="79" t="s">
        <v>1123</v>
      </c>
      <c r="C360" s="80" t="n">
        <v>202312</v>
      </c>
      <c r="D360" s="81" t="n">
        <v>45261</v>
      </c>
      <c r="E360" s="82" t="n">
        <v>325.709</v>
      </c>
      <c r="F360" s="80" t="n">
        <v>35</v>
      </c>
      <c r="G360" s="79" t="s">
        <v>1234</v>
      </c>
    </row>
    <row r="361" customFormat="false" ht="15" hidden="false" customHeight="false" outlineLevel="0" collapsed="false">
      <c r="A361" s="79" t="s">
        <v>190</v>
      </c>
      <c r="B361" s="79" t="s">
        <v>1125</v>
      </c>
      <c r="C361" s="80" t="n">
        <v>202311</v>
      </c>
      <c r="D361" s="81" t="n">
        <v>45231</v>
      </c>
      <c r="E361" s="82" t="n">
        <v>316.68</v>
      </c>
      <c r="F361" s="80" t="n">
        <v>36</v>
      </c>
      <c r="G361" s="79" t="s">
        <v>1235</v>
      </c>
    </row>
    <row r="362" customFormat="false" ht="15" hidden="false" customHeight="false" outlineLevel="0" collapsed="false">
      <c r="A362" s="79" t="s">
        <v>224</v>
      </c>
      <c r="B362" s="79" t="s">
        <v>1079</v>
      </c>
      <c r="C362" s="80" t="n">
        <v>202610</v>
      </c>
      <c r="D362" s="81" t="n">
        <v>46296</v>
      </c>
      <c r="E362" s="82" t="n">
        <v>1063.596</v>
      </c>
      <c r="F362" s="80" t="n">
        <v>1</v>
      </c>
      <c r="G362" s="79" t="s">
        <v>547</v>
      </c>
    </row>
    <row r="363" customFormat="false" ht="15" hidden="false" customHeight="false" outlineLevel="0" collapsed="false">
      <c r="A363" s="79" t="s">
        <v>224</v>
      </c>
      <c r="B363" s="79" t="s">
        <v>1080</v>
      </c>
      <c r="C363" s="80" t="n">
        <v>202609</v>
      </c>
      <c r="D363" s="81" t="n">
        <v>46266</v>
      </c>
      <c r="E363" s="82" t="n">
        <v>1180.621</v>
      </c>
      <c r="F363" s="80" t="n">
        <v>2</v>
      </c>
      <c r="G363" s="79" t="s">
        <v>548</v>
      </c>
    </row>
    <row r="364" customFormat="false" ht="15" hidden="false" customHeight="false" outlineLevel="0" collapsed="false">
      <c r="A364" s="79" t="s">
        <v>224</v>
      </c>
      <c r="B364" s="79" t="s">
        <v>1081</v>
      </c>
      <c r="C364" s="80" t="n">
        <v>202608</v>
      </c>
      <c r="D364" s="81" t="n">
        <v>46235</v>
      </c>
      <c r="E364" s="82" t="n">
        <v>1070.629</v>
      </c>
      <c r="F364" s="80" t="n">
        <v>3</v>
      </c>
      <c r="G364" s="79" t="s">
        <v>549</v>
      </c>
    </row>
    <row r="365" customFormat="false" ht="15" hidden="false" customHeight="false" outlineLevel="0" collapsed="false">
      <c r="A365" s="79" t="s">
        <v>224</v>
      </c>
      <c r="B365" s="79" t="s">
        <v>1082</v>
      </c>
      <c r="C365" s="80" t="n">
        <v>202607</v>
      </c>
      <c r="D365" s="81" t="n">
        <v>46204</v>
      </c>
      <c r="E365" s="82" t="n">
        <v>937.969</v>
      </c>
      <c r="F365" s="80" t="n">
        <v>4</v>
      </c>
      <c r="G365" s="79" t="s">
        <v>550</v>
      </c>
    </row>
    <row r="366" customFormat="false" ht="15" hidden="false" customHeight="false" outlineLevel="0" collapsed="false">
      <c r="A366" s="79" t="s">
        <v>224</v>
      </c>
      <c r="B366" s="79" t="s">
        <v>1083</v>
      </c>
      <c r="C366" s="80" t="n">
        <v>202606</v>
      </c>
      <c r="D366" s="81" t="n">
        <v>46174</v>
      </c>
      <c r="E366" s="82" t="n">
        <v>704.375</v>
      </c>
      <c r="F366" s="80" t="n">
        <v>5</v>
      </c>
      <c r="G366" s="79" t="s">
        <v>551</v>
      </c>
    </row>
    <row r="367" customFormat="false" ht="15" hidden="false" customHeight="false" outlineLevel="0" collapsed="false">
      <c r="A367" s="79" t="s">
        <v>224</v>
      </c>
      <c r="B367" s="79" t="s">
        <v>1084</v>
      </c>
      <c r="C367" s="80" t="n">
        <v>202605</v>
      </c>
      <c r="D367" s="81" t="n">
        <v>46143</v>
      </c>
      <c r="E367" s="82" t="n">
        <v>863.341</v>
      </c>
      <c r="F367" s="80" t="n">
        <v>6</v>
      </c>
      <c r="G367" s="79" t="s">
        <v>552</v>
      </c>
    </row>
    <row r="368" customFormat="false" ht="15" hidden="false" customHeight="false" outlineLevel="0" collapsed="false">
      <c r="A368" s="79" t="s">
        <v>224</v>
      </c>
      <c r="B368" s="79" t="s">
        <v>1085</v>
      </c>
      <c r="C368" s="80" t="n">
        <v>202604</v>
      </c>
      <c r="D368" s="81" t="n">
        <v>46113</v>
      </c>
      <c r="E368" s="82" t="n">
        <v>624.91</v>
      </c>
      <c r="F368" s="80" t="n">
        <v>7</v>
      </c>
      <c r="G368" s="79" t="s">
        <v>553</v>
      </c>
    </row>
    <row r="369" customFormat="false" ht="15" hidden="false" customHeight="false" outlineLevel="0" collapsed="false">
      <c r="A369" s="79" t="s">
        <v>224</v>
      </c>
      <c r="B369" s="79" t="s">
        <v>1086</v>
      </c>
      <c r="C369" s="80" t="n">
        <v>202603</v>
      </c>
      <c r="D369" s="81" t="n">
        <v>46082</v>
      </c>
      <c r="E369" s="82" t="n">
        <v>477.648</v>
      </c>
      <c r="F369" s="80" t="n">
        <v>8</v>
      </c>
      <c r="G369" s="79" t="s">
        <v>554</v>
      </c>
    </row>
    <row r="370" customFormat="false" ht="15" hidden="false" customHeight="false" outlineLevel="0" collapsed="false">
      <c r="A370" s="79" t="s">
        <v>224</v>
      </c>
      <c r="B370" s="79" t="s">
        <v>1087</v>
      </c>
      <c r="C370" s="80" t="n">
        <v>202602</v>
      </c>
      <c r="D370" s="81" t="n">
        <v>46054</v>
      </c>
      <c r="E370" s="82" t="n">
        <v>466.63</v>
      </c>
      <c r="F370" s="80" t="n">
        <v>9</v>
      </c>
      <c r="G370" s="79" t="s">
        <v>555</v>
      </c>
    </row>
    <row r="371" customFormat="false" ht="15" hidden="false" customHeight="false" outlineLevel="0" collapsed="false">
      <c r="A371" s="79" t="s">
        <v>224</v>
      </c>
      <c r="B371" s="79" t="s">
        <v>1088</v>
      </c>
      <c r="C371" s="80" t="n">
        <v>202601</v>
      </c>
      <c r="D371" s="81" t="n">
        <v>46023</v>
      </c>
      <c r="E371" s="82" t="n">
        <v>360.721</v>
      </c>
      <c r="F371" s="80" t="n">
        <v>10</v>
      </c>
      <c r="G371" s="79" t="s">
        <v>556</v>
      </c>
    </row>
    <row r="372" customFormat="false" ht="15" hidden="false" customHeight="false" outlineLevel="0" collapsed="false">
      <c r="A372" s="79" t="s">
        <v>224</v>
      </c>
      <c r="B372" s="79" t="s">
        <v>1089</v>
      </c>
      <c r="C372" s="80" t="n">
        <v>202512</v>
      </c>
      <c r="D372" s="81" t="n">
        <v>45992</v>
      </c>
      <c r="E372" s="82" t="n">
        <v>307.434</v>
      </c>
      <c r="F372" s="80" t="n">
        <v>11</v>
      </c>
      <c r="G372" s="79" t="s">
        <v>557</v>
      </c>
    </row>
    <row r="373" customFormat="false" ht="15" hidden="false" customHeight="false" outlineLevel="0" collapsed="false">
      <c r="A373" s="79" t="s">
        <v>224</v>
      </c>
      <c r="B373" s="79" t="s">
        <v>1090</v>
      </c>
      <c r="C373" s="80" t="n">
        <v>202511</v>
      </c>
      <c r="D373" s="81" t="n">
        <v>45962</v>
      </c>
      <c r="E373" s="82" t="n">
        <v>259.818</v>
      </c>
      <c r="F373" s="80" t="n">
        <v>12</v>
      </c>
      <c r="G373" s="79" t="s">
        <v>558</v>
      </c>
    </row>
    <row r="374" customFormat="false" ht="15" hidden="false" customHeight="false" outlineLevel="0" collapsed="false">
      <c r="A374" s="79" t="s">
        <v>224</v>
      </c>
      <c r="B374" s="79" t="s">
        <v>1091</v>
      </c>
      <c r="C374" s="80" t="n">
        <v>202510</v>
      </c>
      <c r="D374" s="81" t="n">
        <v>45931</v>
      </c>
      <c r="E374" s="82" t="n">
        <v>1426.276</v>
      </c>
      <c r="F374" s="80" t="n">
        <v>13</v>
      </c>
      <c r="G374" s="79" t="s">
        <v>559</v>
      </c>
    </row>
    <row r="375" customFormat="false" ht="15" hidden="false" customHeight="false" outlineLevel="0" collapsed="false">
      <c r="A375" s="79" t="s">
        <v>224</v>
      </c>
      <c r="B375" s="79" t="s">
        <v>1092</v>
      </c>
      <c r="C375" s="80" t="n">
        <v>202509</v>
      </c>
      <c r="D375" s="81" t="n">
        <v>45901</v>
      </c>
      <c r="E375" s="82" t="n">
        <v>244.302</v>
      </c>
      <c r="F375" s="80" t="n">
        <v>14</v>
      </c>
      <c r="G375" s="79" t="s">
        <v>560</v>
      </c>
    </row>
    <row r="376" customFormat="false" ht="15" hidden="false" customHeight="false" outlineLevel="0" collapsed="false">
      <c r="A376" s="79" t="s">
        <v>224</v>
      </c>
      <c r="B376" s="79" t="s">
        <v>1093</v>
      </c>
      <c r="C376" s="80" t="n">
        <v>202508</v>
      </c>
      <c r="D376" s="81" t="n">
        <v>45870</v>
      </c>
      <c r="E376" s="82" t="n">
        <v>281.096</v>
      </c>
      <c r="F376" s="80" t="n">
        <v>15</v>
      </c>
      <c r="G376" s="79" t="s">
        <v>561</v>
      </c>
    </row>
    <row r="377" customFormat="false" ht="15" hidden="false" customHeight="false" outlineLevel="0" collapsed="false">
      <c r="A377" s="79" t="s">
        <v>224</v>
      </c>
      <c r="B377" s="79" t="s">
        <v>1094</v>
      </c>
      <c r="C377" s="80" t="n">
        <v>202507</v>
      </c>
      <c r="D377" s="81" t="n">
        <v>45839</v>
      </c>
      <c r="E377" s="82" t="n">
        <v>145.673</v>
      </c>
      <c r="F377" s="80" t="n">
        <v>16</v>
      </c>
      <c r="G377" s="79" t="s">
        <v>562</v>
      </c>
    </row>
    <row r="378" customFormat="false" ht="15" hidden="false" customHeight="false" outlineLevel="0" collapsed="false">
      <c r="A378" s="79" t="s">
        <v>224</v>
      </c>
      <c r="B378" s="79" t="s">
        <v>1095</v>
      </c>
      <c r="C378" s="80" t="n">
        <v>202506</v>
      </c>
      <c r="D378" s="81" t="n">
        <v>45809</v>
      </c>
      <c r="E378" s="82" t="n">
        <v>299.296</v>
      </c>
      <c r="F378" s="80" t="n">
        <v>17</v>
      </c>
      <c r="G378" s="79" t="s">
        <v>563</v>
      </c>
    </row>
    <row r="379" customFormat="false" ht="15" hidden="false" customHeight="false" outlineLevel="0" collapsed="false">
      <c r="A379" s="79" t="s">
        <v>224</v>
      </c>
      <c r="B379" s="79" t="s">
        <v>1096</v>
      </c>
      <c r="C379" s="80" t="n">
        <v>202505</v>
      </c>
      <c r="D379" s="81" t="n">
        <v>45778</v>
      </c>
      <c r="E379" s="82" t="n">
        <v>313.034</v>
      </c>
      <c r="F379" s="80" t="n">
        <v>18</v>
      </c>
      <c r="G379" s="79" t="s">
        <v>564</v>
      </c>
    </row>
    <row r="380" customFormat="false" ht="15" hidden="false" customHeight="false" outlineLevel="0" collapsed="false">
      <c r="A380" s="79" t="s">
        <v>224</v>
      </c>
      <c r="B380" s="79" t="s">
        <v>1097</v>
      </c>
      <c r="C380" s="80" t="n">
        <v>202504</v>
      </c>
      <c r="D380" s="81" t="n">
        <v>45748</v>
      </c>
      <c r="E380" s="82" t="n">
        <v>341.205</v>
      </c>
      <c r="F380" s="80" t="n">
        <v>19</v>
      </c>
      <c r="G380" s="79" t="s">
        <v>565</v>
      </c>
    </row>
    <row r="381" customFormat="false" ht="15" hidden="false" customHeight="false" outlineLevel="0" collapsed="false">
      <c r="A381" s="79" t="s">
        <v>224</v>
      </c>
      <c r="B381" s="79" t="s">
        <v>1098</v>
      </c>
      <c r="C381" s="80" t="n">
        <v>202503</v>
      </c>
      <c r="D381" s="81" t="n">
        <v>45717</v>
      </c>
      <c r="E381" s="82" t="n">
        <v>210.023</v>
      </c>
      <c r="F381" s="80" t="n">
        <v>20</v>
      </c>
      <c r="G381" s="79" t="s">
        <v>566</v>
      </c>
    </row>
    <row r="382" customFormat="false" ht="15" hidden="false" customHeight="false" outlineLevel="0" collapsed="false">
      <c r="A382" s="79" t="s">
        <v>224</v>
      </c>
      <c r="B382" s="79" t="s">
        <v>1099</v>
      </c>
      <c r="C382" s="80" t="n">
        <v>202502</v>
      </c>
      <c r="D382" s="81" t="n">
        <v>45689</v>
      </c>
      <c r="E382" s="82" t="n">
        <v>269.109</v>
      </c>
      <c r="F382" s="80" t="n">
        <v>21</v>
      </c>
      <c r="G382" s="79" t="s">
        <v>567</v>
      </c>
    </row>
    <row r="383" customFormat="false" ht="15" hidden="false" customHeight="false" outlineLevel="0" collapsed="false">
      <c r="A383" s="79" t="s">
        <v>224</v>
      </c>
      <c r="B383" s="79" t="s">
        <v>1100</v>
      </c>
      <c r="C383" s="80" t="n">
        <v>202501</v>
      </c>
      <c r="D383" s="81" t="n">
        <v>45658</v>
      </c>
      <c r="E383" s="82" t="n">
        <v>938.899</v>
      </c>
      <c r="F383" s="80" t="n">
        <v>22</v>
      </c>
      <c r="G383" s="79" t="s">
        <v>568</v>
      </c>
    </row>
    <row r="384" customFormat="false" ht="15" hidden="false" customHeight="false" outlineLevel="0" collapsed="false">
      <c r="A384" s="79" t="s">
        <v>224</v>
      </c>
      <c r="B384" s="79" t="s">
        <v>1101</v>
      </c>
      <c r="C384" s="80" t="n">
        <v>202412</v>
      </c>
      <c r="D384" s="81" t="n">
        <v>45627</v>
      </c>
      <c r="E384" s="82" t="n">
        <v>340.838</v>
      </c>
      <c r="F384" s="80" t="n">
        <v>23</v>
      </c>
      <c r="G384" s="79" t="s">
        <v>569</v>
      </c>
    </row>
    <row r="385" customFormat="false" ht="15" hidden="false" customHeight="false" outlineLevel="0" collapsed="false">
      <c r="A385" s="79" t="s">
        <v>224</v>
      </c>
      <c r="B385" s="79" t="s">
        <v>1102</v>
      </c>
      <c r="C385" s="80" t="n">
        <v>202411</v>
      </c>
      <c r="D385" s="81" t="n">
        <v>45597</v>
      </c>
      <c r="E385" s="82" t="n">
        <v>348.625</v>
      </c>
      <c r="F385" s="80" t="n">
        <v>24</v>
      </c>
      <c r="G385" s="79" t="s">
        <v>570</v>
      </c>
    </row>
    <row r="386" customFormat="false" ht="15" hidden="false" customHeight="false" outlineLevel="0" collapsed="false">
      <c r="A386" s="79" t="s">
        <v>224</v>
      </c>
      <c r="B386" s="79" t="s">
        <v>1103</v>
      </c>
      <c r="C386" s="80" t="n">
        <v>202410</v>
      </c>
      <c r="D386" s="81" t="n">
        <v>45566</v>
      </c>
      <c r="E386" s="82" t="n">
        <v>325.865</v>
      </c>
      <c r="F386" s="80" t="n">
        <v>25</v>
      </c>
      <c r="G386" s="79" t="s">
        <v>1236</v>
      </c>
    </row>
    <row r="387" customFormat="false" ht="15" hidden="false" customHeight="false" outlineLevel="0" collapsed="false">
      <c r="A387" s="79" t="s">
        <v>224</v>
      </c>
      <c r="B387" s="79" t="s">
        <v>1105</v>
      </c>
      <c r="C387" s="80" t="n">
        <v>202409</v>
      </c>
      <c r="D387" s="81" t="n">
        <v>45536</v>
      </c>
      <c r="E387" s="82" t="n">
        <v>427.36</v>
      </c>
      <c r="F387" s="80" t="n">
        <v>26</v>
      </c>
      <c r="G387" s="79" t="s">
        <v>1237</v>
      </c>
    </row>
    <row r="388" customFormat="false" ht="15" hidden="false" customHeight="false" outlineLevel="0" collapsed="false">
      <c r="A388" s="79" t="s">
        <v>224</v>
      </c>
      <c r="B388" s="79" t="s">
        <v>1107</v>
      </c>
      <c r="C388" s="80" t="n">
        <v>202408</v>
      </c>
      <c r="D388" s="81" t="n">
        <v>45505</v>
      </c>
      <c r="E388" s="82" t="n">
        <v>255.025</v>
      </c>
      <c r="F388" s="80" t="n">
        <v>27</v>
      </c>
      <c r="G388" s="79" t="s">
        <v>1238</v>
      </c>
    </row>
    <row r="389" customFormat="false" ht="15" hidden="false" customHeight="false" outlineLevel="0" collapsed="false">
      <c r="A389" s="79" t="s">
        <v>224</v>
      </c>
      <c r="B389" s="79" t="s">
        <v>1109</v>
      </c>
      <c r="C389" s="80" t="n">
        <v>202407</v>
      </c>
      <c r="D389" s="81" t="n">
        <v>45474</v>
      </c>
      <c r="E389" s="82" t="n">
        <v>211.274</v>
      </c>
      <c r="F389" s="80" t="n">
        <v>28</v>
      </c>
      <c r="G389" s="79" t="s">
        <v>1239</v>
      </c>
    </row>
    <row r="390" customFormat="false" ht="15" hidden="false" customHeight="false" outlineLevel="0" collapsed="false">
      <c r="A390" s="79" t="s">
        <v>224</v>
      </c>
      <c r="B390" s="79" t="s">
        <v>1111</v>
      </c>
      <c r="C390" s="80" t="n">
        <v>202406</v>
      </c>
      <c r="D390" s="81" t="n">
        <v>45444</v>
      </c>
      <c r="E390" s="82" t="n">
        <v>260.814</v>
      </c>
      <c r="F390" s="80" t="n">
        <v>29</v>
      </c>
      <c r="G390" s="79" t="s">
        <v>1240</v>
      </c>
    </row>
    <row r="391" customFormat="false" ht="15" hidden="false" customHeight="false" outlineLevel="0" collapsed="false">
      <c r="A391" s="79" t="s">
        <v>224</v>
      </c>
      <c r="B391" s="79" t="s">
        <v>1113</v>
      </c>
      <c r="C391" s="80" t="n">
        <v>202405</v>
      </c>
      <c r="D391" s="81" t="n">
        <v>45413</v>
      </c>
      <c r="E391" s="82" t="n">
        <v>247.293</v>
      </c>
      <c r="F391" s="80" t="n">
        <v>30</v>
      </c>
      <c r="G391" s="79" t="s">
        <v>1241</v>
      </c>
    </row>
    <row r="392" customFormat="false" ht="15" hidden="false" customHeight="false" outlineLevel="0" collapsed="false">
      <c r="A392" s="79" t="s">
        <v>224</v>
      </c>
      <c r="B392" s="79" t="s">
        <v>1115</v>
      </c>
      <c r="C392" s="80" t="n">
        <v>202404</v>
      </c>
      <c r="D392" s="81" t="n">
        <v>45383</v>
      </c>
      <c r="E392" s="82" t="n">
        <v>383.428</v>
      </c>
      <c r="F392" s="80" t="n">
        <v>31</v>
      </c>
      <c r="G392" s="79" t="s">
        <v>1242</v>
      </c>
    </row>
    <row r="393" customFormat="false" ht="15" hidden="false" customHeight="false" outlineLevel="0" collapsed="false">
      <c r="A393" s="79" t="s">
        <v>224</v>
      </c>
      <c r="B393" s="79" t="s">
        <v>1117</v>
      </c>
      <c r="C393" s="80" t="n">
        <v>202403</v>
      </c>
      <c r="D393" s="81" t="n">
        <v>45352</v>
      </c>
      <c r="E393" s="82" t="n">
        <v>223.093</v>
      </c>
      <c r="F393" s="80" t="n">
        <v>32</v>
      </c>
      <c r="G393" s="79" t="s">
        <v>1243</v>
      </c>
    </row>
    <row r="394" customFormat="false" ht="15" hidden="false" customHeight="false" outlineLevel="0" collapsed="false">
      <c r="A394" s="79" t="s">
        <v>224</v>
      </c>
      <c r="B394" s="79" t="s">
        <v>1119</v>
      </c>
      <c r="C394" s="80" t="n">
        <v>202402</v>
      </c>
      <c r="D394" s="81" t="n">
        <v>45323</v>
      </c>
      <c r="E394" s="82" t="n">
        <v>333.294</v>
      </c>
      <c r="F394" s="80" t="n">
        <v>33</v>
      </c>
      <c r="G394" s="79" t="s">
        <v>1244</v>
      </c>
    </row>
    <row r="395" customFormat="false" ht="15" hidden="false" customHeight="false" outlineLevel="0" collapsed="false">
      <c r="A395" s="79" t="s">
        <v>224</v>
      </c>
      <c r="B395" s="79" t="s">
        <v>1121</v>
      </c>
      <c r="C395" s="80" t="n">
        <v>202401</v>
      </c>
      <c r="D395" s="81" t="n">
        <v>45292</v>
      </c>
      <c r="E395" s="82" t="n">
        <v>591.964</v>
      </c>
      <c r="F395" s="80" t="n">
        <v>34</v>
      </c>
      <c r="G395" s="79" t="s">
        <v>1245</v>
      </c>
    </row>
    <row r="396" customFormat="false" ht="15" hidden="false" customHeight="false" outlineLevel="0" collapsed="false">
      <c r="A396" s="79" t="s">
        <v>224</v>
      </c>
      <c r="B396" s="79" t="s">
        <v>1123</v>
      </c>
      <c r="C396" s="80" t="n">
        <v>202312</v>
      </c>
      <c r="D396" s="81" t="n">
        <v>45261</v>
      </c>
      <c r="E396" s="82" t="n">
        <v>710.103</v>
      </c>
      <c r="F396" s="80" t="n">
        <v>35</v>
      </c>
      <c r="G396" s="79" t="s">
        <v>1246</v>
      </c>
    </row>
    <row r="397" customFormat="false" ht="15" hidden="false" customHeight="false" outlineLevel="0" collapsed="false">
      <c r="A397" s="79" t="s">
        <v>224</v>
      </c>
      <c r="B397" s="79" t="s">
        <v>1125</v>
      </c>
      <c r="C397" s="80" t="n">
        <v>202311</v>
      </c>
      <c r="D397" s="81" t="n">
        <v>45231</v>
      </c>
      <c r="E397" s="82" t="n">
        <v>419.757</v>
      </c>
      <c r="F397" s="80" t="n">
        <v>36</v>
      </c>
      <c r="G397" s="79" t="s">
        <v>1247</v>
      </c>
    </row>
    <row r="398" customFormat="false" ht="15" hidden="false" customHeight="false" outlineLevel="0" collapsed="false">
      <c r="A398" s="79" t="s">
        <v>195</v>
      </c>
      <c r="B398" s="79" t="s">
        <v>1079</v>
      </c>
      <c r="C398" s="80" t="n">
        <v>202610</v>
      </c>
      <c r="D398" s="81" t="n">
        <v>46296</v>
      </c>
      <c r="E398" s="82" t="n">
        <v>10347.34</v>
      </c>
      <c r="F398" s="80" t="n">
        <v>1</v>
      </c>
      <c r="G398" s="79" t="s">
        <v>572</v>
      </c>
    </row>
    <row r="399" customFormat="false" ht="15" hidden="false" customHeight="false" outlineLevel="0" collapsed="false">
      <c r="A399" s="79" t="s">
        <v>195</v>
      </c>
      <c r="B399" s="79" t="s">
        <v>1080</v>
      </c>
      <c r="C399" s="80" t="n">
        <v>202609</v>
      </c>
      <c r="D399" s="81" t="n">
        <v>46266</v>
      </c>
      <c r="E399" s="82" t="n">
        <v>10327.444</v>
      </c>
      <c r="F399" s="80" t="n">
        <v>2</v>
      </c>
      <c r="G399" s="79" t="s">
        <v>573</v>
      </c>
    </row>
    <row r="400" customFormat="false" ht="15" hidden="false" customHeight="false" outlineLevel="0" collapsed="false">
      <c r="A400" s="79" t="s">
        <v>195</v>
      </c>
      <c r="B400" s="79" t="s">
        <v>1081</v>
      </c>
      <c r="C400" s="80" t="n">
        <v>202608</v>
      </c>
      <c r="D400" s="81" t="n">
        <v>46235</v>
      </c>
      <c r="E400" s="82" t="n">
        <v>10296.332</v>
      </c>
      <c r="F400" s="80" t="n">
        <v>3</v>
      </c>
      <c r="G400" s="79" t="s">
        <v>574</v>
      </c>
    </row>
    <row r="401" customFormat="false" ht="15" hidden="false" customHeight="false" outlineLevel="0" collapsed="false">
      <c r="A401" s="79" t="s">
        <v>195</v>
      </c>
      <c r="B401" s="79" t="s">
        <v>1082</v>
      </c>
      <c r="C401" s="80" t="n">
        <v>202607</v>
      </c>
      <c r="D401" s="81" t="n">
        <v>46204</v>
      </c>
      <c r="E401" s="82" t="n">
        <v>10022.596</v>
      </c>
      <c r="F401" s="80" t="n">
        <v>4</v>
      </c>
      <c r="G401" s="79" t="s">
        <v>575</v>
      </c>
    </row>
    <row r="402" customFormat="false" ht="15" hidden="false" customHeight="false" outlineLevel="0" collapsed="false">
      <c r="A402" s="79" t="s">
        <v>195</v>
      </c>
      <c r="B402" s="79" t="s">
        <v>1083</v>
      </c>
      <c r="C402" s="80" t="n">
        <v>202606</v>
      </c>
      <c r="D402" s="81" t="n">
        <v>46174</v>
      </c>
      <c r="E402" s="82" t="n">
        <v>9412.486</v>
      </c>
      <c r="F402" s="80" t="n">
        <v>5</v>
      </c>
      <c r="G402" s="79" t="s">
        <v>576</v>
      </c>
    </row>
    <row r="403" customFormat="false" ht="15" hidden="false" customHeight="false" outlineLevel="0" collapsed="false">
      <c r="A403" s="79" t="s">
        <v>195</v>
      </c>
      <c r="B403" s="79" t="s">
        <v>1084</v>
      </c>
      <c r="C403" s="80" t="n">
        <v>202605</v>
      </c>
      <c r="D403" s="81" t="n">
        <v>46143</v>
      </c>
      <c r="E403" s="82" t="n">
        <v>9225.016</v>
      </c>
      <c r="F403" s="80" t="n">
        <v>6</v>
      </c>
      <c r="G403" s="79" t="s">
        <v>577</v>
      </c>
    </row>
    <row r="404" customFormat="false" ht="15" hidden="false" customHeight="false" outlineLevel="0" collapsed="false">
      <c r="A404" s="79" t="s">
        <v>195</v>
      </c>
      <c r="B404" s="79" t="s">
        <v>1085</v>
      </c>
      <c r="C404" s="80" t="n">
        <v>202604</v>
      </c>
      <c r="D404" s="81" t="n">
        <v>46113</v>
      </c>
      <c r="E404" s="82" t="n">
        <v>8468.607</v>
      </c>
      <c r="F404" s="80" t="n">
        <v>7</v>
      </c>
      <c r="G404" s="79" t="s">
        <v>578</v>
      </c>
    </row>
    <row r="405" customFormat="false" ht="15" hidden="false" customHeight="false" outlineLevel="0" collapsed="false">
      <c r="A405" s="79" t="s">
        <v>195</v>
      </c>
      <c r="B405" s="79" t="s">
        <v>1086</v>
      </c>
      <c r="C405" s="80" t="n">
        <v>202603</v>
      </c>
      <c r="D405" s="81" t="n">
        <v>46082</v>
      </c>
      <c r="E405" s="82" t="n">
        <v>7059.376</v>
      </c>
      <c r="F405" s="80" t="n">
        <v>8</v>
      </c>
      <c r="G405" s="79" t="s">
        <v>579</v>
      </c>
    </row>
    <row r="406" customFormat="false" ht="15" hidden="false" customHeight="false" outlineLevel="0" collapsed="false">
      <c r="A406" s="79" t="s">
        <v>195</v>
      </c>
      <c r="B406" s="79" t="s">
        <v>1087</v>
      </c>
      <c r="C406" s="80" t="n">
        <v>202602</v>
      </c>
      <c r="D406" s="81" t="n">
        <v>46054</v>
      </c>
      <c r="E406" s="82" t="n">
        <v>7617.321</v>
      </c>
      <c r="F406" s="80" t="n">
        <v>9</v>
      </c>
      <c r="G406" s="79" t="s">
        <v>580</v>
      </c>
    </row>
    <row r="407" customFormat="false" ht="15" hidden="false" customHeight="false" outlineLevel="0" collapsed="false">
      <c r="A407" s="79" t="s">
        <v>195</v>
      </c>
      <c r="B407" s="79" t="s">
        <v>1088</v>
      </c>
      <c r="C407" s="80" t="n">
        <v>202601</v>
      </c>
      <c r="D407" s="81" t="n">
        <v>46023</v>
      </c>
      <c r="E407" s="82" t="n">
        <v>7319.722</v>
      </c>
      <c r="F407" s="80" t="n">
        <v>10</v>
      </c>
      <c r="G407" s="79" t="s">
        <v>581</v>
      </c>
    </row>
    <row r="408" customFormat="false" ht="15" hidden="false" customHeight="false" outlineLevel="0" collapsed="false">
      <c r="A408" s="79" t="s">
        <v>195</v>
      </c>
      <c r="B408" s="79" t="s">
        <v>1089</v>
      </c>
      <c r="C408" s="80" t="n">
        <v>202512</v>
      </c>
      <c r="D408" s="81" t="n">
        <v>45992</v>
      </c>
      <c r="E408" s="82" t="n">
        <v>7618.617</v>
      </c>
      <c r="F408" s="80" t="n">
        <v>11</v>
      </c>
      <c r="G408" s="79" t="s">
        <v>582</v>
      </c>
    </row>
    <row r="409" customFormat="false" ht="15" hidden="false" customHeight="false" outlineLevel="0" collapsed="false">
      <c r="A409" s="79" t="s">
        <v>195</v>
      </c>
      <c r="B409" s="79" t="s">
        <v>1090</v>
      </c>
      <c r="C409" s="80" t="n">
        <v>202511</v>
      </c>
      <c r="D409" s="81" t="n">
        <v>45962</v>
      </c>
      <c r="E409" s="82" t="n">
        <v>7878.87</v>
      </c>
      <c r="F409" s="80" t="n">
        <v>12</v>
      </c>
      <c r="G409" s="79" t="s">
        <v>583</v>
      </c>
    </row>
    <row r="410" customFormat="false" ht="15" hidden="false" customHeight="false" outlineLevel="0" collapsed="false">
      <c r="A410" s="79" t="s">
        <v>195</v>
      </c>
      <c r="B410" s="79" t="s">
        <v>1091</v>
      </c>
      <c r="C410" s="80" t="n">
        <v>202510</v>
      </c>
      <c r="D410" s="81" t="n">
        <v>45931</v>
      </c>
      <c r="E410" s="82" t="n">
        <v>8278.299</v>
      </c>
      <c r="F410" s="80" t="n">
        <v>13</v>
      </c>
      <c r="G410" s="79" t="s">
        <v>584</v>
      </c>
    </row>
    <row r="411" customFormat="false" ht="15" hidden="false" customHeight="false" outlineLevel="0" collapsed="false">
      <c r="A411" s="79" t="s">
        <v>195</v>
      </c>
      <c r="B411" s="79" t="s">
        <v>1092</v>
      </c>
      <c r="C411" s="80" t="n">
        <v>202509</v>
      </c>
      <c r="D411" s="81" t="n">
        <v>45901</v>
      </c>
      <c r="E411" s="82" t="n">
        <v>8174.953</v>
      </c>
      <c r="F411" s="80" t="n">
        <v>14</v>
      </c>
      <c r="G411" s="79" t="s">
        <v>585</v>
      </c>
    </row>
    <row r="412" customFormat="false" ht="15" hidden="false" customHeight="false" outlineLevel="0" collapsed="false">
      <c r="A412" s="79" t="s">
        <v>195</v>
      </c>
      <c r="B412" s="79" t="s">
        <v>1093</v>
      </c>
      <c r="C412" s="80" t="n">
        <v>202508</v>
      </c>
      <c r="D412" s="81" t="n">
        <v>45870</v>
      </c>
      <c r="E412" s="82" t="n">
        <v>8120.418</v>
      </c>
      <c r="F412" s="80" t="n">
        <v>15</v>
      </c>
      <c r="G412" s="79" t="s">
        <v>586</v>
      </c>
    </row>
    <row r="413" customFormat="false" ht="15" hidden="false" customHeight="false" outlineLevel="0" collapsed="false">
      <c r="A413" s="79" t="s">
        <v>195</v>
      </c>
      <c r="B413" s="79" t="s">
        <v>1094</v>
      </c>
      <c r="C413" s="80" t="n">
        <v>202507</v>
      </c>
      <c r="D413" s="81" t="n">
        <v>45839</v>
      </c>
      <c r="E413" s="82" t="n">
        <v>8425.263</v>
      </c>
      <c r="F413" s="80" t="n">
        <v>16</v>
      </c>
      <c r="G413" s="79" t="s">
        <v>587</v>
      </c>
    </row>
    <row r="414" customFormat="false" ht="15" hidden="false" customHeight="false" outlineLevel="0" collapsed="false">
      <c r="A414" s="79" t="s">
        <v>195</v>
      </c>
      <c r="B414" s="79" t="s">
        <v>1095</v>
      </c>
      <c r="C414" s="80" t="n">
        <v>202506</v>
      </c>
      <c r="D414" s="81" t="n">
        <v>45809</v>
      </c>
      <c r="E414" s="82" t="n">
        <v>8607.337</v>
      </c>
      <c r="F414" s="80" t="n">
        <v>17</v>
      </c>
      <c r="G414" s="79" t="s">
        <v>588</v>
      </c>
    </row>
    <row r="415" customFormat="false" ht="15" hidden="false" customHeight="false" outlineLevel="0" collapsed="false">
      <c r="A415" s="79" t="s">
        <v>195</v>
      </c>
      <c r="B415" s="79" t="s">
        <v>1096</v>
      </c>
      <c r="C415" s="80" t="n">
        <v>202505</v>
      </c>
      <c r="D415" s="81" t="n">
        <v>45778</v>
      </c>
      <c r="E415" s="82" t="n">
        <v>9119.463</v>
      </c>
      <c r="F415" s="80" t="n">
        <v>18</v>
      </c>
      <c r="G415" s="79" t="s">
        <v>589</v>
      </c>
    </row>
    <row r="416" customFormat="false" ht="15" hidden="false" customHeight="false" outlineLevel="0" collapsed="false">
      <c r="A416" s="79" t="s">
        <v>195</v>
      </c>
      <c r="B416" s="79" t="s">
        <v>1097</v>
      </c>
      <c r="C416" s="80" t="n">
        <v>202504</v>
      </c>
      <c r="D416" s="81" t="n">
        <v>45748</v>
      </c>
      <c r="E416" s="82" t="n">
        <v>9372.1</v>
      </c>
      <c r="F416" s="80" t="n">
        <v>19</v>
      </c>
      <c r="G416" s="79" t="s">
        <v>590</v>
      </c>
    </row>
    <row r="417" customFormat="false" ht="15" hidden="false" customHeight="false" outlineLevel="0" collapsed="false">
      <c r="A417" s="79" t="s">
        <v>195</v>
      </c>
      <c r="B417" s="79" t="s">
        <v>1098</v>
      </c>
      <c r="C417" s="80" t="n">
        <v>202503</v>
      </c>
      <c r="D417" s="81" t="n">
        <v>45717</v>
      </c>
      <c r="E417" s="82" t="n">
        <v>9267.233</v>
      </c>
      <c r="F417" s="80" t="n">
        <v>20</v>
      </c>
      <c r="G417" s="79" t="s">
        <v>591</v>
      </c>
    </row>
    <row r="418" customFormat="false" ht="15" hidden="false" customHeight="false" outlineLevel="0" collapsed="false">
      <c r="A418" s="79" t="s">
        <v>195</v>
      </c>
      <c r="B418" s="79" t="s">
        <v>1099</v>
      </c>
      <c r="C418" s="80" t="n">
        <v>202502</v>
      </c>
      <c r="D418" s="81" t="n">
        <v>45689</v>
      </c>
      <c r="E418" s="82" t="n">
        <v>8480.869</v>
      </c>
      <c r="F418" s="80" t="n">
        <v>21</v>
      </c>
      <c r="G418" s="79" t="s">
        <v>592</v>
      </c>
    </row>
    <row r="419" customFormat="false" ht="15" hidden="false" customHeight="false" outlineLevel="0" collapsed="false">
      <c r="A419" s="79" t="s">
        <v>195</v>
      </c>
      <c r="B419" s="79" t="s">
        <v>1100</v>
      </c>
      <c r="C419" s="80" t="n">
        <v>202501</v>
      </c>
      <c r="D419" s="81" t="n">
        <v>45658</v>
      </c>
      <c r="E419" s="82" t="n">
        <v>8527.147</v>
      </c>
      <c r="F419" s="80" t="n">
        <v>22</v>
      </c>
      <c r="G419" s="79" t="s">
        <v>593</v>
      </c>
    </row>
    <row r="420" customFormat="false" ht="15" hidden="false" customHeight="false" outlineLevel="0" collapsed="false">
      <c r="A420" s="79" t="s">
        <v>195</v>
      </c>
      <c r="B420" s="79" t="s">
        <v>1101</v>
      </c>
      <c r="C420" s="80" t="n">
        <v>202412</v>
      </c>
      <c r="D420" s="81" t="n">
        <v>45627</v>
      </c>
      <c r="E420" s="82" t="n">
        <v>8212.667</v>
      </c>
      <c r="F420" s="80" t="n">
        <v>23</v>
      </c>
      <c r="G420" s="79" t="s">
        <v>594</v>
      </c>
    </row>
    <row r="421" customFormat="false" ht="15" hidden="false" customHeight="false" outlineLevel="0" collapsed="false">
      <c r="A421" s="79" t="s">
        <v>195</v>
      </c>
      <c r="B421" s="79" t="s">
        <v>1102</v>
      </c>
      <c r="C421" s="80" t="n">
        <v>202411</v>
      </c>
      <c r="D421" s="81" t="n">
        <v>45597</v>
      </c>
      <c r="E421" s="82" t="n">
        <v>8522.705</v>
      </c>
      <c r="F421" s="80" t="n">
        <v>24</v>
      </c>
      <c r="G421" s="79" t="s">
        <v>595</v>
      </c>
    </row>
    <row r="422" customFormat="false" ht="15" hidden="false" customHeight="false" outlineLevel="0" collapsed="false">
      <c r="A422" s="79" t="s">
        <v>195</v>
      </c>
      <c r="B422" s="79" t="s">
        <v>1103</v>
      </c>
      <c r="C422" s="80" t="n">
        <v>202410</v>
      </c>
      <c r="D422" s="81" t="n">
        <v>45566</v>
      </c>
      <c r="E422" s="82" t="n">
        <v>8918.212</v>
      </c>
      <c r="F422" s="80" t="n">
        <v>25</v>
      </c>
      <c r="G422" s="79" t="s">
        <v>1248</v>
      </c>
    </row>
    <row r="423" customFormat="false" ht="15" hidden="false" customHeight="false" outlineLevel="0" collapsed="false">
      <c r="A423" s="79" t="s">
        <v>195</v>
      </c>
      <c r="B423" s="79" t="s">
        <v>1105</v>
      </c>
      <c r="C423" s="80" t="n">
        <v>202409</v>
      </c>
      <c r="D423" s="81" t="n">
        <v>45536</v>
      </c>
      <c r="E423" s="82" t="n">
        <v>9680.155</v>
      </c>
      <c r="F423" s="80" t="n">
        <v>26</v>
      </c>
      <c r="G423" s="79" t="s">
        <v>1249</v>
      </c>
    </row>
    <row r="424" customFormat="false" ht="15" hidden="false" customHeight="false" outlineLevel="0" collapsed="false">
      <c r="A424" s="79" t="s">
        <v>195</v>
      </c>
      <c r="B424" s="79" t="s">
        <v>1107</v>
      </c>
      <c r="C424" s="80" t="n">
        <v>202408</v>
      </c>
      <c r="D424" s="81" t="n">
        <v>45505</v>
      </c>
      <c r="E424" s="82" t="n">
        <v>9267.96</v>
      </c>
      <c r="F424" s="80" t="n">
        <v>27</v>
      </c>
      <c r="G424" s="79" t="s">
        <v>1250</v>
      </c>
    </row>
    <row r="425" customFormat="false" ht="15" hidden="false" customHeight="false" outlineLevel="0" collapsed="false">
      <c r="A425" s="79" t="s">
        <v>195</v>
      </c>
      <c r="B425" s="79" t="s">
        <v>1109</v>
      </c>
      <c r="C425" s="80" t="n">
        <v>202407</v>
      </c>
      <c r="D425" s="81" t="n">
        <v>45474</v>
      </c>
      <c r="E425" s="82" t="n">
        <v>8463.25</v>
      </c>
      <c r="F425" s="80" t="n">
        <v>28</v>
      </c>
      <c r="G425" s="79" t="s">
        <v>1251</v>
      </c>
    </row>
    <row r="426" customFormat="false" ht="15" hidden="false" customHeight="false" outlineLevel="0" collapsed="false">
      <c r="A426" s="79" t="s">
        <v>195</v>
      </c>
      <c r="B426" s="79" t="s">
        <v>1111</v>
      </c>
      <c r="C426" s="80" t="n">
        <v>202406</v>
      </c>
      <c r="D426" s="81" t="n">
        <v>45444</v>
      </c>
      <c r="E426" s="82" t="n">
        <v>8438.693</v>
      </c>
      <c r="F426" s="80" t="n">
        <v>29</v>
      </c>
      <c r="G426" s="79" t="s">
        <v>1252</v>
      </c>
    </row>
    <row r="427" customFormat="false" ht="15" hidden="false" customHeight="false" outlineLevel="0" collapsed="false">
      <c r="A427" s="79" t="s">
        <v>195</v>
      </c>
      <c r="B427" s="79" t="s">
        <v>1113</v>
      </c>
      <c r="C427" s="80" t="n">
        <v>202405</v>
      </c>
      <c r="D427" s="81" t="n">
        <v>45413</v>
      </c>
      <c r="E427" s="82" t="n">
        <v>8329.076</v>
      </c>
      <c r="F427" s="80" t="n">
        <v>30</v>
      </c>
      <c r="G427" s="79" t="s">
        <v>1253</v>
      </c>
    </row>
    <row r="428" customFormat="false" ht="15" hidden="false" customHeight="false" outlineLevel="0" collapsed="false">
      <c r="A428" s="79" t="s">
        <v>195</v>
      </c>
      <c r="B428" s="79" t="s">
        <v>1115</v>
      </c>
      <c r="C428" s="80" t="n">
        <v>202404</v>
      </c>
      <c r="D428" s="81" t="n">
        <v>45383</v>
      </c>
      <c r="E428" s="82" t="n">
        <v>8575.205</v>
      </c>
      <c r="F428" s="80" t="n">
        <v>31</v>
      </c>
      <c r="G428" s="79" t="s">
        <v>1254</v>
      </c>
    </row>
    <row r="429" customFormat="false" ht="15" hidden="false" customHeight="false" outlineLevel="0" collapsed="false">
      <c r="A429" s="79" t="s">
        <v>195</v>
      </c>
      <c r="B429" s="79" t="s">
        <v>1117</v>
      </c>
      <c r="C429" s="80" t="n">
        <v>202403</v>
      </c>
      <c r="D429" s="81" t="n">
        <v>45352</v>
      </c>
      <c r="E429" s="82" t="n">
        <v>7132.911</v>
      </c>
      <c r="F429" s="80" t="n">
        <v>32</v>
      </c>
      <c r="G429" s="79" t="s">
        <v>1255</v>
      </c>
    </row>
    <row r="430" customFormat="false" ht="15" hidden="false" customHeight="false" outlineLevel="0" collapsed="false">
      <c r="A430" s="79" t="s">
        <v>195</v>
      </c>
      <c r="B430" s="79" t="s">
        <v>1119</v>
      </c>
      <c r="C430" s="80" t="n">
        <v>202402</v>
      </c>
      <c r="D430" s="81" t="n">
        <v>45323</v>
      </c>
      <c r="E430" s="82" t="n">
        <v>8719.77</v>
      </c>
      <c r="F430" s="80" t="n">
        <v>33</v>
      </c>
      <c r="G430" s="79" t="s">
        <v>1256</v>
      </c>
    </row>
    <row r="431" customFormat="false" ht="15" hidden="false" customHeight="false" outlineLevel="0" collapsed="false">
      <c r="A431" s="79" t="s">
        <v>195</v>
      </c>
      <c r="B431" s="79" t="s">
        <v>1121</v>
      </c>
      <c r="C431" s="80" t="n">
        <v>202401</v>
      </c>
      <c r="D431" s="81" t="n">
        <v>45292</v>
      </c>
      <c r="E431" s="82" t="n">
        <v>8679.433</v>
      </c>
      <c r="F431" s="80" t="n">
        <v>34</v>
      </c>
      <c r="G431" s="79" t="s">
        <v>1257</v>
      </c>
    </row>
    <row r="432" customFormat="false" ht="15" hidden="false" customHeight="false" outlineLevel="0" collapsed="false">
      <c r="A432" s="79" t="s">
        <v>195</v>
      </c>
      <c r="B432" s="79" t="s">
        <v>1123</v>
      </c>
      <c r="C432" s="80" t="n">
        <v>202312</v>
      </c>
      <c r="D432" s="81" t="n">
        <v>45261</v>
      </c>
      <c r="E432" s="82" t="n">
        <v>8948.713</v>
      </c>
      <c r="F432" s="80" t="n">
        <v>35</v>
      </c>
      <c r="G432" s="79" t="s">
        <v>1258</v>
      </c>
    </row>
    <row r="433" customFormat="false" ht="15" hidden="false" customHeight="false" outlineLevel="0" collapsed="false">
      <c r="A433" s="79" t="s">
        <v>195</v>
      </c>
      <c r="B433" s="79" t="s">
        <v>1125</v>
      </c>
      <c r="C433" s="80" t="n">
        <v>202311</v>
      </c>
      <c r="D433" s="81" t="n">
        <v>45231</v>
      </c>
      <c r="E433" s="82" t="n">
        <v>9525.678</v>
      </c>
      <c r="F433" s="80" t="n">
        <v>36</v>
      </c>
      <c r="G433" s="79" t="s">
        <v>1259</v>
      </c>
    </row>
    <row r="434" customFormat="false" ht="15" hidden="false" customHeight="false" outlineLevel="0" collapsed="false">
      <c r="A434" s="79" t="s">
        <v>210</v>
      </c>
      <c r="B434" s="79" t="s">
        <v>1079</v>
      </c>
      <c r="C434" s="80" t="n">
        <v>202610</v>
      </c>
      <c r="D434" s="81" t="n">
        <v>46296</v>
      </c>
      <c r="E434" s="82" t="n">
        <v>540.492</v>
      </c>
      <c r="F434" s="80" t="n">
        <v>1</v>
      </c>
      <c r="G434" s="79" t="s">
        <v>597</v>
      </c>
    </row>
    <row r="435" customFormat="false" ht="15" hidden="false" customHeight="false" outlineLevel="0" collapsed="false">
      <c r="A435" s="79" t="s">
        <v>210</v>
      </c>
      <c r="B435" s="79" t="s">
        <v>1080</v>
      </c>
      <c r="C435" s="80" t="n">
        <v>202609</v>
      </c>
      <c r="D435" s="81" t="n">
        <v>46266</v>
      </c>
      <c r="E435" s="82" t="n">
        <v>520.469</v>
      </c>
      <c r="F435" s="80" t="n">
        <v>2</v>
      </c>
      <c r="G435" s="79" t="s">
        <v>598</v>
      </c>
    </row>
    <row r="436" customFormat="false" ht="15" hidden="false" customHeight="false" outlineLevel="0" collapsed="false">
      <c r="A436" s="79" t="s">
        <v>210</v>
      </c>
      <c r="B436" s="79" t="s">
        <v>1081</v>
      </c>
      <c r="C436" s="80" t="n">
        <v>202608</v>
      </c>
      <c r="D436" s="81" t="n">
        <v>46235</v>
      </c>
      <c r="E436" s="82" t="n">
        <v>501.21</v>
      </c>
      <c r="F436" s="80" t="n">
        <v>3</v>
      </c>
      <c r="G436" s="79" t="s">
        <v>599</v>
      </c>
    </row>
    <row r="437" customFormat="false" ht="15" hidden="false" customHeight="false" outlineLevel="0" collapsed="false">
      <c r="A437" s="79" t="s">
        <v>210</v>
      </c>
      <c r="B437" s="79" t="s">
        <v>1082</v>
      </c>
      <c r="C437" s="80" t="n">
        <v>202607</v>
      </c>
      <c r="D437" s="81" t="n">
        <v>46204</v>
      </c>
      <c r="E437" s="82" t="n">
        <v>420.507</v>
      </c>
      <c r="F437" s="80" t="n">
        <v>4</v>
      </c>
      <c r="G437" s="79" t="s">
        <v>600</v>
      </c>
    </row>
    <row r="438" customFormat="false" ht="15" hidden="false" customHeight="false" outlineLevel="0" collapsed="false">
      <c r="A438" s="79" t="s">
        <v>210</v>
      </c>
      <c r="B438" s="79" t="s">
        <v>1083</v>
      </c>
      <c r="C438" s="80" t="n">
        <v>202606</v>
      </c>
      <c r="D438" s="81" t="n">
        <v>46174</v>
      </c>
      <c r="E438" s="82" t="n">
        <v>405.322</v>
      </c>
      <c r="F438" s="80" t="n">
        <v>5</v>
      </c>
      <c r="G438" s="79" t="s">
        <v>601</v>
      </c>
    </row>
    <row r="439" customFormat="false" ht="15" hidden="false" customHeight="false" outlineLevel="0" collapsed="false">
      <c r="A439" s="79" t="s">
        <v>210</v>
      </c>
      <c r="B439" s="79" t="s">
        <v>1084</v>
      </c>
      <c r="C439" s="80" t="n">
        <v>202605</v>
      </c>
      <c r="D439" s="81" t="n">
        <v>46143</v>
      </c>
      <c r="E439" s="82" t="n">
        <v>395.349</v>
      </c>
      <c r="F439" s="80" t="n">
        <v>6</v>
      </c>
      <c r="G439" s="79" t="s">
        <v>602</v>
      </c>
    </row>
    <row r="440" customFormat="false" ht="15" hidden="false" customHeight="false" outlineLevel="0" collapsed="false">
      <c r="A440" s="79" t="s">
        <v>210</v>
      </c>
      <c r="B440" s="79" t="s">
        <v>1085</v>
      </c>
      <c r="C440" s="80" t="n">
        <v>202604</v>
      </c>
      <c r="D440" s="81" t="n">
        <v>46113</v>
      </c>
      <c r="E440" s="82" t="n">
        <v>343.319</v>
      </c>
      <c r="F440" s="80" t="n">
        <v>7</v>
      </c>
      <c r="G440" s="79" t="s">
        <v>603</v>
      </c>
    </row>
    <row r="441" customFormat="false" ht="15" hidden="false" customHeight="false" outlineLevel="0" collapsed="false">
      <c r="A441" s="79" t="s">
        <v>210</v>
      </c>
      <c r="B441" s="79" t="s">
        <v>1086</v>
      </c>
      <c r="C441" s="80" t="n">
        <v>202603</v>
      </c>
      <c r="D441" s="81" t="n">
        <v>46082</v>
      </c>
      <c r="E441" s="82" t="n">
        <v>290.3</v>
      </c>
      <c r="F441" s="80" t="n">
        <v>8</v>
      </c>
      <c r="G441" s="79" t="s">
        <v>604</v>
      </c>
    </row>
    <row r="442" customFormat="false" ht="15" hidden="false" customHeight="false" outlineLevel="0" collapsed="false">
      <c r="A442" s="79" t="s">
        <v>210</v>
      </c>
      <c r="B442" s="79" t="s">
        <v>1087</v>
      </c>
      <c r="C442" s="80" t="n">
        <v>202602</v>
      </c>
      <c r="D442" s="81" t="n">
        <v>46054</v>
      </c>
      <c r="E442" s="82" t="n">
        <v>270.77</v>
      </c>
      <c r="F442" s="80" t="n">
        <v>9</v>
      </c>
      <c r="G442" s="79" t="s">
        <v>605</v>
      </c>
    </row>
    <row r="443" customFormat="false" ht="15" hidden="false" customHeight="false" outlineLevel="0" collapsed="false">
      <c r="A443" s="79" t="s">
        <v>210</v>
      </c>
      <c r="B443" s="79" t="s">
        <v>1088</v>
      </c>
      <c r="C443" s="80" t="n">
        <v>202601</v>
      </c>
      <c r="D443" s="81" t="n">
        <v>46023</v>
      </c>
      <c r="E443" s="82" t="n">
        <v>230.664</v>
      </c>
      <c r="F443" s="80" t="n">
        <v>10</v>
      </c>
      <c r="G443" s="79" t="s">
        <v>606</v>
      </c>
    </row>
    <row r="444" customFormat="false" ht="15" hidden="false" customHeight="false" outlineLevel="0" collapsed="false">
      <c r="A444" s="79" t="s">
        <v>210</v>
      </c>
      <c r="B444" s="79" t="s">
        <v>1089</v>
      </c>
      <c r="C444" s="80" t="n">
        <v>202512</v>
      </c>
      <c r="D444" s="81" t="n">
        <v>45992</v>
      </c>
      <c r="E444" s="82" t="n">
        <v>210.28</v>
      </c>
      <c r="F444" s="80" t="n">
        <v>11</v>
      </c>
      <c r="G444" s="79" t="s">
        <v>607</v>
      </c>
    </row>
    <row r="445" customFormat="false" ht="15" hidden="false" customHeight="false" outlineLevel="0" collapsed="false">
      <c r="A445" s="79" t="s">
        <v>210</v>
      </c>
      <c r="B445" s="79" t="s">
        <v>1090</v>
      </c>
      <c r="C445" s="80" t="n">
        <v>202511</v>
      </c>
      <c r="D445" s="81" t="n">
        <v>45962</v>
      </c>
      <c r="E445" s="82" t="n">
        <v>201.479</v>
      </c>
      <c r="F445" s="80" t="n">
        <v>12</v>
      </c>
      <c r="G445" s="79" t="s">
        <v>608</v>
      </c>
    </row>
    <row r="446" customFormat="false" ht="15" hidden="false" customHeight="false" outlineLevel="0" collapsed="false">
      <c r="A446" s="79" t="s">
        <v>210</v>
      </c>
      <c r="B446" s="79" t="s">
        <v>1091</v>
      </c>
      <c r="C446" s="80" t="n">
        <v>202510</v>
      </c>
      <c r="D446" s="81" t="n">
        <v>45931</v>
      </c>
      <c r="E446" s="82" t="n">
        <v>186.272</v>
      </c>
      <c r="F446" s="80" t="n">
        <v>13</v>
      </c>
      <c r="G446" s="79" t="s">
        <v>609</v>
      </c>
    </row>
    <row r="447" customFormat="false" ht="15" hidden="false" customHeight="false" outlineLevel="0" collapsed="false">
      <c r="A447" s="79" t="s">
        <v>210</v>
      </c>
      <c r="B447" s="79" t="s">
        <v>1092</v>
      </c>
      <c r="C447" s="80" t="n">
        <v>202509</v>
      </c>
      <c r="D447" s="81" t="n">
        <v>45901</v>
      </c>
      <c r="E447" s="82" t="n">
        <v>185.285</v>
      </c>
      <c r="F447" s="80" t="n">
        <v>14</v>
      </c>
      <c r="G447" s="79" t="s">
        <v>610</v>
      </c>
    </row>
    <row r="448" customFormat="false" ht="15" hidden="false" customHeight="false" outlineLevel="0" collapsed="false">
      <c r="A448" s="79" t="s">
        <v>210</v>
      </c>
      <c r="B448" s="79" t="s">
        <v>1093</v>
      </c>
      <c r="C448" s="80" t="n">
        <v>202508</v>
      </c>
      <c r="D448" s="81" t="n">
        <v>45870</v>
      </c>
      <c r="E448" s="82" t="n">
        <v>181.246</v>
      </c>
      <c r="F448" s="80" t="n">
        <v>15</v>
      </c>
      <c r="G448" s="79" t="s">
        <v>611</v>
      </c>
    </row>
    <row r="449" customFormat="false" ht="15" hidden="false" customHeight="false" outlineLevel="0" collapsed="false">
      <c r="A449" s="79" t="s">
        <v>210</v>
      </c>
      <c r="B449" s="79" t="s">
        <v>1094</v>
      </c>
      <c r="C449" s="80" t="n">
        <v>202507</v>
      </c>
      <c r="D449" s="81" t="n">
        <v>45839</v>
      </c>
      <c r="E449" s="82" t="n">
        <v>184.322</v>
      </c>
      <c r="F449" s="80" t="n">
        <v>16</v>
      </c>
      <c r="G449" s="79" t="s">
        <v>612</v>
      </c>
    </row>
    <row r="450" customFormat="false" ht="15" hidden="false" customHeight="false" outlineLevel="0" collapsed="false">
      <c r="A450" s="79" t="s">
        <v>210</v>
      </c>
      <c r="B450" s="79" t="s">
        <v>1095</v>
      </c>
      <c r="C450" s="80" t="n">
        <v>202506</v>
      </c>
      <c r="D450" s="81" t="n">
        <v>45809</v>
      </c>
      <c r="E450" s="82" t="n">
        <v>185.217</v>
      </c>
      <c r="F450" s="80" t="n">
        <v>17</v>
      </c>
      <c r="G450" s="79" t="s">
        <v>613</v>
      </c>
    </row>
    <row r="451" customFormat="false" ht="15" hidden="false" customHeight="false" outlineLevel="0" collapsed="false">
      <c r="A451" s="79" t="s">
        <v>210</v>
      </c>
      <c r="B451" s="79" t="s">
        <v>1096</v>
      </c>
      <c r="C451" s="80" t="n">
        <v>202505</v>
      </c>
      <c r="D451" s="81" t="n">
        <v>45778</v>
      </c>
      <c r="E451" s="82" t="n">
        <v>183.555</v>
      </c>
      <c r="F451" s="80" t="n">
        <v>18</v>
      </c>
      <c r="G451" s="79" t="s">
        <v>614</v>
      </c>
    </row>
    <row r="452" customFormat="false" ht="15" hidden="false" customHeight="false" outlineLevel="0" collapsed="false">
      <c r="A452" s="79" t="s">
        <v>210</v>
      </c>
      <c r="B452" s="79" t="s">
        <v>1097</v>
      </c>
      <c r="C452" s="80" t="n">
        <v>202504</v>
      </c>
      <c r="D452" s="81" t="n">
        <v>45748</v>
      </c>
      <c r="E452" s="82" t="n">
        <v>181.318</v>
      </c>
      <c r="F452" s="80" t="n">
        <v>19</v>
      </c>
      <c r="G452" s="79" t="s">
        <v>615</v>
      </c>
    </row>
    <row r="453" customFormat="false" ht="15" hidden="false" customHeight="false" outlineLevel="0" collapsed="false">
      <c r="A453" s="79" t="s">
        <v>210</v>
      </c>
      <c r="B453" s="79" t="s">
        <v>1098</v>
      </c>
      <c r="C453" s="80" t="n">
        <v>202503</v>
      </c>
      <c r="D453" s="81" t="n">
        <v>45717</v>
      </c>
      <c r="E453" s="82" t="n">
        <v>151.644</v>
      </c>
      <c r="F453" s="80" t="n">
        <v>20</v>
      </c>
      <c r="G453" s="79" t="s">
        <v>616</v>
      </c>
    </row>
    <row r="454" customFormat="false" ht="15" hidden="false" customHeight="false" outlineLevel="0" collapsed="false">
      <c r="A454" s="79" t="s">
        <v>210</v>
      </c>
      <c r="B454" s="79" t="s">
        <v>1099</v>
      </c>
      <c r="C454" s="80" t="n">
        <v>202502</v>
      </c>
      <c r="D454" s="81" t="n">
        <v>45689</v>
      </c>
      <c r="E454" s="82" t="n">
        <v>121.54</v>
      </c>
      <c r="F454" s="80" t="n">
        <v>21</v>
      </c>
      <c r="G454" s="79" t="s">
        <v>617</v>
      </c>
    </row>
    <row r="455" customFormat="false" ht="15" hidden="false" customHeight="false" outlineLevel="0" collapsed="false">
      <c r="A455" s="79" t="s">
        <v>210</v>
      </c>
      <c r="B455" s="79" t="s">
        <v>1100</v>
      </c>
      <c r="C455" s="80" t="n">
        <v>202501</v>
      </c>
      <c r="D455" s="81" t="n">
        <v>45658</v>
      </c>
      <c r="E455" s="82" t="n">
        <v>89.084</v>
      </c>
      <c r="F455" s="80" t="n">
        <v>22</v>
      </c>
      <c r="G455" s="79" t="s">
        <v>618</v>
      </c>
    </row>
    <row r="456" customFormat="false" ht="15" hidden="false" customHeight="false" outlineLevel="0" collapsed="false">
      <c r="A456" s="79" t="s">
        <v>210</v>
      </c>
      <c r="B456" s="79" t="s">
        <v>1101</v>
      </c>
      <c r="C456" s="80" t="n">
        <v>202412</v>
      </c>
      <c r="D456" s="81" t="n">
        <v>45627</v>
      </c>
      <c r="E456" s="82" t="n">
        <v>85.131</v>
      </c>
      <c r="F456" s="80" t="n">
        <v>23</v>
      </c>
      <c r="G456" s="79" t="s">
        <v>619</v>
      </c>
    </row>
    <row r="457" customFormat="false" ht="15" hidden="false" customHeight="false" outlineLevel="0" collapsed="false">
      <c r="A457" s="79" t="s">
        <v>210</v>
      </c>
      <c r="B457" s="79" t="s">
        <v>1102</v>
      </c>
      <c r="C457" s="80" t="n">
        <v>202411</v>
      </c>
      <c r="D457" s="81" t="n">
        <v>45597</v>
      </c>
      <c r="E457" s="82" t="n">
        <v>114.595</v>
      </c>
      <c r="F457" s="80" t="n">
        <v>24</v>
      </c>
      <c r="G457" s="79" t="s">
        <v>620</v>
      </c>
    </row>
    <row r="458" customFormat="false" ht="15" hidden="false" customHeight="false" outlineLevel="0" collapsed="false">
      <c r="A458" s="79" t="s">
        <v>210</v>
      </c>
      <c r="B458" s="79" t="s">
        <v>1103</v>
      </c>
      <c r="C458" s="80" t="n">
        <v>202410</v>
      </c>
      <c r="D458" s="81" t="n">
        <v>45566</v>
      </c>
      <c r="E458" s="82" t="n">
        <v>110.497</v>
      </c>
      <c r="F458" s="80" t="n">
        <v>25</v>
      </c>
      <c r="G458" s="79" t="s">
        <v>1260</v>
      </c>
    </row>
    <row r="459" customFormat="false" ht="15" hidden="false" customHeight="false" outlineLevel="0" collapsed="false">
      <c r="A459" s="79" t="s">
        <v>210</v>
      </c>
      <c r="B459" s="79" t="s">
        <v>1105</v>
      </c>
      <c r="C459" s="80" t="n">
        <v>202409</v>
      </c>
      <c r="D459" s="81" t="n">
        <v>45536</v>
      </c>
      <c r="E459" s="82" t="n">
        <v>107.291</v>
      </c>
      <c r="F459" s="80" t="n">
        <v>26</v>
      </c>
      <c r="G459" s="79" t="s">
        <v>1261</v>
      </c>
    </row>
    <row r="460" customFormat="false" ht="15" hidden="false" customHeight="false" outlineLevel="0" collapsed="false">
      <c r="A460" s="79" t="s">
        <v>210</v>
      </c>
      <c r="B460" s="79" t="s">
        <v>1107</v>
      </c>
      <c r="C460" s="80" t="n">
        <v>202408</v>
      </c>
      <c r="D460" s="81" t="n">
        <v>45505</v>
      </c>
      <c r="E460" s="82" t="n">
        <v>105.257</v>
      </c>
      <c r="F460" s="80" t="n">
        <v>27</v>
      </c>
      <c r="G460" s="79" t="s">
        <v>1262</v>
      </c>
    </row>
    <row r="461" customFormat="false" ht="15" hidden="false" customHeight="false" outlineLevel="0" collapsed="false">
      <c r="A461" s="79" t="s">
        <v>210</v>
      </c>
      <c r="B461" s="79" t="s">
        <v>1109</v>
      </c>
      <c r="C461" s="80" t="n">
        <v>202407</v>
      </c>
      <c r="D461" s="81" t="n">
        <v>45474</v>
      </c>
      <c r="E461" s="82" t="n">
        <v>101.56</v>
      </c>
      <c r="F461" s="80" t="n">
        <v>28</v>
      </c>
      <c r="G461" s="79" t="s">
        <v>1263</v>
      </c>
    </row>
    <row r="462" customFormat="false" ht="15" hidden="false" customHeight="false" outlineLevel="0" collapsed="false">
      <c r="A462" s="79" t="s">
        <v>210</v>
      </c>
      <c r="B462" s="79" t="s">
        <v>1111</v>
      </c>
      <c r="C462" s="80" t="n">
        <v>202406</v>
      </c>
      <c r="D462" s="81" t="n">
        <v>45444</v>
      </c>
      <c r="E462" s="82" t="n">
        <v>68.682</v>
      </c>
      <c r="F462" s="80" t="n">
        <v>29</v>
      </c>
      <c r="G462" s="79" t="s">
        <v>1264</v>
      </c>
    </row>
    <row r="463" customFormat="false" ht="15" hidden="false" customHeight="false" outlineLevel="0" collapsed="false">
      <c r="A463" s="79" t="s">
        <v>210</v>
      </c>
      <c r="B463" s="79" t="s">
        <v>1113</v>
      </c>
      <c r="C463" s="80" t="n">
        <v>202405</v>
      </c>
      <c r="D463" s="81" t="n">
        <v>45413</v>
      </c>
      <c r="E463" s="82" t="n">
        <v>102.346</v>
      </c>
      <c r="F463" s="80" t="n">
        <v>30</v>
      </c>
      <c r="G463" s="79" t="s">
        <v>1265</v>
      </c>
    </row>
    <row r="464" customFormat="false" ht="15" hidden="false" customHeight="false" outlineLevel="0" collapsed="false">
      <c r="A464" s="79" t="s">
        <v>210</v>
      </c>
      <c r="B464" s="79" t="s">
        <v>1115</v>
      </c>
      <c r="C464" s="80" t="n">
        <v>202404</v>
      </c>
      <c r="D464" s="81" t="n">
        <v>45383</v>
      </c>
      <c r="E464" s="82" t="n">
        <v>110.324</v>
      </c>
      <c r="F464" s="80" t="n">
        <v>31</v>
      </c>
      <c r="G464" s="79" t="s">
        <v>1266</v>
      </c>
    </row>
    <row r="465" customFormat="false" ht="15" hidden="false" customHeight="false" outlineLevel="0" collapsed="false">
      <c r="A465" s="79" t="s">
        <v>210</v>
      </c>
      <c r="B465" s="79" t="s">
        <v>1117</v>
      </c>
      <c r="C465" s="80" t="n">
        <v>202403</v>
      </c>
      <c r="D465" s="81" t="n">
        <v>45352</v>
      </c>
      <c r="E465" s="82" t="n">
        <v>100.496</v>
      </c>
      <c r="F465" s="80" t="n">
        <v>32</v>
      </c>
      <c r="G465" s="79" t="s">
        <v>1267</v>
      </c>
    </row>
    <row r="466" customFormat="false" ht="15" hidden="false" customHeight="false" outlineLevel="0" collapsed="false">
      <c r="A466" s="79" t="s">
        <v>210</v>
      </c>
      <c r="B466" s="79" t="s">
        <v>1119</v>
      </c>
      <c r="C466" s="80" t="n">
        <v>202402</v>
      </c>
      <c r="D466" s="81" t="n">
        <v>45323</v>
      </c>
      <c r="E466" s="82" t="n">
        <v>113.159</v>
      </c>
      <c r="F466" s="80" t="n">
        <v>33</v>
      </c>
      <c r="G466" s="79" t="s">
        <v>1268</v>
      </c>
    </row>
    <row r="467" customFormat="false" ht="15" hidden="false" customHeight="false" outlineLevel="0" collapsed="false">
      <c r="A467" s="79" t="s">
        <v>210</v>
      </c>
      <c r="B467" s="79" t="s">
        <v>1121</v>
      </c>
      <c r="C467" s="80" t="n">
        <v>202401</v>
      </c>
      <c r="D467" s="81" t="n">
        <v>45292</v>
      </c>
      <c r="E467" s="82" t="n">
        <v>110.473</v>
      </c>
      <c r="F467" s="80" t="n">
        <v>34</v>
      </c>
      <c r="G467" s="79" t="s">
        <v>1269</v>
      </c>
    </row>
    <row r="468" customFormat="false" ht="15" hidden="false" customHeight="false" outlineLevel="0" collapsed="false">
      <c r="A468" s="79" t="s">
        <v>210</v>
      </c>
      <c r="B468" s="79" t="s">
        <v>1123</v>
      </c>
      <c r="C468" s="80" t="n">
        <v>202312</v>
      </c>
      <c r="D468" s="81" t="n">
        <v>45261</v>
      </c>
      <c r="E468" s="82" t="n">
        <v>105.453</v>
      </c>
      <c r="F468" s="80" t="n">
        <v>35</v>
      </c>
      <c r="G468" s="79" t="s">
        <v>1270</v>
      </c>
    </row>
    <row r="469" customFormat="false" ht="15" hidden="false" customHeight="false" outlineLevel="0" collapsed="false">
      <c r="A469" s="79" t="s">
        <v>210</v>
      </c>
      <c r="B469" s="79" t="s">
        <v>1125</v>
      </c>
      <c r="C469" s="80" t="n">
        <v>202311</v>
      </c>
      <c r="D469" s="81" t="n">
        <v>45231</v>
      </c>
      <c r="E469" s="82" t="n">
        <v>80.821</v>
      </c>
      <c r="F469" s="80" t="n">
        <v>36</v>
      </c>
      <c r="G469" s="79" t="s">
        <v>1271</v>
      </c>
    </row>
    <row r="470" customFormat="false" ht="15" hidden="false" customHeight="false" outlineLevel="0" collapsed="false">
      <c r="A470" s="79" t="s">
        <v>230</v>
      </c>
      <c r="B470" s="79" t="s">
        <v>1079</v>
      </c>
      <c r="C470" s="80" t="n">
        <v>202610</v>
      </c>
      <c r="D470" s="81" t="n">
        <v>46296</v>
      </c>
      <c r="E470" s="82" t="n">
        <v>2029.54</v>
      </c>
      <c r="F470" s="80" t="n">
        <v>1</v>
      </c>
      <c r="G470" s="79" t="s">
        <v>622</v>
      </c>
    </row>
    <row r="471" customFormat="false" ht="15" hidden="false" customHeight="false" outlineLevel="0" collapsed="false">
      <c r="A471" s="79" t="s">
        <v>230</v>
      </c>
      <c r="B471" s="79" t="s">
        <v>1080</v>
      </c>
      <c r="C471" s="80" t="n">
        <v>202609</v>
      </c>
      <c r="D471" s="81" t="n">
        <v>46266</v>
      </c>
      <c r="E471" s="82" t="n">
        <v>1937.397</v>
      </c>
      <c r="F471" s="80" t="n">
        <v>2</v>
      </c>
      <c r="G471" s="79" t="s">
        <v>623</v>
      </c>
    </row>
    <row r="472" customFormat="false" ht="15" hidden="false" customHeight="false" outlineLevel="0" collapsed="false">
      <c r="A472" s="79" t="s">
        <v>230</v>
      </c>
      <c r="B472" s="79" t="s">
        <v>1081</v>
      </c>
      <c r="C472" s="80" t="n">
        <v>202608</v>
      </c>
      <c r="D472" s="81" t="n">
        <v>46235</v>
      </c>
      <c r="E472" s="82" t="n">
        <v>1892.049</v>
      </c>
      <c r="F472" s="80" t="n">
        <v>3</v>
      </c>
      <c r="G472" s="79" t="s">
        <v>624</v>
      </c>
    </row>
    <row r="473" customFormat="false" ht="15" hidden="false" customHeight="false" outlineLevel="0" collapsed="false">
      <c r="A473" s="79" t="s">
        <v>230</v>
      </c>
      <c r="B473" s="79" t="s">
        <v>1082</v>
      </c>
      <c r="C473" s="80" t="n">
        <v>202607</v>
      </c>
      <c r="D473" s="81" t="n">
        <v>46204</v>
      </c>
      <c r="E473" s="82" t="n">
        <v>1767.694</v>
      </c>
      <c r="F473" s="80" t="n">
        <v>4</v>
      </c>
      <c r="G473" s="79" t="s">
        <v>625</v>
      </c>
    </row>
    <row r="474" customFormat="false" ht="15" hidden="false" customHeight="false" outlineLevel="0" collapsed="false">
      <c r="A474" s="79" t="s">
        <v>230</v>
      </c>
      <c r="B474" s="79" t="s">
        <v>1083</v>
      </c>
      <c r="C474" s="80" t="n">
        <v>202606</v>
      </c>
      <c r="D474" s="81" t="n">
        <v>46174</v>
      </c>
      <c r="E474" s="82" t="n">
        <v>1755.488</v>
      </c>
      <c r="F474" s="80" t="n">
        <v>5</v>
      </c>
      <c r="G474" s="79" t="s">
        <v>626</v>
      </c>
    </row>
    <row r="475" customFormat="false" ht="15" hidden="false" customHeight="false" outlineLevel="0" collapsed="false">
      <c r="A475" s="79" t="s">
        <v>230</v>
      </c>
      <c r="B475" s="79" t="s">
        <v>1084</v>
      </c>
      <c r="C475" s="80" t="n">
        <v>202605</v>
      </c>
      <c r="D475" s="81" t="n">
        <v>46143</v>
      </c>
      <c r="E475" s="82" t="n">
        <v>1734.086</v>
      </c>
      <c r="F475" s="80" t="n">
        <v>6</v>
      </c>
      <c r="G475" s="79" t="s">
        <v>627</v>
      </c>
    </row>
    <row r="476" customFormat="false" ht="15" hidden="false" customHeight="false" outlineLevel="0" collapsed="false">
      <c r="A476" s="79" t="s">
        <v>230</v>
      </c>
      <c r="B476" s="79" t="s">
        <v>1085</v>
      </c>
      <c r="C476" s="80" t="n">
        <v>202604</v>
      </c>
      <c r="D476" s="81" t="n">
        <v>46113</v>
      </c>
      <c r="E476" s="82" t="n">
        <v>1648.656</v>
      </c>
      <c r="F476" s="80" t="n">
        <v>7</v>
      </c>
      <c r="G476" s="79" t="s">
        <v>628</v>
      </c>
    </row>
    <row r="477" customFormat="false" ht="15" hidden="false" customHeight="false" outlineLevel="0" collapsed="false">
      <c r="A477" s="79" t="s">
        <v>230</v>
      </c>
      <c r="B477" s="79" t="s">
        <v>1086</v>
      </c>
      <c r="C477" s="80" t="n">
        <v>202603</v>
      </c>
      <c r="D477" s="81" t="n">
        <v>46082</v>
      </c>
      <c r="E477" s="82" t="n">
        <v>1473.703</v>
      </c>
      <c r="F477" s="80" t="n">
        <v>8</v>
      </c>
      <c r="G477" s="79" t="s">
        <v>629</v>
      </c>
    </row>
    <row r="478" customFormat="false" ht="15" hidden="false" customHeight="false" outlineLevel="0" collapsed="false">
      <c r="A478" s="79" t="s">
        <v>230</v>
      </c>
      <c r="B478" s="79" t="s">
        <v>1087</v>
      </c>
      <c r="C478" s="80" t="n">
        <v>202602</v>
      </c>
      <c r="D478" s="81" t="n">
        <v>46054</v>
      </c>
      <c r="E478" s="82" t="n">
        <v>1467.701</v>
      </c>
      <c r="F478" s="80" t="n">
        <v>9</v>
      </c>
      <c r="G478" s="79" t="s">
        <v>630</v>
      </c>
    </row>
    <row r="479" customFormat="false" ht="15" hidden="false" customHeight="false" outlineLevel="0" collapsed="false">
      <c r="A479" s="79" t="s">
        <v>230</v>
      </c>
      <c r="B479" s="79" t="s">
        <v>1088</v>
      </c>
      <c r="C479" s="80" t="n">
        <v>202601</v>
      </c>
      <c r="D479" s="81" t="n">
        <v>46023</v>
      </c>
      <c r="E479" s="82" t="n">
        <v>1614.459</v>
      </c>
      <c r="F479" s="80" t="n">
        <v>10</v>
      </c>
      <c r="G479" s="79" t="s">
        <v>631</v>
      </c>
    </row>
    <row r="480" customFormat="false" ht="15" hidden="false" customHeight="false" outlineLevel="0" collapsed="false">
      <c r="A480" s="79" t="s">
        <v>230</v>
      </c>
      <c r="B480" s="79" t="s">
        <v>1089</v>
      </c>
      <c r="C480" s="80" t="n">
        <v>202512</v>
      </c>
      <c r="D480" s="81" t="n">
        <v>45992</v>
      </c>
      <c r="E480" s="82" t="n">
        <v>1620.599</v>
      </c>
      <c r="F480" s="80" t="n">
        <v>11</v>
      </c>
      <c r="G480" s="79" t="s">
        <v>632</v>
      </c>
    </row>
    <row r="481" customFormat="false" ht="15" hidden="false" customHeight="false" outlineLevel="0" collapsed="false">
      <c r="A481" s="79" t="s">
        <v>230</v>
      </c>
      <c r="B481" s="79" t="s">
        <v>1090</v>
      </c>
      <c r="C481" s="80" t="n">
        <v>202511</v>
      </c>
      <c r="D481" s="81" t="n">
        <v>45962</v>
      </c>
      <c r="E481" s="82" t="n">
        <v>1559.396</v>
      </c>
      <c r="F481" s="80" t="n">
        <v>12</v>
      </c>
      <c r="G481" s="79" t="s">
        <v>633</v>
      </c>
    </row>
    <row r="482" customFormat="false" ht="15" hidden="false" customHeight="false" outlineLevel="0" collapsed="false">
      <c r="A482" s="79" t="s">
        <v>230</v>
      </c>
      <c r="B482" s="79" t="s">
        <v>1091</v>
      </c>
      <c r="C482" s="80" t="n">
        <v>202510</v>
      </c>
      <c r="D482" s="81" t="n">
        <v>45931</v>
      </c>
      <c r="E482" s="82" t="n">
        <v>1560.931</v>
      </c>
      <c r="F482" s="80" t="n">
        <v>13</v>
      </c>
      <c r="G482" s="79" t="s">
        <v>634</v>
      </c>
    </row>
    <row r="483" customFormat="false" ht="15" hidden="false" customHeight="false" outlineLevel="0" collapsed="false">
      <c r="A483" s="79" t="s">
        <v>230</v>
      </c>
      <c r="B483" s="79" t="s">
        <v>1092</v>
      </c>
      <c r="C483" s="80" t="n">
        <v>202509</v>
      </c>
      <c r="D483" s="81" t="n">
        <v>45901</v>
      </c>
      <c r="E483" s="82" t="n">
        <v>1484.003</v>
      </c>
      <c r="F483" s="80" t="n">
        <v>14</v>
      </c>
      <c r="G483" s="79" t="s">
        <v>635</v>
      </c>
    </row>
    <row r="484" customFormat="false" ht="15" hidden="false" customHeight="false" outlineLevel="0" collapsed="false">
      <c r="A484" s="79" t="s">
        <v>230</v>
      </c>
      <c r="B484" s="79" t="s">
        <v>1093</v>
      </c>
      <c r="C484" s="80" t="n">
        <v>202508</v>
      </c>
      <c r="D484" s="81" t="n">
        <v>45870</v>
      </c>
      <c r="E484" s="82" t="n">
        <v>1442.357</v>
      </c>
      <c r="F484" s="80" t="n">
        <v>15</v>
      </c>
      <c r="G484" s="79" t="s">
        <v>636</v>
      </c>
    </row>
    <row r="485" customFormat="false" ht="15" hidden="false" customHeight="false" outlineLevel="0" collapsed="false">
      <c r="A485" s="79" t="s">
        <v>230</v>
      </c>
      <c r="B485" s="79" t="s">
        <v>1094</v>
      </c>
      <c r="C485" s="80" t="n">
        <v>202507</v>
      </c>
      <c r="D485" s="81" t="n">
        <v>45839</v>
      </c>
      <c r="E485" s="82" t="n">
        <v>1364.461</v>
      </c>
      <c r="F485" s="80" t="n">
        <v>16</v>
      </c>
      <c r="G485" s="79" t="s">
        <v>637</v>
      </c>
    </row>
    <row r="486" customFormat="false" ht="15" hidden="false" customHeight="false" outlineLevel="0" collapsed="false">
      <c r="A486" s="79" t="s">
        <v>230</v>
      </c>
      <c r="B486" s="79" t="s">
        <v>1095</v>
      </c>
      <c r="C486" s="80" t="n">
        <v>202506</v>
      </c>
      <c r="D486" s="81" t="n">
        <v>45809</v>
      </c>
      <c r="E486" s="82" t="n">
        <v>1251.261</v>
      </c>
      <c r="F486" s="80" t="n">
        <v>17</v>
      </c>
      <c r="G486" s="79" t="s">
        <v>638</v>
      </c>
    </row>
    <row r="487" customFormat="false" ht="15" hidden="false" customHeight="false" outlineLevel="0" collapsed="false">
      <c r="A487" s="79" t="s">
        <v>230</v>
      </c>
      <c r="B487" s="79" t="s">
        <v>1096</v>
      </c>
      <c r="C487" s="80" t="n">
        <v>202505</v>
      </c>
      <c r="D487" s="81" t="n">
        <v>45778</v>
      </c>
      <c r="E487" s="82" t="n">
        <v>1164.676</v>
      </c>
      <c r="F487" s="80" t="n">
        <v>18</v>
      </c>
      <c r="G487" s="79" t="s">
        <v>639</v>
      </c>
    </row>
    <row r="488" customFormat="false" ht="15" hidden="false" customHeight="false" outlineLevel="0" collapsed="false">
      <c r="A488" s="79" t="s">
        <v>230</v>
      </c>
      <c r="B488" s="79" t="s">
        <v>1097</v>
      </c>
      <c r="C488" s="80" t="n">
        <v>202504</v>
      </c>
      <c r="D488" s="81" t="n">
        <v>45748</v>
      </c>
      <c r="E488" s="82" t="n">
        <v>1228.088</v>
      </c>
      <c r="F488" s="80" t="n">
        <v>19</v>
      </c>
      <c r="G488" s="79" t="s">
        <v>640</v>
      </c>
    </row>
    <row r="489" customFormat="false" ht="15" hidden="false" customHeight="false" outlineLevel="0" collapsed="false">
      <c r="A489" s="79" t="s">
        <v>230</v>
      </c>
      <c r="B489" s="79" t="s">
        <v>1098</v>
      </c>
      <c r="C489" s="80" t="n">
        <v>202503</v>
      </c>
      <c r="D489" s="81" t="n">
        <v>45717</v>
      </c>
      <c r="E489" s="82" t="n">
        <v>1170.381</v>
      </c>
      <c r="F489" s="80" t="n">
        <v>20</v>
      </c>
      <c r="G489" s="79" t="s">
        <v>641</v>
      </c>
    </row>
    <row r="490" customFormat="false" ht="15" hidden="false" customHeight="false" outlineLevel="0" collapsed="false">
      <c r="A490" s="79" t="s">
        <v>230</v>
      </c>
      <c r="B490" s="79" t="s">
        <v>1099</v>
      </c>
      <c r="C490" s="80" t="n">
        <v>202502</v>
      </c>
      <c r="D490" s="81" t="n">
        <v>45689</v>
      </c>
      <c r="E490" s="82" t="n">
        <v>1177.334</v>
      </c>
      <c r="F490" s="80" t="n">
        <v>21</v>
      </c>
      <c r="G490" s="79" t="s">
        <v>642</v>
      </c>
    </row>
    <row r="491" customFormat="false" ht="15" hidden="false" customHeight="false" outlineLevel="0" collapsed="false">
      <c r="A491" s="79" t="s">
        <v>230</v>
      </c>
      <c r="B491" s="79" t="s">
        <v>1100</v>
      </c>
      <c r="C491" s="80" t="n">
        <v>202501</v>
      </c>
      <c r="D491" s="81" t="n">
        <v>45658</v>
      </c>
      <c r="E491" s="82" t="n">
        <v>1229.948</v>
      </c>
      <c r="F491" s="80" t="n">
        <v>22</v>
      </c>
      <c r="G491" s="79" t="s">
        <v>643</v>
      </c>
    </row>
    <row r="492" customFormat="false" ht="15" hidden="false" customHeight="false" outlineLevel="0" collapsed="false">
      <c r="A492" s="79" t="s">
        <v>230</v>
      </c>
      <c r="B492" s="79" t="s">
        <v>1101</v>
      </c>
      <c r="C492" s="80" t="n">
        <v>202412</v>
      </c>
      <c r="D492" s="81" t="n">
        <v>45627</v>
      </c>
      <c r="E492" s="82" t="n">
        <v>1250.441</v>
      </c>
      <c r="F492" s="80" t="n">
        <v>23</v>
      </c>
      <c r="G492" s="79" t="s">
        <v>644</v>
      </c>
    </row>
    <row r="493" customFormat="false" ht="15" hidden="false" customHeight="false" outlineLevel="0" collapsed="false">
      <c r="A493" s="79" t="s">
        <v>230</v>
      </c>
      <c r="B493" s="79" t="s">
        <v>1102</v>
      </c>
      <c r="C493" s="80" t="n">
        <v>202411</v>
      </c>
      <c r="D493" s="81" t="n">
        <v>45597</v>
      </c>
      <c r="E493" s="82" t="n">
        <v>1225.676</v>
      </c>
      <c r="F493" s="80" t="n">
        <v>24</v>
      </c>
      <c r="G493" s="79" t="s">
        <v>645</v>
      </c>
    </row>
    <row r="494" customFormat="false" ht="15" hidden="false" customHeight="false" outlineLevel="0" collapsed="false">
      <c r="A494" s="79" t="s">
        <v>230</v>
      </c>
      <c r="B494" s="79" t="s">
        <v>1103</v>
      </c>
      <c r="C494" s="80" t="n">
        <v>202410</v>
      </c>
      <c r="D494" s="81" t="n">
        <v>45566</v>
      </c>
      <c r="E494" s="82" t="n">
        <v>1235.694</v>
      </c>
      <c r="F494" s="80" t="n">
        <v>25</v>
      </c>
      <c r="G494" s="79" t="s">
        <v>1272</v>
      </c>
    </row>
    <row r="495" customFormat="false" ht="15" hidden="false" customHeight="false" outlineLevel="0" collapsed="false">
      <c r="A495" s="79" t="s">
        <v>230</v>
      </c>
      <c r="B495" s="79" t="s">
        <v>1105</v>
      </c>
      <c r="C495" s="80" t="n">
        <v>202409</v>
      </c>
      <c r="D495" s="81" t="n">
        <v>45536</v>
      </c>
      <c r="E495" s="82" t="n">
        <v>1501.179</v>
      </c>
      <c r="F495" s="80" t="n">
        <v>26</v>
      </c>
      <c r="G495" s="79" t="s">
        <v>1273</v>
      </c>
    </row>
    <row r="496" customFormat="false" ht="15" hidden="false" customHeight="false" outlineLevel="0" collapsed="false">
      <c r="A496" s="79" t="s">
        <v>230</v>
      </c>
      <c r="B496" s="79" t="s">
        <v>1107</v>
      </c>
      <c r="C496" s="80" t="n">
        <v>202408</v>
      </c>
      <c r="D496" s="81" t="n">
        <v>45505</v>
      </c>
      <c r="E496" s="82" t="n">
        <v>1610.948</v>
      </c>
      <c r="F496" s="80" t="n">
        <v>27</v>
      </c>
      <c r="G496" s="79" t="s">
        <v>1274</v>
      </c>
    </row>
    <row r="497" customFormat="false" ht="15" hidden="false" customHeight="false" outlineLevel="0" collapsed="false">
      <c r="A497" s="79" t="s">
        <v>230</v>
      </c>
      <c r="B497" s="79" t="s">
        <v>1109</v>
      </c>
      <c r="C497" s="80" t="n">
        <v>202407</v>
      </c>
      <c r="D497" s="81" t="n">
        <v>45474</v>
      </c>
      <c r="E497" s="82" t="n">
        <v>1665.949</v>
      </c>
      <c r="F497" s="80" t="n">
        <v>28</v>
      </c>
      <c r="G497" s="79" t="s">
        <v>1275</v>
      </c>
    </row>
    <row r="498" customFormat="false" ht="15" hidden="false" customHeight="false" outlineLevel="0" collapsed="false">
      <c r="A498" s="79" t="s">
        <v>230</v>
      </c>
      <c r="B498" s="79" t="s">
        <v>1111</v>
      </c>
      <c r="C498" s="80" t="n">
        <v>202406</v>
      </c>
      <c r="D498" s="81" t="n">
        <v>45444</v>
      </c>
      <c r="E498" s="82" t="n">
        <v>1653.217</v>
      </c>
      <c r="F498" s="80" t="n">
        <v>29</v>
      </c>
      <c r="G498" s="79" t="s">
        <v>1276</v>
      </c>
    </row>
    <row r="499" customFormat="false" ht="15" hidden="false" customHeight="false" outlineLevel="0" collapsed="false">
      <c r="A499" s="79" t="s">
        <v>230</v>
      </c>
      <c r="B499" s="79" t="s">
        <v>1113</v>
      </c>
      <c r="C499" s="80" t="n">
        <v>202405</v>
      </c>
      <c r="D499" s="81" t="n">
        <v>45413</v>
      </c>
      <c r="E499" s="82" t="n">
        <v>1642.26</v>
      </c>
      <c r="F499" s="80" t="n">
        <v>30</v>
      </c>
      <c r="G499" s="79" t="s">
        <v>1277</v>
      </c>
    </row>
    <row r="500" customFormat="false" ht="15" hidden="false" customHeight="false" outlineLevel="0" collapsed="false">
      <c r="A500" s="79" t="s">
        <v>230</v>
      </c>
      <c r="B500" s="79" t="s">
        <v>1115</v>
      </c>
      <c r="C500" s="80" t="n">
        <v>202404</v>
      </c>
      <c r="D500" s="81" t="n">
        <v>45383</v>
      </c>
      <c r="E500" s="82" t="n">
        <v>1613.349</v>
      </c>
      <c r="F500" s="80" t="n">
        <v>31</v>
      </c>
      <c r="G500" s="79" t="s">
        <v>1278</v>
      </c>
    </row>
    <row r="501" customFormat="false" ht="15" hidden="false" customHeight="false" outlineLevel="0" collapsed="false">
      <c r="A501" s="79" t="s">
        <v>230</v>
      </c>
      <c r="B501" s="79" t="s">
        <v>1117</v>
      </c>
      <c r="C501" s="80" t="n">
        <v>202403</v>
      </c>
      <c r="D501" s="81" t="n">
        <v>45352</v>
      </c>
      <c r="E501" s="82" t="n">
        <v>1315.488</v>
      </c>
      <c r="F501" s="80" t="n">
        <v>32</v>
      </c>
      <c r="G501" s="79" t="s">
        <v>1279</v>
      </c>
    </row>
    <row r="502" customFormat="false" ht="15" hidden="false" customHeight="false" outlineLevel="0" collapsed="false">
      <c r="A502" s="79" t="s">
        <v>230</v>
      </c>
      <c r="B502" s="79" t="s">
        <v>1119</v>
      </c>
      <c r="C502" s="80" t="n">
        <v>202402</v>
      </c>
      <c r="D502" s="81" t="n">
        <v>45323</v>
      </c>
      <c r="E502" s="82" t="n">
        <v>1514.003</v>
      </c>
      <c r="F502" s="80" t="n">
        <v>33</v>
      </c>
      <c r="G502" s="79" t="s">
        <v>1280</v>
      </c>
    </row>
    <row r="503" customFormat="false" ht="15" hidden="false" customHeight="false" outlineLevel="0" collapsed="false">
      <c r="A503" s="79" t="s">
        <v>230</v>
      </c>
      <c r="B503" s="79" t="s">
        <v>1121</v>
      </c>
      <c r="C503" s="80" t="n">
        <v>202401</v>
      </c>
      <c r="D503" s="81" t="n">
        <v>45292</v>
      </c>
      <c r="E503" s="82" t="n">
        <v>1667.234</v>
      </c>
      <c r="F503" s="80" t="n">
        <v>34</v>
      </c>
      <c r="G503" s="79" t="s">
        <v>1281</v>
      </c>
    </row>
    <row r="504" customFormat="false" ht="15" hidden="false" customHeight="false" outlineLevel="0" collapsed="false">
      <c r="A504" s="79" t="s">
        <v>230</v>
      </c>
      <c r="B504" s="79" t="s">
        <v>1123</v>
      </c>
      <c r="C504" s="80" t="n">
        <v>202312</v>
      </c>
      <c r="D504" s="81" t="n">
        <v>45261</v>
      </c>
      <c r="E504" s="82" t="n">
        <v>1610.421</v>
      </c>
      <c r="F504" s="80" t="n">
        <v>35</v>
      </c>
      <c r="G504" s="79" t="s">
        <v>1282</v>
      </c>
    </row>
    <row r="505" customFormat="false" ht="15" hidden="false" customHeight="false" outlineLevel="0" collapsed="false">
      <c r="A505" s="79" t="s">
        <v>230</v>
      </c>
      <c r="B505" s="79" t="s">
        <v>1125</v>
      </c>
      <c r="C505" s="80" t="n">
        <v>202311</v>
      </c>
      <c r="D505" s="81" t="n">
        <v>45231</v>
      </c>
      <c r="E505" s="82" t="n">
        <v>1590.381</v>
      </c>
      <c r="F505" s="80" t="n">
        <v>36</v>
      </c>
      <c r="G505" s="79" t="s">
        <v>1283</v>
      </c>
    </row>
    <row r="506" customFormat="false" ht="15" hidden="false" customHeight="false" outlineLevel="0" collapsed="false">
      <c r="A506" s="79" t="s">
        <v>212</v>
      </c>
      <c r="B506" s="79" t="s">
        <v>1079</v>
      </c>
      <c r="C506" s="80" t="n">
        <v>202610</v>
      </c>
      <c r="D506" s="81" t="n">
        <v>46296</v>
      </c>
      <c r="E506" s="82" t="n">
        <v>242.257</v>
      </c>
      <c r="F506" s="80" t="n">
        <v>1</v>
      </c>
      <c r="G506" s="79" t="s">
        <v>646</v>
      </c>
    </row>
    <row r="507" customFormat="false" ht="15" hidden="false" customHeight="false" outlineLevel="0" collapsed="false">
      <c r="A507" s="79" t="s">
        <v>212</v>
      </c>
      <c r="B507" s="79" t="s">
        <v>1080</v>
      </c>
      <c r="C507" s="80" t="n">
        <v>202609</v>
      </c>
      <c r="D507" s="81" t="n">
        <v>46266</v>
      </c>
      <c r="E507" s="82" t="n">
        <v>205.091</v>
      </c>
      <c r="F507" s="80" t="n">
        <v>2</v>
      </c>
      <c r="G507" s="79" t="s">
        <v>647</v>
      </c>
    </row>
    <row r="508" customFormat="false" ht="15" hidden="false" customHeight="false" outlineLevel="0" collapsed="false">
      <c r="A508" s="79" t="s">
        <v>212</v>
      </c>
      <c r="B508" s="79" t="s">
        <v>1081</v>
      </c>
      <c r="C508" s="80" t="n">
        <v>202608</v>
      </c>
      <c r="D508" s="81" t="n">
        <v>46235</v>
      </c>
      <c r="E508" s="82" t="n">
        <v>210.064</v>
      </c>
      <c r="F508" s="80" t="n">
        <v>3</v>
      </c>
      <c r="G508" s="79" t="s">
        <v>648</v>
      </c>
    </row>
    <row r="509" customFormat="false" ht="15" hidden="false" customHeight="false" outlineLevel="0" collapsed="false">
      <c r="A509" s="79" t="s">
        <v>212</v>
      </c>
      <c r="B509" s="79" t="s">
        <v>1082</v>
      </c>
      <c r="C509" s="80" t="n">
        <v>202607</v>
      </c>
      <c r="D509" s="81" t="n">
        <v>46204</v>
      </c>
      <c r="E509" s="82" t="n">
        <v>181.188</v>
      </c>
      <c r="F509" s="80" t="n">
        <v>4</v>
      </c>
      <c r="G509" s="79" t="s">
        <v>649</v>
      </c>
    </row>
    <row r="510" customFormat="false" ht="15" hidden="false" customHeight="false" outlineLevel="0" collapsed="false">
      <c r="A510" s="79" t="s">
        <v>212</v>
      </c>
      <c r="B510" s="79" t="s">
        <v>1083</v>
      </c>
      <c r="C510" s="80" t="n">
        <v>202606</v>
      </c>
      <c r="D510" s="81" t="n">
        <v>46174</v>
      </c>
      <c r="E510" s="82" t="n">
        <v>211.521</v>
      </c>
      <c r="F510" s="80" t="n">
        <v>5</v>
      </c>
      <c r="G510" s="79" t="s">
        <v>650</v>
      </c>
    </row>
    <row r="511" customFormat="false" ht="15" hidden="false" customHeight="false" outlineLevel="0" collapsed="false">
      <c r="A511" s="79" t="s">
        <v>212</v>
      </c>
      <c r="B511" s="79" t="s">
        <v>1084</v>
      </c>
      <c r="C511" s="80" t="n">
        <v>202605</v>
      </c>
      <c r="D511" s="81" t="n">
        <v>46143</v>
      </c>
      <c r="E511" s="82" t="n">
        <v>199.142</v>
      </c>
      <c r="F511" s="80" t="n">
        <v>6</v>
      </c>
      <c r="G511" s="79" t="s">
        <v>651</v>
      </c>
    </row>
    <row r="512" customFormat="false" ht="15" hidden="false" customHeight="false" outlineLevel="0" collapsed="false">
      <c r="A512" s="79" t="s">
        <v>212</v>
      </c>
      <c r="B512" s="79" t="s">
        <v>1085</v>
      </c>
      <c r="C512" s="80" t="n">
        <v>202604</v>
      </c>
      <c r="D512" s="81" t="n">
        <v>46113</v>
      </c>
      <c r="E512" s="82" t="n">
        <v>247.473</v>
      </c>
      <c r="F512" s="80" t="n">
        <v>7</v>
      </c>
      <c r="G512" s="79" t="s">
        <v>652</v>
      </c>
    </row>
    <row r="513" customFormat="false" ht="15" hidden="false" customHeight="false" outlineLevel="0" collapsed="false">
      <c r="A513" s="79" t="s">
        <v>212</v>
      </c>
      <c r="B513" s="79" t="s">
        <v>1086</v>
      </c>
      <c r="C513" s="80" t="n">
        <v>202603</v>
      </c>
      <c r="D513" s="81" t="n">
        <v>46082</v>
      </c>
      <c r="E513" s="82" t="n">
        <v>173.919</v>
      </c>
      <c r="F513" s="80" t="n">
        <v>8</v>
      </c>
      <c r="G513" s="79" t="s">
        <v>653</v>
      </c>
    </row>
    <row r="514" customFormat="false" ht="15" hidden="false" customHeight="false" outlineLevel="0" collapsed="false">
      <c r="A514" s="79" t="s">
        <v>212</v>
      </c>
      <c r="B514" s="79" t="s">
        <v>1087</v>
      </c>
      <c r="C514" s="80" t="n">
        <v>202602</v>
      </c>
      <c r="D514" s="81" t="n">
        <v>46054</v>
      </c>
      <c r="E514" s="82" t="n">
        <v>234.703</v>
      </c>
      <c r="F514" s="80" t="n">
        <v>9</v>
      </c>
      <c r="G514" s="79" t="s">
        <v>654</v>
      </c>
    </row>
    <row r="515" customFormat="false" ht="15" hidden="false" customHeight="false" outlineLevel="0" collapsed="false">
      <c r="A515" s="79" t="s">
        <v>212</v>
      </c>
      <c r="B515" s="79" t="s">
        <v>1088</v>
      </c>
      <c r="C515" s="80" t="n">
        <v>202601</v>
      </c>
      <c r="D515" s="81" t="n">
        <v>46023</v>
      </c>
      <c r="E515" s="82" t="n">
        <v>223.394</v>
      </c>
      <c r="F515" s="80" t="n">
        <v>10</v>
      </c>
      <c r="G515" s="79" t="s">
        <v>655</v>
      </c>
    </row>
    <row r="516" customFormat="false" ht="15" hidden="false" customHeight="false" outlineLevel="0" collapsed="false">
      <c r="A516" s="79" t="s">
        <v>212</v>
      </c>
      <c r="B516" s="79" t="s">
        <v>1089</v>
      </c>
      <c r="C516" s="80" t="n">
        <v>202512</v>
      </c>
      <c r="D516" s="81" t="n">
        <v>45992</v>
      </c>
      <c r="E516" s="82" t="n">
        <v>213.422</v>
      </c>
      <c r="F516" s="80" t="n">
        <v>11</v>
      </c>
      <c r="G516" s="79" t="s">
        <v>656</v>
      </c>
    </row>
    <row r="517" customFormat="false" ht="15" hidden="false" customHeight="false" outlineLevel="0" collapsed="false">
      <c r="A517" s="79" t="s">
        <v>212</v>
      </c>
      <c r="B517" s="79" t="s">
        <v>1090</v>
      </c>
      <c r="C517" s="80" t="n">
        <v>202511</v>
      </c>
      <c r="D517" s="81" t="n">
        <v>45962</v>
      </c>
      <c r="E517" s="82" t="n">
        <v>186.088</v>
      </c>
      <c r="F517" s="80" t="n">
        <v>12</v>
      </c>
      <c r="G517" s="79" t="s">
        <v>657</v>
      </c>
    </row>
    <row r="518" customFormat="false" ht="15" hidden="false" customHeight="false" outlineLevel="0" collapsed="false">
      <c r="A518" s="79" t="s">
        <v>212</v>
      </c>
      <c r="B518" s="79" t="s">
        <v>1091</v>
      </c>
      <c r="C518" s="80" t="n">
        <v>202510</v>
      </c>
      <c r="D518" s="81" t="n">
        <v>45931</v>
      </c>
      <c r="E518" s="82" t="n">
        <v>190.099</v>
      </c>
      <c r="F518" s="80" t="n">
        <v>13</v>
      </c>
      <c r="G518" s="79" t="s">
        <v>658</v>
      </c>
    </row>
    <row r="519" customFormat="false" ht="15" hidden="false" customHeight="false" outlineLevel="0" collapsed="false">
      <c r="A519" s="79" t="s">
        <v>212</v>
      </c>
      <c r="B519" s="79" t="s">
        <v>1092</v>
      </c>
      <c r="C519" s="80" t="n">
        <v>202509</v>
      </c>
      <c r="D519" s="81" t="n">
        <v>45901</v>
      </c>
      <c r="E519" s="82" t="n">
        <v>186.973</v>
      </c>
      <c r="F519" s="80" t="n">
        <v>14</v>
      </c>
      <c r="G519" s="79" t="s">
        <v>659</v>
      </c>
    </row>
    <row r="520" customFormat="false" ht="15" hidden="false" customHeight="false" outlineLevel="0" collapsed="false">
      <c r="A520" s="79" t="s">
        <v>212</v>
      </c>
      <c r="B520" s="79" t="s">
        <v>1093</v>
      </c>
      <c r="C520" s="80" t="n">
        <v>202508</v>
      </c>
      <c r="D520" s="81" t="n">
        <v>45870</v>
      </c>
      <c r="E520" s="82" t="n">
        <v>163.28</v>
      </c>
      <c r="F520" s="80" t="n">
        <v>15</v>
      </c>
      <c r="G520" s="79" t="s">
        <v>660</v>
      </c>
    </row>
    <row r="521" customFormat="false" ht="15" hidden="false" customHeight="false" outlineLevel="0" collapsed="false">
      <c r="A521" s="79" t="s">
        <v>212</v>
      </c>
      <c r="B521" s="79" t="s">
        <v>1094</v>
      </c>
      <c r="C521" s="80" t="n">
        <v>202507</v>
      </c>
      <c r="D521" s="81" t="n">
        <v>45839</v>
      </c>
      <c r="E521" s="82" t="n">
        <v>204.803</v>
      </c>
      <c r="F521" s="80" t="n">
        <v>16</v>
      </c>
      <c r="G521" s="79" t="s">
        <v>661</v>
      </c>
    </row>
    <row r="522" customFormat="false" ht="15" hidden="false" customHeight="false" outlineLevel="0" collapsed="false">
      <c r="A522" s="79" t="s">
        <v>212</v>
      </c>
      <c r="B522" s="79" t="s">
        <v>1095</v>
      </c>
      <c r="C522" s="80" t="n">
        <v>202506</v>
      </c>
      <c r="D522" s="81" t="n">
        <v>45809</v>
      </c>
      <c r="E522" s="82" t="n">
        <v>162.745</v>
      </c>
      <c r="F522" s="80" t="n">
        <v>17</v>
      </c>
      <c r="G522" s="79" t="s">
        <v>662</v>
      </c>
    </row>
    <row r="523" customFormat="false" ht="15" hidden="false" customHeight="false" outlineLevel="0" collapsed="false">
      <c r="A523" s="79" t="s">
        <v>212</v>
      </c>
      <c r="B523" s="79" t="s">
        <v>1096</v>
      </c>
      <c r="C523" s="80" t="n">
        <v>202505</v>
      </c>
      <c r="D523" s="81" t="n">
        <v>45778</v>
      </c>
      <c r="E523" s="82" t="n">
        <v>170.936</v>
      </c>
      <c r="F523" s="80" t="n">
        <v>18</v>
      </c>
      <c r="G523" s="79" t="s">
        <v>663</v>
      </c>
    </row>
    <row r="524" customFormat="false" ht="15" hidden="false" customHeight="false" outlineLevel="0" collapsed="false">
      <c r="A524" s="79" t="s">
        <v>212</v>
      </c>
      <c r="B524" s="79" t="s">
        <v>1097</v>
      </c>
      <c r="C524" s="80" t="n">
        <v>202504</v>
      </c>
      <c r="D524" s="81" t="n">
        <v>45748</v>
      </c>
      <c r="E524" s="82" t="n">
        <v>200.11</v>
      </c>
      <c r="F524" s="80" t="n">
        <v>19</v>
      </c>
      <c r="G524" s="79" t="s">
        <v>664</v>
      </c>
    </row>
    <row r="525" customFormat="false" ht="15" hidden="false" customHeight="false" outlineLevel="0" collapsed="false">
      <c r="A525" s="79" t="s">
        <v>212</v>
      </c>
      <c r="B525" s="79" t="s">
        <v>1098</v>
      </c>
      <c r="C525" s="80" t="n">
        <v>202503</v>
      </c>
      <c r="D525" s="81" t="n">
        <v>45717</v>
      </c>
      <c r="E525" s="82" t="n">
        <v>165.097</v>
      </c>
      <c r="F525" s="80" t="n">
        <v>20</v>
      </c>
      <c r="G525" s="79" t="s">
        <v>665</v>
      </c>
    </row>
    <row r="526" customFormat="false" ht="15" hidden="false" customHeight="false" outlineLevel="0" collapsed="false">
      <c r="A526" s="79" t="s">
        <v>212</v>
      </c>
      <c r="B526" s="79" t="s">
        <v>1099</v>
      </c>
      <c r="C526" s="80" t="n">
        <v>202502</v>
      </c>
      <c r="D526" s="81" t="n">
        <v>45689</v>
      </c>
      <c r="E526" s="82" t="n">
        <v>158.704</v>
      </c>
      <c r="F526" s="80" t="n">
        <v>21</v>
      </c>
      <c r="G526" s="79" t="s">
        <v>666</v>
      </c>
    </row>
    <row r="527" customFormat="false" ht="15" hidden="false" customHeight="false" outlineLevel="0" collapsed="false">
      <c r="A527" s="79" t="s">
        <v>212</v>
      </c>
      <c r="B527" s="79" t="s">
        <v>1100</v>
      </c>
      <c r="C527" s="80" t="n">
        <v>202501</v>
      </c>
      <c r="D527" s="81" t="n">
        <v>45658</v>
      </c>
      <c r="E527" s="82" t="n">
        <v>166.142</v>
      </c>
      <c r="F527" s="80" t="n">
        <v>22</v>
      </c>
      <c r="G527" s="79" t="s">
        <v>667</v>
      </c>
    </row>
    <row r="528" customFormat="false" ht="15" hidden="false" customHeight="false" outlineLevel="0" collapsed="false">
      <c r="A528" s="79" t="s">
        <v>212</v>
      </c>
      <c r="B528" s="79" t="s">
        <v>1101</v>
      </c>
      <c r="C528" s="80" t="n">
        <v>202412</v>
      </c>
      <c r="D528" s="81" t="n">
        <v>45627</v>
      </c>
      <c r="E528" s="82" t="n">
        <v>152.549</v>
      </c>
      <c r="F528" s="80" t="n">
        <v>23</v>
      </c>
      <c r="G528" s="79" t="s">
        <v>668</v>
      </c>
    </row>
    <row r="529" customFormat="false" ht="15" hidden="false" customHeight="false" outlineLevel="0" collapsed="false">
      <c r="A529" s="79" t="s">
        <v>212</v>
      </c>
      <c r="B529" s="79" t="s">
        <v>1102</v>
      </c>
      <c r="C529" s="80" t="n">
        <v>202411</v>
      </c>
      <c r="D529" s="81" t="n">
        <v>45597</v>
      </c>
      <c r="E529" s="82" t="n">
        <v>157.909</v>
      </c>
      <c r="F529" s="80" t="n">
        <v>24</v>
      </c>
      <c r="G529" s="79" t="s">
        <v>669</v>
      </c>
    </row>
    <row r="530" customFormat="false" ht="15" hidden="false" customHeight="false" outlineLevel="0" collapsed="false">
      <c r="A530" s="79" t="s">
        <v>212</v>
      </c>
      <c r="B530" s="79" t="s">
        <v>1103</v>
      </c>
      <c r="C530" s="80" t="n">
        <v>202410</v>
      </c>
      <c r="D530" s="81" t="n">
        <v>45566</v>
      </c>
      <c r="E530" s="82" t="n">
        <v>168.434</v>
      </c>
      <c r="F530" s="80" t="n">
        <v>25</v>
      </c>
      <c r="G530" s="79" t="s">
        <v>1284</v>
      </c>
    </row>
    <row r="531" customFormat="false" ht="15" hidden="false" customHeight="false" outlineLevel="0" collapsed="false">
      <c r="A531" s="79" t="s">
        <v>212</v>
      </c>
      <c r="B531" s="79" t="s">
        <v>1105</v>
      </c>
      <c r="C531" s="80" t="n">
        <v>202409</v>
      </c>
      <c r="D531" s="81" t="n">
        <v>45536</v>
      </c>
      <c r="E531" s="82" t="n">
        <v>140.363</v>
      </c>
      <c r="F531" s="80" t="n">
        <v>26</v>
      </c>
      <c r="G531" s="79" t="s">
        <v>1285</v>
      </c>
    </row>
    <row r="532" customFormat="false" ht="15" hidden="false" customHeight="false" outlineLevel="0" collapsed="false">
      <c r="A532" s="79" t="s">
        <v>212</v>
      </c>
      <c r="B532" s="79" t="s">
        <v>1107</v>
      </c>
      <c r="C532" s="80" t="n">
        <v>202408</v>
      </c>
      <c r="D532" s="81" t="n">
        <v>45505</v>
      </c>
      <c r="E532" s="82" t="n">
        <v>147.626</v>
      </c>
      <c r="F532" s="80" t="n">
        <v>27</v>
      </c>
      <c r="G532" s="79" t="s">
        <v>1286</v>
      </c>
    </row>
    <row r="533" customFormat="false" ht="15" hidden="false" customHeight="false" outlineLevel="0" collapsed="false">
      <c r="A533" s="79" t="s">
        <v>212</v>
      </c>
      <c r="B533" s="79" t="s">
        <v>1109</v>
      </c>
      <c r="C533" s="80" t="n">
        <v>202407</v>
      </c>
      <c r="D533" s="81" t="n">
        <v>45474</v>
      </c>
      <c r="E533" s="82" t="n">
        <v>176.791</v>
      </c>
      <c r="F533" s="80" t="n">
        <v>28</v>
      </c>
      <c r="G533" s="79" t="s">
        <v>1287</v>
      </c>
    </row>
    <row r="534" customFormat="false" ht="15" hidden="false" customHeight="false" outlineLevel="0" collapsed="false">
      <c r="A534" s="79" t="s">
        <v>212</v>
      </c>
      <c r="B534" s="79" t="s">
        <v>1111</v>
      </c>
      <c r="C534" s="80" t="n">
        <v>202406</v>
      </c>
      <c r="D534" s="81" t="n">
        <v>45444</v>
      </c>
      <c r="E534" s="82" t="n">
        <v>130.878</v>
      </c>
      <c r="F534" s="80" t="n">
        <v>29</v>
      </c>
      <c r="G534" s="79" t="s">
        <v>1288</v>
      </c>
    </row>
    <row r="535" customFormat="false" ht="15" hidden="false" customHeight="false" outlineLevel="0" collapsed="false">
      <c r="A535" s="79" t="s">
        <v>212</v>
      </c>
      <c r="B535" s="79" t="s">
        <v>1113</v>
      </c>
      <c r="C535" s="80" t="n">
        <v>202405</v>
      </c>
      <c r="D535" s="81" t="n">
        <v>45413</v>
      </c>
      <c r="E535" s="82" t="n">
        <v>151.778</v>
      </c>
      <c r="F535" s="80" t="n">
        <v>30</v>
      </c>
      <c r="G535" s="79" t="s">
        <v>1289</v>
      </c>
    </row>
    <row r="536" customFormat="false" ht="15" hidden="false" customHeight="false" outlineLevel="0" collapsed="false">
      <c r="A536" s="79" t="s">
        <v>212</v>
      </c>
      <c r="B536" s="79" t="s">
        <v>1115</v>
      </c>
      <c r="C536" s="80" t="n">
        <v>202404</v>
      </c>
      <c r="D536" s="81" t="n">
        <v>45383</v>
      </c>
      <c r="E536" s="82" t="n">
        <v>156.182</v>
      </c>
      <c r="F536" s="80" t="n">
        <v>31</v>
      </c>
      <c r="G536" s="79" t="s">
        <v>1290</v>
      </c>
    </row>
    <row r="537" customFormat="false" ht="15" hidden="false" customHeight="false" outlineLevel="0" collapsed="false">
      <c r="A537" s="79" t="s">
        <v>212</v>
      </c>
      <c r="B537" s="79" t="s">
        <v>1117</v>
      </c>
      <c r="C537" s="80" t="n">
        <v>202403</v>
      </c>
      <c r="D537" s="81" t="n">
        <v>45352</v>
      </c>
      <c r="E537" s="82" t="n">
        <v>155.064</v>
      </c>
      <c r="F537" s="80" t="n">
        <v>32</v>
      </c>
      <c r="G537" s="79" t="s">
        <v>1291</v>
      </c>
    </row>
    <row r="538" customFormat="false" ht="15" hidden="false" customHeight="false" outlineLevel="0" collapsed="false">
      <c r="A538" s="79" t="s">
        <v>212</v>
      </c>
      <c r="B538" s="79" t="s">
        <v>1119</v>
      </c>
      <c r="C538" s="80" t="n">
        <v>202402</v>
      </c>
      <c r="D538" s="81" t="n">
        <v>45323</v>
      </c>
      <c r="E538" s="82" t="n">
        <v>237.554</v>
      </c>
      <c r="F538" s="80" t="n">
        <v>33</v>
      </c>
      <c r="G538" s="79" t="s">
        <v>1292</v>
      </c>
    </row>
    <row r="539" customFormat="false" ht="15" hidden="false" customHeight="false" outlineLevel="0" collapsed="false">
      <c r="A539" s="79" t="s">
        <v>212</v>
      </c>
      <c r="B539" s="79" t="s">
        <v>1121</v>
      </c>
      <c r="C539" s="80" t="n">
        <v>202401</v>
      </c>
      <c r="D539" s="81" t="n">
        <v>45292</v>
      </c>
      <c r="E539" s="82" t="n">
        <v>268.317</v>
      </c>
      <c r="F539" s="80" t="n">
        <v>34</v>
      </c>
      <c r="G539" s="79" t="s">
        <v>1293</v>
      </c>
    </row>
    <row r="540" customFormat="false" ht="15" hidden="false" customHeight="false" outlineLevel="0" collapsed="false">
      <c r="A540" s="79" t="s">
        <v>212</v>
      </c>
      <c r="B540" s="79" t="s">
        <v>1123</v>
      </c>
      <c r="C540" s="80" t="n">
        <v>202312</v>
      </c>
      <c r="D540" s="81" t="n">
        <v>45261</v>
      </c>
      <c r="E540" s="82" t="n">
        <v>274.338</v>
      </c>
      <c r="F540" s="80" t="n">
        <v>35</v>
      </c>
      <c r="G540" s="79" t="s">
        <v>1294</v>
      </c>
    </row>
    <row r="541" customFormat="false" ht="15" hidden="false" customHeight="false" outlineLevel="0" collapsed="false">
      <c r="A541" s="79" t="s">
        <v>212</v>
      </c>
      <c r="B541" s="79" t="s">
        <v>1125</v>
      </c>
      <c r="C541" s="80" t="n">
        <v>202311</v>
      </c>
      <c r="D541" s="81" t="n">
        <v>45231</v>
      </c>
      <c r="E541" s="82" t="n">
        <v>262.123</v>
      </c>
      <c r="F541" s="80" t="n">
        <v>36</v>
      </c>
      <c r="G541" s="79" t="s">
        <v>1295</v>
      </c>
    </row>
    <row r="542" customFormat="false" ht="15" hidden="false" customHeight="false" outlineLevel="0" collapsed="false">
      <c r="A542" s="79" t="s">
        <v>216</v>
      </c>
      <c r="B542" s="79" t="s">
        <v>1079</v>
      </c>
      <c r="C542" s="80" t="n">
        <v>202610</v>
      </c>
      <c r="D542" s="81" t="n">
        <v>46296</v>
      </c>
      <c r="E542" s="82" t="n">
        <v>5181.276</v>
      </c>
      <c r="F542" s="80" t="n">
        <v>1</v>
      </c>
      <c r="G542" s="79" t="s">
        <v>671</v>
      </c>
    </row>
    <row r="543" customFormat="false" ht="15" hidden="false" customHeight="false" outlineLevel="0" collapsed="false">
      <c r="A543" s="79" t="s">
        <v>216</v>
      </c>
      <c r="B543" s="79" t="s">
        <v>1080</v>
      </c>
      <c r="C543" s="80" t="n">
        <v>202609</v>
      </c>
      <c r="D543" s="81" t="n">
        <v>46266</v>
      </c>
      <c r="E543" s="82" t="n">
        <v>4809.631</v>
      </c>
      <c r="F543" s="80" t="n">
        <v>2</v>
      </c>
      <c r="G543" s="79" t="s">
        <v>672</v>
      </c>
    </row>
    <row r="544" customFormat="false" ht="15" hidden="false" customHeight="false" outlineLevel="0" collapsed="false">
      <c r="A544" s="79" t="s">
        <v>216</v>
      </c>
      <c r="B544" s="79" t="s">
        <v>1081</v>
      </c>
      <c r="C544" s="80" t="n">
        <v>202608</v>
      </c>
      <c r="D544" s="81" t="n">
        <v>46235</v>
      </c>
      <c r="E544" s="82" t="n">
        <v>4548.833</v>
      </c>
      <c r="F544" s="80" t="n">
        <v>3</v>
      </c>
      <c r="G544" s="79" t="s">
        <v>673</v>
      </c>
    </row>
    <row r="545" customFormat="false" ht="15" hidden="false" customHeight="false" outlineLevel="0" collapsed="false">
      <c r="A545" s="79" t="s">
        <v>216</v>
      </c>
      <c r="B545" s="79" t="s">
        <v>1082</v>
      </c>
      <c r="C545" s="80" t="n">
        <v>202607</v>
      </c>
      <c r="D545" s="81" t="n">
        <v>46204</v>
      </c>
      <c r="E545" s="82" t="n">
        <v>4224.069</v>
      </c>
      <c r="F545" s="80" t="n">
        <v>4</v>
      </c>
      <c r="G545" s="79" t="s">
        <v>674</v>
      </c>
    </row>
    <row r="546" customFormat="false" ht="15" hidden="false" customHeight="false" outlineLevel="0" collapsed="false">
      <c r="A546" s="79" t="s">
        <v>216</v>
      </c>
      <c r="B546" s="79" t="s">
        <v>1083</v>
      </c>
      <c r="C546" s="80" t="n">
        <v>202606</v>
      </c>
      <c r="D546" s="81" t="n">
        <v>46174</v>
      </c>
      <c r="E546" s="82" t="n">
        <v>4199.867</v>
      </c>
      <c r="F546" s="80" t="n">
        <v>5</v>
      </c>
      <c r="G546" s="79" t="s">
        <v>675</v>
      </c>
    </row>
    <row r="547" customFormat="false" ht="15" hidden="false" customHeight="false" outlineLevel="0" collapsed="false">
      <c r="A547" s="79" t="s">
        <v>216</v>
      </c>
      <c r="B547" s="79" t="s">
        <v>1084</v>
      </c>
      <c r="C547" s="80" t="n">
        <v>202605</v>
      </c>
      <c r="D547" s="81" t="n">
        <v>46143</v>
      </c>
      <c r="E547" s="82" t="n">
        <v>4072.319</v>
      </c>
      <c r="F547" s="80" t="n">
        <v>6</v>
      </c>
      <c r="G547" s="79" t="s">
        <v>676</v>
      </c>
    </row>
    <row r="548" customFormat="false" ht="15" hidden="false" customHeight="false" outlineLevel="0" collapsed="false">
      <c r="A548" s="79" t="s">
        <v>216</v>
      </c>
      <c r="B548" s="79" t="s">
        <v>1085</v>
      </c>
      <c r="C548" s="80" t="n">
        <v>202604</v>
      </c>
      <c r="D548" s="81" t="n">
        <v>46113</v>
      </c>
      <c r="E548" s="82" t="n">
        <v>3939.324</v>
      </c>
      <c r="F548" s="80" t="n">
        <v>7</v>
      </c>
      <c r="G548" s="79" t="s">
        <v>677</v>
      </c>
    </row>
    <row r="549" customFormat="false" ht="15" hidden="false" customHeight="false" outlineLevel="0" collapsed="false">
      <c r="A549" s="79" t="s">
        <v>216</v>
      </c>
      <c r="B549" s="79" t="s">
        <v>1086</v>
      </c>
      <c r="C549" s="80" t="n">
        <v>202603</v>
      </c>
      <c r="D549" s="81" t="n">
        <v>46082</v>
      </c>
      <c r="E549" s="82" t="n">
        <v>3204.487</v>
      </c>
      <c r="F549" s="80" t="n">
        <v>8</v>
      </c>
      <c r="G549" s="79" t="s">
        <v>678</v>
      </c>
    </row>
    <row r="550" customFormat="false" ht="15" hidden="false" customHeight="false" outlineLevel="0" collapsed="false">
      <c r="A550" s="79" t="s">
        <v>216</v>
      </c>
      <c r="B550" s="79" t="s">
        <v>1087</v>
      </c>
      <c r="C550" s="80" t="n">
        <v>202602</v>
      </c>
      <c r="D550" s="81" t="n">
        <v>46054</v>
      </c>
      <c r="E550" s="82" t="n">
        <v>3961.154</v>
      </c>
      <c r="F550" s="80" t="n">
        <v>9</v>
      </c>
      <c r="G550" s="79" t="s">
        <v>679</v>
      </c>
    </row>
    <row r="551" customFormat="false" ht="15" hidden="false" customHeight="false" outlineLevel="0" collapsed="false">
      <c r="A551" s="79" t="s">
        <v>216</v>
      </c>
      <c r="B551" s="79" t="s">
        <v>1088</v>
      </c>
      <c r="C551" s="80" t="n">
        <v>202601</v>
      </c>
      <c r="D551" s="81" t="n">
        <v>46023</v>
      </c>
      <c r="E551" s="82" t="n">
        <v>3688.833</v>
      </c>
      <c r="F551" s="80" t="n">
        <v>10</v>
      </c>
      <c r="G551" s="79" t="s">
        <v>680</v>
      </c>
    </row>
    <row r="552" customFormat="false" ht="15" hidden="false" customHeight="false" outlineLevel="0" collapsed="false">
      <c r="A552" s="79" t="s">
        <v>216</v>
      </c>
      <c r="B552" s="79" t="s">
        <v>1089</v>
      </c>
      <c r="C552" s="80" t="n">
        <v>202512</v>
      </c>
      <c r="D552" s="81" t="n">
        <v>45992</v>
      </c>
      <c r="E552" s="82" t="n">
        <v>3521.383</v>
      </c>
      <c r="F552" s="80" t="n">
        <v>11</v>
      </c>
      <c r="G552" s="79" t="s">
        <v>681</v>
      </c>
    </row>
    <row r="553" customFormat="false" ht="15" hidden="false" customHeight="false" outlineLevel="0" collapsed="false">
      <c r="A553" s="79" t="s">
        <v>216</v>
      </c>
      <c r="B553" s="79" t="s">
        <v>1090</v>
      </c>
      <c r="C553" s="80" t="n">
        <v>202511</v>
      </c>
      <c r="D553" s="81" t="n">
        <v>45962</v>
      </c>
      <c r="E553" s="82" t="n">
        <v>3601.222</v>
      </c>
      <c r="F553" s="80" t="n">
        <v>12</v>
      </c>
      <c r="G553" s="79" t="s">
        <v>682</v>
      </c>
    </row>
    <row r="554" customFormat="false" ht="15" hidden="false" customHeight="false" outlineLevel="0" collapsed="false">
      <c r="A554" s="79" t="s">
        <v>216</v>
      </c>
      <c r="B554" s="79" t="s">
        <v>1091</v>
      </c>
      <c r="C554" s="80" t="n">
        <v>202510</v>
      </c>
      <c r="D554" s="81" t="n">
        <v>45931</v>
      </c>
      <c r="E554" s="82" t="n">
        <v>3586.439</v>
      </c>
      <c r="F554" s="80" t="n">
        <v>13</v>
      </c>
      <c r="G554" s="79" t="s">
        <v>683</v>
      </c>
    </row>
    <row r="555" customFormat="false" ht="15" hidden="false" customHeight="false" outlineLevel="0" collapsed="false">
      <c r="A555" s="79" t="s">
        <v>216</v>
      </c>
      <c r="B555" s="79" t="s">
        <v>1092</v>
      </c>
      <c r="C555" s="80" t="n">
        <v>202509</v>
      </c>
      <c r="D555" s="81" t="n">
        <v>45901</v>
      </c>
      <c r="E555" s="82" t="n">
        <v>3421.382</v>
      </c>
      <c r="F555" s="80" t="n">
        <v>14</v>
      </c>
      <c r="G555" s="79" t="s">
        <v>684</v>
      </c>
    </row>
    <row r="556" customFormat="false" ht="15" hidden="false" customHeight="false" outlineLevel="0" collapsed="false">
      <c r="A556" s="79" t="s">
        <v>216</v>
      </c>
      <c r="B556" s="79" t="s">
        <v>1093</v>
      </c>
      <c r="C556" s="80" t="n">
        <v>202508</v>
      </c>
      <c r="D556" s="81" t="n">
        <v>45870</v>
      </c>
      <c r="E556" s="82" t="n">
        <v>3348.367</v>
      </c>
      <c r="F556" s="80" t="n">
        <v>15</v>
      </c>
      <c r="G556" s="79" t="s">
        <v>685</v>
      </c>
    </row>
    <row r="557" customFormat="false" ht="15" hidden="false" customHeight="false" outlineLevel="0" collapsed="false">
      <c r="A557" s="79" t="s">
        <v>216</v>
      </c>
      <c r="B557" s="79" t="s">
        <v>1094</v>
      </c>
      <c r="C557" s="80" t="n">
        <v>202507</v>
      </c>
      <c r="D557" s="81" t="n">
        <v>45839</v>
      </c>
      <c r="E557" s="82" t="n">
        <v>3193.58</v>
      </c>
      <c r="F557" s="80" t="n">
        <v>16</v>
      </c>
      <c r="G557" s="79" t="s">
        <v>686</v>
      </c>
    </row>
    <row r="558" customFormat="false" ht="15" hidden="false" customHeight="false" outlineLevel="0" collapsed="false">
      <c r="A558" s="79" t="s">
        <v>216</v>
      </c>
      <c r="B558" s="79" t="s">
        <v>1095</v>
      </c>
      <c r="C558" s="80" t="n">
        <v>202506</v>
      </c>
      <c r="D558" s="81" t="n">
        <v>45809</v>
      </c>
      <c r="E558" s="82" t="n">
        <v>3157.305</v>
      </c>
      <c r="F558" s="80" t="n">
        <v>17</v>
      </c>
      <c r="G558" s="79" t="s">
        <v>687</v>
      </c>
    </row>
    <row r="559" customFormat="false" ht="15" hidden="false" customHeight="false" outlineLevel="0" collapsed="false">
      <c r="A559" s="79" t="s">
        <v>216</v>
      </c>
      <c r="B559" s="79" t="s">
        <v>1096</v>
      </c>
      <c r="C559" s="80" t="n">
        <v>202505</v>
      </c>
      <c r="D559" s="81" t="n">
        <v>45778</v>
      </c>
      <c r="E559" s="82" t="n">
        <v>3212.841</v>
      </c>
      <c r="F559" s="80" t="n">
        <v>18</v>
      </c>
      <c r="G559" s="79" t="s">
        <v>688</v>
      </c>
    </row>
    <row r="560" customFormat="false" ht="15" hidden="false" customHeight="false" outlineLevel="0" collapsed="false">
      <c r="A560" s="79" t="s">
        <v>216</v>
      </c>
      <c r="B560" s="79" t="s">
        <v>1097</v>
      </c>
      <c r="C560" s="80" t="n">
        <v>202504</v>
      </c>
      <c r="D560" s="81" t="n">
        <v>45748</v>
      </c>
      <c r="E560" s="82" t="n">
        <v>3150.041</v>
      </c>
      <c r="F560" s="80" t="n">
        <v>19</v>
      </c>
      <c r="G560" s="79" t="s">
        <v>689</v>
      </c>
    </row>
    <row r="561" customFormat="false" ht="15" hidden="false" customHeight="false" outlineLevel="0" collapsed="false">
      <c r="A561" s="79" t="s">
        <v>216</v>
      </c>
      <c r="B561" s="79" t="s">
        <v>1098</v>
      </c>
      <c r="C561" s="80" t="n">
        <v>202503</v>
      </c>
      <c r="D561" s="81" t="n">
        <v>45717</v>
      </c>
      <c r="E561" s="82" t="n">
        <v>2913.173</v>
      </c>
      <c r="F561" s="80" t="n">
        <v>20</v>
      </c>
      <c r="G561" s="79" t="s">
        <v>690</v>
      </c>
    </row>
    <row r="562" customFormat="false" ht="15" hidden="false" customHeight="false" outlineLevel="0" collapsed="false">
      <c r="A562" s="79" t="s">
        <v>216</v>
      </c>
      <c r="B562" s="79" t="s">
        <v>1099</v>
      </c>
      <c r="C562" s="80" t="n">
        <v>202502</v>
      </c>
      <c r="D562" s="81" t="n">
        <v>45689</v>
      </c>
      <c r="E562" s="82" t="n">
        <v>2556.53</v>
      </c>
      <c r="F562" s="80" t="n">
        <v>21</v>
      </c>
      <c r="G562" s="79" t="s">
        <v>691</v>
      </c>
    </row>
    <row r="563" customFormat="false" ht="15" hidden="false" customHeight="false" outlineLevel="0" collapsed="false">
      <c r="A563" s="79" t="s">
        <v>216</v>
      </c>
      <c r="B563" s="79" t="s">
        <v>1100</v>
      </c>
      <c r="C563" s="80" t="n">
        <v>202501</v>
      </c>
      <c r="D563" s="81" t="n">
        <v>45658</v>
      </c>
      <c r="E563" s="82" t="n">
        <v>2945.583</v>
      </c>
      <c r="F563" s="80" t="n">
        <v>22</v>
      </c>
      <c r="G563" s="79" t="s">
        <v>692</v>
      </c>
    </row>
    <row r="564" customFormat="false" ht="15" hidden="false" customHeight="false" outlineLevel="0" collapsed="false">
      <c r="A564" s="79" t="s">
        <v>216</v>
      </c>
      <c r="B564" s="79" t="s">
        <v>1101</v>
      </c>
      <c r="C564" s="80" t="n">
        <v>202412</v>
      </c>
      <c r="D564" s="81" t="n">
        <v>45627</v>
      </c>
      <c r="E564" s="82" t="n">
        <v>2520.732</v>
      </c>
      <c r="F564" s="80" t="n">
        <v>23</v>
      </c>
      <c r="G564" s="79" t="s">
        <v>693</v>
      </c>
    </row>
    <row r="565" customFormat="false" ht="15" hidden="false" customHeight="false" outlineLevel="0" collapsed="false">
      <c r="A565" s="79" t="s">
        <v>216</v>
      </c>
      <c r="B565" s="79" t="s">
        <v>1102</v>
      </c>
      <c r="C565" s="80" t="n">
        <v>202411</v>
      </c>
      <c r="D565" s="81" t="n">
        <v>45597</v>
      </c>
      <c r="E565" s="82" t="n">
        <v>2576.678</v>
      </c>
      <c r="F565" s="80" t="n">
        <v>24</v>
      </c>
      <c r="G565" s="79" t="s">
        <v>694</v>
      </c>
    </row>
    <row r="566" customFormat="false" ht="15" hidden="false" customHeight="false" outlineLevel="0" collapsed="false">
      <c r="A566" s="79" t="s">
        <v>216</v>
      </c>
      <c r="B566" s="79" t="s">
        <v>1103</v>
      </c>
      <c r="C566" s="80" t="n">
        <v>202410</v>
      </c>
      <c r="D566" s="81" t="n">
        <v>45566</v>
      </c>
      <c r="E566" s="82" t="n">
        <v>2646.537</v>
      </c>
      <c r="F566" s="80" t="n">
        <v>25</v>
      </c>
      <c r="G566" s="79" t="s">
        <v>1296</v>
      </c>
    </row>
    <row r="567" customFormat="false" ht="15" hidden="false" customHeight="false" outlineLevel="0" collapsed="false">
      <c r="A567" s="79" t="s">
        <v>216</v>
      </c>
      <c r="B567" s="79" t="s">
        <v>1105</v>
      </c>
      <c r="C567" s="80" t="n">
        <v>202409</v>
      </c>
      <c r="D567" s="81" t="n">
        <v>45536</v>
      </c>
      <c r="E567" s="82" t="n">
        <v>2858.462</v>
      </c>
      <c r="F567" s="80" t="n">
        <v>26</v>
      </c>
      <c r="G567" s="79" t="s">
        <v>1297</v>
      </c>
    </row>
    <row r="568" customFormat="false" ht="15" hidden="false" customHeight="false" outlineLevel="0" collapsed="false">
      <c r="A568" s="79" t="s">
        <v>216</v>
      </c>
      <c r="B568" s="79" t="s">
        <v>1107</v>
      </c>
      <c r="C568" s="80" t="n">
        <v>202408</v>
      </c>
      <c r="D568" s="81" t="n">
        <v>45505</v>
      </c>
      <c r="E568" s="82" t="n">
        <v>2692.121</v>
      </c>
      <c r="F568" s="80" t="n">
        <v>27</v>
      </c>
      <c r="G568" s="79" t="s">
        <v>1298</v>
      </c>
    </row>
    <row r="569" customFormat="false" ht="15" hidden="false" customHeight="false" outlineLevel="0" collapsed="false">
      <c r="A569" s="79" t="s">
        <v>216</v>
      </c>
      <c r="B569" s="79" t="s">
        <v>1109</v>
      </c>
      <c r="C569" s="80" t="n">
        <v>202407</v>
      </c>
      <c r="D569" s="81" t="n">
        <v>45474</v>
      </c>
      <c r="E569" s="82" t="n">
        <v>2400.808</v>
      </c>
      <c r="F569" s="80" t="n">
        <v>28</v>
      </c>
      <c r="G569" s="79" t="s">
        <v>1299</v>
      </c>
    </row>
    <row r="570" customFormat="false" ht="15" hidden="false" customHeight="false" outlineLevel="0" collapsed="false">
      <c r="A570" s="79" t="s">
        <v>216</v>
      </c>
      <c r="B570" s="79" t="s">
        <v>1111</v>
      </c>
      <c r="C570" s="80" t="n">
        <v>202406</v>
      </c>
      <c r="D570" s="81" t="n">
        <v>45444</v>
      </c>
      <c r="E570" s="82" t="n">
        <v>2511.206</v>
      </c>
      <c r="F570" s="80" t="n">
        <v>29</v>
      </c>
      <c r="G570" s="79" t="s">
        <v>1300</v>
      </c>
    </row>
    <row r="571" customFormat="false" ht="15" hidden="false" customHeight="false" outlineLevel="0" collapsed="false">
      <c r="A571" s="79" t="s">
        <v>216</v>
      </c>
      <c r="B571" s="79" t="s">
        <v>1113</v>
      </c>
      <c r="C571" s="80" t="n">
        <v>202405</v>
      </c>
      <c r="D571" s="81" t="n">
        <v>45413</v>
      </c>
      <c r="E571" s="82" t="n">
        <v>2388.468</v>
      </c>
      <c r="F571" s="80" t="n">
        <v>30</v>
      </c>
      <c r="G571" s="79" t="s">
        <v>1301</v>
      </c>
    </row>
    <row r="572" customFormat="false" ht="15" hidden="false" customHeight="false" outlineLevel="0" collapsed="false">
      <c r="A572" s="79" t="s">
        <v>216</v>
      </c>
      <c r="B572" s="79" t="s">
        <v>1115</v>
      </c>
      <c r="C572" s="80" t="n">
        <v>202404</v>
      </c>
      <c r="D572" s="81" t="n">
        <v>45383</v>
      </c>
      <c r="E572" s="82" t="n">
        <v>2443.094</v>
      </c>
      <c r="F572" s="80" t="n">
        <v>31</v>
      </c>
      <c r="G572" s="79" t="s">
        <v>1302</v>
      </c>
    </row>
    <row r="573" customFormat="false" ht="15" hidden="false" customHeight="false" outlineLevel="0" collapsed="false">
      <c r="A573" s="79" t="s">
        <v>216</v>
      </c>
      <c r="B573" s="79" t="s">
        <v>1117</v>
      </c>
      <c r="C573" s="80" t="n">
        <v>202403</v>
      </c>
      <c r="D573" s="81" t="n">
        <v>45352</v>
      </c>
      <c r="E573" s="82" t="n">
        <v>2238.258</v>
      </c>
      <c r="F573" s="80" t="n">
        <v>32</v>
      </c>
      <c r="G573" s="79" t="s">
        <v>1303</v>
      </c>
    </row>
    <row r="574" customFormat="false" ht="15" hidden="false" customHeight="false" outlineLevel="0" collapsed="false">
      <c r="A574" s="79" t="s">
        <v>216</v>
      </c>
      <c r="B574" s="79" t="s">
        <v>1119</v>
      </c>
      <c r="C574" s="80" t="n">
        <v>202402</v>
      </c>
      <c r="D574" s="81" t="n">
        <v>45323</v>
      </c>
      <c r="E574" s="82" t="n">
        <v>2313.032</v>
      </c>
      <c r="F574" s="80" t="n">
        <v>33</v>
      </c>
      <c r="G574" s="79" t="s">
        <v>1304</v>
      </c>
    </row>
    <row r="575" customFormat="false" ht="15" hidden="false" customHeight="false" outlineLevel="0" collapsed="false">
      <c r="A575" s="79" t="s">
        <v>216</v>
      </c>
      <c r="B575" s="79" t="s">
        <v>1121</v>
      </c>
      <c r="C575" s="80" t="n">
        <v>202401</v>
      </c>
      <c r="D575" s="81" t="n">
        <v>45292</v>
      </c>
      <c r="E575" s="82" t="n">
        <v>2450.705</v>
      </c>
      <c r="F575" s="80" t="n">
        <v>34</v>
      </c>
      <c r="G575" s="79" t="s">
        <v>1305</v>
      </c>
    </row>
    <row r="576" customFormat="false" ht="15" hidden="false" customHeight="false" outlineLevel="0" collapsed="false">
      <c r="A576" s="79" t="s">
        <v>216</v>
      </c>
      <c r="B576" s="79" t="s">
        <v>1123</v>
      </c>
      <c r="C576" s="80" t="n">
        <v>202312</v>
      </c>
      <c r="D576" s="81" t="n">
        <v>45261</v>
      </c>
      <c r="E576" s="82" t="n">
        <v>2530.422</v>
      </c>
      <c r="F576" s="80" t="n">
        <v>35</v>
      </c>
      <c r="G576" s="79" t="s">
        <v>1306</v>
      </c>
    </row>
    <row r="577" customFormat="false" ht="15" hidden="false" customHeight="false" outlineLevel="0" collapsed="false">
      <c r="A577" s="79" t="s">
        <v>216</v>
      </c>
      <c r="B577" s="79" t="s">
        <v>1125</v>
      </c>
      <c r="C577" s="80" t="n">
        <v>202311</v>
      </c>
      <c r="D577" s="81" t="n">
        <v>45231</v>
      </c>
      <c r="E577" s="82" t="n">
        <v>2508.336</v>
      </c>
      <c r="F577" s="80" t="n">
        <v>36</v>
      </c>
      <c r="G577" s="79" t="s">
        <v>1307</v>
      </c>
    </row>
    <row r="578" customFormat="false" ht="15" hidden="false" customHeight="false" outlineLevel="0" collapsed="false">
      <c r="A578" s="79" t="s">
        <v>695</v>
      </c>
      <c r="B578" s="79" t="s">
        <v>1080</v>
      </c>
      <c r="C578" s="80" t="n">
        <v>202609</v>
      </c>
      <c r="D578" s="81" t="n">
        <v>46266</v>
      </c>
      <c r="E578" s="82" t="n">
        <v>3141.249</v>
      </c>
      <c r="F578" s="80" t="n">
        <v>1</v>
      </c>
      <c r="G578" s="79" t="s">
        <v>697</v>
      </c>
    </row>
    <row r="579" customFormat="false" ht="15" hidden="false" customHeight="false" outlineLevel="0" collapsed="false">
      <c r="A579" s="79" t="s">
        <v>695</v>
      </c>
      <c r="B579" s="79" t="s">
        <v>1081</v>
      </c>
      <c r="C579" s="80" t="n">
        <v>202608</v>
      </c>
      <c r="D579" s="81" t="n">
        <v>46235</v>
      </c>
      <c r="E579" s="82" t="n">
        <v>3765.466</v>
      </c>
      <c r="F579" s="80" t="n">
        <v>2</v>
      </c>
      <c r="G579" s="79" t="s">
        <v>698</v>
      </c>
    </row>
    <row r="580" customFormat="false" ht="15" hidden="false" customHeight="false" outlineLevel="0" collapsed="false">
      <c r="A580" s="79" t="s">
        <v>695</v>
      </c>
      <c r="B580" s="79" t="s">
        <v>1082</v>
      </c>
      <c r="C580" s="80" t="n">
        <v>202607</v>
      </c>
      <c r="D580" s="81" t="n">
        <v>46204</v>
      </c>
      <c r="E580" s="82" t="n">
        <v>2718.035</v>
      </c>
      <c r="F580" s="80" t="n">
        <v>3</v>
      </c>
      <c r="G580" s="79" t="s">
        <v>699</v>
      </c>
    </row>
    <row r="581" customFormat="false" ht="15" hidden="false" customHeight="false" outlineLevel="0" collapsed="false">
      <c r="A581" s="79" t="s">
        <v>695</v>
      </c>
      <c r="B581" s="79" t="s">
        <v>1083</v>
      </c>
      <c r="C581" s="80" t="n">
        <v>202606</v>
      </c>
      <c r="D581" s="81" t="n">
        <v>46174</v>
      </c>
      <c r="E581" s="82" t="n">
        <v>3138.892</v>
      </c>
      <c r="F581" s="80" t="n">
        <v>4</v>
      </c>
      <c r="G581" s="79" t="s">
        <v>700</v>
      </c>
    </row>
    <row r="582" customFormat="false" ht="15" hidden="false" customHeight="false" outlineLevel="0" collapsed="false">
      <c r="A582" s="79" t="s">
        <v>695</v>
      </c>
      <c r="B582" s="79" t="s">
        <v>1084</v>
      </c>
      <c r="C582" s="80" t="n">
        <v>202605</v>
      </c>
      <c r="D582" s="81" t="n">
        <v>46143</v>
      </c>
      <c r="E582" s="82" t="n">
        <v>2842.339</v>
      </c>
      <c r="F582" s="80" t="n">
        <v>5</v>
      </c>
      <c r="G582" s="79" t="s">
        <v>701</v>
      </c>
    </row>
    <row r="583" customFormat="false" ht="15" hidden="false" customHeight="false" outlineLevel="0" collapsed="false">
      <c r="A583" s="79" t="s">
        <v>695</v>
      </c>
      <c r="B583" s="79" t="s">
        <v>1085</v>
      </c>
      <c r="C583" s="80" t="n">
        <v>202604</v>
      </c>
      <c r="D583" s="81" t="n">
        <v>46113</v>
      </c>
      <c r="E583" s="82" t="n">
        <v>3329.237</v>
      </c>
      <c r="F583" s="80" t="n">
        <v>6</v>
      </c>
      <c r="G583" s="79" t="s">
        <v>702</v>
      </c>
    </row>
    <row r="584" customFormat="false" ht="15" hidden="false" customHeight="false" outlineLevel="0" collapsed="false">
      <c r="A584" s="79" t="s">
        <v>695</v>
      </c>
      <c r="B584" s="79" t="s">
        <v>1086</v>
      </c>
      <c r="C584" s="80" t="n">
        <v>202603</v>
      </c>
      <c r="D584" s="81" t="n">
        <v>46082</v>
      </c>
      <c r="E584" s="82" t="n">
        <v>2178.371</v>
      </c>
      <c r="F584" s="80" t="n">
        <v>7</v>
      </c>
      <c r="G584" s="79" t="s">
        <v>703</v>
      </c>
    </row>
    <row r="585" customFormat="false" ht="15" hidden="false" customHeight="false" outlineLevel="0" collapsed="false">
      <c r="A585" s="79" t="s">
        <v>695</v>
      </c>
      <c r="B585" s="79" t="s">
        <v>1087</v>
      </c>
      <c r="C585" s="80" t="n">
        <v>202602</v>
      </c>
      <c r="D585" s="81" t="n">
        <v>46054</v>
      </c>
      <c r="E585" s="82" t="n">
        <v>3041.929</v>
      </c>
      <c r="F585" s="80" t="n">
        <v>8</v>
      </c>
      <c r="G585" s="79" t="s">
        <v>704</v>
      </c>
    </row>
    <row r="586" customFormat="false" ht="15" hidden="false" customHeight="false" outlineLevel="0" collapsed="false">
      <c r="A586" s="79" t="s">
        <v>695</v>
      </c>
      <c r="B586" s="79" t="s">
        <v>1088</v>
      </c>
      <c r="C586" s="80" t="n">
        <v>202601</v>
      </c>
      <c r="D586" s="81" t="n">
        <v>46023</v>
      </c>
      <c r="E586" s="82" t="n">
        <v>2821.521</v>
      </c>
      <c r="F586" s="80" t="n">
        <v>9</v>
      </c>
      <c r="G586" s="79" t="s">
        <v>705</v>
      </c>
    </row>
    <row r="587" customFormat="false" ht="15" hidden="false" customHeight="false" outlineLevel="0" collapsed="false">
      <c r="A587" s="79" t="s">
        <v>695</v>
      </c>
      <c r="B587" s="79" t="s">
        <v>1089</v>
      </c>
      <c r="C587" s="80" t="n">
        <v>202512</v>
      </c>
      <c r="D587" s="81" t="n">
        <v>45992</v>
      </c>
      <c r="E587" s="82" t="n">
        <v>2443.608</v>
      </c>
      <c r="F587" s="80" t="n">
        <v>10</v>
      </c>
      <c r="G587" s="79" t="s">
        <v>706</v>
      </c>
    </row>
    <row r="588" customFormat="false" ht="15" hidden="false" customHeight="false" outlineLevel="0" collapsed="false">
      <c r="A588" s="79" t="s">
        <v>695</v>
      </c>
      <c r="B588" s="79" t="s">
        <v>1090</v>
      </c>
      <c r="C588" s="80" t="n">
        <v>202511</v>
      </c>
      <c r="D588" s="81" t="n">
        <v>45962</v>
      </c>
      <c r="E588" s="82" t="n">
        <v>2329.545</v>
      </c>
      <c r="F588" s="80" t="n">
        <v>11</v>
      </c>
      <c r="G588" s="79" t="s">
        <v>707</v>
      </c>
    </row>
    <row r="589" customFormat="false" ht="15" hidden="false" customHeight="false" outlineLevel="0" collapsed="false">
      <c r="A589" s="79" t="s">
        <v>695</v>
      </c>
      <c r="B589" s="79" t="s">
        <v>1091</v>
      </c>
      <c r="C589" s="80" t="n">
        <v>202510</v>
      </c>
      <c r="D589" s="81" t="n">
        <v>45931</v>
      </c>
      <c r="E589" s="82" t="n">
        <v>2340.447</v>
      </c>
      <c r="F589" s="80" t="n">
        <v>12</v>
      </c>
      <c r="G589" s="79" t="s">
        <v>708</v>
      </c>
    </row>
    <row r="590" customFormat="false" ht="15" hidden="false" customHeight="false" outlineLevel="0" collapsed="false">
      <c r="A590" s="79" t="s">
        <v>695</v>
      </c>
      <c r="B590" s="79" t="s">
        <v>1092</v>
      </c>
      <c r="C590" s="80" t="n">
        <v>202509</v>
      </c>
      <c r="D590" s="81" t="n">
        <v>45901</v>
      </c>
      <c r="E590" s="82" t="n">
        <v>1878.969</v>
      </c>
      <c r="F590" s="80" t="n">
        <v>13</v>
      </c>
      <c r="G590" s="79" t="s">
        <v>709</v>
      </c>
    </row>
    <row r="591" customFormat="false" ht="15" hidden="false" customHeight="false" outlineLevel="0" collapsed="false">
      <c r="A591" s="79" t="s">
        <v>695</v>
      </c>
      <c r="B591" s="79" t="s">
        <v>1093</v>
      </c>
      <c r="C591" s="80" t="n">
        <v>202508</v>
      </c>
      <c r="D591" s="81" t="n">
        <v>45870</v>
      </c>
      <c r="E591" s="82" t="n">
        <v>1737.663</v>
      </c>
      <c r="F591" s="80" t="n">
        <v>14</v>
      </c>
      <c r="G591" s="79" t="s">
        <v>710</v>
      </c>
    </row>
    <row r="592" customFormat="false" ht="15" hidden="false" customHeight="false" outlineLevel="0" collapsed="false">
      <c r="A592" s="79" t="s">
        <v>695</v>
      </c>
      <c r="B592" s="79" t="s">
        <v>1094</v>
      </c>
      <c r="C592" s="80" t="n">
        <v>202507</v>
      </c>
      <c r="D592" s="81" t="n">
        <v>45839</v>
      </c>
      <c r="E592" s="82" t="n">
        <v>1676.452</v>
      </c>
      <c r="F592" s="80" t="n">
        <v>15</v>
      </c>
      <c r="G592" s="79" t="s">
        <v>711</v>
      </c>
    </row>
    <row r="593" customFormat="false" ht="15" hidden="false" customHeight="false" outlineLevel="0" collapsed="false">
      <c r="A593" s="79" t="s">
        <v>695</v>
      </c>
      <c r="B593" s="79" t="s">
        <v>1095</v>
      </c>
      <c r="C593" s="80" t="n">
        <v>202506</v>
      </c>
      <c r="D593" s="81" t="n">
        <v>45809</v>
      </c>
      <c r="E593" s="82" t="n">
        <v>1620.073</v>
      </c>
      <c r="F593" s="80" t="n">
        <v>16</v>
      </c>
      <c r="G593" s="79" t="s">
        <v>712</v>
      </c>
    </row>
    <row r="594" customFormat="false" ht="15" hidden="false" customHeight="false" outlineLevel="0" collapsed="false">
      <c r="A594" s="79" t="s">
        <v>695</v>
      </c>
      <c r="B594" s="79" t="s">
        <v>1096</v>
      </c>
      <c r="C594" s="80" t="n">
        <v>202505</v>
      </c>
      <c r="D594" s="81" t="n">
        <v>45778</v>
      </c>
      <c r="E594" s="82" t="n">
        <v>2017.328</v>
      </c>
      <c r="F594" s="80" t="n">
        <v>17</v>
      </c>
      <c r="G594" s="79" t="s">
        <v>713</v>
      </c>
    </row>
    <row r="595" customFormat="false" ht="15" hidden="false" customHeight="false" outlineLevel="0" collapsed="false">
      <c r="A595" s="79" t="s">
        <v>695</v>
      </c>
      <c r="B595" s="79" t="s">
        <v>1097</v>
      </c>
      <c r="C595" s="80" t="n">
        <v>202504</v>
      </c>
      <c r="D595" s="81" t="n">
        <v>45748</v>
      </c>
      <c r="E595" s="82" t="n">
        <v>1736.46</v>
      </c>
      <c r="F595" s="80" t="n">
        <v>18</v>
      </c>
      <c r="G595" s="79" t="s">
        <v>714</v>
      </c>
    </row>
    <row r="596" customFormat="false" ht="15" hidden="false" customHeight="false" outlineLevel="0" collapsed="false">
      <c r="A596" s="79" t="s">
        <v>695</v>
      </c>
      <c r="B596" s="79" t="s">
        <v>1098</v>
      </c>
      <c r="C596" s="80" t="n">
        <v>202503</v>
      </c>
      <c r="D596" s="81" t="n">
        <v>45717</v>
      </c>
      <c r="E596" s="82" t="n">
        <v>1304.802</v>
      </c>
      <c r="F596" s="80" t="n">
        <v>19</v>
      </c>
      <c r="G596" s="79" t="s">
        <v>715</v>
      </c>
    </row>
    <row r="597" customFormat="false" ht="15" hidden="false" customHeight="false" outlineLevel="0" collapsed="false">
      <c r="A597" s="79" t="s">
        <v>695</v>
      </c>
      <c r="B597" s="79" t="s">
        <v>1099</v>
      </c>
      <c r="C597" s="80" t="n">
        <v>202502</v>
      </c>
      <c r="D597" s="81" t="n">
        <v>45689</v>
      </c>
      <c r="E597" s="82" t="n">
        <v>1372.849</v>
      </c>
      <c r="F597" s="80" t="n">
        <v>20</v>
      </c>
      <c r="G597" s="79" t="s">
        <v>716</v>
      </c>
    </row>
    <row r="598" customFormat="false" ht="15" hidden="false" customHeight="false" outlineLevel="0" collapsed="false">
      <c r="A598" s="79" t="s">
        <v>695</v>
      </c>
      <c r="B598" s="79" t="s">
        <v>1100</v>
      </c>
      <c r="C598" s="80" t="n">
        <v>202501</v>
      </c>
      <c r="D598" s="81" t="n">
        <v>45658</v>
      </c>
      <c r="E598" s="82" t="n">
        <v>1359.779</v>
      </c>
      <c r="F598" s="80" t="n">
        <v>21</v>
      </c>
      <c r="G598" s="79" t="s">
        <v>717</v>
      </c>
    </row>
    <row r="599" customFormat="false" ht="15" hidden="false" customHeight="false" outlineLevel="0" collapsed="false">
      <c r="A599" s="79" t="s">
        <v>695</v>
      </c>
      <c r="B599" s="79" t="s">
        <v>1101</v>
      </c>
      <c r="C599" s="80" t="n">
        <v>202412</v>
      </c>
      <c r="D599" s="81" t="n">
        <v>45627</v>
      </c>
      <c r="E599" s="82" t="n">
        <v>1370.207</v>
      </c>
      <c r="F599" s="80" t="n">
        <v>22</v>
      </c>
      <c r="G599" s="79" t="s">
        <v>718</v>
      </c>
    </row>
    <row r="600" customFormat="false" ht="15" hidden="false" customHeight="false" outlineLevel="0" collapsed="false">
      <c r="A600" s="79" t="s">
        <v>695</v>
      </c>
      <c r="B600" s="79" t="s">
        <v>1102</v>
      </c>
      <c r="C600" s="80" t="n">
        <v>202411</v>
      </c>
      <c r="D600" s="81" t="n">
        <v>45597</v>
      </c>
      <c r="E600" s="82" t="n">
        <v>1395.643</v>
      </c>
      <c r="F600" s="80" t="n">
        <v>23</v>
      </c>
      <c r="G600" s="79" t="s">
        <v>719</v>
      </c>
    </row>
    <row r="601" customFormat="false" ht="15" hidden="false" customHeight="false" outlineLevel="0" collapsed="false">
      <c r="A601" s="79" t="s">
        <v>695</v>
      </c>
      <c r="B601" s="79" t="s">
        <v>1103</v>
      </c>
      <c r="C601" s="80" t="n">
        <v>202410</v>
      </c>
      <c r="D601" s="81" t="n">
        <v>45566</v>
      </c>
      <c r="E601" s="82" t="n">
        <v>1424.051</v>
      </c>
      <c r="F601" s="80" t="n">
        <v>24</v>
      </c>
      <c r="G601" s="79" t="s">
        <v>720</v>
      </c>
    </row>
    <row r="602" customFormat="false" ht="15" hidden="false" customHeight="false" outlineLevel="0" collapsed="false">
      <c r="A602" s="79" t="s">
        <v>695</v>
      </c>
      <c r="B602" s="79" t="s">
        <v>1105</v>
      </c>
      <c r="C602" s="80" t="n">
        <v>202409</v>
      </c>
      <c r="D602" s="81" t="n">
        <v>45536</v>
      </c>
      <c r="E602" s="82" t="n">
        <v>1424.957</v>
      </c>
      <c r="F602" s="80" t="n">
        <v>25</v>
      </c>
      <c r="G602" s="79" t="s">
        <v>1308</v>
      </c>
    </row>
    <row r="603" customFormat="false" ht="15" hidden="false" customHeight="false" outlineLevel="0" collapsed="false">
      <c r="A603" s="79" t="s">
        <v>695</v>
      </c>
      <c r="B603" s="79" t="s">
        <v>1107</v>
      </c>
      <c r="C603" s="80" t="n">
        <v>202408</v>
      </c>
      <c r="D603" s="81" t="n">
        <v>45505</v>
      </c>
      <c r="E603" s="82" t="n">
        <v>1368.352</v>
      </c>
      <c r="F603" s="80" t="n">
        <v>26</v>
      </c>
      <c r="G603" s="79" t="s">
        <v>1309</v>
      </c>
    </row>
    <row r="604" customFormat="false" ht="15" hidden="false" customHeight="false" outlineLevel="0" collapsed="false">
      <c r="A604" s="79" t="s">
        <v>695</v>
      </c>
      <c r="B604" s="79" t="s">
        <v>1109</v>
      </c>
      <c r="C604" s="80" t="n">
        <v>202407</v>
      </c>
      <c r="D604" s="81" t="n">
        <v>45474</v>
      </c>
      <c r="E604" s="82" t="n">
        <v>1691.726</v>
      </c>
      <c r="F604" s="80" t="n">
        <v>27</v>
      </c>
      <c r="G604" s="79" t="s">
        <v>1310</v>
      </c>
    </row>
    <row r="605" customFormat="false" ht="15" hidden="false" customHeight="false" outlineLevel="0" collapsed="false">
      <c r="A605" s="79" t="s">
        <v>695</v>
      </c>
      <c r="B605" s="79" t="s">
        <v>1111</v>
      </c>
      <c r="C605" s="80" t="n">
        <v>202406</v>
      </c>
      <c r="D605" s="81" t="n">
        <v>45444</v>
      </c>
      <c r="E605" s="82" t="n">
        <v>1375.562</v>
      </c>
      <c r="F605" s="80" t="n">
        <v>28</v>
      </c>
      <c r="G605" s="79" t="s">
        <v>1311</v>
      </c>
    </row>
    <row r="606" customFormat="false" ht="15" hidden="false" customHeight="false" outlineLevel="0" collapsed="false">
      <c r="A606" s="79" t="s">
        <v>695</v>
      </c>
      <c r="B606" s="79" t="s">
        <v>1113</v>
      </c>
      <c r="C606" s="80" t="n">
        <v>202405</v>
      </c>
      <c r="D606" s="81" t="n">
        <v>45413</v>
      </c>
      <c r="E606" s="82" t="n">
        <v>1215.79</v>
      </c>
      <c r="F606" s="80" t="n">
        <v>29</v>
      </c>
      <c r="G606" s="79" t="s">
        <v>1312</v>
      </c>
    </row>
    <row r="607" customFormat="false" ht="15" hidden="false" customHeight="false" outlineLevel="0" collapsed="false">
      <c r="A607" s="79" t="s">
        <v>695</v>
      </c>
      <c r="B607" s="79" t="s">
        <v>1115</v>
      </c>
      <c r="C607" s="80" t="n">
        <v>202404</v>
      </c>
      <c r="D607" s="81" t="n">
        <v>45383</v>
      </c>
      <c r="E607" s="82" t="n">
        <v>1137.224</v>
      </c>
      <c r="F607" s="80" t="n">
        <v>30</v>
      </c>
      <c r="G607" s="79" t="s">
        <v>1313</v>
      </c>
    </row>
    <row r="608" customFormat="false" ht="15" hidden="false" customHeight="false" outlineLevel="0" collapsed="false">
      <c r="A608" s="79" t="s">
        <v>695</v>
      </c>
      <c r="B608" s="79" t="s">
        <v>1117</v>
      </c>
      <c r="C608" s="80" t="n">
        <v>202403</v>
      </c>
      <c r="D608" s="81" t="n">
        <v>45352</v>
      </c>
      <c r="E608" s="82" t="n">
        <v>734.828</v>
      </c>
      <c r="F608" s="80" t="n">
        <v>31</v>
      </c>
      <c r="G608" s="79" t="s">
        <v>1314</v>
      </c>
    </row>
    <row r="609" customFormat="false" ht="15" hidden="false" customHeight="false" outlineLevel="0" collapsed="false">
      <c r="A609" s="79" t="s">
        <v>695</v>
      </c>
      <c r="B609" s="79" t="s">
        <v>1119</v>
      </c>
      <c r="C609" s="80" t="n">
        <v>202402</v>
      </c>
      <c r="D609" s="81" t="n">
        <v>45323</v>
      </c>
      <c r="E609" s="82" t="n">
        <v>1277.332</v>
      </c>
      <c r="F609" s="80" t="n">
        <v>32</v>
      </c>
      <c r="G609" s="79" t="s">
        <v>1315</v>
      </c>
    </row>
    <row r="610" customFormat="false" ht="15" hidden="false" customHeight="false" outlineLevel="0" collapsed="false">
      <c r="A610" s="79" t="s">
        <v>695</v>
      </c>
      <c r="B610" s="79" t="s">
        <v>1121</v>
      </c>
      <c r="C610" s="80" t="n">
        <v>202401</v>
      </c>
      <c r="D610" s="81" t="n">
        <v>45292</v>
      </c>
      <c r="E610" s="82" t="n">
        <v>1012.516</v>
      </c>
      <c r="F610" s="80" t="n">
        <v>33</v>
      </c>
      <c r="G610" s="79" t="s">
        <v>1316</v>
      </c>
    </row>
    <row r="611" customFormat="false" ht="15" hidden="false" customHeight="false" outlineLevel="0" collapsed="false">
      <c r="A611" s="79" t="s">
        <v>695</v>
      </c>
      <c r="B611" s="79" t="s">
        <v>1123</v>
      </c>
      <c r="C611" s="80" t="n">
        <v>202312</v>
      </c>
      <c r="D611" s="81" t="n">
        <v>45261</v>
      </c>
      <c r="E611" s="82" t="n">
        <v>1134.393</v>
      </c>
      <c r="F611" s="80" t="n">
        <v>34</v>
      </c>
      <c r="G611" s="79" t="s">
        <v>1317</v>
      </c>
    </row>
    <row r="612" customFormat="false" ht="15" hidden="false" customHeight="false" outlineLevel="0" collapsed="false">
      <c r="A612" s="79" t="s">
        <v>695</v>
      </c>
      <c r="B612" s="79" t="s">
        <v>1125</v>
      </c>
      <c r="C612" s="80" t="n">
        <v>202311</v>
      </c>
      <c r="D612" s="81" t="n">
        <v>45231</v>
      </c>
      <c r="E612" s="82" t="n">
        <v>1198.024</v>
      </c>
      <c r="F612" s="80" t="n">
        <v>35</v>
      </c>
      <c r="G612" s="79" t="s">
        <v>1318</v>
      </c>
    </row>
    <row r="613" customFormat="false" ht="15" hidden="false" customHeight="false" outlineLevel="0" collapsed="false">
      <c r="A613" s="79" t="s">
        <v>695</v>
      </c>
      <c r="B613" s="79" t="s">
        <v>1210</v>
      </c>
      <c r="C613" s="80" t="n">
        <v>202310</v>
      </c>
      <c r="D613" s="81" t="n">
        <v>45200</v>
      </c>
      <c r="E613" s="82" t="n">
        <v>1234.989</v>
      </c>
      <c r="F613" s="80" t="n">
        <v>36</v>
      </c>
      <c r="G613" s="79" t="s">
        <v>1319</v>
      </c>
    </row>
    <row r="614" customFormat="false" ht="15" hidden="false" customHeight="false" outlineLevel="0" collapsed="false">
      <c r="A614" s="79" t="s">
        <v>234</v>
      </c>
      <c r="B614" s="79" t="s">
        <v>1079</v>
      </c>
      <c r="C614" s="80" t="n">
        <v>202610</v>
      </c>
      <c r="D614" s="81" t="n">
        <v>46296</v>
      </c>
      <c r="E614" s="82" t="n">
        <v>224.257</v>
      </c>
      <c r="F614" s="80" t="n">
        <v>1</v>
      </c>
      <c r="G614" s="79" t="s">
        <v>722</v>
      </c>
    </row>
    <row r="615" customFormat="false" ht="15" hidden="false" customHeight="false" outlineLevel="0" collapsed="false">
      <c r="A615" s="79" t="s">
        <v>234</v>
      </c>
      <c r="B615" s="79" t="s">
        <v>1080</v>
      </c>
      <c r="C615" s="80" t="n">
        <v>202609</v>
      </c>
      <c r="D615" s="81" t="n">
        <v>46266</v>
      </c>
      <c r="E615" s="82" t="n">
        <v>204.482</v>
      </c>
      <c r="F615" s="80" t="n">
        <v>2</v>
      </c>
      <c r="G615" s="79" t="s">
        <v>723</v>
      </c>
    </row>
    <row r="616" customFormat="false" ht="15" hidden="false" customHeight="false" outlineLevel="0" collapsed="false">
      <c r="A616" s="79" t="s">
        <v>234</v>
      </c>
      <c r="B616" s="79" t="s">
        <v>1081</v>
      </c>
      <c r="C616" s="80" t="n">
        <v>202608</v>
      </c>
      <c r="D616" s="81" t="n">
        <v>46235</v>
      </c>
      <c r="E616" s="82" t="n">
        <v>170.843</v>
      </c>
      <c r="F616" s="80" t="n">
        <v>3</v>
      </c>
      <c r="G616" s="79" t="s">
        <v>724</v>
      </c>
    </row>
    <row r="617" customFormat="false" ht="15" hidden="false" customHeight="false" outlineLevel="0" collapsed="false">
      <c r="A617" s="79" t="s">
        <v>234</v>
      </c>
      <c r="B617" s="79" t="s">
        <v>1082</v>
      </c>
      <c r="C617" s="80" t="n">
        <v>202607</v>
      </c>
      <c r="D617" s="81" t="n">
        <v>46204</v>
      </c>
      <c r="E617" s="82" t="n">
        <v>157.445</v>
      </c>
      <c r="F617" s="80" t="n">
        <v>4</v>
      </c>
      <c r="G617" s="79" t="s">
        <v>725</v>
      </c>
    </row>
    <row r="618" customFormat="false" ht="15" hidden="false" customHeight="false" outlineLevel="0" collapsed="false">
      <c r="A618" s="79" t="s">
        <v>234</v>
      </c>
      <c r="B618" s="79" t="s">
        <v>1083</v>
      </c>
      <c r="C618" s="80" t="n">
        <v>202606</v>
      </c>
      <c r="D618" s="81" t="n">
        <v>46174</v>
      </c>
      <c r="E618" s="82" t="n">
        <v>143.8</v>
      </c>
      <c r="F618" s="80" t="n">
        <v>5</v>
      </c>
      <c r="G618" s="79" t="s">
        <v>726</v>
      </c>
    </row>
    <row r="619" customFormat="false" ht="15" hidden="false" customHeight="false" outlineLevel="0" collapsed="false">
      <c r="A619" s="79" t="s">
        <v>234</v>
      </c>
      <c r="B619" s="79" t="s">
        <v>1084</v>
      </c>
      <c r="C619" s="80" t="n">
        <v>202605</v>
      </c>
      <c r="D619" s="81" t="n">
        <v>46143</v>
      </c>
      <c r="E619" s="82" t="n">
        <v>127.943</v>
      </c>
      <c r="F619" s="80" t="n">
        <v>6</v>
      </c>
      <c r="G619" s="79" t="s">
        <v>727</v>
      </c>
    </row>
    <row r="620" customFormat="false" ht="15" hidden="false" customHeight="false" outlineLevel="0" collapsed="false">
      <c r="A620" s="79" t="s">
        <v>234</v>
      </c>
      <c r="B620" s="79" t="s">
        <v>1085</v>
      </c>
      <c r="C620" s="80" t="n">
        <v>202604</v>
      </c>
      <c r="D620" s="81" t="n">
        <v>46113</v>
      </c>
      <c r="E620" s="82" t="n">
        <v>117.274</v>
      </c>
      <c r="F620" s="80" t="n">
        <v>7</v>
      </c>
      <c r="G620" s="79" t="s">
        <v>728</v>
      </c>
    </row>
    <row r="621" customFormat="false" ht="15" hidden="false" customHeight="false" outlineLevel="0" collapsed="false">
      <c r="A621" s="79" t="s">
        <v>234</v>
      </c>
      <c r="B621" s="79" t="s">
        <v>1086</v>
      </c>
      <c r="C621" s="80" t="n">
        <v>202603</v>
      </c>
      <c r="D621" s="81" t="n">
        <v>46082</v>
      </c>
      <c r="E621" s="82" t="n">
        <v>128.013</v>
      </c>
      <c r="F621" s="80" t="n">
        <v>8</v>
      </c>
      <c r="G621" s="79" t="s">
        <v>729</v>
      </c>
    </row>
    <row r="622" customFormat="false" ht="15" hidden="false" customHeight="false" outlineLevel="0" collapsed="false">
      <c r="A622" s="79" t="s">
        <v>234</v>
      </c>
      <c r="B622" s="79" t="s">
        <v>1087</v>
      </c>
      <c r="C622" s="80" t="n">
        <v>202602</v>
      </c>
      <c r="D622" s="81" t="n">
        <v>46054</v>
      </c>
      <c r="E622" s="82" t="n">
        <v>136.682</v>
      </c>
      <c r="F622" s="80" t="n">
        <v>9</v>
      </c>
      <c r="G622" s="79" t="s">
        <v>730</v>
      </c>
    </row>
    <row r="623" customFormat="false" ht="15" hidden="false" customHeight="false" outlineLevel="0" collapsed="false">
      <c r="A623" s="79" t="s">
        <v>234</v>
      </c>
      <c r="B623" s="79" t="s">
        <v>1088</v>
      </c>
      <c r="C623" s="80" t="n">
        <v>202601</v>
      </c>
      <c r="D623" s="81" t="n">
        <v>46023</v>
      </c>
      <c r="E623" s="82" t="n">
        <v>131.042</v>
      </c>
      <c r="F623" s="80" t="n">
        <v>10</v>
      </c>
      <c r="G623" s="79" t="s">
        <v>731</v>
      </c>
    </row>
    <row r="624" customFormat="false" ht="15" hidden="false" customHeight="false" outlineLevel="0" collapsed="false">
      <c r="A624" s="79" t="s">
        <v>234</v>
      </c>
      <c r="B624" s="79" t="s">
        <v>1089</v>
      </c>
      <c r="C624" s="80" t="n">
        <v>202512</v>
      </c>
      <c r="D624" s="81" t="n">
        <v>45992</v>
      </c>
      <c r="E624" s="82" t="n">
        <v>125.44</v>
      </c>
      <c r="F624" s="80" t="n">
        <v>11</v>
      </c>
      <c r="G624" s="79" t="s">
        <v>732</v>
      </c>
    </row>
    <row r="625" customFormat="false" ht="15" hidden="false" customHeight="false" outlineLevel="0" collapsed="false">
      <c r="A625" s="79" t="s">
        <v>234</v>
      </c>
      <c r="B625" s="79" t="s">
        <v>1090</v>
      </c>
      <c r="C625" s="80" t="n">
        <v>202511</v>
      </c>
      <c r="D625" s="81" t="n">
        <v>45962</v>
      </c>
      <c r="E625" s="82" t="n">
        <v>134.292</v>
      </c>
      <c r="F625" s="80" t="n">
        <v>12</v>
      </c>
      <c r="G625" s="79" t="s">
        <v>733</v>
      </c>
    </row>
    <row r="626" customFormat="false" ht="15" hidden="false" customHeight="false" outlineLevel="0" collapsed="false">
      <c r="A626" s="79" t="s">
        <v>234</v>
      </c>
      <c r="B626" s="79" t="s">
        <v>1091</v>
      </c>
      <c r="C626" s="80" t="n">
        <v>202510</v>
      </c>
      <c r="D626" s="81" t="n">
        <v>45931</v>
      </c>
      <c r="E626" s="82" t="n">
        <v>174.688</v>
      </c>
      <c r="F626" s="80" t="n">
        <v>13</v>
      </c>
      <c r="G626" s="79" t="s">
        <v>734</v>
      </c>
    </row>
    <row r="627" customFormat="false" ht="15" hidden="false" customHeight="false" outlineLevel="0" collapsed="false">
      <c r="A627" s="79" t="s">
        <v>234</v>
      </c>
      <c r="B627" s="79" t="s">
        <v>1092</v>
      </c>
      <c r="C627" s="80" t="n">
        <v>202509</v>
      </c>
      <c r="D627" s="81" t="n">
        <v>45901</v>
      </c>
      <c r="E627" s="82" t="n">
        <v>180.642</v>
      </c>
      <c r="F627" s="80" t="n">
        <v>14</v>
      </c>
      <c r="G627" s="79" t="s">
        <v>735</v>
      </c>
    </row>
    <row r="628" customFormat="false" ht="15" hidden="false" customHeight="false" outlineLevel="0" collapsed="false">
      <c r="A628" s="79" t="s">
        <v>234</v>
      </c>
      <c r="B628" s="79" t="s">
        <v>1093</v>
      </c>
      <c r="C628" s="80" t="n">
        <v>202508</v>
      </c>
      <c r="D628" s="81" t="n">
        <v>45870</v>
      </c>
      <c r="E628" s="82" t="n">
        <v>152.411</v>
      </c>
      <c r="F628" s="80" t="n">
        <v>15</v>
      </c>
      <c r="G628" s="79" t="s">
        <v>736</v>
      </c>
    </row>
    <row r="629" customFormat="false" ht="15" hidden="false" customHeight="false" outlineLevel="0" collapsed="false">
      <c r="A629" s="79" t="s">
        <v>234</v>
      </c>
      <c r="B629" s="79" t="s">
        <v>1094</v>
      </c>
      <c r="C629" s="80" t="n">
        <v>202507</v>
      </c>
      <c r="D629" s="81" t="n">
        <v>45839</v>
      </c>
      <c r="E629" s="82" t="n">
        <v>186.77</v>
      </c>
      <c r="F629" s="80" t="n">
        <v>16</v>
      </c>
      <c r="G629" s="79" t="s">
        <v>737</v>
      </c>
    </row>
    <row r="630" customFormat="false" ht="15" hidden="false" customHeight="false" outlineLevel="0" collapsed="false">
      <c r="A630" s="79" t="s">
        <v>234</v>
      </c>
      <c r="B630" s="79" t="s">
        <v>1095</v>
      </c>
      <c r="C630" s="80" t="n">
        <v>202506</v>
      </c>
      <c r="D630" s="81" t="n">
        <v>45809</v>
      </c>
      <c r="E630" s="82" t="n">
        <v>191.237</v>
      </c>
      <c r="F630" s="80" t="n">
        <v>17</v>
      </c>
      <c r="G630" s="79" t="s">
        <v>738</v>
      </c>
    </row>
    <row r="631" customFormat="false" ht="15" hidden="false" customHeight="false" outlineLevel="0" collapsed="false">
      <c r="A631" s="79" t="s">
        <v>234</v>
      </c>
      <c r="B631" s="79" t="s">
        <v>1096</v>
      </c>
      <c r="C631" s="80" t="n">
        <v>202505</v>
      </c>
      <c r="D631" s="81" t="n">
        <v>45778</v>
      </c>
      <c r="E631" s="82" t="n">
        <v>204.069</v>
      </c>
      <c r="F631" s="80" t="n">
        <v>18</v>
      </c>
      <c r="G631" s="79" t="s">
        <v>739</v>
      </c>
    </row>
    <row r="632" customFormat="false" ht="15" hidden="false" customHeight="false" outlineLevel="0" collapsed="false">
      <c r="A632" s="79" t="s">
        <v>234</v>
      </c>
      <c r="B632" s="79" t="s">
        <v>1097</v>
      </c>
      <c r="C632" s="80" t="n">
        <v>202504</v>
      </c>
      <c r="D632" s="81" t="n">
        <v>45748</v>
      </c>
      <c r="E632" s="82" t="n">
        <v>157.864</v>
      </c>
      <c r="F632" s="80" t="n">
        <v>19</v>
      </c>
      <c r="G632" s="79" t="s">
        <v>740</v>
      </c>
    </row>
    <row r="633" customFormat="false" ht="15" hidden="false" customHeight="false" outlineLevel="0" collapsed="false">
      <c r="A633" s="79" t="s">
        <v>234</v>
      </c>
      <c r="B633" s="79" t="s">
        <v>1098</v>
      </c>
      <c r="C633" s="80" t="n">
        <v>202503</v>
      </c>
      <c r="D633" s="81" t="n">
        <v>45717</v>
      </c>
      <c r="E633" s="82" t="n">
        <v>100.272</v>
      </c>
      <c r="F633" s="80" t="n">
        <v>20</v>
      </c>
      <c r="G633" s="79" t="s">
        <v>741</v>
      </c>
    </row>
    <row r="634" customFormat="false" ht="15" hidden="false" customHeight="false" outlineLevel="0" collapsed="false">
      <c r="A634" s="79" t="s">
        <v>234</v>
      </c>
      <c r="B634" s="79" t="s">
        <v>1099</v>
      </c>
      <c r="C634" s="80" t="n">
        <v>202502</v>
      </c>
      <c r="D634" s="81" t="n">
        <v>45689</v>
      </c>
      <c r="E634" s="82" t="n">
        <v>153.267</v>
      </c>
      <c r="F634" s="80" t="n">
        <v>21</v>
      </c>
      <c r="G634" s="79" t="s">
        <v>742</v>
      </c>
    </row>
    <row r="635" customFormat="false" ht="15" hidden="false" customHeight="false" outlineLevel="0" collapsed="false">
      <c r="A635" s="79" t="s">
        <v>234</v>
      </c>
      <c r="B635" s="79" t="s">
        <v>1100</v>
      </c>
      <c r="C635" s="80" t="n">
        <v>202501</v>
      </c>
      <c r="D635" s="81" t="n">
        <v>45658</v>
      </c>
      <c r="E635" s="82" t="n">
        <v>107.627</v>
      </c>
      <c r="F635" s="80" t="n">
        <v>22</v>
      </c>
      <c r="G635" s="79" t="s">
        <v>743</v>
      </c>
    </row>
    <row r="636" customFormat="false" ht="15" hidden="false" customHeight="false" outlineLevel="0" collapsed="false">
      <c r="A636" s="79" t="s">
        <v>234</v>
      </c>
      <c r="B636" s="79" t="s">
        <v>1101</v>
      </c>
      <c r="C636" s="80" t="n">
        <v>202412</v>
      </c>
      <c r="D636" s="81" t="n">
        <v>45627</v>
      </c>
      <c r="E636" s="82" t="n">
        <v>150.187</v>
      </c>
      <c r="F636" s="80" t="n">
        <v>23</v>
      </c>
      <c r="G636" s="79" t="s">
        <v>744</v>
      </c>
    </row>
    <row r="637" customFormat="false" ht="15" hidden="false" customHeight="false" outlineLevel="0" collapsed="false">
      <c r="A637" s="79" t="s">
        <v>234</v>
      </c>
      <c r="B637" s="79" t="s">
        <v>1102</v>
      </c>
      <c r="C637" s="80" t="n">
        <v>202411</v>
      </c>
      <c r="D637" s="81" t="n">
        <v>45597</v>
      </c>
      <c r="E637" s="82" t="n">
        <v>102.062</v>
      </c>
      <c r="F637" s="80" t="n">
        <v>24</v>
      </c>
      <c r="G637" s="79" t="s">
        <v>745</v>
      </c>
    </row>
    <row r="638" customFormat="false" ht="15" hidden="false" customHeight="false" outlineLevel="0" collapsed="false">
      <c r="A638" s="79" t="s">
        <v>234</v>
      </c>
      <c r="B638" s="79" t="s">
        <v>1103</v>
      </c>
      <c r="C638" s="80" t="n">
        <v>202410</v>
      </c>
      <c r="D638" s="81" t="n">
        <v>45566</v>
      </c>
      <c r="E638" s="82" t="n">
        <v>122.342</v>
      </c>
      <c r="F638" s="80" t="n">
        <v>25</v>
      </c>
      <c r="G638" s="79" t="s">
        <v>1320</v>
      </c>
    </row>
    <row r="639" customFormat="false" ht="15" hidden="false" customHeight="false" outlineLevel="0" collapsed="false">
      <c r="A639" s="79" t="s">
        <v>234</v>
      </c>
      <c r="B639" s="79" t="s">
        <v>1105</v>
      </c>
      <c r="C639" s="80" t="n">
        <v>202409</v>
      </c>
      <c r="D639" s="81" t="n">
        <v>45536</v>
      </c>
      <c r="E639" s="82" t="n">
        <v>126.641</v>
      </c>
      <c r="F639" s="80" t="n">
        <v>26</v>
      </c>
      <c r="G639" s="79" t="s">
        <v>1321</v>
      </c>
    </row>
    <row r="640" customFormat="false" ht="15" hidden="false" customHeight="false" outlineLevel="0" collapsed="false">
      <c r="A640" s="79" t="s">
        <v>234</v>
      </c>
      <c r="B640" s="79" t="s">
        <v>1107</v>
      </c>
      <c r="C640" s="80" t="n">
        <v>202408</v>
      </c>
      <c r="D640" s="81" t="n">
        <v>45505</v>
      </c>
      <c r="E640" s="82" t="n">
        <v>133.715</v>
      </c>
      <c r="F640" s="80" t="n">
        <v>27</v>
      </c>
      <c r="G640" s="79" t="s">
        <v>1322</v>
      </c>
    </row>
    <row r="641" customFormat="false" ht="15" hidden="false" customHeight="false" outlineLevel="0" collapsed="false">
      <c r="A641" s="79" t="s">
        <v>234</v>
      </c>
      <c r="B641" s="79" t="s">
        <v>1109</v>
      </c>
      <c r="C641" s="80" t="n">
        <v>202407</v>
      </c>
      <c r="D641" s="81" t="n">
        <v>45474</v>
      </c>
      <c r="E641" s="82" t="n">
        <v>124.041</v>
      </c>
      <c r="F641" s="80" t="n">
        <v>28</v>
      </c>
      <c r="G641" s="79" t="s">
        <v>1323</v>
      </c>
    </row>
    <row r="642" customFormat="false" ht="15" hidden="false" customHeight="false" outlineLevel="0" collapsed="false">
      <c r="A642" s="79" t="s">
        <v>234</v>
      </c>
      <c r="B642" s="79" t="s">
        <v>1111</v>
      </c>
      <c r="C642" s="80" t="n">
        <v>202406</v>
      </c>
      <c r="D642" s="81" t="n">
        <v>45444</v>
      </c>
      <c r="E642" s="82" t="n">
        <v>115.703</v>
      </c>
      <c r="F642" s="80" t="n">
        <v>29</v>
      </c>
      <c r="G642" s="79" t="s">
        <v>1324</v>
      </c>
    </row>
    <row r="643" customFormat="false" ht="15" hidden="false" customHeight="false" outlineLevel="0" collapsed="false">
      <c r="A643" s="79" t="s">
        <v>234</v>
      </c>
      <c r="B643" s="79" t="s">
        <v>1113</v>
      </c>
      <c r="C643" s="80" t="n">
        <v>202405</v>
      </c>
      <c r="D643" s="81" t="n">
        <v>45413</v>
      </c>
      <c r="E643" s="82" t="n">
        <v>113.02</v>
      </c>
      <c r="F643" s="80" t="n">
        <v>30</v>
      </c>
      <c r="G643" s="79" t="s">
        <v>1325</v>
      </c>
    </row>
    <row r="644" customFormat="false" ht="15" hidden="false" customHeight="false" outlineLevel="0" collapsed="false">
      <c r="A644" s="79" t="s">
        <v>234</v>
      </c>
      <c r="B644" s="79" t="s">
        <v>1115</v>
      </c>
      <c r="C644" s="80" t="n">
        <v>202404</v>
      </c>
      <c r="D644" s="81" t="n">
        <v>45383</v>
      </c>
      <c r="E644" s="82" t="n">
        <v>108.199</v>
      </c>
      <c r="F644" s="80" t="n">
        <v>31</v>
      </c>
      <c r="G644" s="79" t="s">
        <v>1326</v>
      </c>
    </row>
    <row r="645" customFormat="false" ht="15" hidden="false" customHeight="false" outlineLevel="0" collapsed="false">
      <c r="A645" s="79" t="s">
        <v>234</v>
      </c>
      <c r="B645" s="79" t="s">
        <v>1117</v>
      </c>
      <c r="C645" s="80" t="n">
        <v>202403</v>
      </c>
      <c r="D645" s="81" t="n">
        <v>45352</v>
      </c>
      <c r="E645" s="82" t="n">
        <v>71.672</v>
      </c>
      <c r="F645" s="80" t="n">
        <v>32</v>
      </c>
      <c r="G645" s="79" t="s">
        <v>1327</v>
      </c>
    </row>
    <row r="646" customFormat="false" ht="15" hidden="false" customHeight="false" outlineLevel="0" collapsed="false">
      <c r="A646" s="79" t="s">
        <v>234</v>
      </c>
      <c r="B646" s="79" t="s">
        <v>1119</v>
      </c>
      <c r="C646" s="80" t="n">
        <v>202402</v>
      </c>
      <c r="D646" s="81" t="n">
        <v>45323</v>
      </c>
      <c r="E646" s="82" t="n">
        <v>88.668</v>
      </c>
      <c r="F646" s="80" t="n">
        <v>33</v>
      </c>
      <c r="G646" s="79" t="s">
        <v>1328</v>
      </c>
    </row>
    <row r="647" customFormat="false" ht="15" hidden="false" customHeight="false" outlineLevel="0" collapsed="false">
      <c r="A647" s="79" t="s">
        <v>234</v>
      </c>
      <c r="B647" s="79" t="s">
        <v>1121</v>
      </c>
      <c r="C647" s="80" t="n">
        <v>202401</v>
      </c>
      <c r="D647" s="81" t="n">
        <v>45292</v>
      </c>
      <c r="E647" s="82" t="n">
        <v>117.796</v>
      </c>
      <c r="F647" s="80" t="n">
        <v>34</v>
      </c>
      <c r="G647" s="79" t="s">
        <v>1329</v>
      </c>
    </row>
    <row r="648" customFormat="false" ht="15" hidden="false" customHeight="false" outlineLevel="0" collapsed="false">
      <c r="A648" s="79" t="s">
        <v>234</v>
      </c>
      <c r="B648" s="79" t="s">
        <v>1123</v>
      </c>
      <c r="C648" s="80" t="n">
        <v>202312</v>
      </c>
      <c r="D648" s="81" t="n">
        <v>45261</v>
      </c>
      <c r="E648" s="82" t="n">
        <v>107.961</v>
      </c>
      <c r="F648" s="80" t="n">
        <v>35</v>
      </c>
      <c r="G648" s="79" t="s">
        <v>1330</v>
      </c>
    </row>
    <row r="649" customFormat="false" ht="15" hidden="false" customHeight="false" outlineLevel="0" collapsed="false">
      <c r="A649" s="79" t="s">
        <v>234</v>
      </c>
      <c r="B649" s="79" t="s">
        <v>1125</v>
      </c>
      <c r="C649" s="80" t="n">
        <v>202311</v>
      </c>
      <c r="D649" s="81" t="n">
        <v>45231</v>
      </c>
      <c r="E649" s="82" t="n">
        <v>111.518</v>
      </c>
      <c r="F649" s="80" t="n">
        <v>36</v>
      </c>
      <c r="G649" s="79" t="s">
        <v>1331</v>
      </c>
    </row>
    <row r="650" customFormat="false" ht="15" hidden="false" customHeight="false" outlineLevel="0" collapsed="false">
      <c r="A650" s="79" t="s">
        <v>245</v>
      </c>
      <c r="B650" s="79" t="s">
        <v>1079</v>
      </c>
      <c r="C650" s="80" t="n">
        <v>202610</v>
      </c>
      <c r="D650" s="81" t="n">
        <v>46296</v>
      </c>
      <c r="E650" s="82" t="n">
        <v>7145.236</v>
      </c>
      <c r="F650" s="80" t="n">
        <v>1</v>
      </c>
      <c r="G650" s="79" t="s">
        <v>747</v>
      </c>
    </row>
    <row r="651" customFormat="false" ht="15" hidden="false" customHeight="false" outlineLevel="0" collapsed="false">
      <c r="A651" s="79" t="s">
        <v>245</v>
      </c>
      <c r="B651" s="79" t="s">
        <v>1080</v>
      </c>
      <c r="C651" s="80" t="n">
        <v>202609</v>
      </c>
      <c r="D651" s="81" t="n">
        <v>46266</v>
      </c>
      <c r="E651" s="82" t="n">
        <v>5840.094</v>
      </c>
      <c r="F651" s="80" t="n">
        <v>2</v>
      </c>
      <c r="G651" s="79" t="s">
        <v>748</v>
      </c>
    </row>
    <row r="652" customFormat="false" ht="15" hidden="false" customHeight="false" outlineLevel="0" collapsed="false">
      <c r="A652" s="79" t="s">
        <v>245</v>
      </c>
      <c r="B652" s="79" t="s">
        <v>1081</v>
      </c>
      <c r="C652" s="80" t="n">
        <v>202608</v>
      </c>
      <c r="D652" s="81" t="n">
        <v>46235</v>
      </c>
      <c r="E652" s="82" t="n">
        <v>5769.17</v>
      </c>
      <c r="F652" s="80" t="n">
        <v>3</v>
      </c>
      <c r="G652" s="79" t="s">
        <v>749</v>
      </c>
    </row>
    <row r="653" customFormat="false" ht="15" hidden="false" customHeight="false" outlineLevel="0" collapsed="false">
      <c r="A653" s="79" t="s">
        <v>245</v>
      </c>
      <c r="B653" s="79" t="s">
        <v>1082</v>
      </c>
      <c r="C653" s="80" t="n">
        <v>202607</v>
      </c>
      <c r="D653" s="81" t="n">
        <v>46204</v>
      </c>
      <c r="E653" s="82" t="n">
        <v>4928.512</v>
      </c>
      <c r="F653" s="80" t="n">
        <v>4</v>
      </c>
      <c r="G653" s="79" t="s">
        <v>750</v>
      </c>
    </row>
    <row r="654" customFormat="false" ht="15" hidden="false" customHeight="false" outlineLevel="0" collapsed="false">
      <c r="A654" s="79" t="s">
        <v>245</v>
      </c>
      <c r="B654" s="79" t="s">
        <v>1083</v>
      </c>
      <c r="C654" s="80" t="n">
        <v>202606</v>
      </c>
      <c r="D654" s="81" t="n">
        <v>46174</v>
      </c>
      <c r="E654" s="82" t="n">
        <v>4674.012</v>
      </c>
      <c r="F654" s="80" t="n">
        <v>5</v>
      </c>
      <c r="G654" s="79" t="s">
        <v>751</v>
      </c>
    </row>
    <row r="655" customFormat="false" ht="15" hidden="false" customHeight="false" outlineLevel="0" collapsed="false">
      <c r="A655" s="79" t="s">
        <v>245</v>
      </c>
      <c r="B655" s="79" t="s">
        <v>1084</v>
      </c>
      <c r="C655" s="80" t="n">
        <v>202605</v>
      </c>
      <c r="D655" s="81" t="n">
        <v>46143</v>
      </c>
      <c r="E655" s="82" t="n">
        <v>4294.033</v>
      </c>
      <c r="F655" s="80" t="n">
        <v>6</v>
      </c>
      <c r="G655" s="79" t="s">
        <v>752</v>
      </c>
    </row>
    <row r="656" customFormat="false" ht="15" hidden="false" customHeight="false" outlineLevel="0" collapsed="false">
      <c r="A656" s="79" t="s">
        <v>245</v>
      </c>
      <c r="B656" s="79" t="s">
        <v>1085</v>
      </c>
      <c r="C656" s="80" t="n">
        <v>202604</v>
      </c>
      <c r="D656" s="81" t="n">
        <v>46113</v>
      </c>
      <c r="E656" s="82" t="n">
        <v>3860.47</v>
      </c>
      <c r="F656" s="80" t="n">
        <v>7</v>
      </c>
      <c r="G656" s="79" t="s">
        <v>753</v>
      </c>
    </row>
    <row r="657" customFormat="false" ht="15" hidden="false" customHeight="false" outlineLevel="0" collapsed="false">
      <c r="A657" s="79" t="s">
        <v>245</v>
      </c>
      <c r="B657" s="79" t="s">
        <v>1086</v>
      </c>
      <c r="C657" s="80" t="n">
        <v>202603</v>
      </c>
      <c r="D657" s="81" t="n">
        <v>46082</v>
      </c>
      <c r="E657" s="82" t="n">
        <v>3351.5</v>
      </c>
      <c r="F657" s="80" t="n">
        <v>8</v>
      </c>
      <c r="G657" s="79" t="s">
        <v>754</v>
      </c>
    </row>
    <row r="658" customFormat="false" ht="15" hidden="false" customHeight="false" outlineLevel="0" collapsed="false">
      <c r="A658" s="79" t="s">
        <v>245</v>
      </c>
      <c r="B658" s="79" t="s">
        <v>1087</v>
      </c>
      <c r="C658" s="80" t="n">
        <v>202602</v>
      </c>
      <c r="D658" s="81" t="n">
        <v>46054</v>
      </c>
      <c r="E658" s="82" t="n">
        <v>4235.842</v>
      </c>
      <c r="F658" s="80" t="n">
        <v>9</v>
      </c>
      <c r="G658" s="79" t="s">
        <v>755</v>
      </c>
    </row>
    <row r="659" customFormat="false" ht="15" hidden="false" customHeight="false" outlineLevel="0" collapsed="false">
      <c r="A659" s="79" t="s">
        <v>245</v>
      </c>
      <c r="B659" s="79" t="s">
        <v>1088</v>
      </c>
      <c r="C659" s="80" t="n">
        <v>202601</v>
      </c>
      <c r="D659" s="81" t="n">
        <v>46023</v>
      </c>
      <c r="E659" s="82" t="n">
        <v>4747.837</v>
      </c>
      <c r="F659" s="80" t="n">
        <v>10</v>
      </c>
      <c r="G659" s="79" t="s">
        <v>756</v>
      </c>
    </row>
    <row r="660" customFormat="false" ht="15" hidden="false" customHeight="false" outlineLevel="0" collapsed="false">
      <c r="A660" s="79" t="s">
        <v>245</v>
      </c>
      <c r="B660" s="79" t="s">
        <v>1089</v>
      </c>
      <c r="C660" s="80" t="n">
        <v>202512</v>
      </c>
      <c r="D660" s="81" t="n">
        <v>45992</v>
      </c>
      <c r="E660" s="82" t="n">
        <v>3936.093</v>
      </c>
      <c r="F660" s="80" t="n">
        <v>11</v>
      </c>
      <c r="G660" s="79" t="s">
        <v>757</v>
      </c>
    </row>
    <row r="661" customFormat="false" ht="15" hidden="false" customHeight="false" outlineLevel="0" collapsed="false">
      <c r="A661" s="79" t="s">
        <v>245</v>
      </c>
      <c r="B661" s="79" t="s">
        <v>1090</v>
      </c>
      <c r="C661" s="80" t="n">
        <v>202511</v>
      </c>
      <c r="D661" s="81" t="n">
        <v>45962</v>
      </c>
      <c r="E661" s="82" t="n">
        <v>3715.719</v>
      </c>
      <c r="F661" s="80" t="n">
        <v>12</v>
      </c>
      <c r="G661" s="79" t="s">
        <v>758</v>
      </c>
    </row>
    <row r="662" customFormat="false" ht="15" hidden="false" customHeight="false" outlineLevel="0" collapsed="false">
      <c r="A662" s="79" t="s">
        <v>245</v>
      </c>
      <c r="B662" s="79" t="s">
        <v>1091</v>
      </c>
      <c r="C662" s="80" t="n">
        <v>202510</v>
      </c>
      <c r="D662" s="81" t="n">
        <v>45931</v>
      </c>
      <c r="E662" s="82" t="n">
        <v>3612.747</v>
      </c>
      <c r="F662" s="80" t="n">
        <v>13</v>
      </c>
      <c r="G662" s="79" t="s">
        <v>759</v>
      </c>
    </row>
    <row r="663" customFormat="false" ht="15" hidden="false" customHeight="false" outlineLevel="0" collapsed="false">
      <c r="A663" s="79" t="s">
        <v>245</v>
      </c>
      <c r="B663" s="79" t="s">
        <v>1092</v>
      </c>
      <c r="C663" s="80" t="n">
        <v>202509</v>
      </c>
      <c r="D663" s="81" t="n">
        <v>45901</v>
      </c>
      <c r="E663" s="82" t="n">
        <v>2767.549</v>
      </c>
      <c r="F663" s="80" t="n">
        <v>14</v>
      </c>
      <c r="G663" s="79" t="s">
        <v>760</v>
      </c>
    </row>
    <row r="664" customFormat="false" ht="15" hidden="false" customHeight="false" outlineLevel="0" collapsed="false">
      <c r="A664" s="79" t="s">
        <v>245</v>
      </c>
      <c r="B664" s="79" t="s">
        <v>1093</v>
      </c>
      <c r="C664" s="80" t="n">
        <v>202508</v>
      </c>
      <c r="D664" s="81" t="n">
        <v>45870</v>
      </c>
      <c r="E664" s="82" t="n">
        <v>2232.812</v>
      </c>
      <c r="F664" s="80" t="n">
        <v>15</v>
      </c>
      <c r="G664" s="79" t="s">
        <v>761</v>
      </c>
    </row>
    <row r="665" customFormat="false" ht="15" hidden="false" customHeight="false" outlineLevel="0" collapsed="false">
      <c r="A665" s="79" t="s">
        <v>245</v>
      </c>
      <c r="B665" s="79" t="s">
        <v>1094</v>
      </c>
      <c r="C665" s="80" t="n">
        <v>202507</v>
      </c>
      <c r="D665" s="81" t="n">
        <v>45839</v>
      </c>
      <c r="E665" s="82" t="n">
        <v>2419.27</v>
      </c>
      <c r="F665" s="80" t="n">
        <v>16</v>
      </c>
      <c r="G665" s="79" t="s">
        <v>762</v>
      </c>
    </row>
    <row r="666" customFormat="false" ht="15" hidden="false" customHeight="false" outlineLevel="0" collapsed="false">
      <c r="A666" s="79" t="s">
        <v>245</v>
      </c>
      <c r="B666" s="79" t="s">
        <v>1095</v>
      </c>
      <c r="C666" s="80" t="n">
        <v>202506</v>
      </c>
      <c r="D666" s="81" t="n">
        <v>45809</v>
      </c>
      <c r="E666" s="82" t="n">
        <v>2013.507</v>
      </c>
      <c r="F666" s="80" t="n">
        <v>17</v>
      </c>
      <c r="G666" s="79" t="s">
        <v>763</v>
      </c>
    </row>
    <row r="667" customFormat="false" ht="15" hidden="false" customHeight="false" outlineLevel="0" collapsed="false">
      <c r="A667" s="79" t="s">
        <v>245</v>
      </c>
      <c r="B667" s="79" t="s">
        <v>1096</v>
      </c>
      <c r="C667" s="80" t="n">
        <v>202505</v>
      </c>
      <c r="D667" s="81" t="n">
        <v>45778</v>
      </c>
      <c r="E667" s="82" t="n">
        <v>1671.8</v>
      </c>
      <c r="F667" s="80" t="n">
        <v>18</v>
      </c>
      <c r="G667" s="79" t="s">
        <v>764</v>
      </c>
    </row>
    <row r="668" customFormat="false" ht="15" hidden="false" customHeight="false" outlineLevel="0" collapsed="false">
      <c r="A668" s="79" t="s">
        <v>245</v>
      </c>
      <c r="B668" s="79" t="s">
        <v>1097</v>
      </c>
      <c r="C668" s="80" t="n">
        <v>202504</v>
      </c>
      <c r="D668" s="81" t="n">
        <v>45748</v>
      </c>
      <c r="E668" s="82" t="n">
        <v>2892.233</v>
      </c>
      <c r="F668" s="80" t="n">
        <v>19</v>
      </c>
      <c r="G668" s="79" t="s">
        <v>765</v>
      </c>
    </row>
    <row r="669" customFormat="false" ht="15" hidden="false" customHeight="false" outlineLevel="0" collapsed="false">
      <c r="A669" s="79" t="s">
        <v>245</v>
      </c>
      <c r="B669" s="79" t="s">
        <v>1098</v>
      </c>
      <c r="C669" s="80" t="n">
        <v>202503</v>
      </c>
      <c r="D669" s="81" t="n">
        <v>45717</v>
      </c>
      <c r="E669" s="82" t="n">
        <v>2092.746</v>
      </c>
      <c r="F669" s="80" t="n">
        <v>20</v>
      </c>
      <c r="G669" s="79" t="s">
        <v>766</v>
      </c>
    </row>
    <row r="670" customFormat="false" ht="15" hidden="false" customHeight="false" outlineLevel="0" collapsed="false">
      <c r="A670" s="79" t="s">
        <v>245</v>
      </c>
      <c r="B670" s="79" t="s">
        <v>1099</v>
      </c>
      <c r="C670" s="80" t="n">
        <v>202502</v>
      </c>
      <c r="D670" s="81" t="n">
        <v>45689</v>
      </c>
      <c r="E670" s="82" t="n">
        <v>2038.665</v>
      </c>
      <c r="F670" s="80" t="n">
        <v>21</v>
      </c>
      <c r="G670" s="79" t="s">
        <v>767</v>
      </c>
    </row>
    <row r="671" customFormat="false" ht="15" hidden="false" customHeight="false" outlineLevel="0" collapsed="false">
      <c r="A671" s="79" t="s">
        <v>245</v>
      </c>
      <c r="B671" s="79" t="s">
        <v>1100</v>
      </c>
      <c r="C671" s="80" t="n">
        <v>202501</v>
      </c>
      <c r="D671" s="81" t="n">
        <v>45658</v>
      </c>
      <c r="E671" s="82" t="n">
        <v>2702.478</v>
      </c>
      <c r="F671" s="80" t="n">
        <v>22</v>
      </c>
      <c r="G671" s="79" t="s">
        <v>768</v>
      </c>
    </row>
    <row r="672" customFormat="false" ht="15" hidden="false" customHeight="false" outlineLevel="0" collapsed="false">
      <c r="A672" s="79" t="s">
        <v>245</v>
      </c>
      <c r="B672" s="79" t="s">
        <v>1101</v>
      </c>
      <c r="C672" s="80" t="n">
        <v>202412</v>
      </c>
      <c r="D672" s="81" t="n">
        <v>45627</v>
      </c>
      <c r="E672" s="82" t="n">
        <v>1837.436</v>
      </c>
      <c r="F672" s="80" t="n">
        <v>23</v>
      </c>
      <c r="G672" s="79" t="s">
        <v>769</v>
      </c>
    </row>
    <row r="673" customFormat="false" ht="15" hidden="false" customHeight="false" outlineLevel="0" collapsed="false">
      <c r="A673" s="79" t="s">
        <v>245</v>
      </c>
      <c r="B673" s="79" t="s">
        <v>1102</v>
      </c>
      <c r="C673" s="80" t="n">
        <v>202411</v>
      </c>
      <c r="D673" s="81" t="n">
        <v>45597</v>
      </c>
      <c r="E673" s="82" t="n">
        <v>1482.729</v>
      </c>
      <c r="F673" s="80" t="n">
        <v>24</v>
      </c>
      <c r="G673" s="79" t="s">
        <v>770</v>
      </c>
    </row>
    <row r="674" customFormat="false" ht="15" hidden="false" customHeight="false" outlineLevel="0" collapsed="false">
      <c r="A674" s="79" t="s">
        <v>245</v>
      </c>
      <c r="B674" s="79" t="s">
        <v>1103</v>
      </c>
      <c r="C674" s="80" t="n">
        <v>202410</v>
      </c>
      <c r="D674" s="81" t="n">
        <v>45566</v>
      </c>
      <c r="E674" s="82" t="n">
        <v>1763.514</v>
      </c>
      <c r="F674" s="80" t="n">
        <v>25</v>
      </c>
      <c r="G674" s="79" t="s">
        <v>1332</v>
      </c>
    </row>
    <row r="675" customFormat="false" ht="15" hidden="false" customHeight="false" outlineLevel="0" collapsed="false">
      <c r="A675" s="79" t="s">
        <v>245</v>
      </c>
      <c r="B675" s="79" t="s">
        <v>1105</v>
      </c>
      <c r="C675" s="80" t="n">
        <v>202409</v>
      </c>
      <c r="D675" s="81" t="n">
        <v>45536</v>
      </c>
      <c r="E675" s="82" t="n">
        <v>1944.75</v>
      </c>
      <c r="F675" s="80" t="n">
        <v>26</v>
      </c>
      <c r="G675" s="79" t="s">
        <v>1333</v>
      </c>
    </row>
    <row r="676" customFormat="false" ht="15" hidden="false" customHeight="false" outlineLevel="0" collapsed="false">
      <c r="A676" s="79" t="s">
        <v>245</v>
      </c>
      <c r="B676" s="79" t="s">
        <v>1107</v>
      </c>
      <c r="C676" s="80" t="n">
        <v>202408</v>
      </c>
      <c r="D676" s="81" t="n">
        <v>45505</v>
      </c>
      <c r="E676" s="82" t="n">
        <v>2903.133</v>
      </c>
      <c r="F676" s="80" t="n">
        <v>27</v>
      </c>
      <c r="G676" s="79" t="s">
        <v>1334</v>
      </c>
    </row>
    <row r="677" customFormat="false" ht="15" hidden="false" customHeight="false" outlineLevel="0" collapsed="false">
      <c r="A677" s="79" t="s">
        <v>245</v>
      </c>
      <c r="B677" s="79" t="s">
        <v>1109</v>
      </c>
      <c r="C677" s="80" t="n">
        <v>202407</v>
      </c>
      <c r="D677" s="81" t="n">
        <v>45474</v>
      </c>
      <c r="E677" s="82" t="n">
        <v>2673.12</v>
      </c>
      <c r="F677" s="80" t="n">
        <v>28</v>
      </c>
      <c r="G677" s="79" t="s">
        <v>1335</v>
      </c>
    </row>
    <row r="678" customFormat="false" ht="15" hidden="false" customHeight="false" outlineLevel="0" collapsed="false">
      <c r="A678" s="79" t="s">
        <v>245</v>
      </c>
      <c r="B678" s="79" t="s">
        <v>1111</v>
      </c>
      <c r="C678" s="80" t="n">
        <v>202406</v>
      </c>
      <c r="D678" s="81" t="n">
        <v>45444</v>
      </c>
      <c r="E678" s="82" t="n">
        <v>2353.184</v>
      </c>
      <c r="F678" s="80" t="n">
        <v>29</v>
      </c>
      <c r="G678" s="79" t="s">
        <v>1336</v>
      </c>
    </row>
    <row r="679" customFormat="false" ht="15" hidden="false" customHeight="false" outlineLevel="0" collapsed="false">
      <c r="A679" s="79" t="s">
        <v>245</v>
      </c>
      <c r="B679" s="79" t="s">
        <v>1113</v>
      </c>
      <c r="C679" s="80" t="n">
        <v>202405</v>
      </c>
      <c r="D679" s="81" t="n">
        <v>45413</v>
      </c>
      <c r="E679" s="82" t="n">
        <v>1693.477</v>
      </c>
      <c r="F679" s="80" t="n">
        <v>30</v>
      </c>
      <c r="G679" s="79" t="s">
        <v>1337</v>
      </c>
    </row>
    <row r="680" customFormat="false" ht="15" hidden="false" customHeight="false" outlineLevel="0" collapsed="false">
      <c r="A680" s="79" t="s">
        <v>245</v>
      </c>
      <c r="B680" s="79" t="s">
        <v>1115</v>
      </c>
      <c r="C680" s="80" t="n">
        <v>202404</v>
      </c>
      <c r="D680" s="81" t="n">
        <v>45383</v>
      </c>
      <c r="E680" s="82" t="n">
        <v>2192.386</v>
      </c>
      <c r="F680" s="80" t="n">
        <v>31</v>
      </c>
      <c r="G680" s="79" t="s">
        <v>1338</v>
      </c>
    </row>
    <row r="681" customFormat="false" ht="15" hidden="false" customHeight="false" outlineLevel="0" collapsed="false">
      <c r="A681" s="79" t="s">
        <v>245</v>
      </c>
      <c r="B681" s="79" t="s">
        <v>1117</v>
      </c>
      <c r="C681" s="80" t="n">
        <v>202403</v>
      </c>
      <c r="D681" s="81" t="n">
        <v>45352</v>
      </c>
      <c r="E681" s="82" t="n">
        <v>1760.131</v>
      </c>
      <c r="F681" s="80" t="n">
        <v>32</v>
      </c>
      <c r="G681" s="79" t="s">
        <v>1339</v>
      </c>
    </row>
    <row r="682" customFormat="false" ht="15" hidden="false" customHeight="false" outlineLevel="0" collapsed="false">
      <c r="A682" s="79" t="s">
        <v>245</v>
      </c>
      <c r="B682" s="79" t="s">
        <v>1119</v>
      </c>
      <c r="C682" s="80" t="n">
        <v>202402</v>
      </c>
      <c r="D682" s="81" t="n">
        <v>45323</v>
      </c>
      <c r="E682" s="82" t="n">
        <v>1737.854</v>
      </c>
      <c r="F682" s="80" t="n">
        <v>33</v>
      </c>
      <c r="G682" s="79" t="s">
        <v>1340</v>
      </c>
    </row>
    <row r="683" customFormat="false" ht="15" hidden="false" customHeight="false" outlineLevel="0" collapsed="false">
      <c r="A683" s="79" t="s">
        <v>245</v>
      </c>
      <c r="B683" s="79" t="s">
        <v>1121</v>
      </c>
      <c r="C683" s="80" t="n">
        <v>202401</v>
      </c>
      <c r="D683" s="81" t="n">
        <v>45292</v>
      </c>
      <c r="E683" s="82" t="n">
        <v>2208.208</v>
      </c>
      <c r="F683" s="80" t="n">
        <v>34</v>
      </c>
      <c r="G683" s="79" t="s">
        <v>1341</v>
      </c>
    </row>
    <row r="684" customFormat="false" ht="15" hidden="false" customHeight="false" outlineLevel="0" collapsed="false">
      <c r="A684" s="79" t="s">
        <v>245</v>
      </c>
      <c r="B684" s="79" t="s">
        <v>1123</v>
      </c>
      <c r="C684" s="80" t="n">
        <v>202312</v>
      </c>
      <c r="D684" s="81" t="n">
        <v>45261</v>
      </c>
      <c r="E684" s="82" t="n">
        <v>1978.714</v>
      </c>
      <c r="F684" s="80" t="n">
        <v>35</v>
      </c>
      <c r="G684" s="79" t="s">
        <v>1342</v>
      </c>
    </row>
    <row r="685" customFormat="false" ht="15" hidden="false" customHeight="false" outlineLevel="0" collapsed="false">
      <c r="A685" s="79" t="s">
        <v>245</v>
      </c>
      <c r="B685" s="79" t="s">
        <v>1125</v>
      </c>
      <c r="C685" s="80" t="n">
        <v>202311</v>
      </c>
      <c r="D685" s="81" t="n">
        <v>45231</v>
      </c>
      <c r="E685" s="82" t="n">
        <v>2127.874</v>
      </c>
      <c r="F685" s="80" t="n">
        <v>36</v>
      </c>
      <c r="G685" s="79" t="s">
        <v>1343</v>
      </c>
    </row>
    <row r="686" customFormat="false" ht="15" hidden="false" customHeight="false" outlineLevel="0" collapsed="false">
      <c r="A686" s="79" t="s">
        <v>241</v>
      </c>
      <c r="B686" s="79" t="s">
        <v>1079</v>
      </c>
      <c r="C686" s="80" t="n">
        <v>202610</v>
      </c>
      <c r="D686" s="81" t="n">
        <v>46296</v>
      </c>
      <c r="E686" s="82" t="n">
        <v>1289.341</v>
      </c>
      <c r="F686" s="80" t="n">
        <v>1</v>
      </c>
      <c r="G686" s="79" t="s">
        <v>771</v>
      </c>
    </row>
    <row r="687" customFormat="false" ht="15" hidden="false" customHeight="false" outlineLevel="0" collapsed="false">
      <c r="A687" s="79" t="s">
        <v>241</v>
      </c>
      <c r="B687" s="79" t="s">
        <v>1080</v>
      </c>
      <c r="C687" s="80" t="n">
        <v>202609</v>
      </c>
      <c r="D687" s="81" t="n">
        <v>46266</v>
      </c>
      <c r="E687" s="82" t="n">
        <v>1247.981</v>
      </c>
      <c r="F687" s="80" t="n">
        <v>2</v>
      </c>
      <c r="G687" s="79" t="s">
        <v>772</v>
      </c>
    </row>
    <row r="688" customFormat="false" ht="15" hidden="false" customHeight="false" outlineLevel="0" collapsed="false">
      <c r="A688" s="79" t="s">
        <v>241</v>
      </c>
      <c r="B688" s="79" t="s">
        <v>1081</v>
      </c>
      <c r="C688" s="80" t="n">
        <v>202608</v>
      </c>
      <c r="D688" s="81" t="n">
        <v>46235</v>
      </c>
      <c r="E688" s="82" t="n">
        <v>1218.533</v>
      </c>
      <c r="F688" s="80" t="n">
        <v>3</v>
      </c>
      <c r="G688" s="79" t="s">
        <v>773</v>
      </c>
    </row>
    <row r="689" customFormat="false" ht="15" hidden="false" customHeight="false" outlineLevel="0" collapsed="false">
      <c r="A689" s="79" t="s">
        <v>241</v>
      </c>
      <c r="B689" s="79" t="s">
        <v>1082</v>
      </c>
      <c r="C689" s="80" t="n">
        <v>202607</v>
      </c>
      <c r="D689" s="81" t="n">
        <v>46204</v>
      </c>
      <c r="E689" s="82" t="n">
        <v>1138.635</v>
      </c>
      <c r="F689" s="80" t="n">
        <v>4</v>
      </c>
      <c r="G689" s="79" t="s">
        <v>774</v>
      </c>
    </row>
    <row r="690" customFormat="false" ht="15" hidden="false" customHeight="false" outlineLevel="0" collapsed="false">
      <c r="A690" s="79" t="s">
        <v>241</v>
      </c>
      <c r="B690" s="79" t="s">
        <v>1083</v>
      </c>
      <c r="C690" s="80" t="n">
        <v>202606</v>
      </c>
      <c r="D690" s="81" t="n">
        <v>46174</v>
      </c>
      <c r="E690" s="82" t="n">
        <v>960.221</v>
      </c>
      <c r="F690" s="80" t="n">
        <v>5</v>
      </c>
      <c r="G690" s="79" t="s">
        <v>775</v>
      </c>
    </row>
    <row r="691" customFormat="false" ht="15" hidden="false" customHeight="false" outlineLevel="0" collapsed="false">
      <c r="A691" s="79" t="s">
        <v>241</v>
      </c>
      <c r="B691" s="79" t="s">
        <v>1084</v>
      </c>
      <c r="C691" s="80" t="n">
        <v>202605</v>
      </c>
      <c r="D691" s="81" t="n">
        <v>46143</v>
      </c>
      <c r="E691" s="82" t="n">
        <v>877.785</v>
      </c>
      <c r="F691" s="80" t="n">
        <v>6</v>
      </c>
      <c r="G691" s="79" t="s">
        <v>776</v>
      </c>
    </row>
    <row r="692" customFormat="false" ht="15" hidden="false" customHeight="false" outlineLevel="0" collapsed="false">
      <c r="A692" s="79" t="s">
        <v>241</v>
      </c>
      <c r="B692" s="79" t="s">
        <v>1085</v>
      </c>
      <c r="C692" s="80" t="n">
        <v>202604</v>
      </c>
      <c r="D692" s="81" t="n">
        <v>46113</v>
      </c>
      <c r="E692" s="82" t="n">
        <v>727.713</v>
      </c>
      <c r="F692" s="80" t="n">
        <v>7</v>
      </c>
      <c r="G692" s="79" t="s">
        <v>777</v>
      </c>
    </row>
    <row r="693" customFormat="false" ht="15" hidden="false" customHeight="false" outlineLevel="0" collapsed="false">
      <c r="A693" s="79" t="s">
        <v>241</v>
      </c>
      <c r="B693" s="79" t="s">
        <v>1086</v>
      </c>
      <c r="C693" s="80" t="n">
        <v>202603</v>
      </c>
      <c r="D693" s="81" t="n">
        <v>46082</v>
      </c>
      <c r="E693" s="82" t="n">
        <v>607.616</v>
      </c>
      <c r="F693" s="80" t="n">
        <v>8</v>
      </c>
      <c r="G693" s="79" t="s">
        <v>778</v>
      </c>
    </row>
    <row r="694" customFormat="false" ht="15" hidden="false" customHeight="false" outlineLevel="0" collapsed="false">
      <c r="A694" s="79" t="s">
        <v>241</v>
      </c>
      <c r="B694" s="79" t="s">
        <v>1087</v>
      </c>
      <c r="C694" s="80" t="n">
        <v>202602</v>
      </c>
      <c r="D694" s="81" t="n">
        <v>46054</v>
      </c>
      <c r="E694" s="82" t="n">
        <v>751.552</v>
      </c>
      <c r="F694" s="80" t="n">
        <v>9</v>
      </c>
      <c r="G694" s="79" t="s">
        <v>779</v>
      </c>
    </row>
    <row r="695" customFormat="false" ht="15" hidden="false" customHeight="false" outlineLevel="0" collapsed="false">
      <c r="A695" s="79" t="s">
        <v>241</v>
      </c>
      <c r="B695" s="79" t="s">
        <v>1088</v>
      </c>
      <c r="C695" s="80" t="n">
        <v>202601</v>
      </c>
      <c r="D695" s="81" t="n">
        <v>46023</v>
      </c>
      <c r="E695" s="82" t="n">
        <v>791.973</v>
      </c>
      <c r="F695" s="80" t="n">
        <v>10</v>
      </c>
      <c r="G695" s="79" t="s">
        <v>780</v>
      </c>
    </row>
    <row r="696" customFormat="false" ht="15" hidden="false" customHeight="false" outlineLevel="0" collapsed="false">
      <c r="A696" s="79" t="s">
        <v>241</v>
      </c>
      <c r="B696" s="79" t="s">
        <v>1089</v>
      </c>
      <c r="C696" s="80" t="n">
        <v>202512</v>
      </c>
      <c r="D696" s="81" t="n">
        <v>45992</v>
      </c>
      <c r="E696" s="82" t="n">
        <v>631.105</v>
      </c>
      <c r="F696" s="80" t="n">
        <v>11</v>
      </c>
      <c r="G696" s="79" t="s">
        <v>781</v>
      </c>
    </row>
    <row r="697" customFormat="false" ht="15" hidden="false" customHeight="false" outlineLevel="0" collapsed="false">
      <c r="A697" s="79" t="s">
        <v>241</v>
      </c>
      <c r="B697" s="79" t="s">
        <v>1090</v>
      </c>
      <c r="C697" s="80" t="n">
        <v>202511</v>
      </c>
      <c r="D697" s="81" t="n">
        <v>45962</v>
      </c>
      <c r="E697" s="82" t="n">
        <v>698.87</v>
      </c>
      <c r="F697" s="80" t="n">
        <v>12</v>
      </c>
      <c r="G697" s="79" t="s">
        <v>782</v>
      </c>
    </row>
    <row r="698" customFormat="false" ht="15" hidden="false" customHeight="false" outlineLevel="0" collapsed="false">
      <c r="A698" s="79" t="s">
        <v>241</v>
      </c>
      <c r="B698" s="79" t="s">
        <v>1091</v>
      </c>
      <c r="C698" s="80" t="n">
        <v>202510</v>
      </c>
      <c r="D698" s="81" t="n">
        <v>45931</v>
      </c>
      <c r="E698" s="82" t="n">
        <v>645.366</v>
      </c>
      <c r="F698" s="80" t="n">
        <v>13</v>
      </c>
      <c r="G698" s="79" t="s">
        <v>783</v>
      </c>
    </row>
    <row r="699" customFormat="false" ht="15" hidden="false" customHeight="false" outlineLevel="0" collapsed="false">
      <c r="A699" s="79" t="s">
        <v>241</v>
      </c>
      <c r="B699" s="79" t="s">
        <v>1092</v>
      </c>
      <c r="C699" s="80" t="n">
        <v>202509</v>
      </c>
      <c r="D699" s="81" t="n">
        <v>45901</v>
      </c>
      <c r="E699" s="82" t="n">
        <v>594.962</v>
      </c>
      <c r="F699" s="80" t="n">
        <v>14</v>
      </c>
      <c r="G699" s="79" t="s">
        <v>784</v>
      </c>
    </row>
    <row r="700" customFormat="false" ht="15" hidden="false" customHeight="false" outlineLevel="0" collapsed="false">
      <c r="A700" s="79" t="s">
        <v>241</v>
      </c>
      <c r="B700" s="79" t="s">
        <v>1093</v>
      </c>
      <c r="C700" s="80" t="n">
        <v>202508</v>
      </c>
      <c r="D700" s="81" t="n">
        <v>45870</v>
      </c>
      <c r="E700" s="82" t="n">
        <v>615.415</v>
      </c>
      <c r="F700" s="80" t="n">
        <v>15</v>
      </c>
      <c r="G700" s="79" t="s">
        <v>785</v>
      </c>
    </row>
    <row r="701" customFormat="false" ht="15" hidden="false" customHeight="false" outlineLevel="0" collapsed="false">
      <c r="A701" s="79" t="s">
        <v>241</v>
      </c>
      <c r="B701" s="79" t="s">
        <v>1094</v>
      </c>
      <c r="C701" s="80" t="n">
        <v>202507</v>
      </c>
      <c r="D701" s="81" t="n">
        <v>45839</v>
      </c>
      <c r="E701" s="82" t="n">
        <v>605.082</v>
      </c>
      <c r="F701" s="80" t="n">
        <v>16</v>
      </c>
      <c r="G701" s="79" t="s">
        <v>786</v>
      </c>
    </row>
    <row r="702" customFormat="false" ht="15" hidden="false" customHeight="false" outlineLevel="0" collapsed="false">
      <c r="A702" s="79" t="s">
        <v>241</v>
      </c>
      <c r="B702" s="79" t="s">
        <v>1095</v>
      </c>
      <c r="C702" s="80" t="n">
        <v>202506</v>
      </c>
      <c r="D702" s="81" t="n">
        <v>45809</v>
      </c>
      <c r="E702" s="82" t="n">
        <v>640.52</v>
      </c>
      <c r="F702" s="80" t="n">
        <v>17</v>
      </c>
      <c r="G702" s="79" t="s">
        <v>787</v>
      </c>
    </row>
    <row r="703" customFormat="false" ht="15" hidden="false" customHeight="false" outlineLevel="0" collapsed="false">
      <c r="A703" s="79" t="s">
        <v>241</v>
      </c>
      <c r="B703" s="79" t="s">
        <v>1096</v>
      </c>
      <c r="C703" s="80" t="n">
        <v>202505</v>
      </c>
      <c r="D703" s="81" t="n">
        <v>45778</v>
      </c>
      <c r="E703" s="82" t="n">
        <v>603.299</v>
      </c>
      <c r="F703" s="80" t="n">
        <v>18</v>
      </c>
      <c r="G703" s="79" t="s">
        <v>788</v>
      </c>
    </row>
    <row r="704" customFormat="false" ht="15" hidden="false" customHeight="false" outlineLevel="0" collapsed="false">
      <c r="A704" s="79" t="s">
        <v>241</v>
      </c>
      <c r="B704" s="79" t="s">
        <v>1097</v>
      </c>
      <c r="C704" s="80" t="n">
        <v>202504</v>
      </c>
      <c r="D704" s="81" t="n">
        <v>45748</v>
      </c>
      <c r="E704" s="82" t="n">
        <v>977.959</v>
      </c>
      <c r="F704" s="80" t="n">
        <v>19</v>
      </c>
      <c r="G704" s="79" t="s">
        <v>789</v>
      </c>
    </row>
    <row r="705" customFormat="false" ht="15" hidden="false" customHeight="false" outlineLevel="0" collapsed="false">
      <c r="A705" s="79" t="s">
        <v>241</v>
      </c>
      <c r="B705" s="79" t="s">
        <v>1098</v>
      </c>
      <c r="C705" s="80" t="n">
        <v>202503</v>
      </c>
      <c r="D705" s="81" t="n">
        <v>45717</v>
      </c>
      <c r="E705" s="82" t="n">
        <v>958.464</v>
      </c>
      <c r="F705" s="80" t="n">
        <v>20</v>
      </c>
      <c r="G705" s="79" t="s">
        <v>790</v>
      </c>
    </row>
    <row r="706" customFormat="false" ht="15" hidden="false" customHeight="false" outlineLevel="0" collapsed="false">
      <c r="A706" s="79" t="s">
        <v>241</v>
      </c>
      <c r="B706" s="79" t="s">
        <v>1099</v>
      </c>
      <c r="C706" s="80" t="n">
        <v>202502</v>
      </c>
      <c r="D706" s="81" t="n">
        <v>45689</v>
      </c>
      <c r="E706" s="82" t="n">
        <v>821.579</v>
      </c>
      <c r="F706" s="80" t="n">
        <v>21</v>
      </c>
      <c r="G706" s="79" t="s">
        <v>791</v>
      </c>
    </row>
    <row r="707" customFormat="false" ht="15" hidden="false" customHeight="false" outlineLevel="0" collapsed="false">
      <c r="A707" s="79" t="s">
        <v>241</v>
      </c>
      <c r="B707" s="79" t="s">
        <v>1100</v>
      </c>
      <c r="C707" s="80" t="n">
        <v>202501</v>
      </c>
      <c r="D707" s="81" t="n">
        <v>45658</v>
      </c>
      <c r="E707" s="82" t="n">
        <v>824.908</v>
      </c>
      <c r="F707" s="80" t="n">
        <v>22</v>
      </c>
      <c r="G707" s="79" t="s">
        <v>792</v>
      </c>
    </row>
    <row r="708" customFormat="false" ht="15" hidden="false" customHeight="false" outlineLevel="0" collapsed="false">
      <c r="A708" s="79" t="s">
        <v>241</v>
      </c>
      <c r="B708" s="79" t="s">
        <v>1101</v>
      </c>
      <c r="C708" s="80" t="n">
        <v>202412</v>
      </c>
      <c r="D708" s="81" t="n">
        <v>45627</v>
      </c>
      <c r="E708" s="82" t="n">
        <v>786.997</v>
      </c>
      <c r="F708" s="80" t="n">
        <v>23</v>
      </c>
      <c r="G708" s="79" t="s">
        <v>793</v>
      </c>
    </row>
    <row r="709" customFormat="false" ht="15" hidden="false" customHeight="false" outlineLevel="0" collapsed="false">
      <c r="A709" s="79" t="s">
        <v>241</v>
      </c>
      <c r="B709" s="79" t="s">
        <v>1102</v>
      </c>
      <c r="C709" s="80" t="n">
        <v>202411</v>
      </c>
      <c r="D709" s="81" t="n">
        <v>45597</v>
      </c>
      <c r="E709" s="82" t="n">
        <v>864.645</v>
      </c>
      <c r="F709" s="80" t="n">
        <v>24</v>
      </c>
      <c r="G709" s="79" t="s">
        <v>794</v>
      </c>
    </row>
    <row r="710" customFormat="false" ht="15" hidden="false" customHeight="false" outlineLevel="0" collapsed="false">
      <c r="A710" s="79" t="s">
        <v>241</v>
      </c>
      <c r="B710" s="79" t="s">
        <v>1103</v>
      </c>
      <c r="C710" s="80" t="n">
        <v>202410</v>
      </c>
      <c r="D710" s="81" t="n">
        <v>45566</v>
      </c>
      <c r="E710" s="82" t="n">
        <v>797.761</v>
      </c>
      <c r="F710" s="80" t="n">
        <v>25</v>
      </c>
      <c r="G710" s="79" t="s">
        <v>1344</v>
      </c>
    </row>
    <row r="711" customFormat="false" ht="15" hidden="false" customHeight="false" outlineLevel="0" collapsed="false">
      <c r="A711" s="79" t="s">
        <v>241</v>
      </c>
      <c r="B711" s="79" t="s">
        <v>1105</v>
      </c>
      <c r="C711" s="80" t="n">
        <v>202409</v>
      </c>
      <c r="D711" s="81" t="n">
        <v>45536</v>
      </c>
      <c r="E711" s="82" t="n">
        <v>658.197</v>
      </c>
      <c r="F711" s="80" t="n">
        <v>26</v>
      </c>
      <c r="G711" s="79" t="s">
        <v>1345</v>
      </c>
    </row>
    <row r="712" customFormat="false" ht="15" hidden="false" customHeight="false" outlineLevel="0" collapsed="false">
      <c r="A712" s="79" t="s">
        <v>241</v>
      </c>
      <c r="B712" s="79" t="s">
        <v>1107</v>
      </c>
      <c r="C712" s="80" t="n">
        <v>202408</v>
      </c>
      <c r="D712" s="81" t="n">
        <v>45505</v>
      </c>
      <c r="E712" s="82" t="n">
        <v>644.812</v>
      </c>
      <c r="F712" s="80" t="n">
        <v>27</v>
      </c>
      <c r="G712" s="79" t="s">
        <v>1346</v>
      </c>
    </row>
    <row r="713" customFormat="false" ht="15" hidden="false" customHeight="false" outlineLevel="0" collapsed="false">
      <c r="A713" s="79" t="s">
        <v>241</v>
      </c>
      <c r="B713" s="79" t="s">
        <v>1109</v>
      </c>
      <c r="C713" s="80" t="n">
        <v>202407</v>
      </c>
      <c r="D713" s="81" t="n">
        <v>45474</v>
      </c>
      <c r="E713" s="82" t="n">
        <v>540.921</v>
      </c>
      <c r="F713" s="80" t="n">
        <v>28</v>
      </c>
      <c r="G713" s="79" t="s">
        <v>1347</v>
      </c>
    </row>
    <row r="714" customFormat="false" ht="15" hidden="false" customHeight="false" outlineLevel="0" collapsed="false">
      <c r="A714" s="79" t="s">
        <v>241</v>
      </c>
      <c r="B714" s="79" t="s">
        <v>1111</v>
      </c>
      <c r="C714" s="80" t="n">
        <v>202406</v>
      </c>
      <c r="D714" s="81" t="n">
        <v>45444</v>
      </c>
      <c r="E714" s="82" t="n">
        <v>575.706</v>
      </c>
      <c r="F714" s="80" t="n">
        <v>29</v>
      </c>
      <c r="G714" s="79" t="s">
        <v>1348</v>
      </c>
    </row>
    <row r="715" customFormat="false" ht="15" hidden="false" customHeight="false" outlineLevel="0" collapsed="false">
      <c r="A715" s="79" t="s">
        <v>241</v>
      </c>
      <c r="B715" s="79" t="s">
        <v>1113</v>
      </c>
      <c r="C715" s="80" t="n">
        <v>202405</v>
      </c>
      <c r="D715" s="81" t="n">
        <v>45413</v>
      </c>
      <c r="E715" s="82" t="n">
        <v>588.227</v>
      </c>
      <c r="F715" s="80" t="n">
        <v>30</v>
      </c>
      <c r="G715" s="79" t="s">
        <v>1349</v>
      </c>
    </row>
    <row r="716" customFormat="false" ht="15" hidden="false" customHeight="false" outlineLevel="0" collapsed="false">
      <c r="A716" s="79" t="s">
        <v>241</v>
      </c>
      <c r="B716" s="79" t="s">
        <v>1115</v>
      </c>
      <c r="C716" s="80" t="n">
        <v>202404</v>
      </c>
      <c r="D716" s="81" t="n">
        <v>45383</v>
      </c>
      <c r="E716" s="82" t="n">
        <v>477.34</v>
      </c>
      <c r="F716" s="80" t="n">
        <v>31</v>
      </c>
      <c r="G716" s="79" t="s">
        <v>1350</v>
      </c>
    </row>
    <row r="717" customFormat="false" ht="15" hidden="false" customHeight="false" outlineLevel="0" collapsed="false">
      <c r="A717" s="79" t="s">
        <v>241</v>
      </c>
      <c r="B717" s="79" t="s">
        <v>1117</v>
      </c>
      <c r="C717" s="80" t="n">
        <v>202403</v>
      </c>
      <c r="D717" s="81" t="n">
        <v>45352</v>
      </c>
      <c r="E717" s="82" t="n">
        <v>385.194</v>
      </c>
      <c r="F717" s="80" t="n">
        <v>32</v>
      </c>
      <c r="G717" s="79" t="s">
        <v>1351</v>
      </c>
    </row>
    <row r="718" customFormat="false" ht="15" hidden="false" customHeight="false" outlineLevel="0" collapsed="false">
      <c r="A718" s="79" t="s">
        <v>241</v>
      </c>
      <c r="B718" s="79" t="s">
        <v>1119</v>
      </c>
      <c r="C718" s="80" t="n">
        <v>202402</v>
      </c>
      <c r="D718" s="81" t="n">
        <v>45323</v>
      </c>
      <c r="E718" s="82" t="n">
        <v>422.954</v>
      </c>
      <c r="F718" s="80" t="n">
        <v>33</v>
      </c>
      <c r="G718" s="79" t="s">
        <v>1352</v>
      </c>
    </row>
    <row r="719" customFormat="false" ht="15" hidden="false" customHeight="false" outlineLevel="0" collapsed="false">
      <c r="A719" s="79" t="s">
        <v>241</v>
      </c>
      <c r="B719" s="79" t="s">
        <v>1121</v>
      </c>
      <c r="C719" s="80" t="n">
        <v>202401</v>
      </c>
      <c r="D719" s="81" t="n">
        <v>45292</v>
      </c>
      <c r="E719" s="82" t="n">
        <v>454.498</v>
      </c>
      <c r="F719" s="80" t="n">
        <v>34</v>
      </c>
      <c r="G719" s="79" t="s">
        <v>1353</v>
      </c>
    </row>
    <row r="720" customFormat="false" ht="15" hidden="false" customHeight="false" outlineLevel="0" collapsed="false">
      <c r="A720" s="79" t="s">
        <v>241</v>
      </c>
      <c r="B720" s="79" t="s">
        <v>1123</v>
      </c>
      <c r="C720" s="80" t="n">
        <v>202312</v>
      </c>
      <c r="D720" s="81" t="n">
        <v>45261</v>
      </c>
      <c r="E720" s="82" t="n">
        <v>484.156</v>
      </c>
      <c r="F720" s="80" t="n">
        <v>35</v>
      </c>
      <c r="G720" s="79" t="s">
        <v>1354</v>
      </c>
    </row>
    <row r="721" customFormat="false" ht="15" hidden="false" customHeight="false" outlineLevel="0" collapsed="false">
      <c r="A721" s="79" t="s">
        <v>241</v>
      </c>
      <c r="B721" s="79" t="s">
        <v>1125</v>
      </c>
      <c r="C721" s="80" t="n">
        <v>202311</v>
      </c>
      <c r="D721" s="81" t="n">
        <v>45231</v>
      </c>
      <c r="E721" s="82" t="n">
        <v>499.66</v>
      </c>
      <c r="F721" s="80" t="n">
        <v>36</v>
      </c>
      <c r="G721" s="79" t="s">
        <v>1355</v>
      </c>
    </row>
    <row r="722" customFormat="false" ht="15" hidden="false" customHeight="false" outlineLevel="0" collapsed="false">
      <c r="A722" s="79" t="s">
        <v>197</v>
      </c>
      <c r="B722" s="79" t="s">
        <v>1079</v>
      </c>
      <c r="C722" s="80" t="n">
        <v>202610</v>
      </c>
      <c r="D722" s="81" t="n">
        <v>46296</v>
      </c>
      <c r="E722" s="82" t="n">
        <v>9332.402</v>
      </c>
      <c r="F722" s="80" t="n">
        <v>1</v>
      </c>
      <c r="G722" s="79" t="s">
        <v>796</v>
      </c>
    </row>
    <row r="723" customFormat="false" ht="15" hidden="false" customHeight="false" outlineLevel="0" collapsed="false">
      <c r="A723" s="79" t="s">
        <v>197</v>
      </c>
      <c r="B723" s="79" t="s">
        <v>1080</v>
      </c>
      <c r="C723" s="80" t="n">
        <v>202609</v>
      </c>
      <c r="D723" s="81" t="n">
        <v>46266</v>
      </c>
      <c r="E723" s="82" t="n">
        <v>8891.805</v>
      </c>
      <c r="F723" s="80" t="n">
        <v>2</v>
      </c>
      <c r="G723" s="79" t="s">
        <v>797</v>
      </c>
    </row>
    <row r="724" customFormat="false" ht="15" hidden="false" customHeight="false" outlineLevel="0" collapsed="false">
      <c r="A724" s="79" t="s">
        <v>197</v>
      </c>
      <c r="B724" s="79" t="s">
        <v>1081</v>
      </c>
      <c r="C724" s="80" t="n">
        <v>202608</v>
      </c>
      <c r="D724" s="81" t="n">
        <v>46235</v>
      </c>
      <c r="E724" s="82" t="n">
        <v>9630.165</v>
      </c>
      <c r="F724" s="80" t="n">
        <v>3</v>
      </c>
      <c r="G724" s="79" t="s">
        <v>798</v>
      </c>
    </row>
    <row r="725" customFormat="false" ht="15" hidden="false" customHeight="false" outlineLevel="0" collapsed="false">
      <c r="A725" s="79" t="s">
        <v>197</v>
      </c>
      <c r="B725" s="79" t="s">
        <v>1082</v>
      </c>
      <c r="C725" s="80" t="n">
        <v>202607</v>
      </c>
      <c r="D725" s="81" t="n">
        <v>46204</v>
      </c>
      <c r="E725" s="82" t="n">
        <v>8518.109</v>
      </c>
      <c r="F725" s="80" t="n">
        <v>4</v>
      </c>
      <c r="G725" s="79" t="s">
        <v>799</v>
      </c>
    </row>
    <row r="726" customFormat="false" ht="15" hidden="false" customHeight="false" outlineLevel="0" collapsed="false">
      <c r="A726" s="79" t="s">
        <v>197</v>
      </c>
      <c r="B726" s="79" t="s">
        <v>1083</v>
      </c>
      <c r="C726" s="80" t="n">
        <v>202606</v>
      </c>
      <c r="D726" s="81" t="n">
        <v>46174</v>
      </c>
      <c r="E726" s="82" t="n">
        <v>7352.121</v>
      </c>
      <c r="F726" s="80" t="n">
        <v>5</v>
      </c>
      <c r="G726" s="79" t="s">
        <v>800</v>
      </c>
    </row>
    <row r="727" customFormat="false" ht="15" hidden="false" customHeight="false" outlineLevel="0" collapsed="false">
      <c r="A727" s="79" t="s">
        <v>197</v>
      </c>
      <c r="B727" s="79" t="s">
        <v>1084</v>
      </c>
      <c r="C727" s="80" t="n">
        <v>202605</v>
      </c>
      <c r="D727" s="81" t="n">
        <v>46143</v>
      </c>
      <c r="E727" s="82" t="n">
        <v>7382.955</v>
      </c>
      <c r="F727" s="80" t="n">
        <v>6</v>
      </c>
      <c r="G727" s="79" t="s">
        <v>801</v>
      </c>
    </row>
    <row r="728" customFormat="false" ht="15" hidden="false" customHeight="false" outlineLevel="0" collapsed="false">
      <c r="A728" s="79" t="s">
        <v>197</v>
      </c>
      <c r="B728" s="79" t="s">
        <v>1085</v>
      </c>
      <c r="C728" s="80" t="n">
        <v>202604</v>
      </c>
      <c r="D728" s="81" t="n">
        <v>46113</v>
      </c>
      <c r="E728" s="82" t="n">
        <v>7013.696</v>
      </c>
      <c r="F728" s="80" t="n">
        <v>7</v>
      </c>
      <c r="G728" s="79" t="s">
        <v>802</v>
      </c>
    </row>
    <row r="729" customFormat="false" ht="15" hidden="false" customHeight="false" outlineLevel="0" collapsed="false">
      <c r="A729" s="79" t="s">
        <v>197</v>
      </c>
      <c r="B729" s="79" t="s">
        <v>1086</v>
      </c>
      <c r="C729" s="80" t="n">
        <v>202603</v>
      </c>
      <c r="D729" s="81" t="n">
        <v>46082</v>
      </c>
      <c r="E729" s="82" t="n">
        <v>6387.852</v>
      </c>
      <c r="F729" s="80" t="n">
        <v>8</v>
      </c>
      <c r="G729" s="79" t="s">
        <v>803</v>
      </c>
    </row>
    <row r="730" customFormat="false" ht="15" hidden="false" customHeight="false" outlineLevel="0" collapsed="false">
      <c r="A730" s="79" t="s">
        <v>197</v>
      </c>
      <c r="B730" s="79" t="s">
        <v>1087</v>
      </c>
      <c r="C730" s="80" t="n">
        <v>202602</v>
      </c>
      <c r="D730" s="81" t="n">
        <v>46054</v>
      </c>
      <c r="E730" s="82" t="n">
        <v>7455.82</v>
      </c>
      <c r="F730" s="80" t="n">
        <v>9</v>
      </c>
      <c r="G730" s="79" t="s">
        <v>804</v>
      </c>
    </row>
    <row r="731" customFormat="false" ht="15" hidden="false" customHeight="false" outlineLevel="0" collapsed="false">
      <c r="A731" s="79" t="s">
        <v>197</v>
      </c>
      <c r="B731" s="79" t="s">
        <v>1088</v>
      </c>
      <c r="C731" s="80" t="n">
        <v>202601</v>
      </c>
      <c r="D731" s="81" t="n">
        <v>46023</v>
      </c>
      <c r="E731" s="82" t="n">
        <v>6640.666</v>
      </c>
      <c r="F731" s="80" t="n">
        <v>10</v>
      </c>
      <c r="G731" s="79" t="s">
        <v>805</v>
      </c>
    </row>
    <row r="732" customFormat="false" ht="15" hidden="false" customHeight="false" outlineLevel="0" collapsed="false">
      <c r="A732" s="79" t="s">
        <v>197</v>
      </c>
      <c r="B732" s="79" t="s">
        <v>1089</v>
      </c>
      <c r="C732" s="80" t="n">
        <v>202512</v>
      </c>
      <c r="D732" s="81" t="n">
        <v>45992</v>
      </c>
      <c r="E732" s="82" t="n">
        <v>6538.775</v>
      </c>
      <c r="F732" s="80" t="n">
        <v>11</v>
      </c>
      <c r="G732" s="79" t="s">
        <v>806</v>
      </c>
    </row>
    <row r="733" customFormat="false" ht="15" hidden="false" customHeight="false" outlineLevel="0" collapsed="false">
      <c r="A733" s="79" t="s">
        <v>197</v>
      </c>
      <c r="B733" s="79" t="s">
        <v>1090</v>
      </c>
      <c r="C733" s="80" t="n">
        <v>202511</v>
      </c>
      <c r="D733" s="81" t="n">
        <v>45962</v>
      </c>
      <c r="E733" s="82" t="n">
        <v>6581.49</v>
      </c>
      <c r="F733" s="80" t="n">
        <v>12</v>
      </c>
      <c r="G733" s="79" t="s">
        <v>807</v>
      </c>
    </row>
    <row r="734" customFormat="false" ht="15" hidden="false" customHeight="false" outlineLevel="0" collapsed="false">
      <c r="A734" s="79" t="s">
        <v>197</v>
      </c>
      <c r="B734" s="79" t="s">
        <v>1091</v>
      </c>
      <c r="C734" s="80" t="n">
        <v>202510</v>
      </c>
      <c r="D734" s="81" t="n">
        <v>45931</v>
      </c>
      <c r="E734" s="82" t="n">
        <v>6706.222</v>
      </c>
      <c r="F734" s="80" t="n">
        <v>13</v>
      </c>
      <c r="G734" s="79" t="s">
        <v>808</v>
      </c>
    </row>
    <row r="735" customFormat="false" ht="15" hidden="false" customHeight="false" outlineLevel="0" collapsed="false">
      <c r="A735" s="79" t="s">
        <v>197</v>
      </c>
      <c r="B735" s="79" t="s">
        <v>1092</v>
      </c>
      <c r="C735" s="80" t="n">
        <v>202509</v>
      </c>
      <c r="D735" s="81" t="n">
        <v>45901</v>
      </c>
      <c r="E735" s="82" t="n">
        <v>5774.218</v>
      </c>
      <c r="F735" s="80" t="n">
        <v>14</v>
      </c>
      <c r="G735" s="79" t="s">
        <v>809</v>
      </c>
    </row>
    <row r="736" customFormat="false" ht="15" hidden="false" customHeight="false" outlineLevel="0" collapsed="false">
      <c r="A736" s="79" t="s">
        <v>197</v>
      </c>
      <c r="B736" s="79" t="s">
        <v>1093</v>
      </c>
      <c r="C736" s="80" t="n">
        <v>202508</v>
      </c>
      <c r="D736" s="81" t="n">
        <v>45870</v>
      </c>
      <c r="E736" s="82" t="n">
        <v>6034.282</v>
      </c>
      <c r="F736" s="80" t="n">
        <v>15</v>
      </c>
      <c r="G736" s="79" t="s">
        <v>810</v>
      </c>
    </row>
    <row r="737" customFormat="false" ht="15" hidden="false" customHeight="false" outlineLevel="0" collapsed="false">
      <c r="A737" s="79" t="s">
        <v>197</v>
      </c>
      <c r="B737" s="79" t="s">
        <v>1094</v>
      </c>
      <c r="C737" s="80" t="n">
        <v>202507</v>
      </c>
      <c r="D737" s="81" t="n">
        <v>45839</v>
      </c>
      <c r="E737" s="82" t="n">
        <v>5200.632</v>
      </c>
      <c r="F737" s="80" t="n">
        <v>16</v>
      </c>
      <c r="G737" s="79" t="s">
        <v>811</v>
      </c>
    </row>
    <row r="738" customFormat="false" ht="15" hidden="false" customHeight="false" outlineLevel="0" collapsed="false">
      <c r="A738" s="79" t="s">
        <v>197</v>
      </c>
      <c r="B738" s="79" t="s">
        <v>1095</v>
      </c>
      <c r="C738" s="80" t="n">
        <v>202506</v>
      </c>
      <c r="D738" s="81" t="n">
        <v>45809</v>
      </c>
      <c r="E738" s="82" t="n">
        <v>5201.409</v>
      </c>
      <c r="F738" s="80" t="n">
        <v>17</v>
      </c>
      <c r="G738" s="79" t="s">
        <v>812</v>
      </c>
    </row>
    <row r="739" customFormat="false" ht="15" hidden="false" customHeight="false" outlineLevel="0" collapsed="false">
      <c r="A739" s="79" t="s">
        <v>197</v>
      </c>
      <c r="B739" s="79" t="s">
        <v>1096</v>
      </c>
      <c r="C739" s="80" t="n">
        <v>202505</v>
      </c>
      <c r="D739" s="81" t="n">
        <v>45778</v>
      </c>
      <c r="E739" s="82" t="n">
        <v>6228.086</v>
      </c>
      <c r="F739" s="80" t="n">
        <v>18</v>
      </c>
      <c r="G739" s="79" t="s">
        <v>813</v>
      </c>
    </row>
    <row r="740" customFormat="false" ht="15" hidden="false" customHeight="false" outlineLevel="0" collapsed="false">
      <c r="A740" s="79" t="s">
        <v>197</v>
      </c>
      <c r="B740" s="79" t="s">
        <v>1097</v>
      </c>
      <c r="C740" s="80" t="n">
        <v>202504</v>
      </c>
      <c r="D740" s="81" t="n">
        <v>45748</v>
      </c>
      <c r="E740" s="82" t="n">
        <v>5738.989</v>
      </c>
      <c r="F740" s="80" t="n">
        <v>19</v>
      </c>
      <c r="G740" s="79" t="s">
        <v>814</v>
      </c>
    </row>
    <row r="741" customFormat="false" ht="15" hidden="false" customHeight="false" outlineLevel="0" collapsed="false">
      <c r="A741" s="79" t="s">
        <v>197</v>
      </c>
      <c r="B741" s="79" t="s">
        <v>1098</v>
      </c>
      <c r="C741" s="80" t="n">
        <v>202503</v>
      </c>
      <c r="D741" s="81" t="n">
        <v>45717</v>
      </c>
      <c r="E741" s="82" t="n">
        <v>5001.88</v>
      </c>
      <c r="F741" s="80" t="n">
        <v>20</v>
      </c>
      <c r="G741" s="79" t="s">
        <v>815</v>
      </c>
    </row>
    <row r="742" customFormat="false" ht="15" hidden="false" customHeight="false" outlineLevel="0" collapsed="false">
      <c r="A742" s="79" t="s">
        <v>197</v>
      </c>
      <c r="B742" s="79" t="s">
        <v>1099</v>
      </c>
      <c r="C742" s="80" t="n">
        <v>202502</v>
      </c>
      <c r="D742" s="81" t="n">
        <v>45689</v>
      </c>
      <c r="E742" s="82" t="n">
        <v>5555.836</v>
      </c>
      <c r="F742" s="80" t="n">
        <v>21</v>
      </c>
      <c r="G742" s="79" t="s">
        <v>816</v>
      </c>
    </row>
    <row r="743" customFormat="false" ht="15" hidden="false" customHeight="false" outlineLevel="0" collapsed="false">
      <c r="A743" s="79" t="s">
        <v>197</v>
      </c>
      <c r="B743" s="79" t="s">
        <v>1100</v>
      </c>
      <c r="C743" s="80" t="n">
        <v>202501</v>
      </c>
      <c r="D743" s="81" t="n">
        <v>45658</v>
      </c>
      <c r="E743" s="82" t="n">
        <v>4641.987</v>
      </c>
      <c r="F743" s="80" t="n">
        <v>22</v>
      </c>
      <c r="G743" s="79" t="s">
        <v>817</v>
      </c>
    </row>
    <row r="744" customFormat="false" ht="15" hidden="false" customHeight="false" outlineLevel="0" collapsed="false">
      <c r="A744" s="79" t="s">
        <v>197</v>
      </c>
      <c r="B744" s="79" t="s">
        <v>1101</v>
      </c>
      <c r="C744" s="80" t="n">
        <v>202412</v>
      </c>
      <c r="D744" s="81" t="n">
        <v>45627</v>
      </c>
      <c r="E744" s="82" t="n">
        <v>4910.75</v>
      </c>
      <c r="F744" s="80" t="n">
        <v>23</v>
      </c>
      <c r="G744" s="79" t="s">
        <v>818</v>
      </c>
    </row>
    <row r="745" customFormat="false" ht="15" hidden="false" customHeight="false" outlineLevel="0" collapsed="false">
      <c r="A745" s="79" t="s">
        <v>197</v>
      </c>
      <c r="B745" s="79" t="s">
        <v>1102</v>
      </c>
      <c r="C745" s="80" t="n">
        <v>202411</v>
      </c>
      <c r="D745" s="81" t="n">
        <v>45597</v>
      </c>
      <c r="E745" s="82" t="n">
        <v>4911.147</v>
      </c>
      <c r="F745" s="80" t="n">
        <v>24</v>
      </c>
      <c r="G745" s="79" t="s">
        <v>819</v>
      </c>
    </row>
    <row r="746" customFormat="false" ht="15" hidden="false" customHeight="false" outlineLevel="0" collapsed="false">
      <c r="A746" s="79" t="s">
        <v>197</v>
      </c>
      <c r="B746" s="79" t="s">
        <v>1103</v>
      </c>
      <c r="C746" s="80" t="n">
        <v>202410</v>
      </c>
      <c r="D746" s="81" t="n">
        <v>45566</v>
      </c>
      <c r="E746" s="82" t="n">
        <v>4589.632</v>
      </c>
      <c r="F746" s="80" t="n">
        <v>25</v>
      </c>
      <c r="G746" s="79" t="s">
        <v>1356</v>
      </c>
    </row>
    <row r="747" customFormat="false" ht="15" hidden="false" customHeight="false" outlineLevel="0" collapsed="false">
      <c r="A747" s="79" t="s">
        <v>197</v>
      </c>
      <c r="B747" s="79" t="s">
        <v>1105</v>
      </c>
      <c r="C747" s="80" t="n">
        <v>202409</v>
      </c>
      <c r="D747" s="81" t="n">
        <v>45536</v>
      </c>
      <c r="E747" s="82" t="n">
        <v>4558.801</v>
      </c>
      <c r="F747" s="80" t="n">
        <v>26</v>
      </c>
      <c r="G747" s="79" t="s">
        <v>1357</v>
      </c>
    </row>
    <row r="748" customFormat="false" ht="15" hidden="false" customHeight="false" outlineLevel="0" collapsed="false">
      <c r="A748" s="79" t="s">
        <v>197</v>
      </c>
      <c r="B748" s="79" t="s">
        <v>1107</v>
      </c>
      <c r="C748" s="80" t="n">
        <v>202408</v>
      </c>
      <c r="D748" s="81" t="n">
        <v>45505</v>
      </c>
      <c r="E748" s="82" t="n">
        <v>5010.561</v>
      </c>
      <c r="F748" s="80" t="n">
        <v>27</v>
      </c>
      <c r="G748" s="79" t="s">
        <v>1358</v>
      </c>
    </row>
    <row r="749" customFormat="false" ht="15" hidden="false" customHeight="false" outlineLevel="0" collapsed="false">
      <c r="A749" s="79" t="s">
        <v>197</v>
      </c>
      <c r="B749" s="79" t="s">
        <v>1109</v>
      </c>
      <c r="C749" s="80" t="n">
        <v>202407</v>
      </c>
      <c r="D749" s="81" t="n">
        <v>45474</v>
      </c>
      <c r="E749" s="82" t="n">
        <v>4270.645</v>
      </c>
      <c r="F749" s="80" t="n">
        <v>28</v>
      </c>
      <c r="G749" s="79" t="s">
        <v>1359</v>
      </c>
    </row>
    <row r="750" customFormat="false" ht="15" hidden="false" customHeight="false" outlineLevel="0" collapsed="false">
      <c r="A750" s="79" t="s">
        <v>197</v>
      </c>
      <c r="B750" s="79" t="s">
        <v>1111</v>
      </c>
      <c r="C750" s="80" t="n">
        <v>202406</v>
      </c>
      <c r="D750" s="81" t="n">
        <v>45444</v>
      </c>
      <c r="E750" s="82" t="n">
        <v>4319.672</v>
      </c>
      <c r="F750" s="80" t="n">
        <v>29</v>
      </c>
      <c r="G750" s="79" t="s">
        <v>1360</v>
      </c>
    </row>
    <row r="751" customFormat="false" ht="15" hidden="false" customHeight="false" outlineLevel="0" collapsed="false">
      <c r="A751" s="79" t="s">
        <v>197</v>
      </c>
      <c r="B751" s="79" t="s">
        <v>1113</v>
      </c>
      <c r="C751" s="80" t="n">
        <v>202405</v>
      </c>
      <c r="D751" s="81" t="n">
        <v>45413</v>
      </c>
      <c r="E751" s="82" t="n">
        <v>4501.705</v>
      </c>
      <c r="F751" s="80" t="n">
        <v>30</v>
      </c>
      <c r="G751" s="79" t="s">
        <v>1361</v>
      </c>
    </row>
    <row r="752" customFormat="false" ht="15" hidden="false" customHeight="false" outlineLevel="0" collapsed="false">
      <c r="A752" s="79" t="s">
        <v>197</v>
      </c>
      <c r="B752" s="79" t="s">
        <v>1115</v>
      </c>
      <c r="C752" s="80" t="n">
        <v>202404</v>
      </c>
      <c r="D752" s="81" t="n">
        <v>45383</v>
      </c>
      <c r="E752" s="82" t="n">
        <v>4270.952</v>
      </c>
      <c r="F752" s="80" t="n">
        <v>31</v>
      </c>
      <c r="G752" s="79" t="s">
        <v>1362</v>
      </c>
    </row>
    <row r="753" customFormat="false" ht="15" hidden="false" customHeight="false" outlineLevel="0" collapsed="false">
      <c r="A753" s="79" t="s">
        <v>197</v>
      </c>
      <c r="B753" s="79" t="s">
        <v>1117</v>
      </c>
      <c r="C753" s="80" t="n">
        <v>202403</v>
      </c>
      <c r="D753" s="81" t="n">
        <v>45352</v>
      </c>
      <c r="E753" s="82" t="n">
        <v>3836.515</v>
      </c>
      <c r="F753" s="80" t="n">
        <v>32</v>
      </c>
      <c r="G753" s="79" t="s">
        <v>1363</v>
      </c>
    </row>
    <row r="754" customFormat="false" ht="15" hidden="false" customHeight="false" outlineLevel="0" collapsed="false">
      <c r="A754" s="79" t="s">
        <v>197</v>
      </c>
      <c r="B754" s="79" t="s">
        <v>1119</v>
      </c>
      <c r="C754" s="80" t="n">
        <v>202402</v>
      </c>
      <c r="D754" s="81" t="n">
        <v>45323</v>
      </c>
      <c r="E754" s="82" t="n">
        <v>4256.429</v>
      </c>
      <c r="F754" s="80" t="n">
        <v>33</v>
      </c>
      <c r="G754" s="79" t="s">
        <v>1364</v>
      </c>
    </row>
    <row r="755" customFormat="false" ht="15" hidden="false" customHeight="false" outlineLevel="0" collapsed="false">
      <c r="A755" s="79" t="s">
        <v>197</v>
      </c>
      <c r="B755" s="79" t="s">
        <v>1121</v>
      </c>
      <c r="C755" s="80" t="n">
        <v>202401</v>
      </c>
      <c r="D755" s="81" t="n">
        <v>45292</v>
      </c>
      <c r="E755" s="82" t="n">
        <v>3488.338</v>
      </c>
      <c r="F755" s="80" t="n">
        <v>34</v>
      </c>
      <c r="G755" s="79" t="s">
        <v>1365</v>
      </c>
    </row>
    <row r="756" customFormat="false" ht="15" hidden="false" customHeight="false" outlineLevel="0" collapsed="false">
      <c r="A756" s="79" t="s">
        <v>197</v>
      </c>
      <c r="B756" s="79" t="s">
        <v>1123</v>
      </c>
      <c r="C756" s="80" t="n">
        <v>202312</v>
      </c>
      <c r="D756" s="81" t="n">
        <v>45261</v>
      </c>
      <c r="E756" s="82" t="n">
        <v>4142.794</v>
      </c>
      <c r="F756" s="80" t="n">
        <v>35</v>
      </c>
      <c r="G756" s="79" t="s">
        <v>1366</v>
      </c>
    </row>
    <row r="757" customFormat="false" ht="15" hidden="false" customHeight="false" outlineLevel="0" collapsed="false">
      <c r="A757" s="79" t="s">
        <v>197</v>
      </c>
      <c r="B757" s="79" t="s">
        <v>1125</v>
      </c>
      <c r="C757" s="80" t="n">
        <v>202311</v>
      </c>
      <c r="D757" s="81" t="n">
        <v>45231</v>
      </c>
      <c r="E757" s="82" t="n">
        <v>4486.505</v>
      </c>
      <c r="F757" s="80" t="n">
        <v>36</v>
      </c>
      <c r="G757" s="79" t="s">
        <v>1367</v>
      </c>
    </row>
    <row r="758" customFormat="false" ht="15" hidden="false" customHeight="false" outlineLevel="0" collapsed="false">
      <c r="A758" s="79" t="s">
        <v>820</v>
      </c>
      <c r="B758" s="79" t="s">
        <v>1080</v>
      </c>
      <c r="C758" s="80" t="n">
        <v>202609</v>
      </c>
      <c r="D758" s="81" t="n">
        <v>46266</v>
      </c>
      <c r="E758" s="82" t="n">
        <v>82247.374</v>
      </c>
      <c r="F758" s="80" t="n">
        <v>1</v>
      </c>
      <c r="G758" s="79" t="s">
        <v>822</v>
      </c>
    </row>
    <row r="759" customFormat="false" ht="15" hidden="false" customHeight="false" outlineLevel="0" collapsed="false">
      <c r="A759" s="79" t="s">
        <v>820</v>
      </c>
      <c r="B759" s="79" t="s">
        <v>1081</v>
      </c>
      <c r="C759" s="80" t="n">
        <v>202608</v>
      </c>
      <c r="D759" s="81" t="n">
        <v>46235</v>
      </c>
      <c r="E759" s="82" t="n">
        <v>73783.701</v>
      </c>
      <c r="F759" s="80" t="n">
        <v>2</v>
      </c>
      <c r="G759" s="79" t="s">
        <v>823</v>
      </c>
    </row>
    <row r="760" customFormat="false" ht="15" hidden="false" customHeight="false" outlineLevel="0" collapsed="false">
      <c r="A760" s="79" t="s">
        <v>820</v>
      </c>
      <c r="B760" s="79" t="s">
        <v>1082</v>
      </c>
      <c r="C760" s="80" t="n">
        <v>202607</v>
      </c>
      <c r="D760" s="81" t="n">
        <v>46204</v>
      </c>
      <c r="E760" s="82" t="n">
        <v>65783.102</v>
      </c>
      <c r="F760" s="80" t="n">
        <v>3</v>
      </c>
      <c r="G760" s="79" t="s">
        <v>824</v>
      </c>
    </row>
    <row r="761" customFormat="false" ht="15" hidden="false" customHeight="false" outlineLevel="0" collapsed="false">
      <c r="A761" s="79" t="s">
        <v>820</v>
      </c>
      <c r="B761" s="79" t="s">
        <v>1083</v>
      </c>
      <c r="C761" s="80" t="n">
        <v>202606</v>
      </c>
      <c r="D761" s="81" t="n">
        <v>46174</v>
      </c>
      <c r="E761" s="82" t="n">
        <v>63033.313</v>
      </c>
      <c r="F761" s="80" t="n">
        <v>4</v>
      </c>
      <c r="G761" s="79" t="s">
        <v>825</v>
      </c>
    </row>
    <row r="762" customFormat="false" ht="15" hidden="false" customHeight="false" outlineLevel="0" collapsed="false">
      <c r="A762" s="79" t="s">
        <v>820</v>
      </c>
      <c r="B762" s="79" t="s">
        <v>1084</v>
      </c>
      <c r="C762" s="80" t="n">
        <v>202605</v>
      </c>
      <c r="D762" s="81" t="n">
        <v>46143</v>
      </c>
      <c r="E762" s="82" t="n">
        <v>62247.107</v>
      </c>
      <c r="F762" s="80" t="n">
        <v>5</v>
      </c>
      <c r="G762" s="79" t="s">
        <v>826</v>
      </c>
    </row>
    <row r="763" customFormat="false" ht="15" hidden="false" customHeight="false" outlineLevel="0" collapsed="false">
      <c r="A763" s="79" t="s">
        <v>820</v>
      </c>
      <c r="B763" s="79" t="s">
        <v>1085</v>
      </c>
      <c r="C763" s="80" t="n">
        <v>202604</v>
      </c>
      <c r="D763" s="81" t="n">
        <v>46113</v>
      </c>
      <c r="E763" s="82" t="n">
        <v>61576.674</v>
      </c>
      <c r="F763" s="80" t="n">
        <v>6</v>
      </c>
      <c r="G763" s="79" t="s">
        <v>827</v>
      </c>
    </row>
    <row r="764" customFormat="false" ht="15" hidden="false" customHeight="false" outlineLevel="0" collapsed="false">
      <c r="A764" s="79" t="s">
        <v>820</v>
      </c>
      <c r="B764" s="79" t="s">
        <v>1086</v>
      </c>
      <c r="C764" s="80" t="n">
        <v>202603</v>
      </c>
      <c r="D764" s="81" t="n">
        <v>46082</v>
      </c>
      <c r="E764" s="82" t="n">
        <v>52096.847</v>
      </c>
      <c r="F764" s="80" t="n">
        <v>7</v>
      </c>
      <c r="G764" s="79" t="s">
        <v>828</v>
      </c>
    </row>
    <row r="765" customFormat="false" ht="15" hidden="false" customHeight="false" outlineLevel="0" collapsed="false">
      <c r="A765" s="79" t="s">
        <v>820</v>
      </c>
      <c r="B765" s="79" t="s">
        <v>1087</v>
      </c>
      <c r="C765" s="80" t="n">
        <v>202602</v>
      </c>
      <c r="D765" s="81" t="n">
        <v>46054</v>
      </c>
      <c r="E765" s="82" t="n">
        <v>59988.631</v>
      </c>
      <c r="F765" s="80" t="n">
        <v>8</v>
      </c>
      <c r="G765" s="79" t="s">
        <v>829</v>
      </c>
    </row>
    <row r="766" customFormat="false" ht="15" hidden="false" customHeight="false" outlineLevel="0" collapsed="false">
      <c r="A766" s="79" t="s">
        <v>820</v>
      </c>
      <c r="B766" s="79" t="s">
        <v>1088</v>
      </c>
      <c r="C766" s="80" t="n">
        <v>202601</v>
      </c>
      <c r="D766" s="81" t="n">
        <v>46023</v>
      </c>
      <c r="E766" s="82" t="n">
        <v>58864.547</v>
      </c>
      <c r="F766" s="80" t="n">
        <v>9</v>
      </c>
      <c r="G766" s="79" t="s">
        <v>830</v>
      </c>
    </row>
    <row r="767" customFormat="false" ht="15" hidden="false" customHeight="false" outlineLevel="0" collapsed="false">
      <c r="A767" s="79" t="s">
        <v>820</v>
      </c>
      <c r="B767" s="79" t="s">
        <v>1089</v>
      </c>
      <c r="C767" s="80" t="n">
        <v>202512</v>
      </c>
      <c r="D767" s="81" t="n">
        <v>45992</v>
      </c>
      <c r="E767" s="82" t="n">
        <v>58819.584</v>
      </c>
      <c r="F767" s="80" t="n">
        <v>10</v>
      </c>
      <c r="G767" s="79" t="s">
        <v>831</v>
      </c>
    </row>
    <row r="768" customFormat="false" ht="15" hidden="false" customHeight="false" outlineLevel="0" collapsed="false">
      <c r="A768" s="79" t="s">
        <v>820</v>
      </c>
      <c r="B768" s="79" t="s">
        <v>1090</v>
      </c>
      <c r="C768" s="80" t="n">
        <v>202511</v>
      </c>
      <c r="D768" s="81" t="n">
        <v>45962</v>
      </c>
      <c r="E768" s="82" t="n">
        <v>60231.106</v>
      </c>
      <c r="F768" s="80" t="n">
        <v>11</v>
      </c>
      <c r="G768" s="79" t="s">
        <v>832</v>
      </c>
    </row>
    <row r="769" customFormat="false" ht="15" hidden="false" customHeight="false" outlineLevel="0" collapsed="false">
      <c r="A769" s="79" t="s">
        <v>820</v>
      </c>
      <c r="B769" s="79" t="s">
        <v>1091</v>
      </c>
      <c r="C769" s="80" t="n">
        <v>202510</v>
      </c>
      <c r="D769" s="81" t="n">
        <v>45931</v>
      </c>
      <c r="E769" s="82" t="n">
        <v>60561.227</v>
      </c>
      <c r="F769" s="80" t="n">
        <v>12</v>
      </c>
      <c r="G769" s="79" t="s">
        <v>833</v>
      </c>
    </row>
    <row r="770" customFormat="false" ht="15" hidden="false" customHeight="false" outlineLevel="0" collapsed="false">
      <c r="A770" s="79" t="s">
        <v>820</v>
      </c>
      <c r="B770" s="79" t="s">
        <v>1092</v>
      </c>
      <c r="C770" s="80" t="n">
        <v>202509</v>
      </c>
      <c r="D770" s="81" t="n">
        <v>45901</v>
      </c>
      <c r="E770" s="82" t="n">
        <v>56465.628</v>
      </c>
      <c r="F770" s="80" t="n">
        <v>13</v>
      </c>
      <c r="G770" s="79" t="s">
        <v>834</v>
      </c>
    </row>
    <row r="771" customFormat="false" ht="15" hidden="false" customHeight="false" outlineLevel="0" collapsed="false">
      <c r="A771" s="79" t="s">
        <v>820</v>
      </c>
      <c r="B771" s="79" t="s">
        <v>1093</v>
      </c>
      <c r="C771" s="80" t="n">
        <v>202508</v>
      </c>
      <c r="D771" s="81" t="n">
        <v>45870</v>
      </c>
      <c r="E771" s="82" t="n">
        <v>51542.033</v>
      </c>
      <c r="F771" s="80" t="n">
        <v>14</v>
      </c>
      <c r="G771" s="79" t="s">
        <v>835</v>
      </c>
    </row>
    <row r="772" customFormat="false" ht="15" hidden="false" customHeight="false" outlineLevel="0" collapsed="false">
      <c r="A772" s="79" t="s">
        <v>820</v>
      </c>
      <c r="B772" s="79" t="s">
        <v>1094</v>
      </c>
      <c r="C772" s="80" t="n">
        <v>202507</v>
      </c>
      <c r="D772" s="81" t="n">
        <v>45839</v>
      </c>
      <c r="E772" s="82" t="n">
        <v>49512.621</v>
      </c>
      <c r="F772" s="80" t="n">
        <v>15</v>
      </c>
      <c r="G772" s="79" t="s">
        <v>836</v>
      </c>
    </row>
    <row r="773" customFormat="false" ht="15" hidden="false" customHeight="false" outlineLevel="0" collapsed="false">
      <c r="A773" s="79" t="s">
        <v>820</v>
      </c>
      <c r="B773" s="79" t="s">
        <v>1095</v>
      </c>
      <c r="C773" s="80" t="n">
        <v>202506</v>
      </c>
      <c r="D773" s="81" t="n">
        <v>45809</v>
      </c>
      <c r="E773" s="82" t="n">
        <v>49026.935</v>
      </c>
      <c r="F773" s="80" t="n">
        <v>16</v>
      </c>
      <c r="G773" s="79" t="s">
        <v>837</v>
      </c>
    </row>
    <row r="774" customFormat="false" ht="15" hidden="false" customHeight="false" outlineLevel="0" collapsed="false">
      <c r="A774" s="79" t="s">
        <v>820</v>
      </c>
      <c r="B774" s="79" t="s">
        <v>1096</v>
      </c>
      <c r="C774" s="80" t="n">
        <v>202505</v>
      </c>
      <c r="D774" s="81" t="n">
        <v>45778</v>
      </c>
      <c r="E774" s="82" t="n">
        <v>52210.767</v>
      </c>
      <c r="F774" s="80" t="n">
        <v>17</v>
      </c>
      <c r="G774" s="79" t="s">
        <v>838</v>
      </c>
    </row>
    <row r="775" customFormat="false" ht="15" hidden="false" customHeight="false" outlineLevel="0" collapsed="false">
      <c r="A775" s="79" t="s">
        <v>820</v>
      </c>
      <c r="B775" s="79" t="s">
        <v>1097</v>
      </c>
      <c r="C775" s="80" t="n">
        <v>202504</v>
      </c>
      <c r="D775" s="81" t="n">
        <v>45748</v>
      </c>
      <c r="E775" s="82" t="n">
        <v>53748.213</v>
      </c>
      <c r="F775" s="80" t="n">
        <v>18</v>
      </c>
      <c r="G775" s="79" t="s">
        <v>839</v>
      </c>
    </row>
    <row r="776" customFormat="false" ht="15" hidden="false" customHeight="false" outlineLevel="0" collapsed="false">
      <c r="A776" s="79" t="s">
        <v>820</v>
      </c>
      <c r="B776" s="79" t="s">
        <v>1098</v>
      </c>
      <c r="C776" s="80" t="n">
        <v>202503</v>
      </c>
      <c r="D776" s="81" t="n">
        <v>45717</v>
      </c>
      <c r="E776" s="82" t="n">
        <v>44960.788</v>
      </c>
      <c r="F776" s="80" t="n">
        <v>19</v>
      </c>
      <c r="G776" s="79" t="s">
        <v>840</v>
      </c>
    </row>
    <row r="777" customFormat="false" ht="15" hidden="false" customHeight="false" outlineLevel="0" collapsed="false">
      <c r="A777" s="79" t="s">
        <v>820</v>
      </c>
      <c r="B777" s="79" t="s">
        <v>1099</v>
      </c>
      <c r="C777" s="80" t="n">
        <v>202502</v>
      </c>
      <c r="D777" s="81" t="n">
        <v>45689</v>
      </c>
      <c r="E777" s="82" t="n">
        <v>49444.261</v>
      </c>
      <c r="F777" s="80" t="n">
        <v>20</v>
      </c>
      <c r="G777" s="79" t="s">
        <v>841</v>
      </c>
    </row>
    <row r="778" customFormat="false" ht="15" hidden="false" customHeight="false" outlineLevel="0" collapsed="false">
      <c r="A778" s="79" t="s">
        <v>820</v>
      </c>
      <c r="B778" s="79" t="s">
        <v>1100</v>
      </c>
      <c r="C778" s="80" t="n">
        <v>202501</v>
      </c>
      <c r="D778" s="81" t="n">
        <v>45658</v>
      </c>
      <c r="E778" s="82" t="n">
        <v>52904.645</v>
      </c>
      <c r="F778" s="80" t="n">
        <v>21</v>
      </c>
      <c r="G778" s="79" t="s">
        <v>842</v>
      </c>
    </row>
    <row r="779" customFormat="false" ht="15" hidden="false" customHeight="false" outlineLevel="0" collapsed="false">
      <c r="A779" s="79" t="s">
        <v>820</v>
      </c>
      <c r="B779" s="79" t="s">
        <v>1101</v>
      </c>
      <c r="C779" s="80" t="n">
        <v>202412</v>
      </c>
      <c r="D779" s="81" t="n">
        <v>45627</v>
      </c>
      <c r="E779" s="82" t="n">
        <v>52933.333</v>
      </c>
      <c r="F779" s="80" t="n">
        <v>22</v>
      </c>
      <c r="G779" s="79" t="s">
        <v>843</v>
      </c>
    </row>
    <row r="780" customFormat="false" ht="15" hidden="false" customHeight="false" outlineLevel="0" collapsed="false">
      <c r="A780" s="79" t="s">
        <v>820</v>
      </c>
      <c r="B780" s="79" t="s">
        <v>1102</v>
      </c>
      <c r="C780" s="80" t="n">
        <v>202411</v>
      </c>
      <c r="D780" s="81" t="n">
        <v>45597</v>
      </c>
      <c r="E780" s="82" t="n">
        <v>56425.583</v>
      </c>
      <c r="F780" s="80" t="n">
        <v>23</v>
      </c>
      <c r="G780" s="79" t="s">
        <v>844</v>
      </c>
    </row>
    <row r="781" customFormat="false" ht="15" hidden="false" customHeight="false" outlineLevel="0" collapsed="false">
      <c r="A781" s="79" t="s">
        <v>820</v>
      </c>
      <c r="B781" s="79" t="s">
        <v>1103</v>
      </c>
      <c r="C781" s="80" t="n">
        <v>202410</v>
      </c>
      <c r="D781" s="81" t="n">
        <v>45566</v>
      </c>
      <c r="E781" s="82" t="n">
        <v>55579.391</v>
      </c>
      <c r="F781" s="80" t="n">
        <v>24</v>
      </c>
      <c r="G781" s="79" t="s">
        <v>845</v>
      </c>
    </row>
    <row r="782" customFormat="false" ht="15" hidden="false" customHeight="false" outlineLevel="0" collapsed="false">
      <c r="A782" s="79" t="s">
        <v>820</v>
      </c>
      <c r="B782" s="79" t="s">
        <v>1105</v>
      </c>
      <c r="C782" s="80" t="n">
        <v>202409</v>
      </c>
      <c r="D782" s="81" t="n">
        <v>45536</v>
      </c>
      <c r="E782" s="82" t="n">
        <v>52929.761</v>
      </c>
      <c r="F782" s="80" t="n">
        <v>25</v>
      </c>
      <c r="G782" s="79" t="s">
        <v>1368</v>
      </c>
    </row>
    <row r="783" customFormat="false" ht="15" hidden="false" customHeight="false" outlineLevel="0" collapsed="false">
      <c r="A783" s="79" t="s">
        <v>820</v>
      </c>
      <c r="B783" s="79" t="s">
        <v>1107</v>
      </c>
      <c r="C783" s="80" t="n">
        <v>202408</v>
      </c>
      <c r="D783" s="81" t="n">
        <v>45505</v>
      </c>
      <c r="E783" s="82" t="n">
        <v>51595.954</v>
      </c>
      <c r="F783" s="80" t="n">
        <v>26</v>
      </c>
      <c r="G783" s="79" t="s">
        <v>1369</v>
      </c>
    </row>
    <row r="784" customFormat="false" ht="15" hidden="false" customHeight="false" outlineLevel="0" collapsed="false">
      <c r="A784" s="79" t="s">
        <v>820</v>
      </c>
      <c r="B784" s="79" t="s">
        <v>1109</v>
      </c>
      <c r="C784" s="80" t="n">
        <v>202407</v>
      </c>
      <c r="D784" s="81" t="n">
        <v>45474</v>
      </c>
      <c r="E784" s="82" t="n">
        <v>46925.404</v>
      </c>
      <c r="F784" s="80" t="n">
        <v>27</v>
      </c>
      <c r="G784" s="79" t="s">
        <v>1370</v>
      </c>
    </row>
    <row r="785" customFormat="false" ht="15" hidden="false" customHeight="false" outlineLevel="0" collapsed="false">
      <c r="A785" s="79" t="s">
        <v>820</v>
      </c>
      <c r="B785" s="79" t="s">
        <v>1111</v>
      </c>
      <c r="C785" s="80" t="n">
        <v>202406</v>
      </c>
      <c r="D785" s="81" t="n">
        <v>45444</v>
      </c>
      <c r="E785" s="82" t="n">
        <v>47492.772</v>
      </c>
      <c r="F785" s="80" t="n">
        <v>28</v>
      </c>
      <c r="G785" s="79" t="s">
        <v>1371</v>
      </c>
    </row>
    <row r="786" customFormat="false" ht="15" hidden="false" customHeight="false" outlineLevel="0" collapsed="false">
      <c r="A786" s="79" t="s">
        <v>820</v>
      </c>
      <c r="B786" s="79" t="s">
        <v>1113</v>
      </c>
      <c r="C786" s="80" t="n">
        <v>202405</v>
      </c>
      <c r="D786" s="81" t="n">
        <v>45413</v>
      </c>
      <c r="E786" s="82" t="n">
        <v>45819.887</v>
      </c>
      <c r="F786" s="80" t="n">
        <v>29</v>
      </c>
      <c r="G786" s="79" t="s">
        <v>1372</v>
      </c>
    </row>
    <row r="787" customFormat="false" ht="15" hidden="false" customHeight="false" outlineLevel="0" collapsed="false">
      <c r="A787" s="79" t="s">
        <v>820</v>
      </c>
      <c r="B787" s="79" t="s">
        <v>1115</v>
      </c>
      <c r="C787" s="80" t="n">
        <v>202404</v>
      </c>
      <c r="D787" s="81" t="n">
        <v>45383</v>
      </c>
      <c r="E787" s="82" t="n">
        <v>45661.425</v>
      </c>
      <c r="F787" s="80" t="n">
        <v>30</v>
      </c>
      <c r="G787" s="79" t="s">
        <v>1373</v>
      </c>
    </row>
    <row r="788" customFormat="false" ht="15" hidden="false" customHeight="false" outlineLevel="0" collapsed="false">
      <c r="A788" s="79" t="s">
        <v>820</v>
      </c>
      <c r="B788" s="79" t="s">
        <v>1117</v>
      </c>
      <c r="C788" s="80" t="n">
        <v>202403</v>
      </c>
      <c r="D788" s="81" t="n">
        <v>45352</v>
      </c>
      <c r="E788" s="82" t="n">
        <v>39751.076</v>
      </c>
      <c r="F788" s="80" t="n">
        <v>31</v>
      </c>
      <c r="G788" s="79" t="s">
        <v>1374</v>
      </c>
    </row>
    <row r="789" customFormat="false" ht="15" hidden="false" customHeight="false" outlineLevel="0" collapsed="false">
      <c r="A789" s="79" t="s">
        <v>820</v>
      </c>
      <c r="B789" s="79" t="s">
        <v>1119</v>
      </c>
      <c r="C789" s="80" t="n">
        <v>202402</v>
      </c>
      <c r="D789" s="81" t="n">
        <v>45323</v>
      </c>
      <c r="E789" s="82" t="n">
        <v>47390.354</v>
      </c>
      <c r="F789" s="80" t="n">
        <v>32</v>
      </c>
      <c r="G789" s="79" t="s">
        <v>1375</v>
      </c>
    </row>
    <row r="790" customFormat="false" ht="15" hidden="false" customHeight="false" outlineLevel="0" collapsed="false">
      <c r="A790" s="79" t="s">
        <v>820</v>
      </c>
      <c r="B790" s="79" t="s">
        <v>1121</v>
      </c>
      <c r="C790" s="80" t="n">
        <v>202401</v>
      </c>
      <c r="D790" s="81" t="n">
        <v>45292</v>
      </c>
      <c r="E790" s="82" t="n">
        <v>49905.503</v>
      </c>
      <c r="F790" s="80" t="n">
        <v>33</v>
      </c>
      <c r="G790" s="79" t="s">
        <v>1376</v>
      </c>
    </row>
    <row r="791" customFormat="false" ht="15" hidden="false" customHeight="false" outlineLevel="0" collapsed="false">
      <c r="A791" s="79" t="s">
        <v>820</v>
      </c>
      <c r="B791" s="79" t="s">
        <v>1123</v>
      </c>
      <c r="C791" s="80" t="n">
        <v>202312</v>
      </c>
      <c r="D791" s="81" t="n">
        <v>45261</v>
      </c>
      <c r="E791" s="82" t="n">
        <v>54509.085</v>
      </c>
      <c r="F791" s="80" t="n">
        <v>34</v>
      </c>
      <c r="G791" s="79" t="s">
        <v>1377</v>
      </c>
    </row>
    <row r="792" customFormat="false" ht="15" hidden="false" customHeight="false" outlineLevel="0" collapsed="false">
      <c r="A792" s="79" t="s">
        <v>820</v>
      </c>
      <c r="B792" s="79" t="s">
        <v>1125</v>
      </c>
      <c r="C792" s="80" t="n">
        <v>202311</v>
      </c>
      <c r="D792" s="81" t="n">
        <v>45231</v>
      </c>
      <c r="E792" s="82" t="n">
        <v>56166.613</v>
      </c>
      <c r="F792" s="80" t="n">
        <v>35</v>
      </c>
      <c r="G792" s="79" t="s">
        <v>1378</v>
      </c>
    </row>
    <row r="793" customFormat="false" ht="15" hidden="false" customHeight="false" outlineLevel="0" collapsed="false">
      <c r="A793" s="79" t="s">
        <v>820</v>
      </c>
      <c r="B793" s="79" t="s">
        <v>1210</v>
      </c>
      <c r="C793" s="80" t="n">
        <v>202310</v>
      </c>
      <c r="D793" s="81" t="n">
        <v>45200</v>
      </c>
      <c r="E793" s="82" t="n">
        <v>53534.708</v>
      </c>
      <c r="F793" s="80" t="n">
        <v>36</v>
      </c>
      <c r="G793" s="79" t="s">
        <v>1379</v>
      </c>
    </row>
    <row r="794" customFormat="false" ht="15" hidden="false" customHeight="false" outlineLevel="0" collapsed="false">
      <c r="A794" s="79" t="s">
        <v>226</v>
      </c>
      <c r="B794" s="79" t="s">
        <v>1079</v>
      </c>
      <c r="C794" s="80" t="n">
        <v>202610</v>
      </c>
      <c r="D794" s="81" t="n">
        <v>46296</v>
      </c>
      <c r="E794" s="82" t="n">
        <v>214752.761</v>
      </c>
      <c r="F794" s="80" t="n">
        <v>1</v>
      </c>
      <c r="G794" s="79" t="s">
        <v>847</v>
      </c>
    </row>
    <row r="795" customFormat="false" ht="15" hidden="false" customHeight="false" outlineLevel="0" collapsed="false">
      <c r="A795" s="79" t="s">
        <v>226</v>
      </c>
      <c r="B795" s="79" t="s">
        <v>1080</v>
      </c>
      <c r="C795" s="80" t="n">
        <v>202609</v>
      </c>
      <c r="D795" s="81" t="n">
        <v>46266</v>
      </c>
      <c r="E795" s="82" t="n">
        <v>88304.931</v>
      </c>
      <c r="F795" s="80" t="n">
        <v>2</v>
      </c>
      <c r="G795" s="79" t="s">
        <v>848</v>
      </c>
    </row>
    <row r="796" customFormat="false" ht="15" hidden="false" customHeight="false" outlineLevel="0" collapsed="false">
      <c r="A796" s="79" t="s">
        <v>226</v>
      </c>
      <c r="B796" s="79" t="s">
        <v>1081</v>
      </c>
      <c r="C796" s="80" t="n">
        <v>202608</v>
      </c>
      <c r="D796" s="81" t="n">
        <v>46235</v>
      </c>
      <c r="E796" s="82" t="n">
        <v>86015.154</v>
      </c>
      <c r="F796" s="80" t="n">
        <v>3</v>
      </c>
      <c r="G796" s="79" t="s">
        <v>849</v>
      </c>
    </row>
    <row r="797" customFormat="false" ht="15" hidden="false" customHeight="false" outlineLevel="0" collapsed="false">
      <c r="A797" s="79" t="s">
        <v>226</v>
      </c>
      <c r="B797" s="79" t="s">
        <v>1082</v>
      </c>
      <c r="C797" s="80" t="n">
        <v>202607</v>
      </c>
      <c r="D797" s="81" t="n">
        <v>46204</v>
      </c>
      <c r="E797" s="82" t="n">
        <v>91295.615</v>
      </c>
      <c r="F797" s="80" t="n">
        <v>4</v>
      </c>
      <c r="G797" s="79" t="s">
        <v>850</v>
      </c>
    </row>
    <row r="798" customFormat="false" ht="15" hidden="false" customHeight="false" outlineLevel="0" collapsed="false">
      <c r="A798" s="79" t="s">
        <v>226</v>
      </c>
      <c r="B798" s="79" t="s">
        <v>1083</v>
      </c>
      <c r="C798" s="80" t="n">
        <v>202606</v>
      </c>
      <c r="D798" s="81" t="n">
        <v>46174</v>
      </c>
      <c r="E798" s="82" t="n">
        <v>95962.959</v>
      </c>
      <c r="F798" s="80" t="n">
        <v>5</v>
      </c>
      <c r="G798" s="79" t="s">
        <v>851</v>
      </c>
    </row>
    <row r="799" customFormat="false" ht="15" hidden="false" customHeight="false" outlineLevel="0" collapsed="false">
      <c r="A799" s="79" t="s">
        <v>226</v>
      </c>
      <c r="B799" s="79" t="s">
        <v>1084</v>
      </c>
      <c r="C799" s="80" t="n">
        <v>202605</v>
      </c>
      <c r="D799" s="81" t="n">
        <v>46143</v>
      </c>
      <c r="E799" s="82" t="n">
        <v>87189.236</v>
      </c>
      <c r="F799" s="80" t="n">
        <v>6</v>
      </c>
      <c r="G799" s="79" t="s">
        <v>852</v>
      </c>
    </row>
    <row r="800" customFormat="false" ht="15" hidden="false" customHeight="false" outlineLevel="0" collapsed="false">
      <c r="A800" s="79" t="s">
        <v>226</v>
      </c>
      <c r="B800" s="79" t="s">
        <v>1085</v>
      </c>
      <c r="C800" s="80" t="n">
        <v>202604</v>
      </c>
      <c r="D800" s="81" t="n">
        <v>46113</v>
      </c>
      <c r="E800" s="82" t="n">
        <v>83964.774</v>
      </c>
      <c r="F800" s="80" t="n">
        <v>7</v>
      </c>
      <c r="G800" s="79" t="s">
        <v>853</v>
      </c>
    </row>
    <row r="801" customFormat="false" ht="15" hidden="false" customHeight="false" outlineLevel="0" collapsed="false">
      <c r="A801" s="79" t="s">
        <v>226</v>
      </c>
      <c r="B801" s="79" t="s">
        <v>1086</v>
      </c>
      <c r="C801" s="80" t="n">
        <v>202603</v>
      </c>
      <c r="D801" s="81" t="n">
        <v>46082</v>
      </c>
      <c r="E801" s="82" t="n">
        <v>67982.207</v>
      </c>
      <c r="F801" s="80" t="n">
        <v>8</v>
      </c>
      <c r="G801" s="79" t="s">
        <v>854</v>
      </c>
    </row>
    <row r="802" customFormat="false" ht="15" hidden="false" customHeight="false" outlineLevel="0" collapsed="false">
      <c r="A802" s="79" t="s">
        <v>226</v>
      </c>
      <c r="B802" s="79" t="s">
        <v>1087</v>
      </c>
      <c r="C802" s="80" t="n">
        <v>202602</v>
      </c>
      <c r="D802" s="81" t="n">
        <v>46054</v>
      </c>
      <c r="E802" s="82" t="n">
        <v>92158.23</v>
      </c>
      <c r="F802" s="80" t="n">
        <v>9</v>
      </c>
      <c r="G802" s="79" t="s">
        <v>855</v>
      </c>
    </row>
    <row r="803" customFormat="false" ht="15" hidden="false" customHeight="false" outlineLevel="0" collapsed="false">
      <c r="A803" s="79" t="s">
        <v>226</v>
      </c>
      <c r="B803" s="79" t="s">
        <v>1088</v>
      </c>
      <c r="C803" s="80" t="n">
        <v>202601</v>
      </c>
      <c r="D803" s="81" t="n">
        <v>46023</v>
      </c>
      <c r="E803" s="82" t="n">
        <v>99893.947</v>
      </c>
      <c r="F803" s="80" t="n">
        <v>10</v>
      </c>
      <c r="G803" s="79" t="s">
        <v>856</v>
      </c>
    </row>
    <row r="804" customFormat="false" ht="15" hidden="false" customHeight="false" outlineLevel="0" collapsed="false">
      <c r="A804" s="79" t="s">
        <v>226</v>
      </c>
      <c r="B804" s="79" t="s">
        <v>1089</v>
      </c>
      <c r="C804" s="80" t="n">
        <v>202512</v>
      </c>
      <c r="D804" s="81" t="n">
        <v>45992</v>
      </c>
      <c r="E804" s="82" t="n">
        <v>101800.641</v>
      </c>
      <c r="F804" s="80" t="n">
        <v>11</v>
      </c>
      <c r="G804" s="79" t="s">
        <v>857</v>
      </c>
    </row>
    <row r="805" customFormat="false" ht="15" hidden="false" customHeight="false" outlineLevel="0" collapsed="false">
      <c r="A805" s="79" t="s">
        <v>226</v>
      </c>
      <c r="B805" s="79" t="s">
        <v>1090</v>
      </c>
      <c r="C805" s="80" t="n">
        <v>202511</v>
      </c>
      <c r="D805" s="81" t="n">
        <v>45962</v>
      </c>
      <c r="E805" s="82" t="n">
        <v>117826.131</v>
      </c>
      <c r="F805" s="80" t="n">
        <v>12</v>
      </c>
      <c r="G805" s="79" t="s">
        <v>858</v>
      </c>
    </row>
    <row r="806" customFormat="false" ht="15" hidden="false" customHeight="false" outlineLevel="0" collapsed="false">
      <c r="A806" s="79" t="s">
        <v>226</v>
      </c>
      <c r="B806" s="79" t="s">
        <v>1091</v>
      </c>
      <c r="C806" s="80" t="n">
        <v>202510</v>
      </c>
      <c r="D806" s="81" t="n">
        <v>45931</v>
      </c>
      <c r="E806" s="82" t="n">
        <v>114908.884</v>
      </c>
      <c r="F806" s="80" t="n">
        <v>13</v>
      </c>
      <c r="G806" s="79" t="s">
        <v>859</v>
      </c>
    </row>
    <row r="807" customFormat="false" ht="15" hidden="false" customHeight="false" outlineLevel="0" collapsed="false">
      <c r="A807" s="79" t="s">
        <v>226</v>
      </c>
      <c r="B807" s="79" t="s">
        <v>1092</v>
      </c>
      <c r="C807" s="80" t="n">
        <v>202509</v>
      </c>
      <c r="D807" s="81" t="n">
        <v>45901</v>
      </c>
      <c r="E807" s="82" t="n">
        <v>65843.721</v>
      </c>
      <c r="F807" s="80" t="n">
        <v>14</v>
      </c>
      <c r="G807" s="79" t="s">
        <v>860</v>
      </c>
    </row>
    <row r="808" customFormat="false" ht="15" hidden="false" customHeight="false" outlineLevel="0" collapsed="false">
      <c r="A808" s="79" t="s">
        <v>226</v>
      </c>
      <c r="B808" s="79" t="s">
        <v>1093</v>
      </c>
      <c r="C808" s="80" t="n">
        <v>202508</v>
      </c>
      <c r="D808" s="81" t="n">
        <v>45870</v>
      </c>
      <c r="E808" s="82" t="n">
        <v>77103.455</v>
      </c>
      <c r="F808" s="80" t="n">
        <v>15</v>
      </c>
      <c r="G808" s="79" t="s">
        <v>861</v>
      </c>
    </row>
    <row r="809" customFormat="false" ht="15" hidden="false" customHeight="false" outlineLevel="0" collapsed="false">
      <c r="A809" s="79" t="s">
        <v>226</v>
      </c>
      <c r="B809" s="79" t="s">
        <v>1094</v>
      </c>
      <c r="C809" s="80" t="n">
        <v>202507</v>
      </c>
      <c r="D809" s="81" t="n">
        <v>45839</v>
      </c>
      <c r="E809" s="82" t="n">
        <v>78771.196</v>
      </c>
      <c r="F809" s="80" t="n">
        <v>16</v>
      </c>
      <c r="G809" s="79" t="s">
        <v>862</v>
      </c>
    </row>
    <row r="810" customFormat="false" ht="15" hidden="false" customHeight="false" outlineLevel="0" collapsed="false">
      <c r="A810" s="79" t="s">
        <v>226</v>
      </c>
      <c r="B810" s="79" t="s">
        <v>1095</v>
      </c>
      <c r="C810" s="80" t="n">
        <v>202506</v>
      </c>
      <c r="D810" s="81" t="n">
        <v>45809</v>
      </c>
      <c r="E810" s="82" t="n">
        <v>85685.084</v>
      </c>
      <c r="F810" s="80" t="n">
        <v>17</v>
      </c>
      <c r="G810" s="79" t="s">
        <v>863</v>
      </c>
    </row>
    <row r="811" customFormat="false" ht="15" hidden="false" customHeight="false" outlineLevel="0" collapsed="false">
      <c r="A811" s="79" t="s">
        <v>226</v>
      </c>
      <c r="B811" s="79" t="s">
        <v>1096</v>
      </c>
      <c r="C811" s="80" t="n">
        <v>202505</v>
      </c>
      <c r="D811" s="81" t="n">
        <v>45778</v>
      </c>
      <c r="E811" s="82" t="n">
        <v>102871.394</v>
      </c>
      <c r="F811" s="80" t="n">
        <v>18</v>
      </c>
      <c r="G811" s="79" t="s">
        <v>864</v>
      </c>
    </row>
    <row r="812" customFormat="false" ht="15" hidden="false" customHeight="false" outlineLevel="0" collapsed="false">
      <c r="A812" s="79" t="s">
        <v>226</v>
      </c>
      <c r="B812" s="79" t="s">
        <v>1097</v>
      </c>
      <c r="C812" s="80" t="n">
        <v>202504</v>
      </c>
      <c r="D812" s="81" t="n">
        <v>45748</v>
      </c>
      <c r="E812" s="82" t="n">
        <v>84630.395</v>
      </c>
      <c r="F812" s="80" t="n">
        <v>19</v>
      </c>
      <c r="G812" s="79" t="s">
        <v>865</v>
      </c>
    </row>
    <row r="813" customFormat="false" ht="15" hidden="false" customHeight="false" outlineLevel="0" collapsed="false">
      <c r="A813" s="79" t="s">
        <v>226</v>
      </c>
      <c r="B813" s="79" t="s">
        <v>1098</v>
      </c>
      <c r="C813" s="80" t="n">
        <v>202503</v>
      </c>
      <c r="D813" s="81" t="n">
        <v>45717</v>
      </c>
      <c r="E813" s="82" t="n">
        <v>82478.016</v>
      </c>
      <c r="F813" s="80" t="n">
        <v>20</v>
      </c>
      <c r="G813" s="79" t="s">
        <v>866</v>
      </c>
    </row>
    <row r="814" customFormat="false" ht="15" hidden="false" customHeight="false" outlineLevel="0" collapsed="false">
      <c r="A814" s="79" t="s">
        <v>226</v>
      </c>
      <c r="B814" s="79" t="s">
        <v>1099</v>
      </c>
      <c r="C814" s="80" t="n">
        <v>202502</v>
      </c>
      <c r="D814" s="81" t="n">
        <v>45689</v>
      </c>
      <c r="E814" s="82" t="n">
        <v>105321.84</v>
      </c>
      <c r="F814" s="80" t="n">
        <v>21</v>
      </c>
      <c r="G814" s="79" t="s">
        <v>867</v>
      </c>
    </row>
    <row r="815" customFormat="false" ht="15" hidden="false" customHeight="false" outlineLevel="0" collapsed="false">
      <c r="A815" s="79" t="s">
        <v>226</v>
      </c>
      <c r="B815" s="79" t="s">
        <v>1100</v>
      </c>
      <c r="C815" s="80" t="n">
        <v>202501</v>
      </c>
      <c r="D815" s="81" t="n">
        <v>45658</v>
      </c>
      <c r="E815" s="82" t="n">
        <v>102445.999</v>
      </c>
      <c r="F815" s="80" t="n">
        <v>22</v>
      </c>
      <c r="G815" s="79" t="s">
        <v>868</v>
      </c>
    </row>
    <row r="816" customFormat="false" ht="15" hidden="false" customHeight="false" outlineLevel="0" collapsed="false">
      <c r="A816" s="79" t="s">
        <v>226</v>
      </c>
      <c r="B816" s="79" t="s">
        <v>1101</v>
      </c>
      <c r="C816" s="80" t="n">
        <v>202412</v>
      </c>
      <c r="D816" s="81" t="n">
        <v>45627</v>
      </c>
      <c r="E816" s="82" t="n">
        <v>105757.504</v>
      </c>
      <c r="F816" s="80" t="n">
        <v>23</v>
      </c>
      <c r="G816" s="79" t="s">
        <v>869</v>
      </c>
    </row>
    <row r="817" customFormat="false" ht="15" hidden="false" customHeight="false" outlineLevel="0" collapsed="false">
      <c r="A817" s="79" t="s">
        <v>226</v>
      </c>
      <c r="B817" s="79" t="s">
        <v>1102</v>
      </c>
      <c r="C817" s="80" t="n">
        <v>202411</v>
      </c>
      <c r="D817" s="81" t="n">
        <v>45597</v>
      </c>
      <c r="E817" s="82" t="n">
        <v>118801.102</v>
      </c>
      <c r="F817" s="80" t="n">
        <v>24</v>
      </c>
      <c r="G817" s="79" t="s">
        <v>870</v>
      </c>
    </row>
    <row r="818" customFormat="false" ht="15" hidden="false" customHeight="false" outlineLevel="0" collapsed="false">
      <c r="A818" s="79" t="s">
        <v>226</v>
      </c>
      <c r="B818" s="79" t="s">
        <v>1103</v>
      </c>
      <c r="C818" s="80" t="n">
        <v>202410</v>
      </c>
      <c r="D818" s="81" t="n">
        <v>45566</v>
      </c>
      <c r="E818" s="82" t="n">
        <v>109264.099</v>
      </c>
      <c r="F818" s="80" t="n">
        <v>25</v>
      </c>
      <c r="G818" s="79" t="s">
        <v>1380</v>
      </c>
    </row>
    <row r="819" customFormat="false" ht="15" hidden="false" customHeight="false" outlineLevel="0" collapsed="false">
      <c r="A819" s="79" t="s">
        <v>226</v>
      </c>
      <c r="B819" s="79" t="s">
        <v>1105</v>
      </c>
      <c r="C819" s="80" t="n">
        <v>202409</v>
      </c>
      <c r="D819" s="81" t="n">
        <v>45536</v>
      </c>
      <c r="E819" s="82" t="n">
        <v>88437.775</v>
      </c>
      <c r="F819" s="80" t="n">
        <v>26</v>
      </c>
      <c r="G819" s="79" t="s">
        <v>1381</v>
      </c>
    </row>
    <row r="820" customFormat="false" ht="15" hidden="false" customHeight="false" outlineLevel="0" collapsed="false">
      <c r="A820" s="79" t="s">
        <v>226</v>
      </c>
      <c r="B820" s="79" t="s">
        <v>1107</v>
      </c>
      <c r="C820" s="80" t="n">
        <v>202408</v>
      </c>
      <c r="D820" s="81" t="n">
        <v>45505</v>
      </c>
      <c r="E820" s="82" t="n">
        <v>96528.903</v>
      </c>
      <c r="F820" s="80" t="n">
        <v>27</v>
      </c>
      <c r="G820" s="79" t="s">
        <v>1382</v>
      </c>
    </row>
    <row r="821" customFormat="false" ht="15" hidden="false" customHeight="false" outlineLevel="0" collapsed="false">
      <c r="A821" s="79" t="s">
        <v>226</v>
      </c>
      <c r="B821" s="79" t="s">
        <v>1109</v>
      </c>
      <c r="C821" s="80" t="n">
        <v>202407</v>
      </c>
      <c r="D821" s="81" t="n">
        <v>45474</v>
      </c>
      <c r="E821" s="82" t="n">
        <v>70928.276</v>
      </c>
      <c r="F821" s="80" t="n">
        <v>28</v>
      </c>
      <c r="G821" s="79" t="s">
        <v>1383</v>
      </c>
    </row>
    <row r="822" customFormat="false" ht="15" hidden="false" customHeight="false" outlineLevel="0" collapsed="false">
      <c r="A822" s="79" t="s">
        <v>226</v>
      </c>
      <c r="B822" s="79" t="s">
        <v>1111</v>
      </c>
      <c r="C822" s="80" t="n">
        <v>202406</v>
      </c>
      <c r="D822" s="81" t="n">
        <v>45444</v>
      </c>
      <c r="E822" s="82" t="n">
        <v>93103.612</v>
      </c>
      <c r="F822" s="80" t="n">
        <v>29</v>
      </c>
      <c r="G822" s="79" t="s">
        <v>1384</v>
      </c>
    </row>
    <row r="823" customFormat="false" ht="15" hidden="false" customHeight="false" outlineLevel="0" collapsed="false">
      <c r="A823" s="79" t="s">
        <v>226</v>
      </c>
      <c r="B823" s="79" t="s">
        <v>1113</v>
      </c>
      <c r="C823" s="80" t="n">
        <v>202405</v>
      </c>
      <c r="D823" s="81" t="n">
        <v>45413</v>
      </c>
      <c r="E823" s="82" t="n">
        <v>89675.82</v>
      </c>
      <c r="F823" s="80" t="n">
        <v>30</v>
      </c>
      <c r="G823" s="79" t="s">
        <v>1385</v>
      </c>
    </row>
    <row r="824" customFormat="false" ht="15" hidden="false" customHeight="false" outlineLevel="0" collapsed="false">
      <c r="A824" s="79" t="s">
        <v>226</v>
      </c>
      <c r="B824" s="79" t="s">
        <v>1115</v>
      </c>
      <c r="C824" s="80" t="n">
        <v>202404</v>
      </c>
      <c r="D824" s="81" t="n">
        <v>45383</v>
      </c>
      <c r="E824" s="82" t="n">
        <v>74751.634</v>
      </c>
      <c r="F824" s="80" t="n">
        <v>31</v>
      </c>
      <c r="G824" s="79" t="s">
        <v>1386</v>
      </c>
    </row>
    <row r="825" customFormat="false" ht="15" hidden="false" customHeight="false" outlineLevel="0" collapsed="false">
      <c r="A825" s="79" t="s">
        <v>226</v>
      </c>
      <c r="B825" s="79" t="s">
        <v>1117</v>
      </c>
      <c r="C825" s="80" t="n">
        <v>202403</v>
      </c>
      <c r="D825" s="81" t="n">
        <v>45352</v>
      </c>
      <c r="E825" s="82" t="n">
        <v>66296.038</v>
      </c>
      <c r="F825" s="80" t="n">
        <v>32</v>
      </c>
      <c r="G825" s="79" t="s">
        <v>1387</v>
      </c>
    </row>
    <row r="826" customFormat="false" ht="15" hidden="false" customHeight="false" outlineLevel="0" collapsed="false">
      <c r="A826" s="79" t="s">
        <v>226</v>
      </c>
      <c r="B826" s="79" t="s">
        <v>1119</v>
      </c>
      <c r="C826" s="80" t="n">
        <v>202402</v>
      </c>
      <c r="D826" s="81" t="n">
        <v>45323</v>
      </c>
      <c r="E826" s="82" t="n">
        <v>109353.732</v>
      </c>
      <c r="F826" s="80" t="n">
        <v>33</v>
      </c>
      <c r="G826" s="79" t="s">
        <v>1388</v>
      </c>
    </row>
    <row r="827" customFormat="false" ht="15" hidden="false" customHeight="false" outlineLevel="0" collapsed="false">
      <c r="A827" s="79" t="s">
        <v>226</v>
      </c>
      <c r="B827" s="79" t="s">
        <v>1121</v>
      </c>
      <c r="C827" s="80" t="n">
        <v>202401</v>
      </c>
      <c r="D827" s="81" t="n">
        <v>45292</v>
      </c>
      <c r="E827" s="82" t="n">
        <v>83100.034</v>
      </c>
      <c r="F827" s="80" t="n">
        <v>34</v>
      </c>
      <c r="G827" s="79" t="s">
        <v>1389</v>
      </c>
    </row>
    <row r="828" customFormat="false" ht="15" hidden="false" customHeight="false" outlineLevel="0" collapsed="false">
      <c r="A828" s="79" t="s">
        <v>226</v>
      </c>
      <c r="B828" s="79" t="s">
        <v>1123</v>
      </c>
      <c r="C828" s="80" t="n">
        <v>202312</v>
      </c>
      <c r="D828" s="81" t="n">
        <v>45261</v>
      </c>
      <c r="E828" s="82" t="n">
        <v>116781.153</v>
      </c>
      <c r="F828" s="80" t="n">
        <v>35</v>
      </c>
      <c r="G828" s="79" t="s">
        <v>1390</v>
      </c>
    </row>
    <row r="829" customFormat="false" ht="15" hidden="false" customHeight="false" outlineLevel="0" collapsed="false">
      <c r="A829" s="79" t="s">
        <v>226</v>
      </c>
      <c r="B829" s="79" t="s">
        <v>1125</v>
      </c>
      <c r="C829" s="80" t="n">
        <v>202311</v>
      </c>
      <c r="D829" s="81" t="n">
        <v>45231</v>
      </c>
      <c r="E829" s="82" t="n">
        <v>142204.362</v>
      </c>
      <c r="F829" s="80" t="n">
        <v>36</v>
      </c>
      <c r="G829" s="79" t="s">
        <v>1391</v>
      </c>
    </row>
    <row r="830" customFormat="false" ht="15" hidden="false" customHeight="false" outlineLevel="0" collapsed="false">
      <c r="A830" s="79" t="s">
        <v>232</v>
      </c>
      <c r="B830" s="79" t="s">
        <v>1079</v>
      </c>
      <c r="C830" s="80" t="n">
        <v>202610</v>
      </c>
      <c r="D830" s="81" t="n">
        <v>46296</v>
      </c>
      <c r="E830" s="82" t="n">
        <v>574.774</v>
      </c>
      <c r="F830" s="80" t="n">
        <v>1</v>
      </c>
      <c r="G830" s="79" t="s">
        <v>872</v>
      </c>
    </row>
    <row r="831" customFormat="false" ht="15" hidden="false" customHeight="false" outlineLevel="0" collapsed="false">
      <c r="A831" s="79" t="s">
        <v>232</v>
      </c>
      <c r="B831" s="79" t="s">
        <v>1080</v>
      </c>
      <c r="C831" s="80" t="n">
        <v>202609</v>
      </c>
      <c r="D831" s="81" t="n">
        <v>46266</v>
      </c>
      <c r="E831" s="82" t="n">
        <v>545.866</v>
      </c>
      <c r="F831" s="80" t="n">
        <v>2</v>
      </c>
      <c r="G831" s="79" t="s">
        <v>873</v>
      </c>
    </row>
    <row r="832" customFormat="false" ht="15" hidden="false" customHeight="false" outlineLevel="0" collapsed="false">
      <c r="A832" s="79" t="s">
        <v>232</v>
      </c>
      <c r="B832" s="79" t="s">
        <v>1081</v>
      </c>
      <c r="C832" s="80" t="n">
        <v>202608</v>
      </c>
      <c r="D832" s="81" t="n">
        <v>46235</v>
      </c>
      <c r="E832" s="82" t="n">
        <v>508.777</v>
      </c>
      <c r="F832" s="80" t="n">
        <v>3</v>
      </c>
      <c r="G832" s="79" t="s">
        <v>874</v>
      </c>
    </row>
    <row r="833" customFormat="false" ht="15" hidden="false" customHeight="false" outlineLevel="0" collapsed="false">
      <c r="A833" s="79" t="s">
        <v>232</v>
      </c>
      <c r="B833" s="79" t="s">
        <v>1082</v>
      </c>
      <c r="C833" s="80" t="n">
        <v>202607</v>
      </c>
      <c r="D833" s="81" t="n">
        <v>46204</v>
      </c>
      <c r="E833" s="82" t="n">
        <v>455.083</v>
      </c>
      <c r="F833" s="80" t="n">
        <v>4</v>
      </c>
      <c r="G833" s="79" t="s">
        <v>875</v>
      </c>
    </row>
    <row r="834" customFormat="false" ht="15" hidden="false" customHeight="false" outlineLevel="0" collapsed="false">
      <c r="A834" s="79" t="s">
        <v>232</v>
      </c>
      <c r="B834" s="79" t="s">
        <v>1083</v>
      </c>
      <c r="C834" s="80" t="n">
        <v>202606</v>
      </c>
      <c r="D834" s="81" t="n">
        <v>46174</v>
      </c>
      <c r="E834" s="82" t="n">
        <v>421.247</v>
      </c>
      <c r="F834" s="80" t="n">
        <v>5</v>
      </c>
      <c r="G834" s="79" t="s">
        <v>876</v>
      </c>
    </row>
    <row r="835" customFormat="false" ht="15" hidden="false" customHeight="false" outlineLevel="0" collapsed="false">
      <c r="A835" s="79" t="s">
        <v>232</v>
      </c>
      <c r="B835" s="79" t="s">
        <v>1084</v>
      </c>
      <c r="C835" s="80" t="n">
        <v>202605</v>
      </c>
      <c r="D835" s="81" t="n">
        <v>46143</v>
      </c>
      <c r="E835" s="82" t="n">
        <v>412.778</v>
      </c>
      <c r="F835" s="80" t="n">
        <v>6</v>
      </c>
      <c r="G835" s="79" t="s">
        <v>877</v>
      </c>
    </row>
    <row r="836" customFormat="false" ht="15" hidden="false" customHeight="false" outlineLevel="0" collapsed="false">
      <c r="A836" s="79" t="s">
        <v>232</v>
      </c>
      <c r="B836" s="79" t="s">
        <v>1085</v>
      </c>
      <c r="C836" s="80" t="n">
        <v>202604</v>
      </c>
      <c r="D836" s="81" t="n">
        <v>46113</v>
      </c>
      <c r="E836" s="82" t="n">
        <v>451.568</v>
      </c>
      <c r="F836" s="80" t="n">
        <v>7</v>
      </c>
      <c r="G836" s="79" t="s">
        <v>878</v>
      </c>
    </row>
    <row r="837" customFormat="false" ht="15" hidden="false" customHeight="false" outlineLevel="0" collapsed="false">
      <c r="A837" s="79" t="s">
        <v>232</v>
      </c>
      <c r="B837" s="79" t="s">
        <v>1086</v>
      </c>
      <c r="C837" s="80" t="n">
        <v>202603</v>
      </c>
      <c r="D837" s="81" t="n">
        <v>46082</v>
      </c>
      <c r="E837" s="82" t="n">
        <v>329.586</v>
      </c>
      <c r="F837" s="80" t="n">
        <v>8</v>
      </c>
      <c r="G837" s="79" t="s">
        <v>879</v>
      </c>
    </row>
    <row r="838" customFormat="false" ht="15" hidden="false" customHeight="false" outlineLevel="0" collapsed="false">
      <c r="A838" s="79" t="s">
        <v>232</v>
      </c>
      <c r="B838" s="79" t="s">
        <v>1087</v>
      </c>
      <c r="C838" s="80" t="n">
        <v>202602</v>
      </c>
      <c r="D838" s="81" t="n">
        <v>46054</v>
      </c>
      <c r="E838" s="82" t="n">
        <v>412.324</v>
      </c>
      <c r="F838" s="80" t="n">
        <v>9</v>
      </c>
      <c r="G838" s="79" t="s">
        <v>880</v>
      </c>
    </row>
    <row r="839" customFormat="false" ht="15" hidden="false" customHeight="false" outlineLevel="0" collapsed="false">
      <c r="A839" s="79" t="s">
        <v>232</v>
      </c>
      <c r="B839" s="79" t="s">
        <v>1088</v>
      </c>
      <c r="C839" s="80" t="n">
        <v>202601</v>
      </c>
      <c r="D839" s="81" t="n">
        <v>46023</v>
      </c>
      <c r="E839" s="82" t="n">
        <v>421.117</v>
      </c>
      <c r="F839" s="80" t="n">
        <v>10</v>
      </c>
      <c r="G839" s="79" t="s">
        <v>881</v>
      </c>
    </row>
    <row r="840" customFormat="false" ht="15" hidden="false" customHeight="false" outlineLevel="0" collapsed="false">
      <c r="A840" s="79" t="s">
        <v>232</v>
      </c>
      <c r="B840" s="79" t="s">
        <v>1089</v>
      </c>
      <c r="C840" s="80" t="n">
        <v>202512</v>
      </c>
      <c r="D840" s="81" t="n">
        <v>45992</v>
      </c>
      <c r="E840" s="82" t="n">
        <v>414.874</v>
      </c>
      <c r="F840" s="80" t="n">
        <v>11</v>
      </c>
      <c r="G840" s="79" t="s">
        <v>882</v>
      </c>
    </row>
    <row r="841" customFormat="false" ht="15" hidden="false" customHeight="false" outlineLevel="0" collapsed="false">
      <c r="A841" s="79" t="s">
        <v>232</v>
      </c>
      <c r="B841" s="79" t="s">
        <v>1090</v>
      </c>
      <c r="C841" s="80" t="n">
        <v>202511</v>
      </c>
      <c r="D841" s="81" t="n">
        <v>45962</v>
      </c>
      <c r="E841" s="82" t="n">
        <v>318.369</v>
      </c>
      <c r="F841" s="80" t="n">
        <v>12</v>
      </c>
      <c r="G841" s="79" t="s">
        <v>883</v>
      </c>
    </row>
    <row r="842" customFormat="false" ht="15" hidden="false" customHeight="false" outlineLevel="0" collapsed="false">
      <c r="A842" s="79" t="s">
        <v>232</v>
      </c>
      <c r="B842" s="79" t="s">
        <v>1091</v>
      </c>
      <c r="C842" s="80" t="n">
        <v>202510</v>
      </c>
      <c r="D842" s="81" t="n">
        <v>45931</v>
      </c>
      <c r="E842" s="82" t="n">
        <v>290.607</v>
      </c>
      <c r="F842" s="80" t="n">
        <v>13</v>
      </c>
      <c r="G842" s="79" t="s">
        <v>884</v>
      </c>
    </row>
    <row r="843" customFormat="false" ht="15" hidden="false" customHeight="false" outlineLevel="0" collapsed="false">
      <c r="A843" s="79" t="s">
        <v>232</v>
      </c>
      <c r="B843" s="79" t="s">
        <v>1092</v>
      </c>
      <c r="C843" s="80" t="n">
        <v>202509</v>
      </c>
      <c r="D843" s="81" t="n">
        <v>45901</v>
      </c>
      <c r="E843" s="82" t="n">
        <v>397.141</v>
      </c>
      <c r="F843" s="80" t="n">
        <v>14</v>
      </c>
      <c r="G843" s="79" t="s">
        <v>885</v>
      </c>
    </row>
    <row r="844" customFormat="false" ht="15" hidden="false" customHeight="false" outlineLevel="0" collapsed="false">
      <c r="A844" s="79" t="s">
        <v>232</v>
      </c>
      <c r="B844" s="79" t="s">
        <v>1093</v>
      </c>
      <c r="C844" s="80" t="n">
        <v>202508</v>
      </c>
      <c r="D844" s="81" t="n">
        <v>45870</v>
      </c>
      <c r="E844" s="82" t="n">
        <v>388.346</v>
      </c>
      <c r="F844" s="80" t="n">
        <v>15</v>
      </c>
      <c r="G844" s="79" t="s">
        <v>886</v>
      </c>
    </row>
    <row r="845" customFormat="false" ht="15" hidden="false" customHeight="false" outlineLevel="0" collapsed="false">
      <c r="A845" s="79" t="s">
        <v>232</v>
      </c>
      <c r="B845" s="79" t="s">
        <v>1094</v>
      </c>
      <c r="C845" s="80" t="n">
        <v>202507</v>
      </c>
      <c r="D845" s="81" t="n">
        <v>45839</v>
      </c>
      <c r="E845" s="82" t="n">
        <v>356.414</v>
      </c>
      <c r="F845" s="80" t="n">
        <v>16</v>
      </c>
      <c r="G845" s="79" t="s">
        <v>887</v>
      </c>
    </row>
    <row r="846" customFormat="false" ht="15" hidden="false" customHeight="false" outlineLevel="0" collapsed="false">
      <c r="A846" s="79" t="s">
        <v>232</v>
      </c>
      <c r="B846" s="79" t="s">
        <v>1095</v>
      </c>
      <c r="C846" s="80" t="n">
        <v>202506</v>
      </c>
      <c r="D846" s="81" t="n">
        <v>45809</v>
      </c>
      <c r="E846" s="82" t="n">
        <v>347.922</v>
      </c>
      <c r="F846" s="80" t="n">
        <v>17</v>
      </c>
      <c r="G846" s="79" t="s">
        <v>888</v>
      </c>
    </row>
    <row r="847" customFormat="false" ht="15" hidden="false" customHeight="false" outlineLevel="0" collapsed="false">
      <c r="A847" s="79" t="s">
        <v>232</v>
      </c>
      <c r="B847" s="79" t="s">
        <v>1096</v>
      </c>
      <c r="C847" s="80" t="n">
        <v>202505</v>
      </c>
      <c r="D847" s="81" t="n">
        <v>45778</v>
      </c>
      <c r="E847" s="82" t="n">
        <v>383.15</v>
      </c>
      <c r="F847" s="80" t="n">
        <v>18</v>
      </c>
      <c r="G847" s="79" t="s">
        <v>889</v>
      </c>
    </row>
    <row r="848" customFormat="false" ht="15" hidden="false" customHeight="false" outlineLevel="0" collapsed="false">
      <c r="A848" s="79" t="s">
        <v>232</v>
      </c>
      <c r="B848" s="79" t="s">
        <v>1097</v>
      </c>
      <c r="C848" s="80" t="n">
        <v>202504</v>
      </c>
      <c r="D848" s="81" t="n">
        <v>45748</v>
      </c>
      <c r="E848" s="82" t="n">
        <v>375.732</v>
      </c>
      <c r="F848" s="80" t="n">
        <v>19</v>
      </c>
      <c r="G848" s="79" t="s">
        <v>890</v>
      </c>
    </row>
    <row r="849" customFormat="false" ht="15" hidden="false" customHeight="false" outlineLevel="0" collapsed="false">
      <c r="A849" s="79" t="s">
        <v>232</v>
      </c>
      <c r="B849" s="79" t="s">
        <v>1098</v>
      </c>
      <c r="C849" s="80" t="n">
        <v>202503</v>
      </c>
      <c r="D849" s="81" t="n">
        <v>45717</v>
      </c>
      <c r="E849" s="82" t="n">
        <v>366.068</v>
      </c>
      <c r="F849" s="80" t="n">
        <v>20</v>
      </c>
      <c r="G849" s="79" t="s">
        <v>891</v>
      </c>
    </row>
    <row r="850" customFormat="false" ht="15" hidden="false" customHeight="false" outlineLevel="0" collapsed="false">
      <c r="A850" s="79" t="s">
        <v>232</v>
      </c>
      <c r="B850" s="79" t="s">
        <v>1099</v>
      </c>
      <c r="C850" s="80" t="n">
        <v>202502</v>
      </c>
      <c r="D850" s="81" t="n">
        <v>45689</v>
      </c>
      <c r="E850" s="82" t="n">
        <v>325.106</v>
      </c>
      <c r="F850" s="80" t="n">
        <v>21</v>
      </c>
      <c r="G850" s="79" t="s">
        <v>892</v>
      </c>
    </row>
    <row r="851" customFormat="false" ht="15" hidden="false" customHeight="false" outlineLevel="0" collapsed="false">
      <c r="A851" s="79" t="s">
        <v>232</v>
      </c>
      <c r="B851" s="79" t="s">
        <v>1100</v>
      </c>
      <c r="C851" s="80" t="n">
        <v>202501</v>
      </c>
      <c r="D851" s="81" t="n">
        <v>45658</v>
      </c>
      <c r="E851" s="82" t="n">
        <v>351.851</v>
      </c>
      <c r="F851" s="80" t="n">
        <v>22</v>
      </c>
      <c r="G851" s="79" t="s">
        <v>893</v>
      </c>
    </row>
    <row r="852" customFormat="false" ht="15" hidden="false" customHeight="false" outlineLevel="0" collapsed="false">
      <c r="A852" s="79" t="s">
        <v>232</v>
      </c>
      <c r="B852" s="79" t="s">
        <v>1101</v>
      </c>
      <c r="C852" s="80" t="n">
        <v>202412</v>
      </c>
      <c r="D852" s="81" t="n">
        <v>45627</v>
      </c>
      <c r="E852" s="82" t="n">
        <v>366.735</v>
      </c>
      <c r="F852" s="80" t="n">
        <v>23</v>
      </c>
      <c r="G852" s="79" t="s">
        <v>894</v>
      </c>
    </row>
    <row r="853" customFormat="false" ht="15" hidden="false" customHeight="false" outlineLevel="0" collapsed="false">
      <c r="A853" s="79" t="s">
        <v>232</v>
      </c>
      <c r="B853" s="79" t="s">
        <v>1102</v>
      </c>
      <c r="C853" s="80" t="n">
        <v>202411</v>
      </c>
      <c r="D853" s="81" t="n">
        <v>45597</v>
      </c>
      <c r="E853" s="82" t="n">
        <v>329.524</v>
      </c>
      <c r="F853" s="80" t="n">
        <v>24</v>
      </c>
      <c r="G853" s="79" t="s">
        <v>895</v>
      </c>
    </row>
    <row r="854" customFormat="false" ht="15" hidden="false" customHeight="false" outlineLevel="0" collapsed="false">
      <c r="A854" s="79" t="s">
        <v>232</v>
      </c>
      <c r="B854" s="79" t="s">
        <v>1103</v>
      </c>
      <c r="C854" s="80" t="n">
        <v>202410</v>
      </c>
      <c r="D854" s="81" t="n">
        <v>45566</v>
      </c>
      <c r="E854" s="82" t="n">
        <v>324.554</v>
      </c>
      <c r="F854" s="80" t="n">
        <v>25</v>
      </c>
      <c r="G854" s="79" t="s">
        <v>1392</v>
      </c>
    </row>
    <row r="855" customFormat="false" ht="15" hidden="false" customHeight="false" outlineLevel="0" collapsed="false">
      <c r="A855" s="79" t="s">
        <v>232</v>
      </c>
      <c r="B855" s="79" t="s">
        <v>1105</v>
      </c>
      <c r="C855" s="80" t="n">
        <v>202409</v>
      </c>
      <c r="D855" s="81" t="n">
        <v>45536</v>
      </c>
      <c r="E855" s="82" t="n">
        <v>319.033</v>
      </c>
      <c r="F855" s="80" t="n">
        <v>26</v>
      </c>
      <c r="G855" s="79" t="s">
        <v>1393</v>
      </c>
    </row>
    <row r="856" customFormat="false" ht="15" hidden="false" customHeight="false" outlineLevel="0" collapsed="false">
      <c r="A856" s="79" t="s">
        <v>232</v>
      </c>
      <c r="B856" s="79" t="s">
        <v>1107</v>
      </c>
      <c r="C856" s="80" t="n">
        <v>202408</v>
      </c>
      <c r="D856" s="81" t="n">
        <v>45505</v>
      </c>
      <c r="E856" s="82" t="n">
        <v>302.044</v>
      </c>
      <c r="F856" s="80" t="n">
        <v>27</v>
      </c>
      <c r="G856" s="79" t="s">
        <v>1394</v>
      </c>
    </row>
    <row r="857" customFormat="false" ht="15" hidden="false" customHeight="false" outlineLevel="0" collapsed="false">
      <c r="A857" s="79" t="s">
        <v>232</v>
      </c>
      <c r="B857" s="79" t="s">
        <v>1109</v>
      </c>
      <c r="C857" s="80" t="n">
        <v>202407</v>
      </c>
      <c r="D857" s="81" t="n">
        <v>45474</v>
      </c>
      <c r="E857" s="82" t="n">
        <v>267.703</v>
      </c>
      <c r="F857" s="80" t="n">
        <v>28</v>
      </c>
      <c r="G857" s="79" t="s">
        <v>1395</v>
      </c>
    </row>
    <row r="858" customFormat="false" ht="15" hidden="false" customHeight="false" outlineLevel="0" collapsed="false">
      <c r="A858" s="79" t="s">
        <v>232</v>
      </c>
      <c r="B858" s="79" t="s">
        <v>1111</v>
      </c>
      <c r="C858" s="80" t="n">
        <v>202406</v>
      </c>
      <c r="D858" s="81" t="n">
        <v>45444</v>
      </c>
      <c r="E858" s="82" t="n">
        <v>264.096</v>
      </c>
      <c r="F858" s="80" t="n">
        <v>29</v>
      </c>
      <c r="G858" s="79" t="s">
        <v>1396</v>
      </c>
    </row>
    <row r="859" customFormat="false" ht="15" hidden="false" customHeight="false" outlineLevel="0" collapsed="false">
      <c r="A859" s="79" t="s">
        <v>232</v>
      </c>
      <c r="B859" s="79" t="s">
        <v>1113</v>
      </c>
      <c r="C859" s="80" t="n">
        <v>202405</v>
      </c>
      <c r="D859" s="81" t="n">
        <v>45413</v>
      </c>
      <c r="E859" s="82" t="n">
        <v>269.469</v>
      </c>
      <c r="F859" s="80" t="n">
        <v>30</v>
      </c>
      <c r="G859" s="79" t="s">
        <v>1397</v>
      </c>
    </row>
    <row r="860" customFormat="false" ht="15" hidden="false" customHeight="false" outlineLevel="0" collapsed="false">
      <c r="A860" s="79" t="s">
        <v>232</v>
      </c>
      <c r="B860" s="79" t="s">
        <v>1115</v>
      </c>
      <c r="C860" s="80" t="n">
        <v>202404</v>
      </c>
      <c r="D860" s="81" t="n">
        <v>45383</v>
      </c>
      <c r="E860" s="82" t="n">
        <v>263.114</v>
      </c>
      <c r="F860" s="80" t="n">
        <v>31</v>
      </c>
      <c r="G860" s="79" t="s">
        <v>1398</v>
      </c>
    </row>
    <row r="861" customFormat="false" ht="15" hidden="false" customHeight="false" outlineLevel="0" collapsed="false">
      <c r="A861" s="79" t="s">
        <v>232</v>
      </c>
      <c r="B861" s="79" t="s">
        <v>1117</v>
      </c>
      <c r="C861" s="80" t="n">
        <v>202403</v>
      </c>
      <c r="D861" s="81" t="n">
        <v>45352</v>
      </c>
      <c r="E861" s="82" t="n">
        <v>178.135</v>
      </c>
      <c r="F861" s="80" t="n">
        <v>32</v>
      </c>
      <c r="G861" s="79" t="s">
        <v>1399</v>
      </c>
    </row>
    <row r="862" customFormat="false" ht="15" hidden="false" customHeight="false" outlineLevel="0" collapsed="false">
      <c r="A862" s="79" t="s">
        <v>232</v>
      </c>
      <c r="B862" s="79" t="s">
        <v>1119</v>
      </c>
      <c r="C862" s="80" t="n">
        <v>202402</v>
      </c>
      <c r="D862" s="81" t="n">
        <v>45323</v>
      </c>
      <c r="E862" s="82" t="n">
        <v>214.785</v>
      </c>
      <c r="F862" s="80" t="n">
        <v>33</v>
      </c>
      <c r="G862" s="79" t="s">
        <v>1400</v>
      </c>
    </row>
    <row r="863" customFormat="false" ht="15" hidden="false" customHeight="false" outlineLevel="0" collapsed="false">
      <c r="A863" s="79" t="s">
        <v>232</v>
      </c>
      <c r="B863" s="79" t="s">
        <v>1121</v>
      </c>
      <c r="C863" s="80" t="n">
        <v>202401</v>
      </c>
      <c r="D863" s="81" t="n">
        <v>45292</v>
      </c>
      <c r="E863" s="82" t="n">
        <v>293.695</v>
      </c>
      <c r="F863" s="80" t="n">
        <v>34</v>
      </c>
      <c r="G863" s="79" t="s">
        <v>1401</v>
      </c>
    </row>
    <row r="864" customFormat="false" ht="15" hidden="false" customHeight="false" outlineLevel="0" collapsed="false">
      <c r="A864" s="79" t="s">
        <v>232</v>
      </c>
      <c r="B864" s="79" t="s">
        <v>1123</v>
      </c>
      <c r="C864" s="80" t="n">
        <v>202312</v>
      </c>
      <c r="D864" s="81" t="n">
        <v>45261</v>
      </c>
      <c r="E864" s="82" t="n">
        <v>390.314</v>
      </c>
      <c r="F864" s="80" t="n">
        <v>35</v>
      </c>
      <c r="G864" s="79" t="s">
        <v>1402</v>
      </c>
    </row>
    <row r="865" customFormat="false" ht="15" hidden="false" customHeight="false" outlineLevel="0" collapsed="false">
      <c r="A865" s="79" t="s">
        <v>232</v>
      </c>
      <c r="B865" s="79" t="s">
        <v>1125</v>
      </c>
      <c r="C865" s="80" t="n">
        <v>202311</v>
      </c>
      <c r="D865" s="81" t="n">
        <v>45231</v>
      </c>
      <c r="E865" s="82" t="n">
        <v>327.755</v>
      </c>
      <c r="F865" s="80" t="n">
        <v>36</v>
      </c>
      <c r="G865" s="79" t="s">
        <v>1403</v>
      </c>
    </row>
    <row r="866" customFormat="false" ht="15" hidden="false" customHeight="false" outlineLevel="0" collapsed="false">
      <c r="A866" s="79" t="s">
        <v>896</v>
      </c>
      <c r="B866" s="79" t="s">
        <v>1080</v>
      </c>
      <c r="C866" s="80" t="n">
        <v>202609</v>
      </c>
      <c r="D866" s="81" t="n">
        <v>46266</v>
      </c>
      <c r="E866" s="82" t="n">
        <v>1625.937</v>
      </c>
      <c r="F866" s="80" t="n">
        <v>1</v>
      </c>
      <c r="G866" s="79" t="s">
        <v>898</v>
      </c>
    </row>
    <row r="867" customFormat="false" ht="15" hidden="false" customHeight="false" outlineLevel="0" collapsed="false">
      <c r="A867" s="79" t="s">
        <v>896</v>
      </c>
      <c r="B867" s="79" t="s">
        <v>1081</v>
      </c>
      <c r="C867" s="80" t="n">
        <v>202608</v>
      </c>
      <c r="D867" s="81" t="n">
        <v>46235</v>
      </c>
      <c r="E867" s="82" t="n">
        <v>1524.018</v>
      </c>
      <c r="F867" s="80" t="n">
        <v>2</v>
      </c>
      <c r="G867" s="79" t="s">
        <v>899</v>
      </c>
    </row>
    <row r="868" customFormat="false" ht="15" hidden="false" customHeight="false" outlineLevel="0" collapsed="false">
      <c r="A868" s="79" t="s">
        <v>896</v>
      </c>
      <c r="B868" s="79" t="s">
        <v>1082</v>
      </c>
      <c r="C868" s="80" t="n">
        <v>202607</v>
      </c>
      <c r="D868" s="81" t="n">
        <v>46204</v>
      </c>
      <c r="E868" s="82" t="n">
        <v>1310.195</v>
      </c>
      <c r="F868" s="80" t="n">
        <v>3</v>
      </c>
      <c r="G868" s="79" t="s">
        <v>900</v>
      </c>
    </row>
    <row r="869" customFormat="false" ht="15" hidden="false" customHeight="false" outlineLevel="0" collapsed="false">
      <c r="A869" s="79" t="s">
        <v>896</v>
      </c>
      <c r="B869" s="79" t="s">
        <v>1083</v>
      </c>
      <c r="C869" s="80" t="n">
        <v>202606</v>
      </c>
      <c r="D869" s="81" t="n">
        <v>46174</v>
      </c>
      <c r="E869" s="82" t="n">
        <v>1282.174</v>
      </c>
      <c r="F869" s="80" t="n">
        <v>4</v>
      </c>
      <c r="G869" s="79" t="s">
        <v>901</v>
      </c>
    </row>
    <row r="870" customFormat="false" ht="15" hidden="false" customHeight="false" outlineLevel="0" collapsed="false">
      <c r="A870" s="79" t="s">
        <v>896</v>
      </c>
      <c r="B870" s="79" t="s">
        <v>1084</v>
      </c>
      <c r="C870" s="80" t="n">
        <v>202605</v>
      </c>
      <c r="D870" s="81" t="n">
        <v>46143</v>
      </c>
      <c r="E870" s="82" t="n">
        <v>1279.04</v>
      </c>
      <c r="F870" s="80" t="n">
        <v>5</v>
      </c>
      <c r="G870" s="79" t="s">
        <v>902</v>
      </c>
    </row>
    <row r="871" customFormat="false" ht="15" hidden="false" customHeight="false" outlineLevel="0" collapsed="false">
      <c r="A871" s="79" t="s">
        <v>896</v>
      </c>
      <c r="B871" s="79" t="s">
        <v>1085</v>
      </c>
      <c r="C871" s="80" t="n">
        <v>202604</v>
      </c>
      <c r="D871" s="81" t="n">
        <v>46113</v>
      </c>
      <c r="E871" s="82" t="n">
        <v>1235.429</v>
      </c>
      <c r="F871" s="80" t="n">
        <v>6</v>
      </c>
      <c r="G871" s="79" t="s">
        <v>903</v>
      </c>
    </row>
    <row r="872" customFormat="false" ht="15" hidden="false" customHeight="false" outlineLevel="0" collapsed="false">
      <c r="A872" s="79" t="s">
        <v>896</v>
      </c>
      <c r="B872" s="79" t="s">
        <v>1086</v>
      </c>
      <c r="C872" s="80" t="n">
        <v>202603</v>
      </c>
      <c r="D872" s="81" t="n">
        <v>46082</v>
      </c>
      <c r="E872" s="82" t="n">
        <v>1010.964</v>
      </c>
      <c r="F872" s="80" t="n">
        <v>7</v>
      </c>
      <c r="G872" s="79" t="s">
        <v>904</v>
      </c>
    </row>
    <row r="873" customFormat="false" ht="15" hidden="false" customHeight="false" outlineLevel="0" collapsed="false">
      <c r="A873" s="79" t="s">
        <v>896</v>
      </c>
      <c r="B873" s="79" t="s">
        <v>1087</v>
      </c>
      <c r="C873" s="80" t="n">
        <v>202602</v>
      </c>
      <c r="D873" s="81" t="n">
        <v>46054</v>
      </c>
      <c r="E873" s="82" t="n">
        <v>900.364</v>
      </c>
      <c r="F873" s="80" t="n">
        <v>8</v>
      </c>
      <c r="G873" s="79" t="s">
        <v>905</v>
      </c>
    </row>
    <row r="874" customFormat="false" ht="15" hidden="false" customHeight="false" outlineLevel="0" collapsed="false">
      <c r="A874" s="79" t="s">
        <v>896</v>
      </c>
      <c r="B874" s="79" t="s">
        <v>1088</v>
      </c>
      <c r="C874" s="80" t="n">
        <v>202601</v>
      </c>
      <c r="D874" s="81" t="n">
        <v>46023</v>
      </c>
      <c r="E874" s="82" t="n">
        <v>872.214</v>
      </c>
      <c r="F874" s="80" t="n">
        <v>9</v>
      </c>
      <c r="G874" s="79" t="s">
        <v>906</v>
      </c>
    </row>
    <row r="875" customFormat="false" ht="15" hidden="false" customHeight="false" outlineLevel="0" collapsed="false">
      <c r="A875" s="79" t="s">
        <v>896</v>
      </c>
      <c r="B875" s="79" t="s">
        <v>1089</v>
      </c>
      <c r="C875" s="80" t="n">
        <v>202512</v>
      </c>
      <c r="D875" s="81" t="n">
        <v>45992</v>
      </c>
      <c r="E875" s="82" t="n">
        <v>840.288</v>
      </c>
      <c r="F875" s="80" t="n">
        <v>10</v>
      </c>
      <c r="G875" s="79" t="s">
        <v>907</v>
      </c>
    </row>
    <row r="876" customFormat="false" ht="15" hidden="false" customHeight="false" outlineLevel="0" collapsed="false">
      <c r="A876" s="79" t="s">
        <v>896</v>
      </c>
      <c r="B876" s="79" t="s">
        <v>1090</v>
      </c>
      <c r="C876" s="80" t="n">
        <v>202511</v>
      </c>
      <c r="D876" s="81" t="n">
        <v>45962</v>
      </c>
      <c r="E876" s="82" t="n">
        <v>730.624</v>
      </c>
      <c r="F876" s="80" t="n">
        <v>11</v>
      </c>
      <c r="G876" s="79" t="s">
        <v>908</v>
      </c>
    </row>
    <row r="877" customFormat="false" ht="15" hidden="false" customHeight="false" outlineLevel="0" collapsed="false">
      <c r="A877" s="79" t="s">
        <v>896</v>
      </c>
      <c r="B877" s="79" t="s">
        <v>1091</v>
      </c>
      <c r="C877" s="80" t="n">
        <v>202510</v>
      </c>
      <c r="D877" s="81" t="n">
        <v>45931</v>
      </c>
      <c r="E877" s="82" t="n">
        <v>814.367</v>
      </c>
      <c r="F877" s="80" t="n">
        <v>12</v>
      </c>
      <c r="G877" s="79" t="s">
        <v>909</v>
      </c>
    </row>
    <row r="878" customFormat="false" ht="15" hidden="false" customHeight="false" outlineLevel="0" collapsed="false">
      <c r="A878" s="79" t="s">
        <v>896</v>
      </c>
      <c r="B878" s="79" t="s">
        <v>1092</v>
      </c>
      <c r="C878" s="80" t="n">
        <v>202509</v>
      </c>
      <c r="D878" s="81" t="n">
        <v>45901</v>
      </c>
      <c r="E878" s="82" t="n">
        <v>744.425</v>
      </c>
      <c r="F878" s="80" t="n">
        <v>13</v>
      </c>
      <c r="G878" s="79" t="s">
        <v>910</v>
      </c>
    </row>
    <row r="879" customFormat="false" ht="15" hidden="false" customHeight="false" outlineLevel="0" collapsed="false">
      <c r="A879" s="79" t="s">
        <v>896</v>
      </c>
      <c r="B879" s="79" t="s">
        <v>1093</v>
      </c>
      <c r="C879" s="80" t="n">
        <v>202508</v>
      </c>
      <c r="D879" s="81" t="n">
        <v>45870</v>
      </c>
      <c r="E879" s="82" t="n">
        <v>771.292</v>
      </c>
      <c r="F879" s="80" t="n">
        <v>14</v>
      </c>
      <c r="G879" s="79" t="s">
        <v>911</v>
      </c>
    </row>
    <row r="880" customFormat="false" ht="15" hidden="false" customHeight="false" outlineLevel="0" collapsed="false">
      <c r="A880" s="79" t="s">
        <v>896</v>
      </c>
      <c r="B880" s="79" t="s">
        <v>1094</v>
      </c>
      <c r="C880" s="80" t="n">
        <v>202507</v>
      </c>
      <c r="D880" s="81" t="n">
        <v>45839</v>
      </c>
      <c r="E880" s="82" t="n">
        <v>782.343</v>
      </c>
      <c r="F880" s="80" t="n">
        <v>15</v>
      </c>
      <c r="G880" s="79" t="s">
        <v>912</v>
      </c>
    </row>
    <row r="881" customFormat="false" ht="15" hidden="false" customHeight="false" outlineLevel="0" collapsed="false">
      <c r="A881" s="79" t="s">
        <v>896</v>
      </c>
      <c r="B881" s="79" t="s">
        <v>1095</v>
      </c>
      <c r="C881" s="80" t="n">
        <v>202506</v>
      </c>
      <c r="D881" s="81" t="n">
        <v>45809</v>
      </c>
      <c r="E881" s="82" t="n">
        <v>759.86</v>
      </c>
      <c r="F881" s="80" t="n">
        <v>16</v>
      </c>
      <c r="G881" s="79" t="s">
        <v>913</v>
      </c>
    </row>
    <row r="882" customFormat="false" ht="15" hidden="false" customHeight="false" outlineLevel="0" collapsed="false">
      <c r="A882" s="79" t="s">
        <v>896</v>
      </c>
      <c r="B882" s="79" t="s">
        <v>1096</v>
      </c>
      <c r="C882" s="80" t="n">
        <v>202505</v>
      </c>
      <c r="D882" s="81" t="n">
        <v>45778</v>
      </c>
      <c r="E882" s="82" t="n">
        <v>704.344</v>
      </c>
      <c r="F882" s="80" t="n">
        <v>17</v>
      </c>
      <c r="G882" s="79" t="s">
        <v>914</v>
      </c>
    </row>
    <row r="883" customFormat="false" ht="15" hidden="false" customHeight="false" outlineLevel="0" collapsed="false">
      <c r="A883" s="79" t="s">
        <v>896</v>
      </c>
      <c r="B883" s="79" t="s">
        <v>1097</v>
      </c>
      <c r="C883" s="80" t="n">
        <v>202504</v>
      </c>
      <c r="D883" s="81" t="n">
        <v>45748</v>
      </c>
      <c r="E883" s="82" t="n">
        <v>755.03</v>
      </c>
      <c r="F883" s="80" t="n">
        <v>18</v>
      </c>
      <c r="G883" s="79" t="s">
        <v>915</v>
      </c>
    </row>
    <row r="884" customFormat="false" ht="15" hidden="false" customHeight="false" outlineLevel="0" collapsed="false">
      <c r="A884" s="79" t="s">
        <v>896</v>
      </c>
      <c r="B884" s="79" t="s">
        <v>1098</v>
      </c>
      <c r="C884" s="80" t="n">
        <v>202503</v>
      </c>
      <c r="D884" s="81" t="n">
        <v>45717</v>
      </c>
      <c r="E884" s="82" t="n">
        <v>609.219</v>
      </c>
      <c r="F884" s="80" t="n">
        <v>19</v>
      </c>
      <c r="G884" s="79" t="s">
        <v>916</v>
      </c>
    </row>
    <row r="885" customFormat="false" ht="15" hidden="false" customHeight="false" outlineLevel="0" collapsed="false">
      <c r="A885" s="79" t="s">
        <v>896</v>
      </c>
      <c r="B885" s="79" t="s">
        <v>1099</v>
      </c>
      <c r="C885" s="80" t="n">
        <v>202502</v>
      </c>
      <c r="D885" s="81" t="n">
        <v>45689</v>
      </c>
      <c r="E885" s="82" t="n">
        <v>700.869</v>
      </c>
      <c r="F885" s="80" t="n">
        <v>20</v>
      </c>
      <c r="G885" s="79" t="s">
        <v>917</v>
      </c>
    </row>
    <row r="886" customFormat="false" ht="15" hidden="false" customHeight="false" outlineLevel="0" collapsed="false">
      <c r="A886" s="79" t="s">
        <v>896</v>
      </c>
      <c r="B886" s="79" t="s">
        <v>1100</v>
      </c>
      <c r="C886" s="80" t="n">
        <v>202501</v>
      </c>
      <c r="D886" s="81" t="n">
        <v>45658</v>
      </c>
      <c r="E886" s="82" t="n">
        <v>736.877</v>
      </c>
      <c r="F886" s="80" t="n">
        <v>21</v>
      </c>
      <c r="G886" s="79" t="s">
        <v>918</v>
      </c>
    </row>
    <row r="887" customFormat="false" ht="15" hidden="false" customHeight="false" outlineLevel="0" collapsed="false">
      <c r="A887" s="79" t="s">
        <v>896</v>
      </c>
      <c r="B887" s="79" t="s">
        <v>1101</v>
      </c>
      <c r="C887" s="80" t="n">
        <v>202412</v>
      </c>
      <c r="D887" s="81" t="n">
        <v>45627</v>
      </c>
      <c r="E887" s="82" t="n">
        <v>681.054</v>
      </c>
      <c r="F887" s="80" t="n">
        <v>22</v>
      </c>
      <c r="G887" s="79" t="s">
        <v>919</v>
      </c>
    </row>
    <row r="888" customFormat="false" ht="15" hidden="false" customHeight="false" outlineLevel="0" collapsed="false">
      <c r="A888" s="79" t="s">
        <v>896</v>
      </c>
      <c r="B888" s="79" t="s">
        <v>1102</v>
      </c>
      <c r="C888" s="80" t="n">
        <v>202411</v>
      </c>
      <c r="D888" s="81" t="n">
        <v>45597</v>
      </c>
      <c r="E888" s="82" t="n">
        <v>685.782</v>
      </c>
      <c r="F888" s="80" t="n">
        <v>23</v>
      </c>
      <c r="G888" s="79" t="s">
        <v>920</v>
      </c>
    </row>
    <row r="889" customFormat="false" ht="15" hidden="false" customHeight="false" outlineLevel="0" collapsed="false">
      <c r="A889" s="79" t="s">
        <v>896</v>
      </c>
      <c r="B889" s="79" t="s">
        <v>1103</v>
      </c>
      <c r="C889" s="80" t="n">
        <v>202410</v>
      </c>
      <c r="D889" s="81" t="n">
        <v>45566</v>
      </c>
      <c r="E889" s="82" t="n">
        <v>708.152</v>
      </c>
      <c r="F889" s="80" t="n">
        <v>24</v>
      </c>
      <c r="G889" s="79" t="s">
        <v>921</v>
      </c>
    </row>
    <row r="890" customFormat="false" ht="15" hidden="false" customHeight="false" outlineLevel="0" collapsed="false">
      <c r="A890" s="79" t="s">
        <v>896</v>
      </c>
      <c r="B890" s="79" t="s">
        <v>1105</v>
      </c>
      <c r="C890" s="80" t="n">
        <v>202409</v>
      </c>
      <c r="D890" s="81" t="n">
        <v>45536</v>
      </c>
      <c r="E890" s="82" t="n">
        <v>677.094</v>
      </c>
      <c r="F890" s="80" t="n">
        <v>25</v>
      </c>
      <c r="G890" s="79" t="s">
        <v>1404</v>
      </c>
    </row>
    <row r="891" customFormat="false" ht="15" hidden="false" customHeight="false" outlineLevel="0" collapsed="false">
      <c r="A891" s="79" t="s">
        <v>896</v>
      </c>
      <c r="B891" s="79" t="s">
        <v>1107</v>
      </c>
      <c r="C891" s="80" t="n">
        <v>202408</v>
      </c>
      <c r="D891" s="81" t="n">
        <v>45505</v>
      </c>
      <c r="E891" s="82" t="n">
        <v>601.189</v>
      </c>
      <c r="F891" s="80" t="n">
        <v>26</v>
      </c>
      <c r="G891" s="79" t="s">
        <v>1405</v>
      </c>
    </row>
    <row r="892" customFormat="false" ht="15" hidden="false" customHeight="false" outlineLevel="0" collapsed="false">
      <c r="A892" s="79" t="s">
        <v>896</v>
      </c>
      <c r="B892" s="79" t="s">
        <v>1109</v>
      </c>
      <c r="C892" s="80" t="n">
        <v>202407</v>
      </c>
      <c r="D892" s="81" t="n">
        <v>45474</v>
      </c>
      <c r="E892" s="82" t="n">
        <v>504.814</v>
      </c>
      <c r="F892" s="80" t="n">
        <v>27</v>
      </c>
      <c r="G892" s="79" t="s">
        <v>1406</v>
      </c>
    </row>
    <row r="893" customFormat="false" ht="15" hidden="false" customHeight="false" outlineLevel="0" collapsed="false">
      <c r="A893" s="79" t="s">
        <v>896</v>
      </c>
      <c r="B893" s="79" t="s">
        <v>1111</v>
      </c>
      <c r="C893" s="80" t="n">
        <v>202406</v>
      </c>
      <c r="D893" s="81" t="n">
        <v>45444</v>
      </c>
      <c r="E893" s="82" t="n">
        <v>435.334</v>
      </c>
      <c r="F893" s="80" t="n">
        <v>28</v>
      </c>
      <c r="G893" s="79" t="s">
        <v>1407</v>
      </c>
    </row>
    <row r="894" customFormat="false" ht="15" hidden="false" customHeight="false" outlineLevel="0" collapsed="false">
      <c r="A894" s="79" t="s">
        <v>896</v>
      </c>
      <c r="B894" s="79" t="s">
        <v>1113</v>
      </c>
      <c r="C894" s="80" t="n">
        <v>202405</v>
      </c>
      <c r="D894" s="81" t="n">
        <v>45413</v>
      </c>
      <c r="E894" s="82" t="n">
        <v>415.897</v>
      </c>
      <c r="F894" s="80" t="n">
        <v>29</v>
      </c>
      <c r="G894" s="79" t="s">
        <v>1408</v>
      </c>
    </row>
    <row r="895" customFormat="false" ht="15" hidden="false" customHeight="false" outlineLevel="0" collapsed="false">
      <c r="A895" s="79" t="s">
        <v>896</v>
      </c>
      <c r="B895" s="79" t="s">
        <v>1115</v>
      </c>
      <c r="C895" s="80" t="n">
        <v>202404</v>
      </c>
      <c r="D895" s="81" t="n">
        <v>45383</v>
      </c>
      <c r="E895" s="82" t="n">
        <v>359.069</v>
      </c>
      <c r="F895" s="80" t="n">
        <v>30</v>
      </c>
      <c r="G895" s="79" t="s">
        <v>1409</v>
      </c>
    </row>
    <row r="896" customFormat="false" ht="15" hidden="false" customHeight="false" outlineLevel="0" collapsed="false">
      <c r="A896" s="79" t="s">
        <v>896</v>
      </c>
      <c r="B896" s="79" t="s">
        <v>1117</v>
      </c>
      <c r="C896" s="80" t="n">
        <v>202403</v>
      </c>
      <c r="D896" s="81" t="n">
        <v>45352</v>
      </c>
      <c r="E896" s="82" t="n">
        <v>292.096</v>
      </c>
      <c r="F896" s="80" t="n">
        <v>31</v>
      </c>
      <c r="G896" s="79" t="s">
        <v>1410</v>
      </c>
    </row>
    <row r="897" customFormat="false" ht="15" hidden="false" customHeight="false" outlineLevel="0" collapsed="false">
      <c r="A897" s="79" t="s">
        <v>896</v>
      </c>
      <c r="B897" s="79" t="s">
        <v>1119</v>
      </c>
      <c r="C897" s="80" t="n">
        <v>202402</v>
      </c>
      <c r="D897" s="81" t="n">
        <v>45323</v>
      </c>
      <c r="E897" s="82" t="n">
        <v>362.308</v>
      </c>
      <c r="F897" s="80" t="n">
        <v>32</v>
      </c>
      <c r="G897" s="79" t="s">
        <v>1411</v>
      </c>
    </row>
    <row r="898" customFormat="false" ht="15" hidden="false" customHeight="false" outlineLevel="0" collapsed="false">
      <c r="A898" s="79" t="s">
        <v>896</v>
      </c>
      <c r="B898" s="79" t="s">
        <v>1121</v>
      </c>
      <c r="C898" s="80" t="n">
        <v>202401</v>
      </c>
      <c r="D898" s="81" t="n">
        <v>45292</v>
      </c>
      <c r="E898" s="82" t="n">
        <v>318.583</v>
      </c>
      <c r="F898" s="80" t="n">
        <v>33</v>
      </c>
      <c r="G898" s="79" t="s">
        <v>1412</v>
      </c>
    </row>
    <row r="899" customFormat="false" ht="15" hidden="false" customHeight="false" outlineLevel="0" collapsed="false">
      <c r="A899" s="79" t="s">
        <v>896</v>
      </c>
      <c r="B899" s="79" t="s">
        <v>1123</v>
      </c>
      <c r="C899" s="80" t="n">
        <v>202312</v>
      </c>
      <c r="D899" s="81" t="n">
        <v>45261</v>
      </c>
      <c r="E899" s="82" t="n">
        <v>341.994</v>
      </c>
      <c r="F899" s="80" t="n">
        <v>34</v>
      </c>
      <c r="G899" s="79" t="s">
        <v>1413</v>
      </c>
    </row>
    <row r="900" customFormat="false" ht="15" hidden="false" customHeight="false" outlineLevel="0" collapsed="false">
      <c r="A900" s="79" t="s">
        <v>896</v>
      </c>
      <c r="B900" s="79" t="s">
        <v>1125</v>
      </c>
      <c r="C900" s="80" t="n">
        <v>202311</v>
      </c>
      <c r="D900" s="81" t="n">
        <v>45231</v>
      </c>
      <c r="E900" s="82" t="n">
        <v>323.669</v>
      </c>
      <c r="F900" s="80" t="n">
        <v>35</v>
      </c>
      <c r="G900" s="79" t="s">
        <v>1414</v>
      </c>
    </row>
    <row r="901" customFormat="false" ht="15" hidden="false" customHeight="false" outlineLevel="0" collapsed="false">
      <c r="A901" s="79" t="s">
        <v>896</v>
      </c>
      <c r="B901" s="79" t="s">
        <v>1210</v>
      </c>
      <c r="C901" s="80" t="n">
        <v>202310</v>
      </c>
      <c r="D901" s="81" t="n">
        <v>45200</v>
      </c>
      <c r="E901" s="82" t="n">
        <v>321.568</v>
      </c>
      <c r="F901" s="80" t="n">
        <v>36</v>
      </c>
      <c r="G901" s="79" t="s">
        <v>1415</v>
      </c>
    </row>
    <row r="902" customFormat="false" ht="15" hidden="false" customHeight="false" outlineLevel="0" collapsed="false">
      <c r="A902" s="79" t="s">
        <v>186</v>
      </c>
      <c r="B902" s="79" t="s">
        <v>1079</v>
      </c>
      <c r="C902" s="80" t="n">
        <v>202610</v>
      </c>
      <c r="D902" s="81" t="n">
        <v>46296</v>
      </c>
      <c r="E902" s="82" t="n">
        <v>8712.798</v>
      </c>
      <c r="F902" s="80" t="n">
        <v>1</v>
      </c>
      <c r="G902" s="79" t="s">
        <v>923</v>
      </c>
    </row>
    <row r="903" customFormat="false" ht="15" hidden="false" customHeight="false" outlineLevel="0" collapsed="false">
      <c r="A903" s="79" t="s">
        <v>186</v>
      </c>
      <c r="B903" s="79" t="s">
        <v>1080</v>
      </c>
      <c r="C903" s="80" t="n">
        <v>202609</v>
      </c>
      <c r="D903" s="81" t="n">
        <v>46266</v>
      </c>
      <c r="E903" s="82" t="n">
        <v>8680.123</v>
      </c>
      <c r="F903" s="80" t="n">
        <v>2</v>
      </c>
      <c r="G903" s="79" t="s">
        <v>924</v>
      </c>
    </row>
    <row r="904" customFormat="false" ht="15" hidden="false" customHeight="false" outlineLevel="0" collapsed="false">
      <c r="A904" s="79" t="s">
        <v>186</v>
      </c>
      <c r="B904" s="79" t="s">
        <v>1081</v>
      </c>
      <c r="C904" s="80" t="n">
        <v>202608</v>
      </c>
      <c r="D904" s="81" t="n">
        <v>46235</v>
      </c>
      <c r="E904" s="82" t="n">
        <v>8494.81</v>
      </c>
      <c r="F904" s="80" t="n">
        <v>3</v>
      </c>
      <c r="G904" s="79" t="s">
        <v>925</v>
      </c>
    </row>
    <row r="905" customFormat="false" ht="15" hidden="false" customHeight="false" outlineLevel="0" collapsed="false">
      <c r="A905" s="79" t="s">
        <v>186</v>
      </c>
      <c r="B905" s="79" t="s">
        <v>1082</v>
      </c>
      <c r="C905" s="80" t="n">
        <v>202607</v>
      </c>
      <c r="D905" s="81" t="n">
        <v>46204</v>
      </c>
      <c r="E905" s="82" t="n">
        <v>8207.987</v>
      </c>
      <c r="F905" s="80" t="n">
        <v>4</v>
      </c>
      <c r="G905" s="79" t="s">
        <v>926</v>
      </c>
    </row>
    <row r="906" customFormat="false" ht="15" hidden="false" customHeight="false" outlineLevel="0" collapsed="false">
      <c r="A906" s="79" t="s">
        <v>186</v>
      </c>
      <c r="B906" s="79" t="s">
        <v>1083</v>
      </c>
      <c r="C906" s="80" t="n">
        <v>202606</v>
      </c>
      <c r="D906" s="81" t="n">
        <v>46174</v>
      </c>
      <c r="E906" s="82" t="n">
        <v>7564.591</v>
      </c>
      <c r="F906" s="80" t="n">
        <v>5</v>
      </c>
      <c r="G906" s="79" t="s">
        <v>927</v>
      </c>
    </row>
    <row r="907" customFormat="false" ht="15" hidden="false" customHeight="false" outlineLevel="0" collapsed="false">
      <c r="A907" s="79" t="s">
        <v>186</v>
      </c>
      <c r="B907" s="79" t="s">
        <v>1084</v>
      </c>
      <c r="C907" s="80" t="n">
        <v>202605</v>
      </c>
      <c r="D907" s="81" t="n">
        <v>46143</v>
      </c>
      <c r="E907" s="82" t="n">
        <v>6670.833</v>
      </c>
      <c r="F907" s="80" t="n">
        <v>6</v>
      </c>
      <c r="G907" s="79" t="s">
        <v>928</v>
      </c>
    </row>
    <row r="908" customFormat="false" ht="15" hidden="false" customHeight="false" outlineLevel="0" collapsed="false">
      <c r="A908" s="79" t="s">
        <v>186</v>
      </c>
      <c r="B908" s="79" t="s">
        <v>1085</v>
      </c>
      <c r="C908" s="80" t="n">
        <v>202604</v>
      </c>
      <c r="D908" s="81" t="n">
        <v>46113</v>
      </c>
      <c r="E908" s="82" t="n">
        <v>5672.453</v>
      </c>
      <c r="F908" s="80" t="n">
        <v>7</v>
      </c>
      <c r="G908" s="79" t="s">
        <v>929</v>
      </c>
    </row>
    <row r="909" customFormat="false" ht="15" hidden="false" customHeight="false" outlineLevel="0" collapsed="false">
      <c r="A909" s="79" t="s">
        <v>186</v>
      </c>
      <c r="B909" s="79" t="s">
        <v>1086</v>
      </c>
      <c r="C909" s="80" t="n">
        <v>202603</v>
      </c>
      <c r="D909" s="81" t="n">
        <v>46082</v>
      </c>
      <c r="E909" s="82" t="n">
        <v>4178.683</v>
      </c>
      <c r="F909" s="80" t="n">
        <v>8</v>
      </c>
      <c r="G909" s="79" t="s">
        <v>930</v>
      </c>
    </row>
    <row r="910" customFormat="false" ht="15" hidden="false" customHeight="false" outlineLevel="0" collapsed="false">
      <c r="A910" s="79" t="s">
        <v>186</v>
      </c>
      <c r="B910" s="79" t="s">
        <v>1087</v>
      </c>
      <c r="C910" s="80" t="n">
        <v>202602</v>
      </c>
      <c r="D910" s="81" t="n">
        <v>46054</v>
      </c>
      <c r="E910" s="82" t="n">
        <v>3331.472</v>
      </c>
      <c r="F910" s="80" t="n">
        <v>9</v>
      </c>
      <c r="G910" s="79" t="s">
        <v>931</v>
      </c>
    </row>
    <row r="911" customFormat="false" ht="15" hidden="false" customHeight="false" outlineLevel="0" collapsed="false">
      <c r="A911" s="79" t="s">
        <v>186</v>
      </c>
      <c r="B911" s="79" t="s">
        <v>1088</v>
      </c>
      <c r="C911" s="80" t="n">
        <v>202601</v>
      </c>
      <c r="D911" s="81" t="n">
        <v>46023</v>
      </c>
      <c r="E911" s="82" t="n">
        <v>1813.153</v>
      </c>
      <c r="F911" s="80" t="n">
        <v>10</v>
      </c>
      <c r="G911" s="79" t="s">
        <v>932</v>
      </c>
    </row>
    <row r="912" customFormat="false" ht="15" hidden="false" customHeight="false" outlineLevel="0" collapsed="false">
      <c r="A912" s="79" t="s">
        <v>186</v>
      </c>
      <c r="B912" s="79" t="s">
        <v>1089</v>
      </c>
      <c r="C912" s="80" t="n">
        <v>202512</v>
      </c>
      <c r="D912" s="81" t="n">
        <v>45992</v>
      </c>
      <c r="E912" s="82" t="n">
        <v>1596.065</v>
      </c>
      <c r="F912" s="80" t="n">
        <v>11</v>
      </c>
      <c r="G912" s="79" t="s">
        <v>933</v>
      </c>
    </row>
    <row r="913" customFormat="false" ht="15" hidden="false" customHeight="false" outlineLevel="0" collapsed="false">
      <c r="A913" s="79" t="s">
        <v>186</v>
      </c>
      <c r="B913" s="79" t="s">
        <v>1090</v>
      </c>
      <c r="C913" s="80" t="n">
        <v>202511</v>
      </c>
      <c r="D913" s="81" t="n">
        <v>45962</v>
      </c>
      <c r="E913" s="82" t="n">
        <v>1397.472</v>
      </c>
      <c r="F913" s="80" t="n">
        <v>12</v>
      </c>
      <c r="G913" s="79" t="s">
        <v>934</v>
      </c>
    </row>
    <row r="914" customFormat="false" ht="15" hidden="false" customHeight="false" outlineLevel="0" collapsed="false">
      <c r="A914" s="79" t="s">
        <v>186</v>
      </c>
      <c r="B914" s="79" t="s">
        <v>1091</v>
      </c>
      <c r="C914" s="80" t="n">
        <v>202510</v>
      </c>
      <c r="D914" s="81" t="n">
        <v>45931</v>
      </c>
      <c r="E914" s="82" t="n">
        <v>1370.557</v>
      </c>
      <c r="F914" s="80" t="n">
        <v>13</v>
      </c>
      <c r="G914" s="79" t="s">
        <v>935</v>
      </c>
    </row>
    <row r="915" customFormat="false" ht="15" hidden="false" customHeight="false" outlineLevel="0" collapsed="false">
      <c r="A915" s="79" t="s">
        <v>186</v>
      </c>
      <c r="B915" s="79" t="s">
        <v>1092</v>
      </c>
      <c r="C915" s="80" t="n">
        <v>202509</v>
      </c>
      <c r="D915" s="81" t="n">
        <v>45901</v>
      </c>
      <c r="E915" s="82" t="n">
        <v>1283.486</v>
      </c>
      <c r="F915" s="80" t="n">
        <v>14</v>
      </c>
      <c r="G915" s="79" t="s">
        <v>936</v>
      </c>
    </row>
    <row r="916" customFormat="false" ht="15" hidden="false" customHeight="false" outlineLevel="0" collapsed="false">
      <c r="A916" s="79" t="s">
        <v>186</v>
      </c>
      <c r="B916" s="79" t="s">
        <v>1093</v>
      </c>
      <c r="C916" s="80" t="n">
        <v>202508</v>
      </c>
      <c r="D916" s="81" t="n">
        <v>45870</v>
      </c>
      <c r="E916" s="82" t="n">
        <v>1153.358</v>
      </c>
      <c r="F916" s="80" t="n">
        <v>15</v>
      </c>
      <c r="G916" s="79" t="s">
        <v>937</v>
      </c>
    </row>
    <row r="917" customFormat="false" ht="15" hidden="false" customHeight="false" outlineLevel="0" collapsed="false">
      <c r="A917" s="79" t="s">
        <v>186</v>
      </c>
      <c r="B917" s="79" t="s">
        <v>1094</v>
      </c>
      <c r="C917" s="80" t="n">
        <v>202507</v>
      </c>
      <c r="D917" s="81" t="n">
        <v>45839</v>
      </c>
      <c r="E917" s="82" t="n">
        <v>1030.756</v>
      </c>
      <c r="F917" s="80" t="n">
        <v>16</v>
      </c>
      <c r="G917" s="79" t="s">
        <v>938</v>
      </c>
    </row>
    <row r="918" customFormat="false" ht="15" hidden="false" customHeight="false" outlineLevel="0" collapsed="false">
      <c r="A918" s="79" t="s">
        <v>186</v>
      </c>
      <c r="B918" s="79" t="s">
        <v>1095</v>
      </c>
      <c r="C918" s="80" t="n">
        <v>202506</v>
      </c>
      <c r="D918" s="81" t="n">
        <v>45809</v>
      </c>
      <c r="E918" s="82" t="n">
        <v>1021.135</v>
      </c>
      <c r="F918" s="80" t="n">
        <v>17</v>
      </c>
      <c r="G918" s="79" t="s">
        <v>939</v>
      </c>
    </row>
    <row r="919" customFormat="false" ht="15" hidden="false" customHeight="false" outlineLevel="0" collapsed="false">
      <c r="A919" s="79" t="s">
        <v>186</v>
      </c>
      <c r="B919" s="79" t="s">
        <v>1096</v>
      </c>
      <c r="C919" s="80" t="n">
        <v>202505</v>
      </c>
      <c r="D919" s="81" t="n">
        <v>45778</v>
      </c>
      <c r="E919" s="82" t="n">
        <v>976.538</v>
      </c>
      <c r="F919" s="80" t="n">
        <v>18</v>
      </c>
      <c r="G919" s="79" t="s">
        <v>940</v>
      </c>
    </row>
    <row r="920" customFormat="false" ht="15" hidden="false" customHeight="false" outlineLevel="0" collapsed="false">
      <c r="A920" s="79" t="s">
        <v>186</v>
      </c>
      <c r="B920" s="79" t="s">
        <v>1097</v>
      </c>
      <c r="C920" s="80" t="n">
        <v>202504</v>
      </c>
      <c r="D920" s="81" t="n">
        <v>45748</v>
      </c>
      <c r="E920" s="82" t="n">
        <v>970.015</v>
      </c>
      <c r="F920" s="80" t="n">
        <v>19</v>
      </c>
      <c r="G920" s="79" t="s">
        <v>941</v>
      </c>
    </row>
    <row r="921" customFormat="false" ht="15" hidden="false" customHeight="false" outlineLevel="0" collapsed="false">
      <c r="A921" s="79" t="s">
        <v>186</v>
      </c>
      <c r="B921" s="79" t="s">
        <v>1098</v>
      </c>
      <c r="C921" s="80" t="n">
        <v>202503</v>
      </c>
      <c r="D921" s="81" t="n">
        <v>45717</v>
      </c>
      <c r="E921" s="82" t="n">
        <v>830.404</v>
      </c>
      <c r="F921" s="80" t="n">
        <v>20</v>
      </c>
      <c r="G921" s="79" t="s">
        <v>942</v>
      </c>
    </row>
    <row r="922" customFormat="false" ht="15" hidden="false" customHeight="false" outlineLevel="0" collapsed="false">
      <c r="A922" s="79" t="s">
        <v>186</v>
      </c>
      <c r="B922" s="79" t="s">
        <v>1099</v>
      </c>
      <c r="C922" s="80" t="n">
        <v>202502</v>
      </c>
      <c r="D922" s="81" t="n">
        <v>45689</v>
      </c>
      <c r="E922" s="82" t="n">
        <v>818.323</v>
      </c>
      <c r="F922" s="80" t="n">
        <v>21</v>
      </c>
      <c r="G922" s="79" t="s">
        <v>943</v>
      </c>
    </row>
    <row r="923" customFormat="false" ht="15" hidden="false" customHeight="false" outlineLevel="0" collapsed="false">
      <c r="A923" s="79" t="s">
        <v>186</v>
      </c>
      <c r="B923" s="79" t="s">
        <v>1100</v>
      </c>
      <c r="C923" s="80" t="n">
        <v>202501</v>
      </c>
      <c r="D923" s="81" t="n">
        <v>45658</v>
      </c>
      <c r="E923" s="82" t="n">
        <v>720.756</v>
      </c>
      <c r="F923" s="80" t="n">
        <v>22</v>
      </c>
      <c r="G923" s="79" t="s">
        <v>944</v>
      </c>
    </row>
    <row r="924" customFormat="false" ht="15" hidden="false" customHeight="false" outlineLevel="0" collapsed="false">
      <c r="A924" s="79" t="s">
        <v>186</v>
      </c>
      <c r="B924" s="79" t="s">
        <v>1101</v>
      </c>
      <c r="C924" s="80" t="n">
        <v>202412</v>
      </c>
      <c r="D924" s="81" t="n">
        <v>45627</v>
      </c>
      <c r="E924" s="82" t="n">
        <v>759.244</v>
      </c>
      <c r="F924" s="80" t="n">
        <v>23</v>
      </c>
      <c r="G924" s="79" t="s">
        <v>945</v>
      </c>
    </row>
    <row r="925" customFormat="false" ht="15" hidden="false" customHeight="false" outlineLevel="0" collapsed="false">
      <c r="A925" s="79" t="s">
        <v>186</v>
      </c>
      <c r="B925" s="79" t="s">
        <v>1102</v>
      </c>
      <c r="C925" s="80" t="n">
        <v>202411</v>
      </c>
      <c r="D925" s="81" t="n">
        <v>45597</v>
      </c>
      <c r="E925" s="82" t="n">
        <v>748.005</v>
      </c>
      <c r="F925" s="80" t="n">
        <v>24</v>
      </c>
      <c r="G925" s="79" t="s">
        <v>946</v>
      </c>
    </row>
    <row r="926" customFormat="false" ht="15" hidden="false" customHeight="false" outlineLevel="0" collapsed="false">
      <c r="A926" s="79" t="s">
        <v>186</v>
      </c>
      <c r="B926" s="79" t="s">
        <v>1103</v>
      </c>
      <c r="C926" s="80" t="n">
        <v>202410</v>
      </c>
      <c r="D926" s="81" t="n">
        <v>45566</v>
      </c>
      <c r="E926" s="82" t="n">
        <v>712.853</v>
      </c>
      <c r="F926" s="80" t="n">
        <v>25</v>
      </c>
      <c r="G926" s="79" t="s">
        <v>1416</v>
      </c>
    </row>
    <row r="927" customFormat="false" ht="15" hidden="false" customHeight="false" outlineLevel="0" collapsed="false">
      <c r="A927" s="79" t="s">
        <v>186</v>
      </c>
      <c r="B927" s="79" t="s">
        <v>1105</v>
      </c>
      <c r="C927" s="80" t="n">
        <v>202409</v>
      </c>
      <c r="D927" s="81" t="n">
        <v>45536</v>
      </c>
      <c r="E927" s="82" t="n">
        <v>789.6</v>
      </c>
      <c r="F927" s="80" t="n">
        <v>26</v>
      </c>
      <c r="G927" s="79" t="s">
        <v>1417</v>
      </c>
    </row>
    <row r="928" customFormat="false" ht="15" hidden="false" customHeight="false" outlineLevel="0" collapsed="false">
      <c r="A928" s="79" t="s">
        <v>186</v>
      </c>
      <c r="B928" s="79" t="s">
        <v>1107</v>
      </c>
      <c r="C928" s="80" t="n">
        <v>202408</v>
      </c>
      <c r="D928" s="81" t="n">
        <v>45505</v>
      </c>
      <c r="E928" s="82" t="n">
        <v>818.966</v>
      </c>
      <c r="F928" s="80" t="n">
        <v>27</v>
      </c>
      <c r="G928" s="79" t="s">
        <v>1418</v>
      </c>
    </row>
    <row r="929" customFormat="false" ht="15" hidden="false" customHeight="false" outlineLevel="0" collapsed="false">
      <c r="A929" s="79" t="s">
        <v>186</v>
      </c>
      <c r="B929" s="79" t="s">
        <v>1109</v>
      </c>
      <c r="C929" s="80" t="n">
        <v>202407</v>
      </c>
      <c r="D929" s="81" t="n">
        <v>45474</v>
      </c>
      <c r="E929" s="82" t="n">
        <v>749.527</v>
      </c>
      <c r="F929" s="80" t="n">
        <v>28</v>
      </c>
      <c r="G929" s="79" t="s">
        <v>1419</v>
      </c>
    </row>
    <row r="930" customFormat="false" ht="15" hidden="false" customHeight="false" outlineLevel="0" collapsed="false">
      <c r="A930" s="79" t="s">
        <v>186</v>
      </c>
      <c r="B930" s="79" t="s">
        <v>1111</v>
      </c>
      <c r="C930" s="80" t="n">
        <v>202406</v>
      </c>
      <c r="D930" s="81" t="n">
        <v>45444</v>
      </c>
      <c r="E930" s="82" t="n">
        <v>675.797</v>
      </c>
      <c r="F930" s="80" t="n">
        <v>29</v>
      </c>
      <c r="G930" s="79" t="s">
        <v>1420</v>
      </c>
    </row>
    <row r="931" customFormat="false" ht="15" hidden="false" customHeight="false" outlineLevel="0" collapsed="false">
      <c r="A931" s="79" t="s">
        <v>186</v>
      </c>
      <c r="B931" s="79" t="s">
        <v>1113</v>
      </c>
      <c r="C931" s="80" t="n">
        <v>202405</v>
      </c>
      <c r="D931" s="81" t="n">
        <v>45413</v>
      </c>
      <c r="E931" s="82" t="n">
        <v>764.905</v>
      </c>
      <c r="F931" s="80" t="n">
        <v>30</v>
      </c>
      <c r="G931" s="79" t="s">
        <v>1421</v>
      </c>
    </row>
    <row r="932" customFormat="false" ht="15" hidden="false" customHeight="false" outlineLevel="0" collapsed="false">
      <c r="A932" s="79" t="s">
        <v>186</v>
      </c>
      <c r="B932" s="79" t="s">
        <v>1115</v>
      </c>
      <c r="C932" s="80" t="n">
        <v>202404</v>
      </c>
      <c r="D932" s="81" t="n">
        <v>45383</v>
      </c>
      <c r="E932" s="82" t="n">
        <v>755.176</v>
      </c>
      <c r="F932" s="80" t="n">
        <v>31</v>
      </c>
      <c r="G932" s="79" t="s">
        <v>1422</v>
      </c>
    </row>
    <row r="933" customFormat="false" ht="15" hidden="false" customHeight="false" outlineLevel="0" collapsed="false">
      <c r="A933" s="79" t="s">
        <v>186</v>
      </c>
      <c r="B933" s="79" t="s">
        <v>1117</v>
      </c>
      <c r="C933" s="80" t="n">
        <v>202403</v>
      </c>
      <c r="D933" s="81" t="n">
        <v>45352</v>
      </c>
      <c r="E933" s="82" t="n">
        <v>623.797</v>
      </c>
      <c r="F933" s="80" t="n">
        <v>32</v>
      </c>
      <c r="G933" s="79" t="s">
        <v>1423</v>
      </c>
    </row>
    <row r="934" customFormat="false" ht="15" hidden="false" customHeight="false" outlineLevel="0" collapsed="false">
      <c r="A934" s="79" t="s">
        <v>186</v>
      </c>
      <c r="B934" s="79" t="s">
        <v>1119</v>
      </c>
      <c r="C934" s="80" t="n">
        <v>202402</v>
      </c>
      <c r="D934" s="81" t="n">
        <v>45323</v>
      </c>
      <c r="E934" s="82" t="n">
        <v>797.016</v>
      </c>
      <c r="F934" s="80" t="n">
        <v>33</v>
      </c>
      <c r="G934" s="79" t="s">
        <v>1424</v>
      </c>
    </row>
    <row r="935" customFormat="false" ht="15" hidden="false" customHeight="false" outlineLevel="0" collapsed="false">
      <c r="A935" s="79" t="s">
        <v>186</v>
      </c>
      <c r="B935" s="79" t="s">
        <v>1121</v>
      </c>
      <c r="C935" s="80" t="n">
        <v>202401</v>
      </c>
      <c r="D935" s="81" t="n">
        <v>45292</v>
      </c>
      <c r="E935" s="82" t="n">
        <v>718.585</v>
      </c>
      <c r="F935" s="80" t="n">
        <v>34</v>
      </c>
      <c r="G935" s="79" t="s">
        <v>1425</v>
      </c>
    </row>
    <row r="936" customFormat="false" ht="15" hidden="false" customHeight="false" outlineLevel="0" collapsed="false">
      <c r="A936" s="79" t="s">
        <v>186</v>
      </c>
      <c r="B936" s="79" t="s">
        <v>1123</v>
      </c>
      <c r="C936" s="80" t="n">
        <v>202312</v>
      </c>
      <c r="D936" s="81" t="n">
        <v>45261</v>
      </c>
      <c r="E936" s="82" t="n">
        <v>722.497</v>
      </c>
      <c r="F936" s="80" t="n">
        <v>35</v>
      </c>
      <c r="G936" s="79" t="s">
        <v>1426</v>
      </c>
    </row>
    <row r="937" customFormat="false" ht="15" hidden="false" customHeight="false" outlineLevel="0" collapsed="false">
      <c r="A937" s="79" t="s">
        <v>186</v>
      </c>
      <c r="B937" s="79" t="s">
        <v>1125</v>
      </c>
      <c r="C937" s="80" t="n">
        <v>202311</v>
      </c>
      <c r="D937" s="81" t="n">
        <v>45231</v>
      </c>
      <c r="E937" s="82" t="n">
        <v>688.967</v>
      </c>
      <c r="F937" s="80" t="n">
        <v>36</v>
      </c>
      <c r="G937" s="79" t="s">
        <v>1427</v>
      </c>
    </row>
    <row r="938" customFormat="false" ht="15" hidden="false" customHeight="false" outlineLevel="0" collapsed="false">
      <c r="A938" s="79" t="s">
        <v>201</v>
      </c>
      <c r="B938" s="79" t="s">
        <v>1079</v>
      </c>
      <c r="C938" s="80" t="n">
        <v>202610</v>
      </c>
      <c r="D938" s="81" t="n">
        <v>46296</v>
      </c>
      <c r="E938" s="82" t="n">
        <v>7701.235</v>
      </c>
      <c r="F938" s="80" t="n">
        <v>1</v>
      </c>
      <c r="G938" s="79" t="s">
        <v>948</v>
      </c>
    </row>
    <row r="939" customFormat="false" ht="15" hidden="false" customHeight="false" outlineLevel="0" collapsed="false">
      <c r="A939" s="79" t="s">
        <v>201</v>
      </c>
      <c r="B939" s="79" t="s">
        <v>1080</v>
      </c>
      <c r="C939" s="80" t="n">
        <v>202609</v>
      </c>
      <c r="D939" s="81" t="n">
        <v>46266</v>
      </c>
      <c r="E939" s="82" t="n">
        <v>7791.761</v>
      </c>
      <c r="F939" s="80" t="n">
        <v>2</v>
      </c>
      <c r="G939" s="79" t="s">
        <v>949</v>
      </c>
    </row>
    <row r="940" customFormat="false" ht="15" hidden="false" customHeight="false" outlineLevel="0" collapsed="false">
      <c r="A940" s="79" t="s">
        <v>201</v>
      </c>
      <c r="B940" s="79" t="s">
        <v>1081</v>
      </c>
      <c r="C940" s="80" t="n">
        <v>202608</v>
      </c>
      <c r="D940" s="81" t="n">
        <v>46235</v>
      </c>
      <c r="E940" s="82" t="n">
        <v>8173.773</v>
      </c>
      <c r="F940" s="80" t="n">
        <v>3</v>
      </c>
      <c r="G940" s="79" t="s">
        <v>950</v>
      </c>
    </row>
    <row r="941" customFormat="false" ht="15" hidden="false" customHeight="false" outlineLevel="0" collapsed="false">
      <c r="A941" s="79" t="s">
        <v>201</v>
      </c>
      <c r="B941" s="79" t="s">
        <v>1082</v>
      </c>
      <c r="C941" s="80" t="n">
        <v>202607</v>
      </c>
      <c r="D941" s="81" t="n">
        <v>46204</v>
      </c>
      <c r="E941" s="82" t="n">
        <v>7507.318</v>
      </c>
      <c r="F941" s="80" t="n">
        <v>4</v>
      </c>
      <c r="G941" s="79" t="s">
        <v>951</v>
      </c>
    </row>
    <row r="942" customFormat="false" ht="15" hidden="false" customHeight="false" outlineLevel="0" collapsed="false">
      <c r="A942" s="79" t="s">
        <v>201</v>
      </c>
      <c r="B942" s="79" t="s">
        <v>1083</v>
      </c>
      <c r="C942" s="80" t="n">
        <v>202606</v>
      </c>
      <c r="D942" s="81" t="n">
        <v>46174</v>
      </c>
      <c r="E942" s="82" t="n">
        <v>6542.058</v>
      </c>
      <c r="F942" s="80" t="n">
        <v>5</v>
      </c>
      <c r="G942" s="79" t="s">
        <v>952</v>
      </c>
    </row>
    <row r="943" customFormat="false" ht="15" hidden="false" customHeight="false" outlineLevel="0" collapsed="false">
      <c r="A943" s="79" t="s">
        <v>201</v>
      </c>
      <c r="B943" s="79" t="s">
        <v>1084</v>
      </c>
      <c r="C943" s="80" t="n">
        <v>202605</v>
      </c>
      <c r="D943" s="81" t="n">
        <v>46143</v>
      </c>
      <c r="E943" s="82" t="n">
        <v>6776.034</v>
      </c>
      <c r="F943" s="80" t="n">
        <v>6</v>
      </c>
      <c r="G943" s="79" t="s">
        <v>953</v>
      </c>
    </row>
    <row r="944" customFormat="false" ht="15" hidden="false" customHeight="false" outlineLevel="0" collapsed="false">
      <c r="A944" s="79" t="s">
        <v>201</v>
      </c>
      <c r="B944" s="79" t="s">
        <v>1085</v>
      </c>
      <c r="C944" s="80" t="n">
        <v>202604</v>
      </c>
      <c r="D944" s="81" t="n">
        <v>46113</v>
      </c>
      <c r="E944" s="82" t="n">
        <v>7014.545</v>
      </c>
      <c r="F944" s="80" t="n">
        <v>7</v>
      </c>
      <c r="G944" s="79" t="s">
        <v>954</v>
      </c>
    </row>
    <row r="945" customFormat="false" ht="15" hidden="false" customHeight="false" outlineLevel="0" collapsed="false">
      <c r="A945" s="79" t="s">
        <v>201</v>
      </c>
      <c r="B945" s="79" t="s">
        <v>1086</v>
      </c>
      <c r="C945" s="80" t="n">
        <v>202603</v>
      </c>
      <c r="D945" s="81" t="n">
        <v>46082</v>
      </c>
      <c r="E945" s="82" t="n">
        <v>5517.727</v>
      </c>
      <c r="F945" s="80" t="n">
        <v>8</v>
      </c>
      <c r="G945" s="79" t="s">
        <v>955</v>
      </c>
    </row>
    <row r="946" customFormat="false" ht="15" hidden="false" customHeight="false" outlineLevel="0" collapsed="false">
      <c r="A946" s="79" t="s">
        <v>201</v>
      </c>
      <c r="B946" s="79" t="s">
        <v>1087</v>
      </c>
      <c r="C946" s="80" t="n">
        <v>202602</v>
      </c>
      <c r="D946" s="81" t="n">
        <v>46054</v>
      </c>
      <c r="E946" s="82" t="n">
        <v>6004.421</v>
      </c>
      <c r="F946" s="80" t="n">
        <v>9</v>
      </c>
      <c r="G946" s="79" t="s">
        <v>956</v>
      </c>
    </row>
    <row r="947" customFormat="false" ht="15" hidden="false" customHeight="false" outlineLevel="0" collapsed="false">
      <c r="A947" s="79" t="s">
        <v>201</v>
      </c>
      <c r="B947" s="79" t="s">
        <v>1088</v>
      </c>
      <c r="C947" s="80" t="n">
        <v>202601</v>
      </c>
      <c r="D947" s="81" t="n">
        <v>46023</v>
      </c>
      <c r="E947" s="82" t="n">
        <v>6479.605</v>
      </c>
      <c r="F947" s="80" t="n">
        <v>10</v>
      </c>
      <c r="G947" s="79" t="s">
        <v>957</v>
      </c>
    </row>
    <row r="948" customFormat="false" ht="15" hidden="false" customHeight="false" outlineLevel="0" collapsed="false">
      <c r="A948" s="79" t="s">
        <v>201</v>
      </c>
      <c r="B948" s="79" t="s">
        <v>1089</v>
      </c>
      <c r="C948" s="80" t="n">
        <v>202512</v>
      </c>
      <c r="D948" s="81" t="n">
        <v>45992</v>
      </c>
      <c r="E948" s="82" t="n">
        <v>5740.079</v>
      </c>
      <c r="F948" s="80" t="n">
        <v>11</v>
      </c>
      <c r="G948" s="79" t="s">
        <v>958</v>
      </c>
    </row>
    <row r="949" customFormat="false" ht="15" hidden="false" customHeight="false" outlineLevel="0" collapsed="false">
      <c r="A949" s="79" t="s">
        <v>201</v>
      </c>
      <c r="B949" s="79" t="s">
        <v>1090</v>
      </c>
      <c r="C949" s="80" t="n">
        <v>202511</v>
      </c>
      <c r="D949" s="81" t="n">
        <v>45962</v>
      </c>
      <c r="E949" s="82" t="n">
        <v>5078.957</v>
      </c>
      <c r="F949" s="80" t="n">
        <v>12</v>
      </c>
      <c r="G949" s="79" t="s">
        <v>959</v>
      </c>
    </row>
    <row r="950" customFormat="false" ht="15" hidden="false" customHeight="false" outlineLevel="0" collapsed="false">
      <c r="A950" s="79" t="s">
        <v>201</v>
      </c>
      <c r="B950" s="79" t="s">
        <v>1091</v>
      </c>
      <c r="C950" s="80" t="n">
        <v>202510</v>
      </c>
      <c r="D950" s="81" t="n">
        <v>45931</v>
      </c>
      <c r="E950" s="82" t="n">
        <v>6092.008</v>
      </c>
      <c r="F950" s="80" t="n">
        <v>13</v>
      </c>
      <c r="G950" s="79" t="s">
        <v>960</v>
      </c>
    </row>
    <row r="951" customFormat="false" ht="15" hidden="false" customHeight="false" outlineLevel="0" collapsed="false">
      <c r="A951" s="79" t="s">
        <v>201</v>
      </c>
      <c r="B951" s="79" t="s">
        <v>1092</v>
      </c>
      <c r="C951" s="80" t="n">
        <v>202509</v>
      </c>
      <c r="D951" s="81" t="n">
        <v>45901</v>
      </c>
      <c r="E951" s="82" t="n">
        <v>5715.135</v>
      </c>
      <c r="F951" s="80" t="n">
        <v>14</v>
      </c>
      <c r="G951" s="79" t="s">
        <v>961</v>
      </c>
    </row>
    <row r="952" customFormat="false" ht="15" hidden="false" customHeight="false" outlineLevel="0" collapsed="false">
      <c r="A952" s="79" t="s">
        <v>201</v>
      </c>
      <c r="B952" s="79" t="s">
        <v>1093</v>
      </c>
      <c r="C952" s="80" t="n">
        <v>202508</v>
      </c>
      <c r="D952" s="81" t="n">
        <v>45870</v>
      </c>
      <c r="E952" s="82" t="n">
        <v>5731.436</v>
      </c>
      <c r="F952" s="80" t="n">
        <v>15</v>
      </c>
      <c r="G952" s="79" t="s">
        <v>962</v>
      </c>
    </row>
    <row r="953" customFormat="false" ht="15" hidden="false" customHeight="false" outlineLevel="0" collapsed="false">
      <c r="A953" s="79" t="s">
        <v>201</v>
      </c>
      <c r="B953" s="79" t="s">
        <v>1094</v>
      </c>
      <c r="C953" s="80" t="n">
        <v>202507</v>
      </c>
      <c r="D953" s="81" t="n">
        <v>45839</v>
      </c>
      <c r="E953" s="82" t="n">
        <v>5650.654</v>
      </c>
      <c r="F953" s="80" t="n">
        <v>16</v>
      </c>
      <c r="G953" s="79" t="s">
        <v>963</v>
      </c>
    </row>
    <row r="954" customFormat="false" ht="15" hidden="false" customHeight="false" outlineLevel="0" collapsed="false">
      <c r="A954" s="79" t="s">
        <v>201</v>
      </c>
      <c r="B954" s="79" t="s">
        <v>1095</v>
      </c>
      <c r="C954" s="80" t="n">
        <v>202506</v>
      </c>
      <c r="D954" s="81" t="n">
        <v>45809</v>
      </c>
      <c r="E954" s="82" t="n">
        <v>5515.648</v>
      </c>
      <c r="F954" s="80" t="n">
        <v>17</v>
      </c>
      <c r="G954" s="79" t="s">
        <v>964</v>
      </c>
    </row>
    <row r="955" customFormat="false" ht="15" hidden="false" customHeight="false" outlineLevel="0" collapsed="false">
      <c r="A955" s="79" t="s">
        <v>201</v>
      </c>
      <c r="B955" s="79" t="s">
        <v>1096</v>
      </c>
      <c r="C955" s="80" t="n">
        <v>202505</v>
      </c>
      <c r="D955" s="81" t="n">
        <v>45778</v>
      </c>
      <c r="E955" s="82" t="n">
        <v>5820.548</v>
      </c>
      <c r="F955" s="80" t="n">
        <v>18</v>
      </c>
      <c r="G955" s="79" t="s">
        <v>965</v>
      </c>
    </row>
    <row r="956" customFormat="false" ht="15" hidden="false" customHeight="false" outlineLevel="0" collapsed="false">
      <c r="A956" s="79" t="s">
        <v>201</v>
      </c>
      <c r="B956" s="79" t="s">
        <v>1097</v>
      </c>
      <c r="C956" s="80" t="n">
        <v>202504</v>
      </c>
      <c r="D956" s="81" t="n">
        <v>45748</v>
      </c>
      <c r="E956" s="82" t="n">
        <v>5369.196</v>
      </c>
      <c r="F956" s="80" t="n">
        <v>19</v>
      </c>
      <c r="G956" s="79" t="s">
        <v>966</v>
      </c>
    </row>
    <row r="957" customFormat="false" ht="15" hidden="false" customHeight="false" outlineLevel="0" collapsed="false">
      <c r="A957" s="79" t="s">
        <v>201</v>
      </c>
      <c r="B957" s="79" t="s">
        <v>1098</v>
      </c>
      <c r="C957" s="80" t="n">
        <v>202503</v>
      </c>
      <c r="D957" s="81" t="n">
        <v>45717</v>
      </c>
      <c r="E957" s="82" t="n">
        <v>4843.533</v>
      </c>
      <c r="F957" s="80" t="n">
        <v>20</v>
      </c>
      <c r="G957" s="79" t="s">
        <v>967</v>
      </c>
    </row>
    <row r="958" customFormat="false" ht="15" hidden="false" customHeight="false" outlineLevel="0" collapsed="false">
      <c r="A958" s="79" t="s">
        <v>201</v>
      </c>
      <c r="B958" s="79" t="s">
        <v>1099</v>
      </c>
      <c r="C958" s="80" t="n">
        <v>202502</v>
      </c>
      <c r="D958" s="81" t="n">
        <v>45689</v>
      </c>
      <c r="E958" s="82" t="n">
        <v>5546.732</v>
      </c>
      <c r="F958" s="80" t="n">
        <v>21</v>
      </c>
      <c r="G958" s="79" t="s">
        <v>968</v>
      </c>
    </row>
    <row r="959" customFormat="false" ht="15" hidden="false" customHeight="false" outlineLevel="0" collapsed="false">
      <c r="A959" s="79" t="s">
        <v>201</v>
      </c>
      <c r="B959" s="79" t="s">
        <v>1100</v>
      </c>
      <c r="C959" s="80" t="n">
        <v>202501</v>
      </c>
      <c r="D959" s="81" t="n">
        <v>45658</v>
      </c>
      <c r="E959" s="82" t="n">
        <v>5450.18</v>
      </c>
      <c r="F959" s="80" t="n">
        <v>22</v>
      </c>
      <c r="G959" s="79" t="s">
        <v>969</v>
      </c>
    </row>
    <row r="960" customFormat="false" ht="15" hidden="false" customHeight="false" outlineLevel="0" collapsed="false">
      <c r="A960" s="79" t="s">
        <v>201</v>
      </c>
      <c r="B960" s="79" t="s">
        <v>1101</v>
      </c>
      <c r="C960" s="80" t="n">
        <v>202412</v>
      </c>
      <c r="D960" s="81" t="n">
        <v>45627</v>
      </c>
      <c r="E960" s="82" t="n">
        <v>5218.606</v>
      </c>
      <c r="F960" s="80" t="n">
        <v>23</v>
      </c>
      <c r="G960" s="79" t="s">
        <v>970</v>
      </c>
    </row>
    <row r="961" customFormat="false" ht="15" hidden="false" customHeight="false" outlineLevel="0" collapsed="false">
      <c r="A961" s="79" t="s">
        <v>201</v>
      </c>
      <c r="B961" s="79" t="s">
        <v>1102</v>
      </c>
      <c r="C961" s="80" t="n">
        <v>202411</v>
      </c>
      <c r="D961" s="81" t="n">
        <v>45597</v>
      </c>
      <c r="E961" s="82" t="n">
        <v>5238.146</v>
      </c>
      <c r="F961" s="80" t="n">
        <v>24</v>
      </c>
      <c r="G961" s="79" t="s">
        <v>971</v>
      </c>
    </row>
    <row r="962" customFormat="false" ht="15" hidden="false" customHeight="false" outlineLevel="0" collapsed="false">
      <c r="A962" s="79" t="s">
        <v>201</v>
      </c>
      <c r="B962" s="79" t="s">
        <v>1103</v>
      </c>
      <c r="C962" s="80" t="n">
        <v>202410</v>
      </c>
      <c r="D962" s="81" t="n">
        <v>45566</v>
      </c>
      <c r="E962" s="82" t="n">
        <v>5314.01</v>
      </c>
      <c r="F962" s="80" t="n">
        <v>25</v>
      </c>
      <c r="G962" s="79" t="s">
        <v>1428</v>
      </c>
    </row>
    <row r="963" customFormat="false" ht="15" hidden="false" customHeight="false" outlineLevel="0" collapsed="false">
      <c r="A963" s="79" t="s">
        <v>201</v>
      </c>
      <c r="B963" s="79" t="s">
        <v>1105</v>
      </c>
      <c r="C963" s="80" t="n">
        <v>202409</v>
      </c>
      <c r="D963" s="81" t="n">
        <v>45536</v>
      </c>
      <c r="E963" s="82" t="n">
        <v>5304.489</v>
      </c>
      <c r="F963" s="80" t="n">
        <v>26</v>
      </c>
      <c r="G963" s="79" t="s">
        <v>1429</v>
      </c>
    </row>
    <row r="964" customFormat="false" ht="15" hidden="false" customHeight="false" outlineLevel="0" collapsed="false">
      <c r="A964" s="79" t="s">
        <v>201</v>
      </c>
      <c r="B964" s="79" t="s">
        <v>1107</v>
      </c>
      <c r="C964" s="80" t="n">
        <v>202408</v>
      </c>
      <c r="D964" s="81" t="n">
        <v>45505</v>
      </c>
      <c r="E964" s="82" t="n">
        <v>4748.025</v>
      </c>
      <c r="F964" s="80" t="n">
        <v>27</v>
      </c>
      <c r="G964" s="79" t="s">
        <v>1430</v>
      </c>
    </row>
    <row r="965" customFormat="false" ht="15" hidden="false" customHeight="false" outlineLevel="0" collapsed="false">
      <c r="A965" s="79" t="s">
        <v>201</v>
      </c>
      <c r="B965" s="79" t="s">
        <v>1109</v>
      </c>
      <c r="C965" s="80" t="n">
        <v>202407</v>
      </c>
      <c r="D965" s="81" t="n">
        <v>45474</v>
      </c>
      <c r="E965" s="82" t="n">
        <v>4530.736</v>
      </c>
      <c r="F965" s="80" t="n">
        <v>28</v>
      </c>
      <c r="G965" s="79" t="s">
        <v>1431</v>
      </c>
    </row>
    <row r="966" customFormat="false" ht="15" hidden="false" customHeight="false" outlineLevel="0" collapsed="false">
      <c r="A966" s="79" t="s">
        <v>201</v>
      </c>
      <c r="B966" s="79" t="s">
        <v>1111</v>
      </c>
      <c r="C966" s="80" t="n">
        <v>202406</v>
      </c>
      <c r="D966" s="81" t="n">
        <v>45444</v>
      </c>
      <c r="E966" s="82" t="n">
        <v>4581.022</v>
      </c>
      <c r="F966" s="80" t="n">
        <v>29</v>
      </c>
      <c r="G966" s="79" t="s">
        <v>1432</v>
      </c>
    </row>
    <row r="967" customFormat="false" ht="15" hidden="false" customHeight="false" outlineLevel="0" collapsed="false">
      <c r="A967" s="79" t="s">
        <v>201</v>
      </c>
      <c r="B967" s="79" t="s">
        <v>1113</v>
      </c>
      <c r="C967" s="80" t="n">
        <v>202405</v>
      </c>
      <c r="D967" s="81" t="n">
        <v>45413</v>
      </c>
      <c r="E967" s="82" t="n">
        <v>4679.738</v>
      </c>
      <c r="F967" s="80" t="n">
        <v>30</v>
      </c>
      <c r="G967" s="79" t="s">
        <v>1433</v>
      </c>
    </row>
    <row r="968" customFormat="false" ht="15" hidden="false" customHeight="false" outlineLevel="0" collapsed="false">
      <c r="A968" s="79" t="s">
        <v>201</v>
      </c>
      <c r="B968" s="79" t="s">
        <v>1115</v>
      </c>
      <c r="C968" s="80" t="n">
        <v>202404</v>
      </c>
      <c r="D968" s="81" t="n">
        <v>45383</v>
      </c>
      <c r="E968" s="82" t="n">
        <v>4138.871</v>
      </c>
      <c r="F968" s="80" t="n">
        <v>31</v>
      </c>
      <c r="G968" s="79" t="s">
        <v>1434</v>
      </c>
    </row>
    <row r="969" customFormat="false" ht="15" hidden="false" customHeight="false" outlineLevel="0" collapsed="false">
      <c r="A969" s="79" t="s">
        <v>201</v>
      </c>
      <c r="B969" s="79" t="s">
        <v>1117</v>
      </c>
      <c r="C969" s="80" t="n">
        <v>202403</v>
      </c>
      <c r="D969" s="81" t="n">
        <v>45352</v>
      </c>
      <c r="E969" s="82" t="n">
        <v>3744.48</v>
      </c>
      <c r="F969" s="80" t="n">
        <v>32</v>
      </c>
      <c r="G969" s="79" t="s">
        <v>1435</v>
      </c>
    </row>
    <row r="970" customFormat="false" ht="15" hidden="false" customHeight="false" outlineLevel="0" collapsed="false">
      <c r="A970" s="79" t="s">
        <v>201</v>
      </c>
      <c r="B970" s="79" t="s">
        <v>1119</v>
      </c>
      <c r="C970" s="80" t="n">
        <v>202402</v>
      </c>
      <c r="D970" s="81" t="n">
        <v>45323</v>
      </c>
      <c r="E970" s="82" t="n">
        <v>4048.51</v>
      </c>
      <c r="F970" s="80" t="n">
        <v>33</v>
      </c>
      <c r="G970" s="79" t="s">
        <v>1436</v>
      </c>
    </row>
    <row r="971" customFormat="false" ht="15" hidden="false" customHeight="false" outlineLevel="0" collapsed="false">
      <c r="A971" s="79" t="s">
        <v>201</v>
      </c>
      <c r="B971" s="79" t="s">
        <v>1121</v>
      </c>
      <c r="C971" s="80" t="n">
        <v>202401</v>
      </c>
      <c r="D971" s="81" t="n">
        <v>45292</v>
      </c>
      <c r="E971" s="82" t="n">
        <v>3927.48</v>
      </c>
      <c r="F971" s="80" t="n">
        <v>34</v>
      </c>
      <c r="G971" s="79" t="s">
        <v>1437</v>
      </c>
    </row>
    <row r="972" customFormat="false" ht="15" hidden="false" customHeight="false" outlineLevel="0" collapsed="false">
      <c r="A972" s="79" t="s">
        <v>201</v>
      </c>
      <c r="B972" s="79" t="s">
        <v>1123</v>
      </c>
      <c r="C972" s="80" t="n">
        <v>202312</v>
      </c>
      <c r="D972" s="81" t="n">
        <v>45261</v>
      </c>
      <c r="E972" s="82" t="n">
        <v>3961.991</v>
      </c>
      <c r="F972" s="80" t="n">
        <v>35</v>
      </c>
      <c r="G972" s="79" t="s">
        <v>1438</v>
      </c>
    </row>
    <row r="973" customFormat="false" ht="15" hidden="false" customHeight="false" outlineLevel="0" collapsed="false">
      <c r="A973" s="79" t="s">
        <v>201</v>
      </c>
      <c r="B973" s="79" t="s">
        <v>1125</v>
      </c>
      <c r="C973" s="80" t="n">
        <v>202311</v>
      </c>
      <c r="D973" s="81" t="n">
        <v>45231</v>
      </c>
      <c r="E973" s="82" t="n">
        <v>4343.215</v>
      </c>
      <c r="F973" s="80" t="n">
        <v>36</v>
      </c>
      <c r="G973" s="79" t="s">
        <v>1439</v>
      </c>
    </row>
    <row r="974" customFormat="false" ht="15" hidden="false" customHeight="false" outlineLevel="0" collapsed="false">
      <c r="A974" s="79" t="s">
        <v>218</v>
      </c>
      <c r="B974" s="79" t="s">
        <v>1079</v>
      </c>
      <c r="C974" s="80" t="n">
        <v>202610</v>
      </c>
      <c r="D974" s="81" t="n">
        <v>46296</v>
      </c>
      <c r="E974" s="82" t="n">
        <v>2061.154</v>
      </c>
      <c r="F974" s="80" t="n">
        <v>1</v>
      </c>
      <c r="G974" s="79" t="s">
        <v>973</v>
      </c>
    </row>
    <row r="975" customFormat="false" ht="15" hidden="false" customHeight="false" outlineLevel="0" collapsed="false">
      <c r="A975" s="79" t="s">
        <v>218</v>
      </c>
      <c r="B975" s="79" t="s">
        <v>1080</v>
      </c>
      <c r="C975" s="80" t="n">
        <v>202609</v>
      </c>
      <c r="D975" s="81" t="n">
        <v>46266</v>
      </c>
      <c r="E975" s="82" t="n">
        <v>1628.177</v>
      </c>
      <c r="F975" s="80" t="n">
        <v>2</v>
      </c>
      <c r="G975" s="79" t="s">
        <v>974</v>
      </c>
    </row>
    <row r="976" customFormat="false" ht="15" hidden="false" customHeight="false" outlineLevel="0" collapsed="false">
      <c r="A976" s="79" t="s">
        <v>218</v>
      </c>
      <c r="B976" s="79" t="s">
        <v>1081</v>
      </c>
      <c r="C976" s="80" t="n">
        <v>202608</v>
      </c>
      <c r="D976" s="81" t="n">
        <v>46235</v>
      </c>
      <c r="E976" s="82" t="n">
        <v>1229.355</v>
      </c>
      <c r="F976" s="80" t="n">
        <v>3</v>
      </c>
      <c r="G976" s="79" t="s">
        <v>975</v>
      </c>
    </row>
    <row r="977" customFormat="false" ht="15" hidden="false" customHeight="false" outlineLevel="0" collapsed="false">
      <c r="A977" s="79" t="s">
        <v>218</v>
      </c>
      <c r="B977" s="79" t="s">
        <v>1082</v>
      </c>
      <c r="C977" s="80" t="n">
        <v>202607</v>
      </c>
      <c r="D977" s="81" t="n">
        <v>46204</v>
      </c>
      <c r="E977" s="82" t="n">
        <v>1069.405</v>
      </c>
      <c r="F977" s="80" t="n">
        <v>4</v>
      </c>
      <c r="G977" s="79" t="s">
        <v>976</v>
      </c>
    </row>
    <row r="978" customFormat="false" ht="15" hidden="false" customHeight="false" outlineLevel="0" collapsed="false">
      <c r="A978" s="79" t="s">
        <v>218</v>
      </c>
      <c r="B978" s="79" t="s">
        <v>1083</v>
      </c>
      <c r="C978" s="80" t="n">
        <v>202606</v>
      </c>
      <c r="D978" s="81" t="n">
        <v>46174</v>
      </c>
      <c r="E978" s="82" t="n">
        <v>1725.672</v>
      </c>
      <c r="F978" s="80" t="n">
        <v>5</v>
      </c>
      <c r="G978" s="79" t="s">
        <v>977</v>
      </c>
    </row>
    <row r="979" customFormat="false" ht="15" hidden="false" customHeight="false" outlineLevel="0" collapsed="false">
      <c r="A979" s="79" t="s">
        <v>218</v>
      </c>
      <c r="B979" s="79" t="s">
        <v>1084</v>
      </c>
      <c r="C979" s="80" t="n">
        <v>202605</v>
      </c>
      <c r="D979" s="81" t="n">
        <v>46143</v>
      </c>
      <c r="E979" s="82" t="n">
        <v>886.439</v>
      </c>
      <c r="F979" s="80" t="n">
        <v>6</v>
      </c>
      <c r="G979" s="79" t="s">
        <v>978</v>
      </c>
    </row>
    <row r="980" customFormat="false" ht="15" hidden="false" customHeight="false" outlineLevel="0" collapsed="false">
      <c r="A980" s="79" t="s">
        <v>218</v>
      </c>
      <c r="B980" s="79" t="s">
        <v>1085</v>
      </c>
      <c r="C980" s="80" t="n">
        <v>202604</v>
      </c>
      <c r="D980" s="81" t="n">
        <v>46113</v>
      </c>
      <c r="E980" s="82" t="n">
        <v>1012.955</v>
      </c>
      <c r="F980" s="80" t="n">
        <v>7</v>
      </c>
      <c r="G980" s="79" t="s">
        <v>979</v>
      </c>
    </row>
    <row r="981" customFormat="false" ht="15" hidden="false" customHeight="false" outlineLevel="0" collapsed="false">
      <c r="A981" s="79" t="s">
        <v>218</v>
      </c>
      <c r="B981" s="79" t="s">
        <v>1086</v>
      </c>
      <c r="C981" s="80" t="n">
        <v>202603</v>
      </c>
      <c r="D981" s="81" t="n">
        <v>46082</v>
      </c>
      <c r="E981" s="82" t="n">
        <v>738.625</v>
      </c>
      <c r="F981" s="80" t="n">
        <v>8</v>
      </c>
      <c r="G981" s="79" t="s">
        <v>980</v>
      </c>
    </row>
    <row r="982" customFormat="false" ht="15" hidden="false" customHeight="false" outlineLevel="0" collapsed="false">
      <c r="A982" s="79" t="s">
        <v>218</v>
      </c>
      <c r="B982" s="79" t="s">
        <v>1087</v>
      </c>
      <c r="C982" s="80" t="n">
        <v>202602</v>
      </c>
      <c r="D982" s="81" t="n">
        <v>46054</v>
      </c>
      <c r="E982" s="82" t="n">
        <v>954.509</v>
      </c>
      <c r="F982" s="80" t="n">
        <v>9</v>
      </c>
      <c r="G982" s="79" t="s">
        <v>981</v>
      </c>
    </row>
    <row r="983" customFormat="false" ht="15" hidden="false" customHeight="false" outlineLevel="0" collapsed="false">
      <c r="A983" s="79" t="s">
        <v>218</v>
      </c>
      <c r="B983" s="79" t="s">
        <v>1088</v>
      </c>
      <c r="C983" s="80" t="n">
        <v>202601</v>
      </c>
      <c r="D983" s="81" t="n">
        <v>46023</v>
      </c>
      <c r="E983" s="82" t="n">
        <v>1185.469</v>
      </c>
      <c r="F983" s="80" t="n">
        <v>10</v>
      </c>
      <c r="G983" s="79" t="s">
        <v>982</v>
      </c>
    </row>
    <row r="984" customFormat="false" ht="15" hidden="false" customHeight="false" outlineLevel="0" collapsed="false">
      <c r="A984" s="79" t="s">
        <v>218</v>
      </c>
      <c r="B984" s="79" t="s">
        <v>1089</v>
      </c>
      <c r="C984" s="80" t="n">
        <v>202512</v>
      </c>
      <c r="D984" s="81" t="n">
        <v>45992</v>
      </c>
      <c r="E984" s="82" t="n">
        <v>809.742</v>
      </c>
      <c r="F984" s="80" t="n">
        <v>11</v>
      </c>
      <c r="G984" s="79" t="s">
        <v>983</v>
      </c>
    </row>
    <row r="985" customFormat="false" ht="15" hidden="false" customHeight="false" outlineLevel="0" collapsed="false">
      <c r="A985" s="79" t="s">
        <v>218</v>
      </c>
      <c r="B985" s="79" t="s">
        <v>1090</v>
      </c>
      <c r="C985" s="80" t="n">
        <v>202511</v>
      </c>
      <c r="D985" s="81" t="n">
        <v>45962</v>
      </c>
      <c r="E985" s="82" t="n">
        <v>1006.381</v>
      </c>
      <c r="F985" s="80" t="n">
        <v>12</v>
      </c>
      <c r="G985" s="79" t="s">
        <v>984</v>
      </c>
    </row>
    <row r="986" customFormat="false" ht="15" hidden="false" customHeight="false" outlineLevel="0" collapsed="false">
      <c r="A986" s="79" t="s">
        <v>218</v>
      </c>
      <c r="B986" s="79" t="s">
        <v>1091</v>
      </c>
      <c r="C986" s="80" t="n">
        <v>202510</v>
      </c>
      <c r="D986" s="81" t="n">
        <v>45931</v>
      </c>
      <c r="E986" s="82" t="n">
        <v>1045.018</v>
      </c>
      <c r="F986" s="80" t="n">
        <v>13</v>
      </c>
      <c r="G986" s="79" t="s">
        <v>985</v>
      </c>
    </row>
    <row r="987" customFormat="false" ht="15" hidden="false" customHeight="false" outlineLevel="0" collapsed="false">
      <c r="A987" s="79" t="s">
        <v>218</v>
      </c>
      <c r="B987" s="79" t="s">
        <v>1092</v>
      </c>
      <c r="C987" s="80" t="n">
        <v>202509</v>
      </c>
      <c r="D987" s="81" t="n">
        <v>45901</v>
      </c>
      <c r="E987" s="82" t="n">
        <v>645.477</v>
      </c>
      <c r="F987" s="80" t="n">
        <v>14</v>
      </c>
      <c r="G987" s="79" t="s">
        <v>986</v>
      </c>
    </row>
    <row r="988" customFormat="false" ht="15" hidden="false" customHeight="false" outlineLevel="0" collapsed="false">
      <c r="A988" s="79" t="s">
        <v>218</v>
      </c>
      <c r="B988" s="79" t="s">
        <v>1093</v>
      </c>
      <c r="C988" s="80" t="n">
        <v>202508</v>
      </c>
      <c r="D988" s="81" t="n">
        <v>45870</v>
      </c>
      <c r="E988" s="82" t="n">
        <v>823.662</v>
      </c>
      <c r="F988" s="80" t="n">
        <v>15</v>
      </c>
      <c r="G988" s="79" t="s">
        <v>987</v>
      </c>
    </row>
    <row r="989" customFormat="false" ht="15" hidden="false" customHeight="false" outlineLevel="0" collapsed="false">
      <c r="A989" s="79" t="s">
        <v>218</v>
      </c>
      <c r="B989" s="79" t="s">
        <v>1094</v>
      </c>
      <c r="C989" s="80" t="n">
        <v>202507</v>
      </c>
      <c r="D989" s="81" t="n">
        <v>45839</v>
      </c>
      <c r="E989" s="82" t="n">
        <v>1052.104</v>
      </c>
      <c r="F989" s="80" t="n">
        <v>16</v>
      </c>
      <c r="G989" s="79" t="s">
        <v>988</v>
      </c>
    </row>
    <row r="990" customFormat="false" ht="15" hidden="false" customHeight="false" outlineLevel="0" collapsed="false">
      <c r="A990" s="79" t="s">
        <v>218</v>
      </c>
      <c r="B990" s="79" t="s">
        <v>1095</v>
      </c>
      <c r="C990" s="80" t="n">
        <v>202506</v>
      </c>
      <c r="D990" s="81" t="n">
        <v>45809</v>
      </c>
      <c r="E990" s="82" t="n">
        <v>798.847</v>
      </c>
      <c r="F990" s="80" t="n">
        <v>17</v>
      </c>
      <c r="G990" s="79" t="s">
        <v>989</v>
      </c>
    </row>
    <row r="991" customFormat="false" ht="15" hidden="false" customHeight="false" outlineLevel="0" collapsed="false">
      <c r="A991" s="79" t="s">
        <v>218</v>
      </c>
      <c r="B991" s="79" t="s">
        <v>1096</v>
      </c>
      <c r="C991" s="80" t="n">
        <v>202505</v>
      </c>
      <c r="D991" s="81" t="n">
        <v>45778</v>
      </c>
      <c r="E991" s="82" t="n">
        <v>1057.879</v>
      </c>
      <c r="F991" s="80" t="n">
        <v>18</v>
      </c>
      <c r="G991" s="79" t="s">
        <v>990</v>
      </c>
    </row>
    <row r="992" customFormat="false" ht="15" hidden="false" customHeight="false" outlineLevel="0" collapsed="false">
      <c r="A992" s="79" t="s">
        <v>218</v>
      </c>
      <c r="B992" s="79" t="s">
        <v>1097</v>
      </c>
      <c r="C992" s="80" t="n">
        <v>202504</v>
      </c>
      <c r="D992" s="81" t="n">
        <v>45748</v>
      </c>
      <c r="E992" s="82" t="n">
        <v>576.974</v>
      </c>
      <c r="F992" s="80" t="n">
        <v>19</v>
      </c>
      <c r="G992" s="79" t="s">
        <v>991</v>
      </c>
    </row>
    <row r="993" customFormat="false" ht="15" hidden="false" customHeight="false" outlineLevel="0" collapsed="false">
      <c r="A993" s="79" t="s">
        <v>218</v>
      </c>
      <c r="B993" s="79" t="s">
        <v>1098</v>
      </c>
      <c r="C993" s="80" t="n">
        <v>202503</v>
      </c>
      <c r="D993" s="81" t="n">
        <v>45717</v>
      </c>
      <c r="E993" s="82" t="n">
        <v>512.631</v>
      </c>
      <c r="F993" s="80" t="n">
        <v>20</v>
      </c>
      <c r="G993" s="79" t="s">
        <v>992</v>
      </c>
    </row>
    <row r="994" customFormat="false" ht="15" hidden="false" customHeight="false" outlineLevel="0" collapsed="false">
      <c r="A994" s="79" t="s">
        <v>218</v>
      </c>
      <c r="B994" s="79" t="s">
        <v>1099</v>
      </c>
      <c r="C994" s="80" t="n">
        <v>202502</v>
      </c>
      <c r="D994" s="81" t="n">
        <v>45689</v>
      </c>
      <c r="E994" s="82" t="n">
        <v>1015.105</v>
      </c>
      <c r="F994" s="80" t="n">
        <v>21</v>
      </c>
      <c r="G994" s="79" t="s">
        <v>993</v>
      </c>
    </row>
    <row r="995" customFormat="false" ht="15" hidden="false" customHeight="false" outlineLevel="0" collapsed="false">
      <c r="A995" s="79" t="s">
        <v>218</v>
      </c>
      <c r="B995" s="79" t="s">
        <v>1100</v>
      </c>
      <c r="C995" s="80" t="n">
        <v>202501</v>
      </c>
      <c r="D995" s="81" t="n">
        <v>45658</v>
      </c>
      <c r="E995" s="82" t="n">
        <v>1361.285</v>
      </c>
      <c r="F995" s="80" t="n">
        <v>22</v>
      </c>
      <c r="G995" s="79" t="s">
        <v>994</v>
      </c>
    </row>
    <row r="996" customFormat="false" ht="15" hidden="false" customHeight="false" outlineLevel="0" collapsed="false">
      <c r="A996" s="79" t="s">
        <v>218</v>
      </c>
      <c r="B996" s="79" t="s">
        <v>1101</v>
      </c>
      <c r="C996" s="80" t="n">
        <v>202412</v>
      </c>
      <c r="D996" s="81" t="n">
        <v>45627</v>
      </c>
      <c r="E996" s="82" t="n">
        <v>554.701</v>
      </c>
      <c r="F996" s="80" t="n">
        <v>23</v>
      </c>
      <c r="G996" s="79" t="s">
        <v>995</v>
      </c>
    </row>
    <row r="997" customFormat="false" ht="15" hidden="false" customHeight="false" outlineLevel="0" collapsed="false">
      <c r="A997" s="79" t="s">
        <v>218</v>
      </c>
      <c r="B997" s="79" t="s">
        <v>1102</v>
      </c>
      <c r="C997" s="80" t="n">
        <v>202411</v>
      </c>
      <c r="D997" s="81" t="n">
        <v>45597</v>
      </c>
      <c r="E997" s="82" t="n">
        <v>587.739</v>
      </c>
      <c r="F997" s="80" t="n">
        <v>24</v>
      </c>
      <c r="G997" s="79" t="s">
        <v>996</v>
      </c>
    </row>
    <row r="998" customFormat="false" ht="15" hidden="false" customHeight="false" outlineLevel="0" collapsed="false">
      <c r="A998" s="79" t="s">
        <v>218</v>
      </c>
      <c r="B998" s="79" t="s">
        <v>1103</v>
      </c>
      <c r="C998" s="80" t="n">
        <v>202410</v>
      </c>
      <c r="D998" s="81" t="n">
        <v>45566</v>
      </c>
      <c r="E998" s="82" t="n">
        <v>561.522</v>
      </c>
      <c r="F998" s="80" t="n">
        <v>25</v>
      </c>
      <c r="G998" s="79" t="s">
        <v>1440</v>
      </c>
    </row>
    <row r="999" customFormat="false" ht="15" hidden="false" customHeight="false" outlineLevel="0" collapsed="false">
      <c r="A999" s="79" t="s">
        <v>218</v>
      </c>
      <c r="B999" s="79" t="s">
        <v>1105</v>
      </c>
      <c r="C999" s="80" t="n">
        <v>202409</v>
      </c>
      <c r="D999" s="81" t="n">
        <v>45536</v>
      </c>
      <c r="E999" s="82" t="n">
        <v>533.264</v>
      </c>
      <c r="F999" s="80" t="n">
        <v>26</v>
      </c>
      <c r="G999" s="79" t="s">
        <v>1441</v>
      </c>
    </row>
    <row r="1000" customFormat="false" ht="15" hidden="false" customHeight="false" outlineLevel="0" collapsed="false">
      <c r="A1000" s="79" t="s">
        <v>218</v>
      </c>
      <c r="B1000" s="79" t="s">
        <v>1107</v>
      </c>
      <c r="C1000" s="80" t="n">
        <v>202408</v>
      </c>
      <c r="D1000" s="81" t="n">
        <v>45505</v>
      </c>
      <c r="E1000" s="82" t="n">
        <v>546.113</v>
      </c>
      <c r="F1000" s="80" t="n">
        <v>27</v>
      </c>
      <c r="G1000" s="79" t="s">
        <v>1442</v>
      </c>
    </row>
    <row r="1001" customFormat="false" ht="15" hidden="false" customHeight="false" outlineLevel="0" collapsed="false">
      <c r="A1001" s="79" t="s">
        <v>218</v>
      </c>
      <c r="B1001" s="79" t="s">
        <v>1109</v>
      </c>
      <c r="C1001" s="80" t="n">
        <v>202407</v>
      </c>
      <c r="D1001" s="81" t="n">
        <v>45474</v>
      </c>
      <c r="E1001" s="82" t="n">
        <v>588.151</v>
      </c>
      <c r="F1001" s="80" t="n">
        <v>28</v>
      </c>
      <c r="G1001" s="79" t="s">
        <v>1443</v>
      </c>
    </row>
    <row r="1002" customFormat="false" ht="15" hidden="false" customHeight="false" outlineLevel="0" collapsed="false">
      <c r="A1002" s="79" t="s">
        <v>218</v>
      </c>
      <c r="B1002" s="79" t="s">
        <v>1111</v>
      </c>
      <c r="C1002" s="80" t="n">
        <v>202406</v>
      </c>
      <c r="D1002" s="81" t="n">
        <v>45444</v>
      </c>
      <c r="E1002" s="82" t="n">
        <v>495.06</v>
      </c>
      <c r="F1002" s="80" t="n">
        <v>29</v>
      </c>
      <c r="G1002" s="79" t="s">
        <v>1444</v>
      </c>
    </row>
    <row r="1003" customFormat="false" ht="15" hidden="false" customHeight="false" outlineLevel="0" collapsed="false">
      <c r="A1003" s="79" t="s">
        <v>218</v>
      </c>
      <c r="B1003" s="79" t="s">
        <v>1113</v>
      </c>
      <c r="C1003" s="80" t="n">
        <v>202405</v>
      </c>
      <c r="D1003" s="81" t="n">
        <v>45413</v>
      </c>
      <c r="E1003" s="82" t="n">
        <v>359.103</v>
      </c>
      <c r="F1003" s="80" t="n">
        <v>30</v>
      </c>
      <c r="G1003" s="79" t="s">
        <v>1445</v>
      </c>
    </row>
    <row r="1004" customFormat="false" ht="15" hidden="false" customHeight="false" outlineLevel="0" collapsed="false">
      <c r="A1004" s="79" t="s">
        <v>218</v>
      </c>
      <c r="B1004" s="79" t="s">
        <v>1115</v>
      </c>
      <c r="C1004" s="80" t="n">
        <v>202404</v>
      </c>
      <c r="D1004" s="81" t="n">
        <v>45383</v>
      </c>
      <c r="E1004" s="82" t="n">
        <v>322.871</v>
      </c>
      <c r="F1004" s="80" t="n">
        <v>31</v>
      </c>
      <c r="G1004" s="79" t="s">
        <v>1446</v>
      </c>
    </row>
    <row r="1005" customFormat="false" ht="15" hidden="false" customHeight="false" outlineLevel="0" collapsed="false">
      <c r="A1005" s="79" t="s">
        <v>218</v>
      </c>
      <c r="B1005" s="79" t="s">
        <v>1117</v>
      </c>
      <c r="C1005" s="80" t="n">
        <v>202403</v>
      </c>
      <c r="D1005" s="81" t="n">
        <v>45352</v>
      </c>
      <c r="E1005" s="82" t="n">
        <v>250.814</v>
      </c>
      <c r="F1005" s="80" t="n">
        <v>32</v>
      </c>
      <c r="G1005" s="79" t="s">
        <v>1447</v>
      </c>
    </row>
    <row r="1006" customFormat="false" ht="15" hidden="false" customHeight="false" outlineLevel="0" collapsed="false">
      <c r="A1006" s="79" t="s">
        <v>218</v>
      </c>
      <c r="B1006" s="79" t="s">
        <v>1119</v>
      </c>
      <c r="C1006" s="80" t="n">
        <v>202402</v>
      </c>
      <c r="D1006" s="81" t="n">
        <v>45323</v>
      </c>
      <c r="E1006" s="82" t="n">
        <v>252.633</v>
      </c>
      <c r="F1006" s="80" t="n">
        <v>33</v>
      </c>
      <c r="G1006" s="79" t="s">
        <v>1448</v>
      </c>
    </row>
    <row r="1007" customFormat="false" ht="15" hidden="false" customHeight="false" outlineLevel="0" collapsed="false">
      <c r="A1007" s="79" t="s">
        <v>218</v>
      </c>
      <c r="B1007" s="79" t="s">
        <v>1121</v>
      </c>
      <c r="C1007" s="80" t="n">
        <v>202401</v>
      </c>
      <c r="D1007" s="81" t="n">
        <v>45292</v>
      </c>
      <c r="E1007" s="82" t="n">
        <v>232.903</v>
      </c>
      <c r="F1007" s="80" t="n">
        <v>34</v>
      </c>
      <c r="G1007" s="79" t="s">
        <v>1449</v>
      </c>
    </row>
    <row r="1008" customFormat="false" ht="15" hidden="false" customHeight="false" outlineLevel="0" collapsed="false">
      <c r="A1008" s="79" t="s">
        <v>218</v>
      </c>
      <c r="B1008" s="79" t="s">
        <v>1123</v>
      </c>
      <c r="C1008" s="80" t="n">
        <v>202312</v>
      </c>
      <c r="D1008" s="81" t="n">
        <v>45261</v>
      </c>
      <c r="E1008" s="82" t="n">
        <v>156.024</v>
      </c>
      <c r="F1008" s="80" t="n">
        <v>35</v>
      </c>
      <c r="G1008" s="79" t="s">
        <v>1450</v>
      </c>
    </row>
    <row r="1009" customFormat="false" ht="15" hidden="false" customHeight="false" outlineLevel="0" collapsed="false">
      <c r="A1009" s="79" t="s">
        <v>218</v>
      </c>
      <c r="B1009" s="79" t="s">
        <v>1125</v>
      </c>
      <c r="C1009" s="80" t="n">
        <v>202311</v>
      </c>
      <c r="D1009" s="81" t="n">
        <v>45231</v>
      </c>
      <c r="E1009" s="82" t="n">
        <v>231.218</v>
      </c>
      <c r="F1009" s="80" t="n">
        <v>36</v>
      </c>
      <c r="G1009" s="79" t="s">
        <v>1451</v>
      </c>
    </row>
    <row r="1010" customFormat="false" ht="15" hidden="false" customHeight="false" outlineLevel="0" collapsed="false">
      <c r="A1010" s="79" t="s">
        <v>243</v>
      </c>
      <c r="B1010" s="79" t="s">
        <v>1079</v>
      </c>
      <c r="C1010" s="80" t="n">
        <v>202610</v>
      </c>
      <c r="D1010" s="81" t="n">
        <v>46296</v>
      </c>
      <c r="E1010" s="82" t="n">
        <v>264.589</v>
      </c>
      <c r="F1010" s="80" t="n">
        <v>1</v>
      </c>
      <c r="G1010" s="79" t="s">
        <v>998</v>
      </c>
    </row>
    <row r="1011" customFormat="false" ht="15" hidden="false" customHeight="false" outlineLevel="0" collapsed="false">
      <c r="A1011" s="79" t="s">
        <v>243</v>
      </c>
      <c r="B1011" s="79" t="s">
        <v>1080</v>
      </c>
      <c r="C1011" s="80" t="n">
        <v>202609</v>
      </c>
      <c r="D1011" s="81" t="n">
        <v>46266</v>
      </c>
      <c r="E1011" s="82" t="n">
        <v>254.051</v>
      </c>
      <c r="F1011" s="80" t="n">
        <v>2</v>
      </c>
      <c r="G1011" s="79" t="s">
        <v>999</v>
      </c>
    </row>
    <row r="1012" customFormat="false" ht="15" hidden="false" customHeight="false" outlineLevel="0" collapsed="false">
      <c r="A1012" s="79" t="s">
        <v>243</v>
      </c>
      <c r="B1012" s="79" t="s">
        <v>1081</v>
      </c>
      <c r="C1012" s="80" t="n">
        <v>202608</v>
      </c>
      <c r="D1012" s="81" t="n">
        <v>46235</v>
      </c>
      <c r="E1012" s="82" t="n">
        <v>240.751</v>
      </c>
      <c r="F1012" s="80" t="n">
        <v>3</v>
      </c>
      <c r="G1012" s="79" t="s">
        <v>1000</v>
      </c>
    </row>
    <row r="1013" customFormat="false" ht="15" hidden="false" customHeight="false" outlineLevel="0" collapsed="false">
      <c r="A1013" s="79" t="s">
        <v>243</v>
      </c>
      <c r="B1013" s="79" t="s">
        <v>1082</v>
      </c>
      <c r="C1013" s="80" t="n">
        <v>202607</v>
      </c>
      <c r="D1013" s="81" t="n">
        <v>46204</v>
      </c>
      <c r="E1013" s="82" t="n">
        <v>206.268</v>
      </c>
      <c r="F1013" s="80" t="n">
        <v>4</v>
      </c>
      <c r="G1013" s="79" t="s">
        <v>1001</v>
      </c>
    </row>
    <row r="1014" customFormat="false" ht="15" hidden="false" customHeight="false" outlineLevel="0" collapsed="false">
      <c r="A1014" s="79" t="s">
        <v>243</v>
      </c>
      <c r="B1014" s="79" t="s">
        <v>1083</v>
      </c>
      <c r="C1014" s="80" t="n">
        <v>202606</v>
      </c>
      <c r="D1014" s="81" t="n">
        <v>46174</v>
      </c>
      <c r="E1014" s="82" t="n">
        <v>217.107</v>
      </c>
      <c r="F1014" s="80" t="n">
        <v>5</v>
      </c>
      <c r="G1014" s="79" t="s">
        <v>1002</v>
      </c>
    </row>
    <row r="1015" customFormat="false" ht="15" hidden="false" customHeight="false" outlineLevel="0" collapsed="false">
      <c r="A1015" s="79" t="s">
        <v>243</v>
      </c>
      <c r="B1015" s="79" t="s">
        <v>1084</v>
      </c>
      <c r="C1015" s="80" t="n">
        <v>202605</v>
      </c>
      <c r="D1015" s="81" t="n">
        <v>46143</v>
      </c>
      <c r="E1015" s="82" t="n">
        <v>211.78</v>
      </c>
      <c r="F1015" s="80" t="n">
        <v>6</v>
      </c>
      <c r="G1015" s="79" t="s">
        <v>1003</v>
      </c>
    </row>
    <row r="1016" customFormat="false" ht="15" hidden="false" customHeight="false" outlineLevel="0" collapsed="false">
      <c r="A1016" s="79" t="s">
        <v>243</v>
      </c>
      <c r="B1016" s="79" t="s">
        <v>1085</v>
      </c>
      <c r="C1016" s="80" t="n">
        <v>202604</v>
      </c>
      <c r="D1016" s="81" t="n">
        <v>46113</v>
      </c>
      <c r="E1016" s="82" t="n">
        <v>224.233</v>
      </c>
      <c r="F1016" s="80" t="n">
        <v>7</v>
      </c>
      <c r="G1016" s="79" t="s">
        <v>1004</v>
      </c>
    </row>
    <row r="1017" customFormat="false" ht="15" hidden="false" customHeight="false" outlineLevel="0" collapsed="false">
      <c r="A1017" s="79" t="s">
        <v>243</v>
      </c>
      <c r="B1017" s="79" t="s">
        <v>1086</v>
      </c>
      <c r="C1017" s="80" t="n">
        <v>202603</v>
      </c>
      <c r="D1017" s="81" t="n">
        <v>46082</v>
      </c>
      <c r="E1017" s="82" t="n">
        <v>152.439</v>
      </c>
      <c r="F1017" s="80" t="n">
        <v>8</v>
      </c>
      <c r="G1017" s="79" t="s">
        <v>1005</v>
      </c>
    </row>
    <row r="1018" customFormat="false" ht="15" hidden="false" customHeight="false" outlineLevel="0" collapsed="false">
      <c r="A1018" s="79" t="s">
        <v>243</v>
      </c>
      <c r="B1018" s="79" t="s">
        <v>1087</v>
      </c>
      <c r="C1018" s="80" t="n">
        <v>202602</v>
      </c>
      <c r="D1018" s="81" t="n">
        <v>46054</v>
      </c>
      <c r="E1018" s="82" t="n">
        <v>202.054</v>
      </c>
      <c r="F1018" s="80" t="n">
        <v>9</v>
      </c>
      <c r="G1018" s="79" t="s">
        <v>1006</v>
      </c>
    </row>
    <row r="1019" customFormat="false" ht="15" hidden="false" customHeight="false" outlineLevel="0" collapsed="false">
      <c r="A1019" s="79" t="s">
        <v>243</v>
      </c>
      <c r="B1019" s="79" t="s">
        <v>1088</v>
      </c>
      <c r="C1019" s="80" t="n">
        <v>202601</v>
      </c>
      <c r="D1019" s="81" t="n">
        <v>46023</v>
      </c>
      <c r="E1019" s="82" t="n">
        <v>213.484</v>
      </c>
      <c r="F1019" s="80" t="n">
        <v>10</v>
      </c>
      <c r="G1019" s="79" t="s">
        <v>1007</v>
      </c>
    </row>
    <row r="1020" customFormat="false" ht="15" hidden="false" customHeight="false" outlineLevel="0" collapsed="false">
      <c r="A1020" s="79" t="s">
        <v>243</v>
      </c>
      <c r="B1020" s="79" t="s">
        <v>1089</v>
      </c>
      <c r="C1020" s="80" t="n">
        <v>202512</v>
      </c>
      <c r="D1020" s="81" t="n">
        <v>45992</v>
      </c>
      <c r="E1020" s="82" t="n">
        <v>207.144</v>
      </c>
      <c r="F1020" s="80" t="n">
        <v>11</v>
      </c>
      <c r="G1020" s="79" t="s">
        <v>1008</v>
      </c>
    </row>
    <row r="1021" customFormat="false" ht="15" hidden="false" customHeight="false" outlineLevel="0" collapsed="false">
      <c r="A1021" s="79" t="s">
        <v>243</v>
      </c>
      <c r="B1021" s="79" t="s">
        <v>1090</v>
      </c>
      <c r="C1021" s="80" t="n">
        <v>202511</v>
      </c>
      <c r="D1021" s="81" t="n">
        <v>45962</v>
      </c>
      <c r="E1021" s="82" t="n">
        <v>171.566</v>
      </c>
      <c r="F1021" s="80" t="n">
        <v>12</v>
      </c>
      <c r="G1021" s="79" t="s">
        <v>1009</v>
      </c>
    </row>
    <row r="1022" customFormat="false" ht="15" hidden="false" customHeight="false" outlineLevel="0" collapsed="false">
      <c r="A1022" s="79" t="s">
        <v>243</v>
      </c>
      <c r="B1022" s="79" t="s">
        <v>1091</v>
      </c>
      <c r="C1022" s="80" t="n">
        <v>202510</v>
      </c>
      <c r="D1022" s="81" t="n">
        <v>45931</v>
      </c>
      <c r="E1022" s="82" t="n">
        <v>193.543</v>
      </c>
      <c r="F1022" s="80" t="n">
        <v>13</v>
      </c>
      <c r="G1022" s="79" t="s">
        <v>1010</v>
      </c>
    </row>
    <row r="1023" customFormat="false" ht="15" hidden="false" customHeight="false" outlineLevel="0" collapsed="false">
      <c r="A1023" s="79" t="s">
        <v>243</v>
      </c>
      <c r="B1023" s="79" t="s">
        <v>1092</v>
      </c>
      <c r="C1023" s="80" t="n">
        <v>202509</v>
      </c>
      <c r="D1023" s="81" t="n">
        <v>45901</v>
      </c>
      <c r="E1023" s="82" t="n">
        <v>192.532</v>
      </c>
      <c r="F1023" s="80" t="n">
        <v>14</v>
      </c>
      <c r="G1023" s="79" t="s">
        <v>1011</v>
      </c>
    </row>
    <row r="1024" customFormat="false" ht="15" hidden="false" customHeight="false" outlineLevel="0" collapsed="false">
      <c r="A1024" s="79" t="s">
        <v>243</v>
      </c>
      <c r="B1024" s="79" t="s">
        <v>1093</v>
      </c>
      <c r="C1024" s="80" t="n">
        <v>202508</v>
      </c>
      <c r="D1024" s="81" t="n">
        <v>45870</v>
      </c>
      <c r="E1024" s="82" t="n">
        <v>190.849</v>
      </c>
      <c r="F1024" s="80" t="n">
        <v>15</v>
      </c>
      <c r="G1024" s="79" t="s">
        <v>1012</v>
      </c>
    </row>
    <row r="1025" customFormat="false" ht="15" hidden="false" customHeight="false" outlineLevel="0" collapsed="false">
      <c r="A1025" s="79" t="s">
        <v>243</v>
      </c>
      <c r="B1025" s="79" t="s">
        <v>1094</v>
      </c>
      <c r="C1025" s="80" t="n">
        <v>202507</v>
      </c>
      <c r="D1025" s="81" t="n">
        <v>45839</v>
      </c>
      <c r="E1025" s="82" t="n">
        <v>186.903</v>
      </c>
      <c r="F1025" s="80" t="n">
        <v>16</v>
      </c>
      <c r="G1025" s="79" t="s">
        <v>1013</v>
      </c>
    </row>
    <row r="1026" customFormat="false" ht="15" hidden="false" customHeight="false" outlineLevel="0" collapsed="false">
      <c r="A1026" s="79" t="s">
        <v>243</v>
      </c>
      <c r="B1026" s="79" t="s">
        <v>1095</v>
      </c>
      <c r="C1026" s="80" t="n">
        <v>202506</v>
      </c>
      <c r="D1026" s="81" t="n">
        <v>45809</v>
      </c>
      <c r="E1026" s="82" t="n">
        <v>181.797</v>
      </c>
      <c r="F1026" s="80" t="n">
        <v>17</v>
      </c>
      <c r="G1026" s="79" t="s">
        <v>1014</v>
      </c>
    </row>
    <row r="1027" customFormat="false" ht="15" hidden="false" customHeight="false" outlineLevel="0" collapsed="false">
      <c r="A1027" s="79" t="s">
        <v>243</v>
      </c>
      <c r="B1027" s="79" t="s">
        <v>1096</v>
      </c>
      <c r="C1027" s="80" t="n">
        <v>202505</v>
      </c>
      <c r="D1027" s="81" t="n">
        <v>45778</v>
      </c>
      <c r="E1027" s="82" t="n">
        <v>176.136</v>
      </c>
      <c r="F1027" s="80" t="n">
        <v>18</v>
      </c>
      <c r="G1027" s="79" t="s">
        <v>1015</v>
      </c>
    </row>
    <row r="1028" customFormat="false" ht="15" hidden="false" customHeight="false" outlineLevel="0" collapsed="false">
      <c r="A1028" s="79" t="s">
        <v>243</v>
      </c>
      <c r="B1028" s="79" t="s">
        <v>1097</v>
      </c>
      <c r="C1028" s="80" t="n">
        <v>202504</v>
      </c>
      <c r="D1028" s="81" t="n">
        <v>45748</v>
      </c>
      <c r="E1028" s="82" t="n">
        <v>182.487</v>
      </c>
      <c r="F1028" s="80" t="n">
        <v>19</v>
      </c>
      <c r="G1028" s="79" t="s">
        <v>1016</v>
      </c>
    </row>
    <row r="1029" customFormat="false" ht="15" hidden="false" customHeight="false" outlineLevel="0" collapsed="false">
      <c r="A1029" s="79" t="s">
        <v>243</v>
      </c>
      <c r="B1029" s="79" t="s">
        <v>1098</v>
      </c>
      <c r="C1029" s="80" t="n">
        <v>202503</v>
      </c>
      <c r="D1029" s="81" t="n">
        <v>45717</v>
      </c>
      <c r="E1029" s="82" t="n">
        <v>121.2</v>
      </c>
      <c r="F1029" s="80" t="n">
        <v>20</v>
      </c>
      <c r="G1029" s="79" t="s">
        <v>1452</v>
      </c>
    </row>
    <row r="1030" customFormat="false" ht="15" hidden="false" customHeight="false" outlineLevel="0" collapsed="false">
      <c r="A1030" s="79" t="s">
        <v>243</v>
      </c>
      <c r="B1030" s="79" t="s">
        <v>1099</v>
      </c>
      <c r="C1030" s="80" t="n">
        <v>202502</v>
      </c>
      <c r="D1030" s="81" t="n">
        <v>45689</v>
      </c>
      <c r="E1030" s="82" t="n">
        <v>161.006</v>
      </c>
      <c r="F1030" s="80" t="n">
        <v>21</v>
      </c>
      <c r="G1030" s="79" t="s">
        <v>1453</v>
      </c>
    </row>
    <row r="1031" customFormat="false" ht="15" hidden="false" customHeight="false" outlineLevel="0" collapsed="false">
      <c r="A1031" s="79" t="s">
        <v>243</v>
      </c>
      <c r="B1031" s="79" t="s">
        <v>1100</v>
      </c>
      <c r="C1031" s="80" t="n">
        <v>202501</v>
      </c>
      <c r="D1031" s="81" t="n">
        <v>45658</v>
      </c>
      <c r="E1031" s="82" t="n">
        <v>174.821</v>
      </c>
      <c r="F1031" s="80" t="n">
        <v>22</v>
      </c>
      <c r="G1031" s="79" t="s">
        <v>1454</v>
      </c>
    </row>
    <row r="1032" customFormat="false" ht="15" hidden="false" customHeight="false" outlineLevel="0" collapsed="false">
      <c r="A1032" s="79" t="s">
        <v>243</v>
      </c>
      <c r="B1032" s="79" t="s">
        <v>1101</v>
      </c>
      <c r="C1032" s="80" t="n">
        <v>202412</v>
      </c>
      <c r="D1032" s="81" t="n">
        <v>45627</v>
      </c>
      <c r="E1032" s="82" t="n">
        <v>168.464</v>
      </c>
      <c r="F1032" s="80" t="n">
        <v>23</v>
      </c>
      <c r="G1032" s="79" t="s">
        <v>1455</v>
      </c>
    </row>
    <row r="1033" customFormat="false" ht="15" hidden="false" customHeight="false" outlineLevel="0" collapsed="false">
      <c r="A1033" s="79" t="s">
        <v>243</v>
      </c>
      <c r="B1033" s="79" t="s">
        <v>1102</v>
      </c>
      <c r="C1033" s="80" t="n">
        <v>202411</v>
      </c>
      <c r="D1033" s="81" t="n">
        <v>45597</v>
      </c>
      <c r="E1033" s="82" t="n">
        <v>160.73</v>
      </c>
      <c r="F1033" s="80" t="n">
        <v>24</v>
      </c>
      <c r="G1033" s="79" t="s">
        <v>1456</v>
      </c>
    </row>
    <row r="1034" customFormat="false" ht="15" hidden="false" customHeight="false" outlineLevel="0" collapsed="false">
      <c r="A1034" s="79" t="s">
        <v>243</v>
      </c>
      <c r="B1034" s="79" t="s">
        <v>1103</v>
      </c>
      <c r="C1034" s="80" t="n">
        <v>202410</v>
      </c>
      <c r="D1034" s="81" t="n">
        <v>45566</v>
      </c>
      <c r="E1034" s="82" t="n">
        <v>166.502</v>
      </c>
      <c r="F1034" s="80" t="n">
        <v>25</v>
      </c>
      <c r="G1034" s="79" t="s">
        <v>1457</v>
      </c>
    </row>
    <row r="1035" customFormat="false" ht="15" hidden="false" customHeight="false" outlineLevel="0" collapsed="false">
      <c r="A1035" s="79" t="s">
        <v>243</v>
      </c>
      <c r="B1035" s="79" t="s">
        <v>1105</v>
      </c>
      <c r="C1035" s="80" t="n">
        <v>202409</v>
      </c>
      <c r="D1035" s="81" t="n">
        <v>45536</v>
      </c>
      <c r="E1035" s="82" t="n">
        <v>170.87</v>
      </c>
      <c r="F1035" s="80" t="n">
        <v>26</v>
      </c>
      <c r="G1035" s="79" t="s">
        <v>1458</v>
      </c>
    </row>
    <row r="1036" customFormat="false" ht="15" hidden="false" customHeight="false" outlineLevel="0" collapsed="false">
      <c r="A1036" s="79" t="s">
        <v>243</v>
      </c>
      <c r="B1036" s="79" t="s">
        <v>1107</v>
      </c>
      <c r="C1036" s="80" t="n">
        <v>202408</v>
      </c>
      <c r="D1036" s="81" t="n">
        <v>45505</v>
      </c>
      <c r="E1036" s="82" t="n">
        <v>181.14</v>
      </c>
      <c r="F1036" s="80" t="n">
        <v>27</v>
      </c>
      <c r="G1036" s="79" t="s">
        <v>1459</v>
      </c>
    </row>
    <row r="1037" customFormat="false" ht="15" hidden="false" customHeight="false" outlineLevel="0" collapsed="false">
      <c r="A1037" s="79" t="s">
        <v>243</v>
      </c>
      <c r="B1037" s="79" t="s">
        <v>1109</v>
      </c>
      <c r="C1037" s="80" t="n">
        <v>202407</v>
      </c>
      <c r="D1037" s="81" t="n">
        <v>45474</v>
      </c>
      <c r="E1037" s="82" t="n">
        <v>174.683</v>
      </c>
      <c r="F1037" s="80" t="n">
        <v>28</v>
      </c>
      <c r="G1037" s="79" t="s">
        <v>1460</v>
      </c>
    </row>
    <row r="1038" customFormat="false" ht="15" hidden="false" customHeight="false" outlineLevel="0" collapsed="false">
      <c r="A1038" s="79" t="s">
        <v>243</v>
      </c>
      <c r="B1038" s="79" t="s">
        <v>1111</v>
      </c>
      <c r="C1038" s="80" t="n">
        <v>202406</v>
      </c>
      <c r="D1038" s="81" t="n">
        <v>45444</v>
      </c>
      <c r="E1038" s="82" t="n">
        <v>181.012</v>
      </c>
      <c r="F1038" s="80" t="n">
        <v>29</v>
      </c>
      <c r="G1038" s="79" t="s">
        <v>1461</v>
      </c>
    </row>
    <row r="1039" customFormat="false" ht="15" hidden="false" customHeight="false" outlineLevel="0" collapsed="false">
      <c r="A1039" s="79" t="s">
        <v>243</v>
      </c>
      <c r="B1039" s="79" t="s">
        <v>1113</v>
      </c>
      <c r="C1039" s="80" t="n">
        <v>202405</v>
      </c>
      <c r="D1039" s="81" t="n">
        <v>45413</v>
      </c>
      <c r="E1039" s="82" t="n">
        <v>153.596</v>
      </c>
      <c r="F1039" s="80" t="n">
        <v>30</v>
      </c>
      <c r="G1039" s="79" t="s">
        <v>1462</v>
      </c>
    </row>
    <row r="1040" customFormat="false" ht="15" hidden="false" customHeight="false" outlineLevel="0" collapsed="false">
      <c r="A1040" s="79" t="s">
        <v>243</v>
      </c>
      <c r="B1040" s="79" t="s">
        <v>1115</v>
      </c>
      <c r="C1040" s="80" t="n">
        <v>202404</v>
      </c>
      <c r="D1040" s="81" t="n">
        <v>45383</v>
      </c>
      <c r="E1040" s="82" t="n">
        <v>152.794</v>
      </c>
      <c r="F1040" s="80" t="n">
        <v>31</v>
      </c>
      <c r="G1040" s="79" t="s">
        <v>1463</v>
      </c>
    </row>
    <row r="1041" customFormat="false" ht="15" hidden="false" customHeight="false" outlineLevel="0" collapsed="false">
      <c r="A1041" s="79" t="s">
        <v>243</v>
      </c>
      <c r="B1041" s="79" t="s">
        <v>1117</v>
      </c>
      <c r="C1041" s="80" t="n">
        <v>202403</v>
      </c>
      <c r="D1041" s="81" t="n">
        <v>45352</v>
      </c>
      <c r="E1041" s="82" t="n">
        <v>123.583</v>
      </c>
      <c r="F1041" s="80" t="n">
        <v>32</v>
      </c>
      <c r="G1041" s="79" t="s">
        <v>1464</v>
      </c>
    </row>
    <row r="1042" customFormat="false" ht="15" hidden="false" customHeight="false" outlineLevel="0" collapsed="false">
      <c r="A1042" s="79" t="s">
        <v>243</v>
      </c>
      <c r="B1042" s="79" t="s">
        <v>1119</v>
      </c>
      <c r="C1042" s="80" t="n">
        <v>202402</v>
      </c>
      <c r="D1042" s="81" t="n">
        <v>45323</v>
      </c>
      <c r="E1042" s="82" t="n">
        <v>158.474</v>
      </c>
      <c r="F1042" s="80" t="n">
        <v>33</v>
      </c>
      <c r="G1042" s="79" t="s">
        <v>1465</v>
      </c>
    </row>
    <row r="1043" customFormat="false" ht="15" hidden="false" customHeight="false" outlineLevel="0" collapsed="false">
      <c r="A1043" s="79" t="s">
        <v>243</v>
      </c>
      <c r="B1043" s="79" t="s">
        <v>1121</v>
      </c>
      <c r="C1043" s="80" t="n">
        <v>202401</v>
      </c>
      <c r="D1043" s="81" t="n">
        <v>45292</v>
      </c>
      <c r="E1043" s="82" t="n">
        <v>161.516</v>
      </c>
      <c r="F1043" s="80" t="n">
        <v>34</v>
      </c>
      <c r="G1043" s="79" t="s">
        <v>1466</v>
      </c>
    </row>
    <row r="1044" customFormat="false" ht="15" hidden="false" customHeight="false" outlineLevel="0" collapsed="false">
      <c r="A1044" s="79" t="s">
        <v>243</v>
      </c>
      <c r="B1044" s="79" t="s">
        <v>1123</v>
      </c>
      <c r="C1044" s="80" t="n">
        <v>202312</v>
      </c>
      <c r="D1044" s="81" t="n">
        <v>45261</v>
      </c>
      <c r="E1044" s="82" t="n">
        <v>164.562</v>
      </c>
      <c r="F1044" s="80" t="n">
        <v>35</v>
      </c>
      <c r="G1044" s="79" t="s">
        <v>1467</v>
      </c>
    </row>
    <row r="1045" customFormat="false" ht="15" hidden="false" customHeight="false" outlineLevel="0" collapsed="false">
      <c r="A1045" s="79" t="s">
        <v>243</v>
      </c>
      <c r="B1045" s="79" t="s">
        <v>1125</v>
      </c>
      <c r="C1045" s="80" t="n">
        <v>202311</v>
      </c>
      <c r="D1045" s="81" t="n">
        <v>45231</v>
      </c>
      <c r="E1045" s="82" t="n">
        <v>143.023</v>
      </c>
      <c r="F1045" s="80" t="n">
        <v>36</v>
      </c>
      <c r="G1045" s="79" t="s">
        <v>1468</v>
      </c>
    </row>
    <row r="1046" customFormat="false" ht="15" hidden="false" customHeight="false" outlineLevel="0" collapsed="false">
      <c r="A1046" s="79" t="s">
        <v>228</v>
      </c>
      <c r="B1046" s="79" t="s">
        <v>1079</v>
      </c>
      <c r="C1046" s="80" t="n">
        <v>202610</v>
      </c>
      <c r="D1046" s="81" t="n">
        <v>46296</v>
      </c>
      <c r="E1046" s="82" t="n">
        <v>30638.984</v>
      </c>
      <c r="F1046" s="80" t="n">
        <v>1</v>
      </c>
      <c r="G1046" s="79" t="s">
        <v>1018</v>
      </c>
    </row>
    <row r="1047" customFormat="false" ht="15" hidden="false" customHeight="false" outlineLevel="0" collapsed="false">
      <c r="A1047" s="79" t="s">
        <v>228</v>
      </c>
      <c r="B1047" s="79" t="s">
        <v>1080</v>
      </c>
      <c r="C1047" s="80" t="n">
        <v>202609</v>
      </c>
      <c r="D1047" s="81" t="n">
        <v>46266</v>
      </c>
      <c r="E1047" s="82" t="n">
        <v>28275.661</v>
      </c>
      <c r="F1047" s="80" t="n">
        <v>2</v>
      </c>
      <c r="G1047" s="79" t="s">
        <v>1019</v>
      </c>
    </row>
    <row r="1048" customFormat="false" ht="15" hidden="false" customHeight="false" outlineLevel="0" collapsed="false">
      <c r="A1048" s="79" t="s">
        <v>228</v>
      </c>
      <c r="B1048" s="79" t="s">
        <v>1081</v>
      </c>
      <c r="C1048" s="80" t="n">
        <v>202608</v>
      </c>
      <c r="D1048" s="81" t="n">
        <v>46235</v>
      </c>
      <c r="E1048" s="82" t="n">
        <v>27161.687</v>
      </c>
      <c r="F1048" s="80" t="n">
        <v>3</v>
      </c>
      <c r="G1048" s="79" t="s">
        <v>1020</v>
      </c>
    </row>
    <row r="1049" customFormat="false" ht="15" hidden="false" customHeight="false" outlineLevel="0" collapsed="false">
      <c r="A1049" s="79" t="s">
        <v>228</v>
      </c>
      <c r="B1049" s="79" t="s">
        <v>1082</v>
      </c>
      <c r="C1049" s="80" t="n">
        <v>202607</v>
      </c>
      <c r="D1049" s="81" t="n">
        <v>46204</v>
      </c>
      <c r="E1049" s="82" t="n">
        <v>24852.784</v>
      </c>
      <c r="F1049" s="80" t="n">
        <v>4</v>
      </c>
      <c r="G1049" s="79" t="s">
        <v>1021</v>
      </c>
    </row>
    <row r="1050" customFormat="false" ht="15" hidden="false" customHeight="false" outlineLevel="0" collapsed="false">
      <c r="A1050" s="79" t="s">
        <v>228</v>
      </c>
      <c r="B1050" s="79" t="s">
        <v>1083</v>
      </c>
      <c r="C1050" s="80" t="n">
        <v>202606</v>
      </c>
      <c r="D1050" s="81" t="n">
        <v>46174</v>
      </c>
      <c r="E1050" s="82" t="n">
        <v>22827.979</v>
      </c>
      <c r="F1050" s="80" t="n">
        <v>5</v>
      </c>
      <c r="G1050" s="79" t="s">
        <v>1022</v>
      </c>
    </row>
    <row r="1051" customFormat="false" ht="15" hidden="false" customHeight="false" outlineLevel="0" collapsed="false">
      <c r="A1051" s="79" t="s">
        <v>228</v>
      </c>
      <c r="B1051" s="79" t="s">
        <v>1084</v>
      </c>
      <c r="C1051" s="80" t="n">
        <v>202605</v>
      </c>
      <c r="D1051" s="81" t="n">
        <v>46143</v>
      </c>
      <c r="E1051" s="82" t="n">
        <v>20207.493</v>
      </c>
      <c r="F1051" s="80" t="n">
        <v>6</v>
      </c>
      <c r="G1051" s="79" t="s">
        <v>1023</v>
      </c>
    </row>
    <row r="1052" customFormat="false" ht="15" hidden="false" customHeight="false" outlineLevel="0" collapsed="false">
      <c r="A1052" s="79" t="s">
        <v>228</v>
      </c>
      <c r="B1052" s="79" t="s">
        <v>1085</v>
      </c>
      <c r="C1052" s="80" t="n">
        <v>202604</v>
      </c>
      <c r="D1052" s="81" t="n">
        <v>46113</v>
      </c>
      <c r="E1052" s="82" t="n">
        <v>18316.974</v>
      </c>
      <c r="F1052" s="80" t="n">
        <v>7</v>
      </c>
      <c r="G1052" s="79" t="s">
        <v>1024</v>
      </c>
    </row>
    <row r="1053" customFormat="false" ht="15" hidden="false" customHeight="false" outlineLevel="0" collapsed="false">
      <c r="A1053" s="79" t="s">
        <v>228</v>
      </c>
      <c r="B1053" s="79" t="s">
        <v>1086</v>
      </c>
      <c r="C1053" s="80" t="n">
        <v>202603</v>
      </c>
      <c r="D1053" s="81" t="n">
        <v>46082</v>
      </c>
      <c r="E1053" s="82" t="n">
        <v>12198.386</v>
      </c>
      <c r="F1053" s="80" t="n">
        <v>8</v>
      </c>
      <c r="G1053" s="79" t="s">
        <v>1025</v>
      </c>
    </row>
    <row r="1054" customFormat="false" ht="15" hidden="false" customHeight="false" outlineLevel="0" collapsed="false">
      <c r="A1054" s="79" t="s">
        <v>228</v>
      </c>
      <c r="B1054" s="79" t="s">
        <v>1087</v>
      </c>
      <c r="C1054" s="80" t="n">
        <v>202602</v>
      </c>
      <c r="D1054" s="81" t="n">
        <v>46054</v>
      </c>
      <c r="E1054" s="82" t="n">
        <v>10451.593</v>
      </c>
      <c r="F1054" s="80" t="n">
        <v>9</v>
      </c>
      <c r="G1054" s="79" t="s">
        <v>1026</v>
      </c>
    </row>
    <row r="1055" customFormat="false" ht="15" hidden="false" customHeight="false" outlineLevel="0" collapsed="false">
      <c r="A1055" s="79" t="s">
        <v>228</v>
      </c>
      <c r="B1055" s="79" t="s">
        <v>1088</v>
      </c>
      <c r="C1055" s="80" t="n">
        <v>202601</v>
      </c>
      <c r="D1055" s="81" t="n">
        <v>46023</v>
      </c>
      <c r="E1055" s="82" t="n">
        <v>8711.746</v>
      </c>
      <c r="F1055" s="80" t="n">
        <v>10</v>
      </c>
      <c r="G1055" s="79" t="s">
        <v>1027</v>
      </c>
    </row>
    <row r="1056" customFormat="false" ht="15" hidden="false" customHeight="false" outlineLevel="0" collapsed="false">
      <c r="A1056" s="79" t="s">
        <v>228</v>
      </c>
      <c r="B1056" s="79" t="s">
        <v>1089</v>
      </c>
      <c r="C1056" s="80" t="n">
        <v>202512</v>
      </c>
      <c r="D1056" s="81" t="n">
        <v>45992</v>
      </c>
      <c r="E1056" s="82" t="n">
        <v>7021.586</v>
      </c>
      <c r="F1056" s="80" t="n">
        <v>11</v>
      </c>
      <c r="G1056" s="79" t="s">
        <v>1028</v>
      </c>
    </row>
    <row r="1057" customFormat="false" ht="15" hidden="false" customHeight="false" outlineLevel="0" collapsed="false">
      <c r="A1057" s="79" t="s">
        <v>228</v>
      </c>
      <c r="B1057" s="79" t="s">
        <v>1090</v>
      </c>
      <c r="C1057" s="80" t="n">
        <v>202511</v>
      </c>
      <c r="D1057" s="81" t="n">
        <v>45962</v>
      </c>
      <c r="E1057" s="82" t="n">
        <v>7065.326</v>
      </c>
      <c r="F1057" s="80" t="n">
        <v>12</v>
      </c>
      <c r="G1057" s="79" t="s">
        <v>1029</v>
      </c>
    </row>
    <row r="1058" customFormat="false" ht="15" hidden="false" customHeight="false" outlineLevel="0" collapsed="false">
      <c r="A1058" s="79" t="s">
        <v>228</v>
      </c>
      <c r="B1058" s="79" t="s">
        <v>1091</v>
      </c>
      <c r="C1058" s="80" t="n">
        <v>202510</v>
      </c>
      <c r="D1058" s="81" t="n">
        <v>45931</v>
      </c>
      <c r="E1058" s="82" t="n">
        <v>6515.278</v>
      </c>
      <c r="F1058" s="80" t="n">
        <v>13</v>
      </c>
      <c r="G1058" s="79" t="s">
        <v>1030</v>
      </c>
    </row>
    <row r="1059" customFormat="false" ht="15" hidden="false" customHeight="false" outlineLevel="0" collapsed="false">
      <c r="A1059" s="79" t="s">
        <v>228</v>
      </c>
      <c r="B1059" s="79" t="s">
        <v>1092</v>
      </c>
      <c r="C1059" s="80" t="n">
        <v>202509</v>
      </c>
      <c r="D1059" s="81" t="n">
        <v>45901</v>
      </c>
      <c r="E1059" s="82" t="n">
        <v>5933.811</v>
      </c>
      <c r="F1059" s="80" t="n">
        <v>14</v>
      </c>
      <c r="G1059" s="79" t="s">
        <v>1031</v>
      </c>
    </row>
    <row r="1060" customFormat="false" ht="15" hidden="false" customHeight="false" outlineLevel="0" collapsed="false">
      <c r="A1060" s="79" t="s">
        <v>228</v>
      </c>
      <c r="B1060" s="79" t="s">
        <v>1093</v>
      </c>
      <c r="C1060" s="80" t="n">
        <v>202508</v>
      </c>
      <c r="D1060" s="81" t="n">
        <v>45870</v>
      </c>
      <c r="E1060" s="82" t="n">
        <v>5687.708</v>
      </c>
      <c r="F1060" s="80" t="n">
        <v>15</v>
      </c>
      <c r="G1060" s="79" t="s">
        <v>1032</v>
      </c>
    </row>
    <row r="1061" customFormat="false" ht="15" hidden="false" customHeight="false" outlineLevel="0" collapsed="false">
      <c r="A1061" s="79" t="s">
        <v>228</v>
      </c>
      <c r="B1061" s="79" t="s">
        <v>1094</v>
      </c>
      <c r="C1061" s="80" t="n">
        <v>202507</v>
      </c>
      <c r="D1061" s="81" t="n">
        <v>45839</v>
      </c>
      <c r="E1061" s="82" t="n">
        <v>6197.679</v>
      </c>
      <c r="F1061" s="80" t="n">
        <v>16</v>
      </c>
      <c r="G1061" s="79" t="s">
        <v>1033</v>
      </c>
    </row>
    <row r="1062" customFormat="false" ht="15" hidden="false" customHeight="false" outlineLevel="0" collapsed="false">
      <c r="A1062" s="79" t="s">
        <v>228</v>
      </c>
      <c r="B1062" s="79" t="s">
        <v>1095</v>
      </c>
      <c r="C1062" s="80" t="n">
        <v>202506</v>
      </c>
      <c r="D1062" s="81" t="n">
        <v>45809</v>
      </c>
      <c r="E1062" s="82" t="n">
        <v>5689.559</v>
      </c>
      <c r="F1062" s="80" t="n">
        <v>17</v>
      </c>
      <c r="G1062" s="79" t="s">
        <v>1034</v>
      </c>
    </row>
    <row r="1063" customFormat="false" ht="15" hidden="false" customHeight="false" outlineLevel="0" collapsed="false">
      <c r="A1063" s="79" t="s">
        <v>228</v>
      </c>
      <c r="B1063" s="79" t="s">
        <v>1096</v>
      </c>
      <c r="C1063" s="80" t="n">
        <v>202505</v>
      </c>
      <c r="D1063" s="81" t="n">
        <v>45778</v>
      </c>
      <c r="E1063" s="82" t="n">
        <v>6002.833</v>
      </c>
      <c r="F1063" s="80" t="n">
        <v>18</v>
      </c>
      <c r="G1063" s="79" t="s">
        <v>1035</v>
      </c>
    </row>
    <row r="1064" customFormat="false" ht="15" hidden="false" customHeight="false" outlineLevel="0" collapsed="false">
      <c r="A1064" s="79" t="s">
        <v>228</v>
      </c>
      <c r="B1064" s="79" t="s">
        <v>1097</v>
      </c>
      <c r="C1064" s="80" t="n">
        <v>202504</v>
      </c>
      <c r="D1064" s="81" t="n">
        <v>45748</v>
      </c>
      <c r="E1064" s="82" t="n">
        <v>5697.759</v>
      </c>
      <c r="F1064" s="80" t="n">
        <v>19</v>
      </c>
      <c r="G1064" s="79" t="s">
        <v>1036</v>
      </c>
    </row>
    <row r="1065" customFormat="false" ht="15" hidden="false" customHeight="false" outlineLevel="0" collapsed="false">
      <c r="A1065" s="79" t="s">
        <v>228</v>
      </c>
      <c r="B1065" s="79" t="s">
        <v>1098</v>
      </c>
      <c r="C1065" s="80" t="n">
        <v>202503</v>
      </c>
      <c r="D1065" s="81" t="n">
        <v>45717</v>
      </c>
      <c r="E1065" s="82" t="n">
        <v>4527.416</v>
      </c>
      <c r="F1065" s="80" t="n">
        <v>20</v>
      </c>
      <c r="G1065" s="79" t="s">
        <v>1037</v>
      </c>
    </row>
    <row r="1066" customFormat="false" ht="15" hidden="false" customHeight="false" outlineLevel="0" collapsed="false">
      <c r="A1066" s="79" t="s">
        <v>228</v>
      </c>
      <c r="B1066" s="79" t="s">
        <v>1099</v>
      </c>
      <c r="C1066" s="80" t="n">
        <v>202502</v>
      </c>
      <c r="D1066" s="81" t="n">
        <v>45689</v>
      </c>
      <c r="E1066" s="82" t="n">
        <v>3613.39</v>
      </c>
      <c r="F1066" s="80" t="n">
        <v>21</v>
      </c>
      <c r="G1066" s="79" t="s">
        <v>1038</v>
      </c>
    </row>
    <row r="1067" customFormat="false" ht="15" hidden="false" customHeight="false" outlineLevel="0" collapsed="false">
      <c r="A1067" s="79" t="s">
        <v>228</v>
      </c>
      <c r="B1067" s="79" t="s">
        <v>1100</v>
      </c>
      <c r="C1067" s="80" t="n">
        <v>202501</v>
      </c>
      <c r="D1067" s="81" t="n">
        <v>45658</v>
      </c>
      <c r="E1067" s="82" t="n">
        <v>4521.378</v>
      </c>
      <c r="F1067" s="80" t="n">
        <v>22</v>
      </c>
      <c r="G1067" s="79" t="s">
        <v>1039</v>
      </c>
    </row>
    <row r="1068" customFormat="false" ht="15" hidden="false" customHeight="false" outlineLevel="0" collapsed="false">
      <c r="A1068" s="79" t="s">
        <v>228</v>
      </c>
      <c r="B1068" s="79" t="s">
        <v>1101</v>
      </c>
      <c r="C1068" s="80" t="n">
        <v>202412</v>
      </c>
      <c r="D1068" s="81" t="n">
        <v>45627</v>
      </c>
      <c r="E1068" s="82" t="n">
        <v>4333.904</v>
      </c>
      <c r="F1068" s="80" t="n">
        <v>23</v>
      </c>
      <c r="G1068" s="79" t="s">
        <v>1040</v>
      </c>
    </row>
    <row r="1069" customFormat="false" ht="15" hidden="false" customHeight="false" outlineLevel="0" collapsed="false">
      <c r="A1069" s="79" t="s">
        <v>228</v>
      </c>
      <c r="B1069" s="79" t="s">
        <v>1102</v>
      </c>
      <c r="C1069" s="80" t="n">
        <v>202411</v>
      </c>
      <c r="D1069" s="81" t="n">
        <v>45597</v>
      </c>
      <c r="E1069" s="82" t="n">
        <v>3717.027</v>
      </c>
      <c r="F1069" s="80" t="n">
        <v>24</v>
      </c>
      <c r="G1069" s="79" t="s">
        <v>1041</v>
      </c>
    </row>
    <row r="1070" customFormat="false" ht="15" hidden="false" customHeight="false" outlineLevel="0" collapsed="false">
      <c r="A1070" s="79" t="s">
        <v>228</v>
      </c>
      <c r="B1070" s="79" t="s">
        <v>1103</v>
      </c>
      <c r="C1070" s="80" t="n">
        <v>202410</v>
      </c>
      <c r="D1070" s="81" t="n">
        <v>45566</v>
      </c>
      <c r="E1070" s="82" t="n">
        <v>4430.879</v>
      </c>
      <c r="F1070" s="80" t="n">
        <v>25</v>
      </c>
      <c r="G1070" s="79" t="s">
        <v>1469</v>
      </c>
    </row>
    <row r="1071" customFormat="false" ht="15" hidden="false" customHeight="false" outlineLevel="0" collapsed="false">
      <c r="A1071" s="79" t="s">
        <v>228</v>
      </c>
      <c r="B1071" s="79" t="s">
        <v>1105</v>
      </c>
      <c r="C1071" s="80" t="n">
        <v>202409</v>
      </c>
      <c r="D1071" s="81" t="n">
        <v>45536</v>
      </c>
      <c r="E1071" s="82" t="n">
        <v>4805.588</v>
      </c>
      <c r="F1071" s="80" t="n">
        <v>26</v>
      </c>
      <c r="G1071" s="79" t="s">
        <v>1470</v>
      </c>
    </row>
    <row r="1072" customFormat="false" ht="15" hidden="false" customHeight="false" outlineLevel="0" collapsed="false">
      <c r="A1072" s="79" t="s">
        <v>228</v>
      </c>
      <c r="B1072" s="79" t="s">
        <v>1107</v>
      </c>
      <c r="C1072" s="80" t="n">
        <v>202408</v>
      </c>
      <c r="D1072" s="81" t="n">
        <v>45505</v>
      </c>
      <c r="E1072" s="82" t="n">
        <v>4706.092</v>
      </c>
      <c r="F1072" s="80" t="n">
        <v>27</v>
      </c>
      <c r="G1072" s="79" t="s">
        <v>1471</v>
      </c>
    </row>
    <row r="1073" customFormat="false" ht="15" hidden="false" customHeight="false" outlineLevel="0" collapsed="false">
      <c r="A1073" s="79" t="s">
        <v>228</v>
      </c>
      <c r="B1073" s="79" t="s">
        <v>1109</v>
      </c>
      <c r="C1073" s="80" t="n">
        <v>202407</v>
      </c>
      <c r="D1073" s="81" t="n">
        <v>45474</v>
      </c>
      <c r="E1073" s="82" t="n">
        <v>5361.009</v>
      </c>
      <c r="F1073" s="80" t="n">
        <v>28</v>
      </c>
      <c r="G1073" s="79" t="s">
        <v>1472</v>
      </c>
    </row>
    <row r="1074" customFormat="false" ht="15" hidden="false" customHeight="false" outlineLevel="0" collapsed="false">
      <c r="A1074" s="79" t="s">
        <v>228</v>
      </c>
      <c r="B1074" s="79" t="s">
        <v>1111</v>
      </c>
      <c r="C1074" s="80" t="n">
        <v>202406</v>
      </c>
      <c r="D1074" s="81" t="n">
        <v>45444</v>
      </c>
      <c r="E1074" s="82" t="n">
        <v>5377.566</v>
      </c>
      <c r="F1074" s="80" t="n">
        <v>29</v>
      </c>
      <c r="G1074" s="79" t="s">
        <v>1473</v>
      </c>
    </row>
    <row r="1075" customFormat="false" ht="15" hidden="false" customHeight="false" outlineLevel="0" collapsed="false">
      <c r="A1075" s="79" t="s">
        <v>228</v>
      </c>
      <c r="B1075" s="79" t="s">
        <v>1113</v>
      </c>
      <c r="C1075" s="80" t="n">
        <v>202405</v>
      </c>
      <c r="D1075" s="81" t="n">
        <v>45413</v>
      </c>
      <c r="E1075" s="82" t="n">
        <v>5156.193</v>
      </c>
      <c r="F1075" s="80" t="n">
        <v>30</v>
      </c>
      <c r="G1075" s="79" t="s">
        <v>1474</v>
      </c>
    </row>
    <row r="1076" customFormat="false" ht="15" hidden="false" customHeight="false" outlineLevel="0" collapsed="false">
      <c r="A1076" s="79" t="s">
        <v>228</v>
      </c>
      <c r="B1076" s="79" t="s">
        <v>1115</v>
      </c>
      <c r="C1076" s="80" t="n">
        <v>202404</v>
      </c>
      <c r="D1076" s="81" t="n">
        <v>45383</v>
      </c>
      <c r="E1076" s="82" t="n">
        <v>6774.966</v>
      </c>
      <c r="F1076" s="80" t="n">
        <v>31</v>
      </c>
      <c r="G1076" s="79" t="s">
        <v>1475</v>
      </c>
    </row>
    <row r="1077" customFormat="false" ht="15" hidden="false" customHeight="false" outlineLevel="0" collapsed="false">
      <c r="A1077" s="79" t="s">
        <v>228</v>
      </c>
      <c r="B1077" s="79" t="s">
        <v>1117</v>
      </c>
      <c r="C1077" s="80" t="n">
        <v>202403</v>
      </c>
      <c r="D1077" s="81" t="n">
        <v>45352</v>
      </c>
      <c r="E1077" s="82" t="n">
        <v>4664.908</v>
      </c>
      <c r="F1077" s="80" t="n">
        <v>32</v>
      </c>
      <c r="G1077" s="79" t="s">
        <v>1476</v>
      </c>
    </row>
    <row r="1078" customFormat="false" ht="15" hidden="false" customHeight="false" outlineLevel="0" collapsed="false">
      <c r="A1078" s="79" t="s">
        <v>228</v>
      </c>
      <c r="B1078" s="79" t="s">
        <v>1119</v>
      </c>
      <c r="C1078" s="80" t="n">
        <v>202402</v>
      </c>
      <c r="D1078" s="81" t="n">
        <v>45323</v>
      </c>
      <c r="E1078" s="82" t="n">
        <v>5086.003</v>
      </c>
      <c r="F1078" s="80" t="n">
        <v>33</v>
      </c>
      <c r="G1078" s="79" t="s">
        <v>1477</v>
      </c>
    </row>
    <row r="1079" customFormat="false" ht="15" hidden="false" customHeight="false" outlineLevel="0" collapsed="false">
      <c r="A1079" s="79" t="s">
        <v>228</v>
      </c>
      <c r="B1079" s="79" t="s">
        <v>1121</v>
      </c>
      <c r="C1079" s="80" t="n">
        <v>202401</v>
      </c>
      <c r="D1079" s="81" t="n">
        <v>45292</v>
      </c>
      <c r="E1079" s="82" t="n">
        <v>5181.825</v>
      </c>
      <c r="F1079" s="80" t="n">
        <v>34</v>
      </c>
      <c r="G1079" s="79" t="s">
        <v>1478</v>
      </c>
    </row>
    <row r="1080" customFormat="false" ht="15" hidden="false" customHeight="false" outlineLevel="0" collapsed="false">
      <c r="A1080" s="79" t="s">
        <v>228</v>
      </c>
      <c r="B1080" s="79" t="s">
        <v>1123</v>
      </c>
      <c r="C1080" s="80" t="n">
        <v>202312</v>
      </c>
      <c r="D1080" s="81" t="n">
        <v>45261</v>
      </c>
      <c r="E1080" s="82" t="n">
        <v>5407.27</v>
      </c>
      <c r="F1080" s="80" t="n">
        <v>35</v>
      </c>
      <c r="G1080" s="79" t="s">
        <v>1479</v>
      </c>
    </row>
    <row r="1081" customFormat="false" ht="15" hidden="false" customHeight="false" outlineLevel="0" collapsed="false">
      <c r="A1081" s="79" t="s">
        <v>228</v>
      </c>
      <c r="B1081" s="79" t="s">
        <v>1125</v>
      </c>
      <c r="C1081" s="80" t="n">
        <v>202311</v>
      </c>
      <c r="D1081" s="81" t="n">
        <v>45231</v>
      </c>
      <c r="E1081" s="82" t="n">
        <v>5158.905</v>
      </c>
      <c r="F1081" s="80" t="n">
        <v>36</v>
      </c>
      <c r="G1081" s="79" t="s">
        <v>1480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3" min="2" style="0" width="10"/>
    <col collapsed="false" customWidth="true" hidden="false" outlineLevel="0" max="4" min="4" style="0" width="12"/>
    <col collapsed="false" customWidth="true" hidden="false" outlineLevel="0" max="5" min="5" style="0" width="11"/>
    <col collapsed="false" customWidth="true" hidden="false" outlineLevel="0" max="6" min="6" style="0" width="12"/>
  </cols>
  <sheetData>
    <row r="1" customFormat="false" ht="31.5" hidden="false" customHeight="true" outlineLevel="0" collapsed="false">
      <c r="A1" s="15" t="s">
        <v>167</v>
      </c>
      <c r="B1" s="15" t="s">
        <v>1481</v>
      </c>
      <c r="C1" s="15" t="s">
        <v>1482</v>
      </c>
      <c r="D1" s="15" t="s">
        <v>1483</v>
      </c>
      <c r="E1" s="15" t="s">
        <v>1484</v>
      </c>
      <c r="F1" s="15" t="s">
        <v>1485</v>
      </c>
    </row>
    <row r="2" customFormat="false" ht="15" hidden="false" customHeight="false" outlineLevel="0" collapsed="false">
      <c r="A2" s="79" t="s">
        <v>208</v>
      </c>
      <c r="B2" s="83" t="n">
        <v>350.6656</v>
      </c>
      <c r="C2" s="83" t="n">
        <v>496.5377</v>
      </c>
      <c r="D2" s="81" t="n">
        <v>46387</v>
      </c>
      <c r="E2" s="80" t="n">
        <v>10</v>
      </c>
      <c r="F2" s="81" t="n">
        <v>46311</v>
      </c>
    </row>
    <row r="3" customFormat="false" ht="15" hidden="false" customHeight="false" outlineLevel="0" collapsed="false">
      <c r="A3" s="79" t="s">
        <v>220</v>
      </c>
      <c r="B3" s="83" t="n">
        <v>7.15188</v>
      </c>
      <c r="C3" s="83" t="n">
        <v>7.3207</v>
      </c>
      <c r="D3" s="81" t="n">
        <v>46387</v>
      </c>
      <c r="E3" s="80" t="n">
        <v>13</v>
      </c>
      <c r="F3" s="81" t="n">
        <v>46311</v>
      </c>
    </row>
    <row r="4" customFormat="false" ht="15" hidden="false" customHeight="false" outlineLevel="0" collapsed="false">
      <c r="A4" s="79" t="s">
        <v>345</v>
      </c>
      <c r="B4" s="83" t="n">
        <v>20.11068</v>
      </c>
      <c r="C4" s="83" t="n">
        <v>31.56477</v>
      </c>
      <c r="D4" s="81" t="n">
        <v>46387</v>
      </c>
      <c r="E4" s="80" t="n">
        <v>3</v>
      </c>
      <c r="F4" s="81" t="n">
        <v>46311</v>
      </c>
    </row>
    <row r="5" customFormat="false" ht="15" hidden="false" customHeight="false" outlineLevel="0" collapsed="false">
      <c r="A5" s="79" t="s">
        <v>79</v>
      </c>
      <c r="B5" s="83" t="n">
        <v>110.74562</v>
      </c>
      <c r="C5" s="83" t="n">
        <v>148.09088</v>
      </c>
      <c r="D5" s="81" t="n">
        <v>46387</v>
      </c>
      <c r="E5" s="80" t="n">
        <v>20</v>
      </c>
      <c r="F5" s="81" t="n">
        <v>46311</v>
      </c>
    </row>
    <row r="6" customFormat="false" ht="15" hidden="false" customHeight="false" outlineLevel="0" collapsed="false">
      <c r="A6" s="79" t="s">
        <v>236</v>
      </c>
      <c r="B6" s="83" t="n">
        <v>25.418</v>
      </c>
      <c r="C6" s="83" t="n">
        <v>52.54831</v>
      </c>
      <c r="D6" s="81" t="n">
        <v>46387</v>
      </c>
      <c r="E6" s="80" t="n">
        <v>5</v>
      </c>
      <c r="F6" s="81" t="n">
        <v>46311</v>
      </c>
    </row>
    <row r="7" customFormat="false" ht="15" hidden="false" customHeight="false" outlineLevel="0" collapsed="false">
      <c r="A7" s="79" t="s">
        <v>205</v>
      </c>
      <c r="B7" s="83" t="n">
        <v>34.0216</v>
      </c>
      <c r="C7" s="83" t="n">
        <v>37.33618</v>
      </c>
      <c r="D7" s="81" t="n">
        <v>46387</v>
      </c>
      <c r="E7" s="80" t="n">
        <v>8</v>
      </c>
      <c r="F7" s="81" t="n">
        <v>46311</v>
      </c>
    </row>
    <row r="8" customFormat="false" ht="15" hidden="false" customHeight="false" outlineLevel="0" collapsed="false">
      <c r="A8" s="79" t="s">
        <v>182</v>
      </c>
      <c r="B8" s="83" t="n">
        <v>76.11227</v>
      </c>
      <c r="C8" s="83" t="n">
        <v>118.7905</v>
      </c>
      <c r="D8" s="81" t="n">
        <v>46387</v>
      </c>
      <c r="E8" s="80" t="n">
        <v>5</v>
      </c>
      <c r="F8" s="81" t="n">
        <v>46311</v>
      </c>
    </row>
    <row r="9" customFormat="false" ht="15" hidden="false" customHeight="false" outlineLevel="0" collapsed="false">
      <c r="A9" s="79" t="s">
        <v>471</v>
      </c>
      <c r="B9" s="83" t="n">
        <v>1.38553</v>
      </c>
      <c r="C9" s="83" t="n">
        <v>0.50095</v>
      </c>
      <c r="D9" s="81" t="n">
        <v>46387</v>
      </c>
      <c r="E9" s="80" t="n">
        <v>5</v>
      </c>
      <c r="F9" s="81" t="n">
        <v>46274</v>
      </c>
    </row>
    <row r="10" customFormat="false" ht="15" hidden="false" customHeight="false" outlineLevel="0" collapsed="false">
      <c r="A10" s="79" t="s">
        <v>222</v>
      </c>
      <c r="B10" s="83" t="n">
        <v>68.48862</v>
      </c>
      <c r="C10" s="83" t="n">
        <v>148.68452</v>
      </c>
      <c r="D10" s="81" t="n">
        <v>46387</v>
      </c>
      <c r="E10" s="80" t="n">
        <v>15</v>
      </c>
      <c r="F10" s="81" t="n">
        <v>46311</v>
      </c>
    </row>
    <row r="11" customFormat="false" ht="15" hidden="false" customHeight="false" outlineLevel="0" collapsed="false">
      <c r="A11" s="79" t="s">
        <v>190</v>
      </c>
      <c r="B11" s="83" t="n">
        <v>5.6258</v>
      </c>
      <c r="C11" s="83" t="n">
        <v>9.4557</v>
      </c>
      <c r="D11" s="81" t="n">
        <v>46387</v>
      </c>
      <c r="E11" s="80" t="n">
        <v>8</v>
      </c>
      <c r="F11" s="81" t="n">
        <v>46311</v>
      </c>
    </row>
    <row r="12" customFormat="false" ht="15" hidden="false" customHeight="false" outlineLevel="0" collapsed="false">
      <c r="A12" s="79" t="s">
        <v>224</v>
      </c>
      <c r="B12" s="83"/>
      <c r="C12" s="83"/>
      <c r="D12" s="81"/>
      <c r="E12" s="80"/>
      <c r="F12" s="81" t="n">
        <v>46311</v>
      </c>
    </row>
    <row r="13" customFormat="false" ht="15" hidden="false" customHeight="false" outlineLevel="0" collapsed="false">
      <c r="A13" s="79" t="s">
        <v>195</v>
      </c>
      <c r="B13" s="83" t="n">
        <v>33.93331</v>
      </c>
      <c r="C13" s="83" t="n">
        <v>35.41178</v>
      </c>
      <c r="D13" s="81" t="n">
        <v>46387</v>
      </c>
      <c r="E13" s="80" t="n">
        <v>15</v>
      </c>
      <c r="F13" s="81" t="n">
        <v>46311</v>
      </c>
    </row>
    <row r="14" customFormat="false" ht="15" hidden="false" customHeight="false" outlineLevel="0" collapsed="false">
      <c r="A14" s="79" t="s">
        <v>210</v>
      </c>
      <c r="B14" s="83" t="n">
        <v>19.61077</v>
      </c>
      <c r="C14" s="83" t="n">
        <v>39.39384</v>
      </c>
      <c r="D14" s="81" t="n">
        <v>46387</v>
      </c>
      <c r="E14" s="80" t="n">
        <v>7</v>
      </c>
      <c r="F14" s="81" t="n">
        <v>46311</v>
      </c>
    </row>
    <row r="15" customFormat="false" ht="15" hidden="false" customHeight="false" outlineLevel="0" collapsed="false">
      <c r="A15" s="79" t="s">
        <v>230</v>
      </c>
      <c r="B15" s="83" t="n">
        <v>7.7975</v>
      </c>
      <c r="C15" s="83" t="n">
        <v>10.22708</v>
      </c>
      <c r="D15" s="81" t="n">
        <v>46387</v>
      </c>
      <c r="E15" s="80" t="n">
        <v>10</v>
      </c>
      <c r="F15" s="81" t="n">
        <v>46311</v>
      </c>
    </row>
    <row r="16" customFormat="false" ht="15" hidden="false" customHeight="false" outlineLevel="0" collapsed="false">
      <c r="A16" s="79" t="s">
        <v>212</v>
      </c>
      <c r="B16" s="83"/>
      <c r="C16" s="83"/>
      <c r="D16" s="81"/>
      <c r="E16" s="80"/>
      <c r="F16" s="81" t="n">
        <v>46311</v>
      </c>
    </row>
    <row r="17" customFormat="false" ht="15" hidden="false" customHeight="false" outlineLevel="0" collapsed="false">
      <c r="A17" s="79" t="s">
        <v>216</v>
      </c>
      <c r="B17" s="83" t="n">
        <v>12.04183</v>
      </c>
      <c r="C17" s="83" t="n">
        <v>29.84722</v>
      </c>
      <c r="D17" s="81" t="n">
        <v>46387</v>
      </c>
      <c r="E17" s="80" t="n">
        <v>7</v>
      </c>
      <c r="F17" s="81" t="n">
        <v>46311</v>
      </c>
    </row>
    <row r="18" customFormat="false" ht="15" hidden="false" customHeight="false" outlineLevel="0" collapsed="false">
      <c r="A18" s="79" t="s">
        <v>695</v>
      </c>
      <c r="B18" s="83" t="n">
        <v>55.79346</v>
      </c>
      <c r="C18" s="83" t="n">
        <v>75.15926</v>
      </c>
      <c r="D18" s="81" t="n">
        <v>46387</v>
      </c>
      <c r="E18" s="80" t="n">
        <v>8</v>
      </c>
      <c r="F18" s="81" t="n">
        <v>46275</v>
      </c>
    </row>
    <row r="19" customFormat="false" ht="15" hidden="false" customHeight="false" outlineLevel="0" collapsed="false">
      <c r="A19" s="79" t="s">
        <v>234</v>
      </c>
      <c r="B19" s="83" t="n">
        <v>-0.435</v>
      </c>
      <c r="C19" s="83" t="n">
        <v>10.95333</v>
      </c>
      <c r="D19" s="81" t="n">
        <v>46387</v>
      </c>
      <c r="E19" s="80" t="n">
        <v>3</v>
      </c>
      <c r="F19" s="81" t="n">
        <v>46311</v>
      </c>
    </row>
    <row r="20" customFormat="false" ht="15" hidden="false" customHeight="false" outlineLevel="0" collapsed="false">
      <c r="A20" s="79" t="s">
        <v>245</v>
      </c>
      <c r="B20" s="83" t="n">
        <v>53.45228</v>
      </c>
      <c r="C20" s="83" t="n">
        <v>121.13353</v>
      </c>
      <c r="D20" s="81" t="n">
        <v>46387</v>
      </c>
      <c r="E20" s="80" t="n">
        <v>17</v>
      </c>
      <c r="F20" s="81" t="n">
        <v>46311</v>
      </c>
    </row>
    <row r="21" customFormat="false" ht="15" hidden="false" customHeight="false" outlineLevel="0" collapsed="false">
      <c r="A21" s="79" t="s">
        <v>241</v>
      </c>
      <c r="B21" s="83" t="n">
        <v>11.97</v>
      </c>
      <c r="C21" s="83" t="n">
        <v>11.97</v>
      </c>
      <c r="D21" s="81" t="n">
        <v>46387</v>
      </c>
      <c r="E21" s="80"/>
      <c r="F21" s="81" t="n">
        <v>46311</v>
      </c>
    </row>
    <row r="22" customFormat="false" ht="15" hidden="false" customHeight="false" outlineLevel="0" collapsed="false">
      <c r="A22" s="79" t="s">
        <v>197</v>
      </c>
      <c r="B22" s="83" t="n">
        <v>69.50286</v>
      </c>
      <c r="C22" s="83" t="n">
        <v>128.3543</v>
      </c>
      <c r="D22" s="81" t="n">
        <v>46387</v>
      </c>
      <c r="E22" s="80" t="n">
        <v>9</v>
      </c>
      <c r="F22" s="81" t="n">
        <v>46311</v>
      </c>
    </row>
    <row r="23" customFormat="false" ht="15" hidden="false" customHeight="false" outlineLevel="0" collapsed="false">
      <c r="A23" s="79" t="s">
        <v>820</v>
      </c>
      <c r="B23" s="83" t="n">
        <v>18.57398</v>
      </c>
      <c r="C23" s="83" t="n">
        <v>28.04112</v>
      </c>
      <c r="D23" s="81" t="n">
        <v>46387</v>
      </c>
      <c r="E23" s="80" t="n">
        <v>14</v>
      </c>
      <c r="F23" s="81" t="n">
        <v>46275</v>
      </c>
    </row>
    <row r="24" customFormat="false" ht="15" hidden="false" customHeight="false" outlineLevel="0" collapsed="false">
      <c r="A24" s="79" t="s">
        <v>226</v>
      </c>
      <c r="B24" s="83" t="n">
        <v>5.78988</v>
      </c>
      <c r="C24" s="83" t="n">
        <v>7.43919</v>
      </c>
      <c r="D24" s="81" t="n">
        <v>46387</v>
      </c>
      <c r="E24" s="80" t="n">
        <v>6</v>
      </c>
      <c r="F24" s="81" t="n">
        <v>46311</v>
      </c>
    </row>
    <row r="25" customFormat="false" ht="15" hidden="false" customHeight="false" outlineLevel="0" collapsed="false">
      <c r="A25" s="79" t="s">
        <v>232</v>
      </c>
      <c r="B25" s="83" t="n">
        <v>7.39</v>
      </c>
      <c r="C25" s="83" t="n">
        <v>14.13</v>
      </c>
      <c r="D25" s="81" t="n">
        <v>46387</v>
      </c>
      <c r="E25" s="80" t="n">
        <v>1</v>
      </c>
      <c r="F25" s="81" t="n">
        <v>46311</v>
      </c>
    </row>
    <row r="26" customFormat="false" ht="15" hidden="false" customHeight="false" outlineLevel="0" collapsed="false">
      <c r="A26" s="79" t="s">
        <v>186</v>
      </c>
      <c r="B26" s="83" t="n">
        <v>353.215</v>
      </c>
      <c r="C26" s="83" t="n">
        <v>194.82417</v>
      </c>
      <c r="D26" s="81" t="n">
        <v>46387</v>
      </c>
      <c r="E26" s="80" t="n">
        <v>2</v>
      </c>
      <c r="F26" s="81" t="n">
        <v>46311</v>
      </c>
    </row>
    <row r="27" customFormat="false" ht="15" hidden="false" customHeight="false" outlineLevel="0" collapsed="false">
      <c r="A27" s="79" t="s">
        <v>201</v>
      </c>
      <c r="B27" s="83" t="n">
        <v>30.5925</v>
      </c>
      <c r="C27" s="83" t="n">
        <v>33.996</v>
      </c>
      <c r="D27" s="81" t="n">
        <v>46387</v>
      </c>
      <c r="E27" s="80" t="n">
        <v>4</v>
      </c>
      <c r="F27" s="81" t="n">
        <v>46311</v>
      </c>
    </row>
    <row r="28" customFormat="false" ht="15" hidden="false" customHeight="false" outlineLevel="0" collapsed="false">
      <c r="A28" s="79" t="s">
        <v>218</v>
      </c>
      <c r="B28" s="83" t="n">
        <v>62.01</v>
      </c>
      <c r="C28" s="83" t="n">
        <v>130</v>
      </c>
      <c r="D28" s="81" t="n">
        <v>46387</v>
      </c>
      <c r="E28" s="80" t="n">
        <v>1</v>
      </c>
      <c r="F28" s="81" t="n">
        <v>46311</v>
      </c>
    </row>
    <row r="29" customFormat="false" ht="15" hidden="false" customHeight="false" outlineLevel="0" collapsed="false">
      <c r="A29" s="79" t="s">
        <v>243</v>
      </c>
      <c r="B29" s="83" t="n">
        <v>4.34</v>
      </c>
      <c r="C29" s="83" t="n">
        <v>15.28</v>
      </c>
      <c r="D29" s="81" t="n">
        <v>46387</v>
      </c>
      <c r="E29" s="80" t="n">
        <v>1</v>
      </c>
      <c r="F29" s="81" t="n">
        <v>46311</v>
      </c>
    </row>
    <row r="30" customFormat="false" ht="15" hidden="false" customHeight="false" outlineLevel="0" collapsed="false">
      <c r="A30" s="79" t="s">
        <v>228</v>
      </c>
      <c r="B30" s="83" t="n">
        <v>412.3421</v>
      </c>
      <c r="C30" s="83" t="n">
        <v>281.53503</v>
      </c>
      <c r="D30" s="81" t="n">
        <v>46387</v>
      </c>
      <c r="E30" s="80" t="n">
        <v>7</v>
      </c>
      <c r="F30" s="81" t="n">
        <v>46311</v>
      </c>
    </row>
    <row r="32" customFormat="false" ht="15" hidden="false" customHeight="false" outlineLevel="0" collapsed="false">
      <c r="A32" s="25" t="s">
        <v>1486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0"/>
    <col collapsed="false" customWidth="true" hidden="false" outlineLevel="0" max="3" min="3" style="0" width="12"/>
    <col collapsed="false" customWidth="true" hidden="false" outlineLevel="0" max="4" min="4" style="0" width="13"/>
    <col collapsed="false" customWidth="true" hidden="false" outlineLevel="0" max="5" min="5" style="0" width="12"/>
  </cols>
  <sheetData>
    <row r="1" customFormat="false" ht="31.5" hidden="false" customHeight="true" outlineLevel="0" collapsed="false">
      <c r="A1" s="15" t="s">
        <v>167</v>
      </c>
      <c r="B1" s="15" t="s">
        <v>1487</v>
      </c>
      <c r="C1" s="15" t="s">
        <v>1488</v>
      </c>
      <c r="D1" s="15" t="s">
        <v>1489</v>
      </c>
      <c r="E1" s="15" t="s">
        <v>1485</v>
      </c>
    </row>
    <row r="2" customFormat="false" ht="15" hidden="false" customHeight="false" outlineLevel="0" collapsed="false">
      <c r="A2" s="79" t="s">
        <v>208</v>
      </c>
      <c r="B2" s="83" t="n">
        <v>9955</v>
      </c>
      <c r="C2" s="81" t="n">
        <v>46311</v>
      </c>
      <c r="D2" s="81"/>
      <c r="E2" s="81" t="n">
        <v>46311</v>
      </c>
    </row>
    <row r="3" customFormat="false" ht="15" hidden="false" customHeight="false" outlineLevel="0" collapsed="false">
      <c r="A3" s="79" t="s">
        <v>220</v>
      </c>
      <c r="B3" s="83" t="n">
        <v>133</v>
      </c>
      <c r="C3" s="81" t="n">
        <v>46311</v>
      </c>
      <c r="D3" s="81"/>
      <c r="E3" s="81" t="n">
        <v>46311</v>
      </c>
    </row>
    <row r="4" customFormat="false" ht="15" hidden="false" customHeight="false" outlineLevel="0" collapsed="false">
      <c r="A4" s="79" t="s">
        <v>345</v>
      </c>
      <c r="B4" s="83" t="n">
        <v>567</v>
      </c>
      <c r="C4" s="81" t="n">
        <v>46311</v>
      </c>
      <c r="D4" s="81"/>
      <c r="E4" s="81" t="n">
        <v>46311</v>
      </c>
    </row>
    <row r="5" customFormat="false" ht="15" hidden="false" customHeight="false" outlineLevel="0" collapsed="false">
      <c r="A5" s="79" t="s">
        <v>79</v>
      </c>
      <c r="B5" s="83" t="n">
        <v>2420</v>
      </c>
      <c r="C5" s="81" t="n">
        <v>46311</v>
      </c>
      <c r="D5" s="81"/>
      <c r="E5" s="81" t="n">
        <v>46311</v>
      </c>
    </row>
    <row r="6" customFormat="false" ht="15" hidden="false" customHeight="false" outlineLevel="0" collapsed="false">
      <c r="A6" s="79" t="s">
        <v>236</v>
      </c>
      <c r="B6" s="83" t="n">
        <v>161.5</v>
      </c>
      <c r="C6" s="81" t="n">
        <v>46311</v>
      </c>
      <c r="D6" s="81"/>
      <c r="E6" s="81" t="n">
        <v>46311</v>
      </c>
    </row>
    <row r="7" customFormat="false" ht="15" hidden="false" customHeight="false" outlineLevel="0" collapsed="false">
      <c r="A7" s="79" t="s">
        <v>205</v>
      </c>
      <c r="B7" s="83" t="n">
        <v>357.5</v>
      </c>
      <c r="C7" s="81" t="n">
        <v>46311</v>
      </c>
      <c r="D7" s="81"/>
      <c r="E7" s="81" t="n">
        <v>46311</v>
      </c>
    </row>
    <row r="8" customFormat="false" ht="15" hidden="false" customHeight="false" outlineLevel="0" collapsed="false">
      <c r="A8" s="79" t="s">
        <v>182</v>
      </c>
      <c r="B8" s="83" t="n">
        <v>447.5</v>
      </c>
      <c r="C8" s="81" t="n">
        <v>46311</v>
      </c>
      <c r="D8" s="81"/>
      <c r="E8" s="81" t="n">
        <v>46311</v>
      </c>
    </row>
    <row r="9" customFormat="false" ht="15" hidden="false" customHeight="false" outlineLevel="0" collapsed="false">
      <c r="A9" s="79" t="s">
        <v>471</v>
      </c>
      <c r="B9" s="83" t="n">
        <v>30.5</v>
      </c>
      <c r="C9" s="81" t="n">
        <v>46274</v>
      </c>
      <c r="D9" s="81"/>
      <c r="E9" s="81" t="n">
        <v>46274</v>
      </c>
    </row>
    <row r="10" customFormat="false" ht="15" hidden="false" customHeight="false" outlineLevel="0" collapsed="false">
      <c r="A10" s="79" t="s">
        <v>222</v>
      </c>
      <c r="B10" s="83" t="n">
        <v>4250</v>
      </c>
      <c r="C10" s="81" t="n">
        <v>46311</v>
      </c>
      <c r="D10" s="81"/>
      <c r="E10" s="81" t="n">
        <v>46311</v>
      </c>
    </row>
    <row r="11" customFormat="false" ht="15" hidden="false" customHeight="false" outlineLevel="0" collapsed="false">
      <c r="A11" s="79" t="s">
        <v>190</v>
      </c>
      <c r="B11" s="83" t="n">
        <v>493</v>
      </c>
      <c r="C11" s="81" t="n">
        <v>46311</v>
      </c>
      <c r="D11" s="81"/>
      <c r="E11" s="81" t="n">
        <v>46311</v>
      </c>
    </row>
    <row r="12" customFormat="false" ht="15" hidden="false" customHeight="false" outlineLevel="0" collapsed="false">
      <c r="A12" s="79" t="s">
        <v>224</v>
      </c>
      <c r="B12" s="83" t="n">
        <v>86</v>
      </c>
      <c r="C12" s="81" t="n">
        <v>46311</v>
      </c>
      <c r="D12" s="81"/>
      <c r="E12" s="81" t="n">
        <v>46311</v>
      </c>
    </row>
    <row r="13" customFormat="false" ht="15" hidden="false" customHeight="false" outlineLevel="0" collapsed="false">
      <c r="A13" s="79" t="s">
        <v>195</v>
      </c>
      <c r="B13" s="83" t="n">
        <v>577</v>
      </c>
      <c r="C13" s="81" t="n">
        <v>46311</v>
      </c>
      <c r="D13" s="81"/>
      <c r="E13" s="81" t="n">
        <v>46311</v>
      </c>
    </row>
    <row r="14" customFormat="false" ht="15" hidden="false" customHeight="false" outlineLevel="0" collapsed="false">
      <c r="A14" s="79" t="s">
        <v>210</v>
      </c>
      <c r="B14" s="83" t="n">
        <v>2545</v>
      </c>
      <c r="C14" s="81" t="n">
        <v>46311</v>
      </c>
      <c r="D14" s="81"/>
      <c r="E14" s="81" t="n">
        <v>46311</v>
      </c>
    </row>
    <row r="15" customFormat="false" ht="15" hidden="false" customHeight="false" outlineLevel="0" collapsed="false">
      <c r="A15" s="79" t="s">
        <v>230</v>
      </c>
      <c r="B15" s="83" t="n">
        <v>501</v>
      </c>
      <c r="C15" s="81" t="n">
        <v>46311</v>
      </c>
      <c r="D15" s="81"/>
      <c r="E15" s="81" t="n">
        <v>46311</v>
      </c>
    </row>
    <row r="16" customFormat="false" ht="15" hidden="false" customHeight="false" outlineLevel="0" collapsed="false">
      <c r="A16" s="79" t="s">
        <v>212</v>
      </c>
      <c r="B16" s="83" t="n">
        <v>589</v>
      </c>
      <c r="C16" s="81" t="n">
        <v>46311</v>
      </c>
      <c r="D16" s="81"/>
      <c r="E16" s="81" t="n">
        <v>46311</v>
      </c>
    </row>
    <row r="17" customFormat="false" ht="15" hidden="false" customHeight="false" outlineLevel="0" collapsed="false">
      <c r="A17" s="79" t="s">
        <v>216</v>
      </c>
      <c r="B17" s="83" t="n">
        <v>1000</v>
      </c>
      <c r="C17" s="81" t="n">
        <v>46311</v>
      </c>
      <c r="D17" s="81"/>
      <c r="E17" s="81" t="n">
        <v>46311</v>
      </c>
    </row>
    <row r="18" customFormat="false" ht="15" hidden="false" customHeight="false" outlineLevel="0" collapsed="false">
      <c r="A18" s="79" t="s">
        <v>695</v>
      </c>
      <c r="B18" s="83" t="n">
        <v>1385</v>
      </c>
      <c r="C18" s="81" t="n">
        <v>46275</v>
      </c>
      <c r="D18" s="81"/>
      <c r="E18" s="81" t="n">
        <v>46275</v>
      </c>
    </row>
    <row r="19" customFormat="false" ht="15" hidden="false" customHeight="false" outlineLevel="0" collapsed="false">
      <c r="A19" s="79" t="s">
        <v>234</v>
      </c>
      <c r="B19" s="83" t="n">
        <v>531</v>
      </c>
      <c r="C19" s="81" t="n">
        <v>46311</v>
      </c>
      <c r="D19" s="81"/>
      <c r="E19" s="81" t="n">
        <v>46311</v>
      </c>
    </row>
    <row r="20" customFormat="false" ht="15" hidden="false" customHeight="false" outlineLevel="0" collapsed="false">
      <c r="A20" s="79" t="s">
        <v>245</v>
      </c>
      <c r="B20" s="83" t="n">
        <v>7480</v>
      </c>
      <c r="C20" s="81" t="n">
        <v>46311</v>
      </c>
      <c r="D20" s="81"/>
      <c r="E20" s="81" t="n">
        <v>46311</v>
      </c>
    </row>
    <row r="21" customFormat="false" ht="15" hidden="false" customHeight="false" outlineLevel="0" collapsed="false">
      <c r="A21" s="79" t="s">
        <v>241</v>
      </c>
      <c r="B21" s="83" t="n">
        <v>457</v>
      </c>
      <c r="C21" s="81" t="n">
        <v>46311</v>
      </c>
      <c r="D21" s="81"/>
      <c r="E21" s="81" t="n">
        <v>46311</v>
      </c>
    </row>
    <row r="22" customFormat="false" ht="15" hidden="false" customHeight="false" outlineLevel="0" collapsed="false">
      <c r="A22" s="79" t="s">
        <v>197</v>
      </c>
      <c r="B22" s="83" t="n">
        <v>2015</v>
      </c>
      <c r="C22" s="81" t="n">
        <v>46311</v>
      </c>
      <c r="D22" s="81"/>
      <c r="E22" s="81" t="n">
        <v>46311</v>
      </c>
    </row>
    <row r="23" customFormat="false" ht="15" hidden="false" customHeight="false" outlineLevel="0" collapsed="false">
      <c r="A23" s="79" t="s">
        <v>820</v>
      </c>
      <c r="B23" s="83" t="n">
        <v>640</v>
      </c>
      <c r="C23" s="81" t="n">
        <v>46275</v>
      </c>
      <c r="D23" s="81"/>
      <c r="E23" s="81" t="n">
        <v>46275</v>
      </c>
    </row>
    <row r="24" customFormat="false" ht="15" hidden="false" customHeight="false" outlineLevel="0" collapsed="false">
      <c r="A24" s="79" t="s">
        <v>226</v>
      </c>
      <c r="B24" s="83" t="n">
        <v>102</v>
      </c>
      <c r="C24" s="81" t="n">
        <v>46311</v>
      </c>
      <c r="D24" s="81"/>
      <c r="E24" s="81" t="n">
        <v>46311</v>
      </c>
    </row>
    <row r="25" customFormat="false" ht="15" hidden="false" customHeight="false" outlineLevel="0" collapsed="false">
      <c r="A25" s="79" t="s">
        <v>232</v>
      </c>
      <c r="B25" s="83" t="n">
        <v>520</v>
      </c>
      <c r="C25" s="81" t="n">
        <v>46311</v>
      </c>
      <c r="D25" s="81"/>
      <c r="E25" s="81" t="n">
        <v>46311</v>
      </c>
    </row>
    <row r="26" customFormat="false" ht="15" hidden="false" customHeight="false" outlineLevel="0" collapsed="false">
      <c r="A26" s="79" t="s">
        <v>186</v>
      </c>
      <c r="B26" s="83" t="n">
        <v>1175</v>
      </c>
      <c r="C26" s="81" t="n">
        <v>46311</v>
      </c>
      <c r="D26" s="81"/>
      <c r="E26" s="81" t="n">
        <v>46311</v>
      </c>
    </row>
    <row r="27" customFormat="false" ht="15" hidden="false" customHeight="false" outlineLevel="0" collapsed="false">
      <c r="A27" s="79" t="s">
        <v>201</v>
      </c>
      <c r="B27" s="83" t="n">
        <v>576</v>
      </c>
      <c r="C27" s="81" t="n">
        <v>46311</v>
      </c>
      <c r="D27" s="81"/>
      <c r="E27" s="81" t="n">
        <v>46311</v>
      </c>
    </row>
    <row r="28" customFormat="false" ht="15" hidden="false" customHeight="false" outlineLevel="0" collapsed="false">
      <c r="A28" s="79" t="s">
        <v>218</v>
      </c>
      <c r="B28" s="83" t="n">
        <v>1505</v>
      </c>
      <c r="C28" s="81" t="n">
        <v>46311</v>
      </c>
      <c r="D28" s="81"/>
      <c r="E28" s="81" t="n">
        <v>46311</v>
      </c>
    </row>
    <row r="29" customFormat="false" ht="15" hidden="false" customHeight="false" outlineLevel="0" collapsed="false">
      <c r="A29" s="79" t="s">
        <v>243</v>
      </c>
      <c r="B29" s="83" t="n">
        <v>486.5</v>
      </c>
      <c r="C29" s="81" t="n">
        <v>46311</v>
      </c>
      <c r="D29" s="81"/>
      <c r="E29" s="81" t="n">
        <v>46311</v>
      </c>
    </row>
    <row r="30" customFormat="false" ht="15" hidden="false" customHeight="false" outlineLevel="0" collapsed="false">
      <c r="A30" s="79" t="s">
        <v>228</v>
      </c>
      <c r="B30" s="83" t="n">
        <v>1890</v>
      </c>
      <c r="C30" s="81" t="n">
        <v>46311</v>
      </c>
      <c r="D30" s="81"/>
      <c r="E30" s="81" t="n">
        <v>46311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20"/>
    <col collapsed="false" customWidth="true" hidden="false" outlineLevel="0" max="3" min="3" style="0" width="8"/>
    <col collapsed="false" customWidth="true" hidden="false" outlineLevel="0" max="4" min="4" style="0" width="9"/>
    <col collapsed="false" customWidth="true" hidden="false" outlineLevel="0" max="7" min="5" style="0" width="12"/>
    <col collapsed="false" customWidth="true" hidden="false" outlineLevel="0" max="8" min="8" style="0" width="10"/>
    <col collapsed="false" customWidth="true" hidden="false" outlineLevel="0" max="9" min="9" style="0" width="11"/>
    <col collapsed="false" customWidth="true" hidden="false" outlineLevel="0" max="10" min="10" style="0" width="9"/>
    <col collapsed="false" customWidth="true" hidden="false" outlineLevel="0" max="11" min="11" style="0" width="10"/>
    <col collapsed="false" customWidth="true" hidden="false" outlineLevel="0" max="12" min="12" style="0" width="9"/>
    <col collapsed="false" customWidth="true" hidden="false" outlineLevel="0" max="13" min="13" style="0" width="10"/>
    <col collapsed="false" customWidth="true" hidden="false" outlineLevel="0" max="15" min="14" style="0" width="8"/>
    <col collapsed="false" customWidth="true" hidden="false" outlineLevel="0" max="16" min="16" style="0" width="10"/>
    <col collapsed="false" customWidth="true" hidden="false" outlineLevel="0" max="17" min="17" style="0" width="9"/>
    <col collapsed="false" customWidth="true" hidden="false" outlineLevel="0" max="18" min="18" style="0" width="10"/>
    <col collapsed="false" customWidth="true" hidden="false" outlineLevel="0" max="23" min="19" style="0" width="13"/>
    <col collapsed="false" customWidth="true" hidden="false" outlineLevel="0" max="24" min="24" style="0" width="14"/>
    <col collapsed="false" customWidth="true" hidden="false" outlineLevel="0" max="26" min="25" style="0" width="13"/>
    <col collapsed="false" customWidth="true" hidden="false" outlineLevel="0" max="27" min="27" style="0" width="11"/>
    <col collapsed="false" customWidth="true" hidden="false" outlineLevel="0" max="28" min="28" style="0" width="12"/>
    <col collapsed="false" customWidth="true" hidden="false" outlineLevel="0" max="29" min="29" style="0" width="15"/>
    <col collapsed="false" customWidth="true" hidden="false" outlineLevel="0" max="30" min="30" style="0" width="12"/>
    <col collapsed="false" customWidth="true" hidden="false" outlineLevel="0" max="31" min="31" style="0" width="10"/>
    <col collapsed="false" customWidth="true" hidden="false" outlineLevel="0" max="32" min="32" style="0" width="13"/>
    <col collapsed="false" customWidth="true" hidden="false" outlineLevel="0" max="33" min="33" style="0" width="10"/>
    <col collapsed="false" customWidth="true" hidden="false" outlineLevel="0" max="38" min="34" style="0" width="11"/>
    <col collapsed="false" customWidth="true" hidden="false" outlineLevel="0" max="39" min="39" style="0" width="10"/>
    <col collapsed="false" customWidth="true" hidden="false" outlineLevel="0" max="40" min="40" style="0" width="12"/>
    <col collapsed="false" customWidth="true" hidden="false" outlineLevel="0" max="41" min="41" style="0" width="11"/>
    <col collapsed="false" customWidth="true" hidden="true" outlineLevel="0" max="46" min="42" style="0" width="12"/>
  </cols>
  <sheetData>
    <row r="1" customFormat="false" ht="31.5" hidden="false" customHeight="true" outlineLevel="0" collapsed="false">
      <c r="A1" s="15" t="s">
        <v>167</v>
      </c>
      <c r="B1" s="16" t="s">
        <v>54</v>
      </c>
      <c r="C1" s="16" t="s">
        <v>55</v>
      </c>
      <c r="D1" s="16" t="s">
        <v>56</v>
      </c>
      <c r="E1" s="15" t="s">
        <v>1490</v>
      </c>
      <c r="F1" s="15" t="s">
        <v>1491</v>
      </c>
      <c r="G1" s="15" t="s">
        <v>1492</v>
      </c>
      <c r="H1" s="15" t="s">
        <v>1493</v>
      </c>
      <c r="I1" s="15" t="s">
        <v>1494</v>
      </c>
      <c r="J1" s="15" t="s">
        <v>66</v>
      </c>
      <c r="K1" s="15" t="s">
        <v>1495</v>
      </c>
      <c r="L1" s="15" t="s">
        <v>1496</v>
      </c>
      <c r="M1" s="15" t="s">
        <v>1497</v>
      </c>
      <c r="N1" s="15" t="s">
        <v>68</v>
      </c>
      <c r="O1" s="15" t="s">
        <v>69</v>
      </c>
      <c r="P1" s="15" t="s">
        <v>1498</v>
      </c>
      <c r="Q1" s="16" t="s">
        <v>51</v>
      </c>
      <c r="R1" s="16" t="s">
        <v>70</v>
      </c>
      <c r="S1" s="16" t="s">
        <v>1499</v>
      </c>
      <c r="T1" s="16" t="s">
        <v>1500</v>
      </c>
      <c r="U1" s="16" t="s">
        <v>1501</v>
      </c>
      <c r="V1" s="16" t="s">
        <v>1502</v>
      </c>
      <c r="W1" s="16" t="s">
        <v>1503</v>
      </c>
      <c r="X1" s="16" t="s">
        <v>63</v>
      </c>
      <c r="Y1" s="16" t="s">
        <v>64</v>
      </c>
      <c r="Z1" s="15" t="s">
        <v>1504</v>
      </c>
      <c r="AA1" s="16" t="s">
        <v>1505</v>
      </c>
      <c r="AB1" s="16" t="s">
        <v>1506</v>
      </c>
      <c r="AC1" s="15" t="s">
        <v>1507</v>
      </c>
      <c r="AD1" s="15" t="s">
        <v>139</v>
      </c>
      <c r="AE1" s="16" t="s">
        <v>101</v>
      </c>
      <c r="AF1" s="16" t="s">
        <v>1508</v>
      </c>
      <c r="AG1" s="15" t="s">
        <v>58</v>
      </c>
      <c r="AH1" s="15" t="s">
        <v>59</v>
      </c>
      <c r="AI1" s="15" t="s">
        <v>1509</v>
      </c>
      <c r="AJ1" s="16" t="s">
        <v>65</v>
      </c>
      <c r="AK1" s="16" t="s">
        <v>71</v>
      </c>
      <c r="AL1" s="16" t="s">
        <v>1510</v>
      </c>
      <c r="AM1" s="16" t="s">
        <v>81</v>
      </c>
      <c r="AN1" s="16" t="s">
        <v>82</v>
      </c>
      <c r="AO1" s="16" t="s">
        <v>83</v>
      </c>
      <c r="AP1" s="15" t="s">
        <v>1511</v>
      </c>
      <c r="AQ1" s="15" t="s">
        <v>1512</v>
      </c>
      <c r="AR1" s="15" t="s">
        <v>1513</v>
      </c>
      <c r="AS1" s="15" t="s">
        <v>1514</v>
      </c>
      <c r="AT1" s="15" t="s">
        <v>1515</v>
      </c>
    </row>
    <row r="2" customFormat="false" ht="15" hidden="false" customHeight="false" outlineLevel="0" collapsed="false">
      <c r="A2" s="17" t="str">
        <f aca="false">IF(Tickers!A2="","",Tickers!A2)</f>
        <v>2330</v>
      </c>
      <c r="B2" s="66" t="str">
        <f aca="false">IF($A2="","",IFERROR(INDEX(Tickers!$B$2:$B$100,MATCH($A2,Tickers!$A$2:$A$100,0)),""))</f>
        <v>台積電</v>
      </c>
      <c r="C2" s="66" t="str">
        <f aca="false">IF($A2="","",IFERROR(INDEX(Tickers!$D$2:$D$100,MATCH($A2,Tickers!$A$2:$A$100,0)),""))</f>
        <v>核心</v>
      </c>
      <c r="D2" s="51" t="n">
        <f aca="false">IF($A2="","",IFERROR(INDEX(Raw_Price!$B$2:$B$100,MATCH($A2,Raw_Price!$A$2:$A$100,0)),""))</f>
        <v>2420</v>
      </c>
      <c r="E2" s="48" t="n">
        <f aca="false">IF($A2="","",IFERROR(SUMIFS(Raw_Q!$I$2:$I$600,Raw_Q!$A$2:$A$600,$A2,Raw_Q!$R$2:$R$600,"&gt;=1",Raw_Q!$R$2:$R$600,"&lt;=4"),""))</f>
        <v>4440492.429</v>
      </c>
      <c r="F2" s="51" t="n">
        <f aca="false">IF($A2="","",IFERROR(SUMIFS(Raw_Q!$L$2:$L$600,Raw_Q!$A$2:$A$600,$A2,Raw_Q!$R$2:$R$600,"&gt;=1",Raw_Q!$R$2:$R$600,"&lt;=4"),""))</f>
        <v>86.28</v>
      </c>
      <c r="G2" s="51" t="n">
        <f aca="false">IF($A2="","",IFERROR(SUMIFS(Raw_Q!$L$2:$L$600,Raw_Q!$A$2:$A$600,$A2,Raw_Q!$R$2:$R$600,"&gt;=0",Raw_Q!$R$2:$R$600,"&lt;=3"),""))</f>
        <v>97.03147</v>
      </c>
      <c r="H2" s="51" t="n">
        <f aca="true">IF($A2="","",IFERROR(INDEX(Raw_Est!$B$2:$B$100,MATCH($A2,Raw_Est!$A$2:$A$100,0))*MIN(1,MAX(0,(INDEX(Raw_Est!$D$2:$D$100,MATCH($A2,Raw_Est!$A$2:$A$100,0))-TODAY())/Config!$B$8))+INDEX(Raw_Est!$C$2:$C$100,MATCH($A2,Raw_Est!$A$2:$A$100,0))*(1-MIN(1,MAX(0,(INDEX(Raw_Est!$D$2:$D$100,MATCH($A2,Raw_Est!$A$2:$A$100,0))-TODAY())/Config!$B$8))),""))</f>
        <v>140.314880657534</v>
      </c>
      <c r="I2" s="49" t="n">
        <f aca="false">IF($A2="","",IFERROR(SUMIFS(Raw_Q!$L$2:$L$600,Raw_Q!$A$2:$A$600,$A2,Raw_Q!$R$2:$R$600,"&gt;=1",Raw_Q!$R$2:$R$600,"&lt;=4")/SUMIFS(Raw_Q!$L$2:$L$600,Raw_Q!$A$2:$A$600,$A2,Raw_Q!$R$2:$R$600,"&gt;=5",Raw_Q!$R$2:$R$600,"&lt;=8")-1,""))</f>
        <v>0.532232285562067</v>
      </c>
      <c r="J2" s="52" t="n">
        <f aca="false">IF($A2="","",IFERROR(IF(F2&lt;=0,"N/M",D2/F2),"N/M"))</f>
        <v>28.0482151135837</v>
      </c>
      <c r="K2" s="52" t="n">
        <f aca="false">IF($A2="","",IFERROR(IF(G2&lt;=0,"N/M",D2/G2),"N/M"))</f>
        <v>24.940362131997</v>
      </c>
      <c r="L2" s="52" t="n">
        <f aca="false">IF($A2="","",IFERROR(IF(H2&lt;=0,"N/M",D2/H2),"N/M"))</f>
        <v>17.2469234101156</v>
      </c>
      <c r="M2" s="49" t="n">
        <f aca="false">IF($A2="","",IFERROR(INDEX(Raw_Est!$C$2:$C$100,MATCH($A2,Raw_Est!$A$2:$A$100,0))/INDEX(Raw_Est!$B$2:$B$100,MATCH($A2,Raw_Est!$A$2:$A$100,0))-1,""))</f>
        <v>0.337216586985562</v>
      </c>
      <c r="N2" s="51" t="n">
        <f aca="false">IF($A2="","",IFERROR(IF(OR(NOT(ISNUMBER(J2)),I2&lt;Config!$B$6),"N/M",J2/(I2*100)),"N/M"))</f>
        <v>0.526991989671637</v>
      </c>
      <c r="O2" s="51" t="n">
        <f aca="false">IF($A2="","",IFERROR(IF(OR(NOT(ISNUMBER(L2)),M2&lt;Config!$B$6),"N/M",L2/(M2*100)),"N/M"))</f>
        <v>0.511449438602319</v>
      </c>
      <c r="P2" s="51" t="n">
        <f aca="false">IF($A2="","",IFERROR(SUMIFS(Raw_Q!$P$2:$P$600,Raw_Q!$A$2:$A$600,$A2,Raw_Q!$R$2:$R$600,"&gt;=1",Raw_Q!$R$2:$R$600,"&lt;=4"),""))</f>
        <v>22.00010018</v>
      </c>
      <c r="Q2" s="49" t="n">
        <f aca="false">IF($A2="","",IFERROR(IF(P2=0,"不配息",P2/D2),""))</f>
        <v>0.00909095048760331</v>
      </c>
      <c r="R2" s="49" t="n">
        <f aca="false">IF($A2="","",IFERROR(IF(SUMIFS(Raw_Q!$P$2:$P$600,Raw_Q!$A$2:$A$600,$A2,Raw_Q!$R$2:$R$600,"&gt;=5",Raw_Q!$R$2:$R$600,"&lt;=8")=0,"",SUMIFS(Raw_Q!$P$2:$P$600,Raw_Q!$A$2:$A$600,$A2,Raw_Q!$R$2:$R$600,"&gt;=1",Raw_Q!$R$2:$R$600,"&lt;=4")/SUMIFS(Raw_Q!$P$2:$P$600,Raw_Q!$A$2:$A$600,$A2,Raw_Q!$R$2:$R$600,"&gt;=5",Raw_Q!$R$2:$R$600,"&lt;=8")-1),""))</f>
        <v>0.294137539523148</v>
      </c>
      <c r="S2" s="49" t="n">
        <f aca="false">IF($A2="","",IFERROR(SUMIFS(Raw_Q!$I$2:$I$600,Raw_Q!$A$2:$A$600,$A2,Raw_Q!$R$2:$R$600,1)/SUMIFS(Raw_Q!$I$2:$I$600,Raw_Q!$A$2:$A$600,$A2,Raw_Q!$R$2:$R$600,5)-1,""))</f>
        <v>0.360453321745512</v>
      </c>
      <c r="T2" s="49" t="n">
        <f aca="false">IF($A2="","",IFERROR(SUMIFS(Raw_Q!$I$2:$I$600,Raw_Q!$A$2:$A$600,$A2,Raw_Q!$R$2:$R$600,1)/SUMIFS(Raw_Q!$I$2:$I$600,Raw_Q!$A$2:$A$600,$A2,Raw_Q!$R$2:$R$600,2)-1,""))</f>
        <v>0.120162592928913</v>
      </c>
      <c r="U2" s="49" t="n">
        <f aca="false">IF($A2="","",IFERROR(SUMIFS(Raw_Q!$I$2:$I$600,Raw_Q!$A$2:$A$600,$A2,Raw_Q!$R$2:$R$600,2)/SUMIFS(Raw_Q!$I$2:$I$600,Raw_Q!$A$2:$A$600,$A2,Raw_Q!$R$2:$R$600,3)-1,""))</f>
        <v>0.0841351925542582</v>
      </c>
      <c r="V2" s="68" t="n">
        <f aca="false">IF($A2="","",IFERROR((T2-U2)*100,""))</f>
        <v>3.6027400374655</v>
      </c>
      <c r="W2" s="49" t="n">
        <f aca="false">IF($A2="","",IFERROR(IF(OR(NOT(ISNUMBER(T2)),NOT(ISNUMBER(U2)),U2&lt;=0,ABS(U2)&lt;Config!$B$9),"N/M",(T2-U2)/ABS(U2)),"N/M"))</f>
        <v>0.42820844976876</v>
      </c>
      <c r="X2" s="66" t="str">
        <f aca="false">IF($A2="","",IFERROR(IF(NOT(ISNUMBER(T2)),"",IF(AND(ISNUMBER(U2),U2&gt;0,T2&lt;=0),"由正轉負",IF(AND(ISNUMBER(U2),U2&lt;=0,T2&gt;0),"由負轉正",IF(T2&gt;0,IF(V2&gt;0,"成長且加速","成長但減速"),IF(V2&gt;0,"衰退但收斂","衰退且惡化"))))),""))</f>
        <v>成長且加速</v>
      </c>
      <c r="Y2" s="68" t="n">
        <f aca="false">IF($A2="","",IFERROR((T2-(SUMIFS(Raw_Q!$I$2:$I$600,Raw_Q!$A$2:$A$600,$A2,Raw_Q!$R$2:$R$600,5)/SUMIFS(Raw_Q!$I$2:$I$600,Raw_Q!$A$2:$A$600,$A2,Raw_Q!$R$2:$R$600,6)-1))*100,""))</f>
        <v>0.751702573601265</v>
      </c>
      <c r="Z2" s="49" t="n">
        <f aca="false">IF($A2="","",IFERROR(SUMIFS(Raw_Q!$L$2:$L$600,Raw_Q!$A$2:$A$600,$A2,Raw_Q!$R$2:$R$600,1)/SUMIFS(Raw_Q!$L$2:$L$600,Raw_Q!$A$2:$A$600,$A2,Raw_Q!$R$2:$R$600,5)-1,""))</f>
        <v>0.774088541666667</v>
      </c>
      <c r="AA2" s="49" t="n">
        <f aca="false">IF($A2="","",IFERROR(SUMIFS(Raw_Q!$J$2:$J$600,Raw_Q!$A$2:$A$600,$A2,Raw_Q!$R$2:$R$600,"&gt;=1",Raw_Q!$R$2:$R$600,"&lt;=4")/E2,""))</f>
        <v>0.642301687617628</v>
      </c>
      <c r="AB2" s="49" t="n">
        <f aca="false">IF($A2="","",IFERROR(SUMIFS(Raw_Q!$J$2:$J$600,Raw_Q!$A$2:$A$600,$A2,Raw_Q!$R$2:$R$600,"&gt;=1",Raw_Q!$R$2:$R$600,"&lt;="&amp;Config!$B$5)/SUMIFS(Raw_Q!$I$2:$I$600,Raw_Q!$A$2:$A$600,$A2,Raw_Q!$R$2:$R$600,"&gt;=1",Raw_Q!$R$2:$R$600,"&lt;="&amp;Config!$B$5),""))</f>
        <v>0.589743565108384</v>
      </c>
      <c r="AC2" s="50" t="n">
        <f aca="false">IF($A2="","",IFERROR((AA2-AB2)*10000,""))</f>
        <v>525.581225092437</v>
      </c>
      <c r="AD2" s="50" t="n">
        <f aca="false">IF($A2="","",IFERROR((SUMIFS(Raw_Q!$J$2:$J$600,Raw_Q!$A$2:$A$600,$A2,Raw_Q!$R$2:$R$600,1)/SUMIFS(Raw_Q!$I$2:$I$600,Raw_Q!$A$2:$A$600,$A2,Raw_Q!$R$2:$R$600,1)-SUMIFS(Raw_Q!$J$2:$J$600,Raw_Q!$A$2:$A$600,$A2,Raw_Q!$R$2:$R$600,5)/SUMIFS(Raw_Q!$I$2:$I$600,Raw_Q!$A$2:$A$600,$A2,Raw_Q!$R$2:$R$600,5))*10000,""))</f>
        <v>910.281759666762</v>
      </c>
      <c r="AE2" s="51" t="n">
        <f aca="false">IF($A2="","",IFERROR(SUMIFS(Raw_Q!$O$2:$O$600,Raw_Q!$A$2:$A$600,$A2,Raw_Q!$R$2:$R$600,1)/SUMIFS(Raw_Q!$M$2:$M$600,Raw_Q!$A$2:$A$600,$A2,Raw_Q!$R$2:$R$600,1),""))</f>
        <v>248.04976595641</v>
      </c>
      <c r="AF2" s="48" t="n">
        <f aca="false">IF($A2="","",IFERROR(SUMPRODUCT((Raw_Q!$A$2:$A$600=$A2)*(Raw_Q!$R$2:$R$600&gt;=1)*(Raw_Q!$R$2:$R$600&lt;=4)*Raw_Q!$L$2:$L$600*Raw_Q!$M$2:$M$600),""))</f>
        <v>2237454.00646</v>
      </c>
      <c r="AG2" s="49" t="n">
        <f aca="false">IF($A2="","",IFERROR(IF(MIN(SUMIFS(Raw_Q!$O$2:$O$600,Raw_Q!$A$2:$A$600,$A2,Raw_Q!$R$2:$R$600,1),SUMIFS(Raw_Q!$O$2:$O$600,Raw_Q!$A$2:$A$600,$A2,Raw_Q!$R$2:$R$600,5))&lt;=0,"N/M",AF2/((SUMIFS(Raw_Q!$O$2:$O$600,Raw_Q!$A$2:$A$600,$A2,Raw_Q!$R$2:$R$600,1)+SUMIFS(Raw_Q!$O$2:$O$600,Raw_Q!$A$2:$A$600,$A2,Raw_Q!$R$2:$R$600,5))/2)),"N/M"))</f>
        <v>0.40630775930059</v>
      </c>
      <c r="AH2" s="49" t="n">
        <f aca="false">IF($A2="","",IFERROR(AVERAGE(AP2:AT2),""))</f>
        <v>0.339841203932941</v>
      </c>
      <c r="AI2" s="49" t="n">
        <f aca="false">IF($A2="","",IFERROR(IF(AE2&lt;=0,"N/M",INDEX(Raw_Est!$B$2:$B$100,MATCH($A2,Raw_Est!$A$2:$A$100,0))/AE2),"N/M"))</f>
        <v>0.44646532752408</v>
      </c>
      <c r="AJ2" s="51" t="n">
        <f aca="false">IF($A2="","",IFERROR(SUMIFS(Raw_Q!$L$2:$L$600,Raw_Q!$A$2:$A$600,$A2,Raw_Q!$R$2:$R$600,0),""))</f>
        <v>28.19147</v>
      </c>
      <c r="AK2" s="66" t="str">
        <f aca="false">IF($A2="","",IFERROR(INDEX(Raw_Q!$B$2:$B$600,MATCH($A2&amp;"|"&amp;0,Raw_Q!$S$2:$S$600,0)),""))</f>
        <v>FY2026Q3E</v>
      </c>
      <c r="AL2" s="66" t="str">
        <f aca="false">IF($A2="","",IFERROR(INDEX(Raw_Q!$G$2:$G$600,MATCH($A2&amp;"|"&amp;0,Raw_Q!$S$2:$S$600,0)),""))</f>
        <v>consensus</v>
      </c>
      <c r="AM2" s="47" t="n">
        <f aca="false">IF($A2="","",IFERROR(INDEX(Raw_Est!$E$2:$E$100,MATCH($A2,Raw_Est!$A$2:$A$100,0)),""))</f>
        <v>20</v>
      </c>
      <c r="AN2" s="67" t="n">
        <f aca="false">IF($A2="","",IFERROR(INDEX(Raw_Price!$D$2:$D$100,MATCH($A2,Raw_Price!$A$2:$A$100,0)),""))</f>
        <v>0</v>
      </c>
      <c r="AO2" s="67" t="n">
        <f aca="false">IF($A2="","",IFERROR(INDEX(Raw_Price!$E$2:$E$100,MATCH($A2,Raw_Price!$A$2:$A$100,0)),""))</f>
        <v>46311</v>
      </c>
      <c r="AP2" s="49" t="n">
        <f aca="false">IF($A2="","",IFERROR(IF(MIN(SUMIFS(Raw_Q!$O$2:$O$600,Raw_Q!$A$2:$A$600,$A2,Raw_Q!$R$2:$R$600,1),SUMIFS(Raw_Q!$O$2:$O$600,Raw_Q!$A$2:$A$600,$A2,Raw_Q!$R$2:$R$600,5))&lt;=0,"",SUMPRODUCT((Raw_Q!$A$2:$A$600=$A2)*(Raw_Q!$R$2:$R$600&gt;=1)*(Raw_Q!$R$2:$R$600&lt;=4)*Raw_Q!$L$2:$L$600*Raw_Q!$M$2:$M$600)/((SUMIFS(Raw_Q!$O$2:$O$600,Raw_Q!$A$2:$A$600,$A2,Raw_Q!$R$2:$R$600,1)+SUMIFS(Raw_Q!$O$2:$O$600,Raw_Q!$A$2:$A$600,$A2,Raw_Q!$R$2:$R$600,5))/2)),""))</f>
        <v>0.40630775930059</v>
      </c>
      <c r="AQ2" s="49" t="n">
        <f aca="false">IF($A2="","",IFERROR(IF(MIN(SUMIFS(Raw_Q!$O$2:$O$600,Raw_Q!$A$2:$A$600,$A2,Raw_Q!$R$2:$R$600,5),SUMIFS(Raw_Q!$O$2:$O$600,Raw_Q!$A$2:$A$600,$A2,Raw_Q!$R$2:$R$600,9))&lt;=0,"",SUMPRODUCT((Raw_Q!$A$2:$A$600=$A2)*(Raw_Q!$R$2:$R$600&gt;=5)*(Raw_Q!$R$2:$R$600&lt;=8)*Raw_Q!$L$2:$L$600*Raw_Q!$M$2:$M$600)/((SUMIFS(Raw_Q!$O$2:$O$600,Raw_Q!$A$2:$A$600,$A2,Raw_Q!$R$2:$R$600,5)+SUMIFS(Raw_Q!$O$2:$O$600,Raw_Q!$A$2:$A$600,$A2,Raw_Q!$R$2:$R$600,9))/2)),""))</f>
        <v>0.348826380760769</v>
      </c>
      <c r="AR2" s="49" t="n">
        <f aca="false">IF($A2="","",IFERROR(IF(MIN(SUMIFS(Raw_Q!$O$2:$O$600,Raw_Q!$A$2:$A$600,$A2,Raw_Q!$R$2:$R$600,9),SUMIFS(Raw_Q!$O$2:$O$600,Raw_Q!$A$2:$A$600,$A2,Raw_Q!$R$2:$R$600,13))&lt;=0,"",SUMPRODUCT((Raw_Q!$A$2:$A$600=$A2)*(Raw_Q!$R$2:$R$600&gt;=9)*(Raw_Q!$R$2:$R$600&lt;=12)*Raw_Q!$L$2:$L$600*Raw_Q!$M$2:$M$600)/((SUMIFS(Raw_Q!$O$2:$O$600,Raw_Q!$A$2:$A$600,$A2,Raw_Q!$R$2:$R$600,9)+SUMIFS(Raw_Q!$O$2:$O$600,Raw_Q!$A$2:$A$600,$A2,Raw_Q!$R$2:$R$600,13))/2)),""))</f>
        <v>0.264602123527937</v>
      </c>
      <c r="AS2" s="49" t="n">
        <f aca="false">IF($A2="","",IFERROR(IF(MIN(SUMIFS(Raw_Q!$O$2:$O$600,Raw_Q!$A$2:$A$600,$A2,Raw_Q!$R$2:$R$600,13),SUMIFS(Raw_Q!$O$2:$O$600,Raw_Q!$A$2:$A$600,$A2,Raw_Q!$R$2:$R$600,17))&lt;=0,"",SUMPRODUCT((Raw_Q!$A$2:$A$600=$A2)*(Raw_Q!$R$2:$R$600&gt;=13)*(Raw_Q!$R$2:$R$600&lt;=16)*Raw_Q!$L$2:$L$600*Raw_Q!$M$2:$M$600)/((SUMIFS(Raw_Q!$O$2:$O$600,Raw_Q!$A$2:$A$600,$A2,Raw_Q!$R$2:$R$600,13)+SUMIFS(Raw_Q!$O$2:$O$600,Raw_Q!$A$2:$A$600,$A2,Raw_Q!$R$2:$R$600,17))/2)),""))</f>
        <v>0.339630309019765</v>
      </c>
      <c r="AT2" s="49" t="n">
        <f aca="false">IF($A2="","",IFERROR(IF(MIN(SUMIFS(Raw_Q!$O$2:$O$600,Raw_Q!$A$2:$A$600,$A2,Raw_Q!$R$2:$R$600,17),SUMIFS(Raw_Q!$O$2:$O$600,Raw_Q!$A$2:$A$600,$A2,Raw_Q!$R$2:$R$600,21))&lt;=0,"",SUMPRODUCT((Raw_Q!$A$2:$A$600=$A2)*(Raw_Q!$R$2:$R$600&gt;=17)*(Raw_Q!$R$2:$R$600&lt;=20)*Raw_Q!$L$2:$L$600*Raw_Q!$M$2:$M$600)/((SUMIFS(Raw_Q!$O$2:$O$600,Raw_Q!$A$2:$A$600,$A2,Raw_Q!$R$2:$R$600,17)+SUMIFS(Raw_Q!$O$2:$O$600,Raw_Q!$A$2:$A$600,$A2,Raw_Q!$R$2:$R$600,21))/2)),""))</f>
        <v>0.339839447055645</v>
      </c>
    </row>
    <row r="3" customFormat="false" ht="15" hidden="false" customHeight="false" outlineLevel="0" collapsed="false">
      <c r="A3" s="17" t="str">
        <f aca="false">IF(Tickers!A3="","",Tickers!A3)</f>
        <v>2408</v>
      </c>
      <c r="B3" s="66" t="str">
        <f aca="false">IF($A3="","",IFERROR(INDEX(Tickers!$B$2:$B$100,MATCH($A3,Tickers!$A$2:$A$100,0)),""))</f>
        <v>南亞科</v>
      </c>
      <c r="C3" s="66" t="str">
        <f aca="false">IF($A3="","",IFERROR(INDEX(Tickers!$D$2:$D$100,MATCH($A3,Tickers!$A$2:$A$100,0)),""))</f>
        <v>核心</v>
      </c>
      <c r="D3" s="51" t="n">
        <f aca="false">IF($A3="","",IFERROR(INDEX(Raw_Price!$B$2:$B$100,MATCH($A3,Raw_Price!$A$2:$A$100,0)),""))</f>
        <v>447.5</v>
      </c>
      <c r="E3" s="48" t="n">
        <f aca="false">IF($A3="","",IFERROR(SUMIFS(Raw_Q!$I$2:$I$600,Raw_Q!$A$2:$A$600,$A3,Raw_Q!$R$2:$R$600,"&gt;=1",Raw_Q!$R$2:$R$600,"&lt;=4"),""))</f>
        <v>180508.491</v>
      </c>
      <c r="F3" s="51" t="n">
        <f aca="false">IF($A3="","",IFERROR(SUMIFS(Raw_Q!$L$2:$L$600,Raw_Q!$A$2:$A$600,$A3,Raw_Q!$R$2:$R$600,"&gt;=1",Raw_Q!$R$2:$R$600,"&lt;=4"),""))</f>
        <v>27.15</v>
      </c>
      <c r="G3" s="51" t="n">
        <f aca="false">IF($A3="","",IFERROR(SUMIFS(Raw_Q!$L$2:$L$600,Raw_Q!$A$2:$A$600,$A3,Raw_Q!$R$2:$R$600,"&gt;=0",Raw_Q!$R$2:$R$600,"&lt;=3"),""))</f>
        <v>47.49785</v>
      </c>
      <c r="H3" s="51" t="n">
        <f aca="true">IF($A3="","",IFERROR(INDEX(Raw_Est!$B$2:$B$100,MATCH($A3,Raw_Est!$A$2:$A$100,0))*MIN(1,MAX(0,(INDEX(Raw_Est!$D$2:$D$100,MATCH($A3,Raw_Est!$A$2:$A$100,0))-TODAY())/Config!$B$8))+INDEX(Raw_Est!$C$2:$C$100,MATCH($A3,Raw_Est!$A$2:$A$100,0))*(1-MIN(1,MAX(0,(INDEX(Raw_Est!$D$2:$D$100,MATCH($A3,Raw_Est!$A$2:$A$100,0))-TODAY())/Config!$B$8))),""))</f>
        <v>109.904074027397</v>
      </c>
      <c r="I3" s="49" t="n">
        <f aca="false">IF($A3="","",IFERROR(SUMIFS(Raw_Q!$L$2:$L$600,Raw_Q!$A$2:$A$600,$A3,Raw_Q!$R$2:$R$600,"&gt;=1",Raw_Q!$R$2:$R$600,"&lt;=4")/SUMIFS(Raw_Q!$L$2:$L$600,Raw_Q!$A$2:$A$600,$A3,Raw_Q!$R$2:$R$600,"&gt;=5",Raw_Q!$R$2:$R$600,"&lt;=8")-1,""))</f>
        <v>-10.234693877551</v>
      </c>
      <c r="J3" s="52" t="n">
        <f aca="false">IF($A3="","",IFERROR(IF(F3&lt;=0,"N/M",D3/F3),"N/M"))</f>
        <v>16.4825046040516</v>
      </c>
      <c r="K3" s="52" t="n">
        <f aca="false">IF($A3="","",IFERROR(IF(G3&lt;=0,"N/M",D3/G3),"N/M"))</f>
        <v>9.42147907747403</v>
      </c>
      <c r="L3" s="52" t="n">
        <f aca="false">IF($A3="","",IFERROR(IF(H3&lt;=0,"N/M",D3/H3),"N/M"))</f>
        <v>4.07173259008074</v>
      </c>
      <c r="M3" s="49" t="n">
        <f aca="false">IF($A3="","",IFERROR(INDEX(Raw_Est!$C$2:$C$100,MATCH($A3,Raw_Est!$A$2:$A$100,0))/INDEX(Raw_Est!$B$2:$B$100,MATCH($A3,Raw_Est!$A$2:$A$100,0))-1,""))</f>
        <v>0.560727330823269</v>
      </c>
      <c r="N3" s="51" t="str">
        <f aca="false">IF($A3="","",IFERROR(IF(OR(NOT(ISNUMBER(J3)),I3&lt;Config!$B$6),"N/M",J3/(I3*100)),"N/M"))</f>
        <v>N/M</v>
      </c>
      <c r="O3" s="51" t="n">
        <f aca="false">IF($A3="","",IFERROR(IF(OR(NOT(ISNUMBER(L3)),M3&lt;Config!$B$6),"N/M",L3/(M3*100)),"N/M"))</f>
        <v>0.0726151975524816</v>
      </c>
      <c r="P3" s="51" t="n">
        <f aca="false">IF($A3="","",IFERROR(SUMIFS(Raw_Q!$P$2:$P$600,Raw_Q!$A$2:$A$600,$A3,Raw_Q!$R$2:$R$600,"&gt;=1",Raw_Q!$R$2:$R$600,"&lt;=4"),""))</f>
        <v>0</v>
      </c>
      <c r="Q3" s="49" t="str">
        <f aca="false">IF($A3="","",IFERROR(IF(P3=0,"不配息",P3/D3),""))</f>
        <v>不配息</v>
      </c>
      <c r="R3" s="49" t="str">
        <f aca="false">IF($A3="","",IFERROR(IF(SUMIFS(Raw_Q!$P$2:$P$600,Raw_Q!$A$2:$A$600,$A3,Raw_Q!$R$2:$R$600,"&gt;=5",Raw_Q!$R$2:$R$600,"&lt;=8")=0,"",SUMIFS(Raw_Q!$P$2:$P$600,Raw_Q!$A$2:$A$600,$A3,Raw_Q!$R$2:$R$600,"&gt;=1",Raw_Q!$R$2:$R$600,"&lt;=4")/SUMIFS(Raw_Q!$P$2:$P$600,Raw_Q!$A$2:$A$600,$A3,Raw_Q!$R$2:$R$600,"&gt;=5",Raw_Q!$R$2:$R$600,"&lt;=8")-1),""))</f>
        <v/>
      </c>
      <c r="S3" s="49" t="n">
        <f aca="false">IF($A3="","",IFERROR(SUMIFS(Raw_Q!$I$2:$I$600,Raw_Q!$A$2:$A$600,$A3,Raw_Q!$R$2:$R$600,1)/SUMIFS(Raw_Q!$I$2:$I$600,Raw_Q!$A$2:$A$600,$A3,Raw_Q!$R$2:$R$600,5)-1,""))</f>
        <v>6.84232717283353</v>
      </c>
      <c r="T3" s="49" t="n">
        <f aca="false">IF($A3="","",IFERROR(SUMIFS(Raw_Q!$I$2:$I$600,Raw_Q!$A$2:$A$600,$A3,Raw_Q!$R$2:$R$600,1)/SUMIFS(Raw_Q!$I$2:$I$600,Raw_Q!$A$2:$A$600,$A3,Raw_Q!$R$2:$R$600,2)-1,""))</f>
        <v>0.681691432660734</v>
      </c>
      <c r="U3" s="49" t="n">
        <f aca="false">IF($A3="","",IFERROR(SUMIFS(Raw_Q!$I$2:$I$600,Raw_Q!$A$2:$A$600,$A3,Raw_Q!$R$2:$R$600,2)/SUMIFS(Raw_Q!$I$2:$I$600,Raw_Q!$A$2:$A$600,$A3,Raw_Q!$R$2:$R$600,3)-1,""))</f>
        <v>0.631140928285858</v>
      </c>
      <c r="V3" s="68" t="n">
        <f aca="false">IF($A3="","",IFERROR((T3-U3)*100,""))</f>
        <v>5.05505043748755</v>
      </c>
      <c r="W3" s="49" t="n">
        <f aca="false">IF($A3="","",IFERROR(IF(OR(NOT(ISNUMBER(T3)),NOT(ISNUMBER(U3)),U3&lt;=0,ABS(U3)&lt;Config!$B$9),"N/M",(T3-U3)/ABS(U3)),"N/M"))</f>
        <v>0.0800938460957805</v>
      </c>
      <c r="X3" s="66" t="str">
        <f aca="false">IF($A3="","",IFERROR(IF(NOT(ISNUMBER(T3)),"",IF(AND(ISNUMBER(U3),U3&gt;0,T3&lt;=0),"由正轉負",IF(AND(ISNUMBER(U3),U3&lt;=0,T3&gt;0),"由負轉正",IF(T3&gt;0,IF(V3&gt;0,"成長且加速","成長但減速"),IF(V3&gt;0,"衰退但收斂","衰退且惡化"))))),""))</f>
        <v>成長且加速</v>
      </c>
      <c r="Y3" s="68" t="n">
        <f aca="false">IF($A3="","",IFERROR((T3-(SUMIFS(Raw_Q!$I$2:$I$600,Raw_Q!$A$2:$A$600,$A3,Raw_Q!$R$2:$R$600,5)/SUMIFS(Raw_Q!$I$2:$I$600,Raw_Q!$A$2:$A$600,$A3,Raw_Q!$R$2:$R$600,6)-1))*100,""))</f>
        <v>21.728104526184</v>
      </c>
      <c r="Z3" s="49" t="n">
        <f aca="false">IF($A3="","",IFERROR(SUMIFS(Raw_Q!$L$2:$L$600,Raw_Q!$A$2:$A$600,$A3,Raw_Q!$R$2:$R$600,1)/SUMIFS(Raw_Q!$L$2:$L$600,Raw_Q!$A$2:$A$600,$A3,Raw_Q!$R$2:$R$600,5)-1,""))</f>
        <v>-12.1060606060606</v>
      </c>
      <c r="AA3" s="49" t="n">
        <f aca="false">IF($A3="","",IFERROR(SUMIFS(Raw_Q!$J$2:$J$600,Raw_Q!$A$2:$A$600,$A3,Raw_Q!$R$2:$R$600,"&gt;=1",Raw_Q!$R$2:$R$600,"&lt;=4")/E3,""))</f>
        <v>0.649097759063312</v>
      </c>
      <c r="AB3" s="49" t="n">
        <f aca="false">IF($A3="","",IFERROR(SUMIFS(Raw_Q!$J$2:$J$600,Raw_Q!$A$2:$A$600,$A3,Raw_Q!$R$2:$R$600,"&gt;=1",Raw_Q!$R$2:$R$600,"&lt;="&amp;Config!$B$5)/SUMIFS(Raw_Q!$I$2:$I$600,Raw_Q!$A$2:$A$600,$A3,Raw_Q!$R$2:$R$600,"&gt;=1",Raw_Q!$R$2:$R$600,"&lt;="&amp;Config!$B$5),""))</f>
        <v>0.418912793329178</v>
      </c>
      <c r="AC3" s="50" t="n">
        <f aca="false">IF($A3="","",IFERROR((AA3-AB3)*10000,""))</f>
        <v>2301.84965734134</v>
      </c>
      <c r="AD3" s="50" t="n">
        <f aca="false">IF($A3="","",IFERROR((SUMIFS(Raw_Q!$J$2:$J$600,Raw_Q!$A$2:$A$600,$A3,Raw_Q!$R$2:$R$600,1)/SUMIFS(Raw_Q!$I$2:$I$600,Raw_Q!$A$2:$A$600,$A3,Raw_Q!$R$2:$R$600,1)-SUMIFS(Raw_Q!$J$2:$J$600,Raw_Q!$A$2:$A$600,$A3,Raw_Q!$R$2:$R$600,5)/SUMIFS(Raw_Q!$I$2:$I$600,Raw_Q!$A$2:$A$600,$A3,Raw_Q!$R$2:$R$600,5))*10000,""))</f>
        <v>10004.5974782352</v>
      </c>
      <c r="AE3" s="51" t="n">
        <f aca="false">IF($A3="","",IFERROR(SUMIFS(Raw_Q!$O$2:$O$600,Raw_Q!$A$2:$A$600,$A3,Raw_Q!$R$2:$R$600,1)/SUMIFS(Raw_Q!$M$2:$M$600,Raw_Q!$A$2:$A$600,$A3,Raw_Q!$R$2:$R$600,1),""))</f>
        <v>93.4902473501654</v>
      </c>
      <c r="AF3" s="48" t="n">
        <f aca="false">IF($A3="","",IFERROR(SUMPRODUCT((Raw_Q!$A$2:$A$600=$A3)*(Raw_Q!$R$2:$R$600&gt;=1)*(Raw_Q!$R$2:$R$600&lt;=4)*Raw_Q!$L$2:$L$600*Raw_Q!$M$2:$M$600),""))</f>
        <v>89281.880965</v>
      </c>
      <c r="AG3" s="49" t="n">
        <f aca="false">IF($A3="","",IFERROR(IF(MIN(SUMIFS(Raw_Q!$O$2:$O$600,Raw_Q!$A$2:$A$600,$A3,Raw_Q!$R$2:$R$600,1),SUMIFS(Raw_Q!$O$2:$O$600,Raw_Q!$A$2:$A$600,$A3,Raw_Q!$R$2:$R$600,5))&lt;=0,"N/M",AF3/((SUMIFS(Raw_Q!$O$2:$O$600,Raw_Q!$A$2:$A$600,$A3,Raw_Q!$R$2:$R$600,1)+SUMIFS(Raw_Q!$O$2:$O$600,Raw_Q!$A$2:$A$600,$A3,Raw_Q!$R$2:$R$600,5))/2)),"N/M"))</f>
        <v>0.374169873512502</v>
      </c>
      <c r="AH3" s="49" t="n">
        <f aca="false">IF($A3="","",IFERROR(AVERAGE(AP3:AT3),""))</f>
        <v>0.176654073947422</v>
      </c>
      <c r="AI3" s="49" t="n">
        <f aca="false">IF($A3="","",IFERROR(IF(AE3&lt;=0,"N/M",INDEX(Raw_Est!$B$2:$B$100,MATCH($A3,Raw_Est!$A$2:$A$100,0))/AE3),"N/M"))</f>
        <v>0.814119891189542</v>
      </c>
      <c r="AJ3" s="51" t="n">
        <f aca="false">IF($A3="","",IFERROR(SUMIFS(Raw_Q!$L$2:$L$600,Raw_Q!$A$2:$A$600,$A3,Raw_Q!$R$2:$R$600,0),""))</f>
        <v>20.84785</v>
      </c>
      <c r="AK3" s="66" t="str">
        <f aca="false">IF($A3="","",IFERROR(INDEX(Raw_Q!$B$2:$B$600,MATCH($A3&amp;"|"&amp;0,Raw_Q!$S$2:$S$600,0)),""))</f>
        <v>FY2026Q3E</v>
      </c>
      <c r="AL3" s="66" t="str">
        <f aca="false">IF($A3="","",IFERROR(INDEX(Raw_Q!$G$2:$G$600,MATCH($A3&amp;"|"&amp;0,Raw_Q!$S$2:$S$600,0)),""))</f>
        <v>consensus</v>
      </c>
      <c r="AM3" s="47" t="n">
        <f aca="false">IF($A3="","",IFERROR(INDEX(Raw_Est!$E$2:$E$100,MATCH($A3,Raw_Est!$A$2:$A$100,0)),""))</f>
        <v>5</v>
      </c>
      <c r="AN3" s="67" t="n">
        <f aca="false">IF($A3="","",IFERROR(INDEX(Raw_Price!$D$2:$D$100,MATCH($A3,Raw_Price!$A$2:$A$100,0)),""))</f>
        <v>0</v>
      </c>
      <c r="AO3" s="67" t="n">
        <f aca="false">IF($A3="","",IFERROR(INDEX(Raw_Price!$E$2:$E$100,MATCH($A3,Raw_Price!$A$2:$A$100,0)),""))</f>
        <v>46311</v>
      </c>
      <c r="AP3" s="49" t="n">
        <f aca="false">IF($A3="","",IFERROR(IF(MIN(SUMIFS(Raw_Q!$O$2:$O$600,Raw_Q!$A$2:$A$600,$A3,Raw_Q!$R$2:$R$600,1),SUMIFS(Raw_Q!$O$2:$O$600,Raw_Q!$A$2:$A$600,$A3,Raw_Q!$R$2:$R$600,5))&lt;=0,"",SUMPRODUCT((Raw_Q!$A$2:$A$600=$A3)*(Raw_Q!$R$2:$R$600&gt;=1)*(Raw_Q!$R$2:$R$600&lt;=4)*Raw_Q!$L$2:$L$600*Raw_Q!$M$2:$M$600)/((SUMIFS(Raw_Q!$O$2:$O$600,Raw_Q!$A$2:$A$600,$A3,Raw_Q!$R$2:$R$600,1)+SUMIFS(Raw_Q!$O$2:$O$600,Raw_Q!$A$2:$A$600,$A3,Raw_Q!$R$2:$R$600,5))/2)),""))</f>
        <v>0.374169873512502</v>
      </c>
      <c r="AQ3" s="49" t="str">
        <f aca="false">IF($A3="","",IFERROR(IF(MIN(SUMIFS(Raw_Q!$O$2:$O$600,Raw_Q!$A$2:$A$600,$A3,Raw_Q!$R$2:$R$600,5),SUMIFS(Raw_Q!$O$2:$O$600,Raw_Q!$A$2:$A$600,$A3,Raw_Q!$R$2:$R$600,9))&lt;=0,"",SUMPRODUCT((Raw_Q!$A$2:$A$600=$A3)*(Raw_Q!$R$2:$R$600&gt;=5)*(Raw_Q!$R$2:$R$600&lt;=8)*Raw_Q!$L$2:$L$600*Raw_Q!$M$2:$M$600)/((SUMIFS(Raw_Q!$O$2:$O$600,Raw_Q!$A$2:$A$600,$A3,Raw_Q!$R$2:$R$600,5)+SUMIFS(Raw_Q!$O$2:$O$600,Raw_Q!$A$2:$A$600,$A3,Raw_Q!$R$2:$R$600,9))/2)),""))</f>
        <v/>
      </c>
      <c r="AR3" s="49" t="str">
        <f aca="false">IF($A3="","",IFERROR(IF(MIN(SUMIFS(Raw_Q!$O$2:$O$600,Raw_Q!$A$2:$A$600,$A3,Raw_Q!$R$2:$R$600,9),SUMIFS(Raw_Q!$O$2:$O$600,Raw_Q!$A$2:$A$600,$A3,Raw_Q!$R$2:$R$600,13))&lt;=0,"",SUMPRODUCT((Raw_Q!$A$2:$A$600=$A3)*(Raw_Q!$R$2:$R$600&gt;=9)*(Raw_Q!$R$2:$R$600&lt;=12)*Raw_Q!$L$2:$L$600*Raw_Q!$M$2:$M$600)/((SUMIFS(Raw_Q!$O$2:$O$600,Raw_Q!$A$2:$A$600,$A3,Raw_Q!$R$2:$R$600,9)+SUMIFS(Raw_Q!$O$2:$O$600,Raw_Q!$A$2:$A$600,$A3,Raw_Q!$R$2:$R$600,13))/2)),""))</f>
        <v/>
      </c>
      <c r="AS3" s="49" t="n">
        <f aca="false">IF($A3="","",IFERROR(IF(MIN(SUMIFS(Raw_Q!$O$2:$O$600,Raw_Q!$A$2:$A$600,$A3,Raw_Q!$R$2:$R$600,13),SUMIFS(Raw_Q!$O$2:$O$600,Raw_Q!$A$2:$A$600,$A3,Raw_Q!$R$2:$R$600,17))&lt;=0,"",SUMPRODUCT((Raw_Q!$A$2:$A$600=$A3)*(Raw_Q!$R$2:$R$600&gt;=13)*(Raw_Q!$R$2:$R$600&lt;=16)*Raw_Q!$L$2:$L$600*Raw_Q!$M$2:$M$600)/((SUMIFS(Raw_Q!$O$2:$O$600,Raw_Q!$A$2:$A$600,$A3,Raw_Q!$R$2:$R$600,13)+SUMIFS(Raw_Q!$O$2:$O$600,Raw_Q!$A$2:$A$600,$A3,Raw_Q!$R$2:$R$600,17))/2)),""))</f>
        <v>-0.00548291108650134</v>
      </c>
      <c r="AT3" s="49" t="n">
        <f aca="false">IF($A3="","",IFERROR(IF(MIN(SUMIFS(Raw_Q!$O$2:$O$600,Raw_Q!$A$2:$A$600,$A3,Raw_Q!$R$2:$R$600,17),SUMIFS(Raw_Q!$O$2:$O$600,Raw_Q!$A$2:$A$600,$A3,Raw_Q!$R$2:$R$600,21))&lt;=0,"",SUMPRODUCT((Raw_Q!$A$2:$A$600=$A3)*(Raw_Q!$R$2:$R$600&gt;=17)*(Raw_Q!$R$2:$R$600&lt;=20)*Raw_Q!$L$2:$L$600*Raw_Q!$M$2:$M$600)/((SUMIFS(Raw_Q!$O$2:$O$600,Raw_Q!$A$2:$A$600,$A3,Raw_Q!$R$2:$R$600,17)+SUMIFS(Raw_Q!$O$2:$O$600,Raw_Q!$A$2:$A$600,$A3,Raw_Q!$R$2:$R$600,21))/2)),""))</f>
        <v>0.161275259416265</v>
      </c>
    </row>
    <row r="4" customFormat="false" ht="15" hidden="false" customHeight="false" outlineLevel="0" collapsed="false">
      <c r="A4" s="17" t="str">
        <f aca="false">IF(Tickers!A4="","",Tickers!A4)</f>
        <v>5289</v>
      </c>
      <c r="B4" s="66" t="str">
        <f aca="false">IF($A4="","",IFERROR(INDEX(Tickers!$B$2:$B$100,MATCH($A4,Tickers!$A$2:$A$100,0)),""))</f>
        <v>宜鼎</v>
      </c>
      <c r="C4" s="66" t="str">
        <f aca="false">IF($A4="","",IFERROR(INDEX(Tickers!$D$2:$D$100,MATCH($A4,Tickers!$A$2:$A$100,0)),""))</f>
        <v>觀察</v>
      </c>
      <c r="D4" s="51" t="n">
        <f aca="false">IF($A4="","",IFERROR(INDEX(Raw_Price!$B$2:$B$100,MATCH($A4,Raw_Price!$A$2:$A$100,0)),""))</f>
        <v>1175</v>
      </c>
      <c r="E4" s="48" t="n">
        <f aca="false">IF($A4="","",IFERROR(SUMIFS(Raw_Q!$I$2:$I$600,Raw_Q!$A$2:$A$600,$A4,Raw_Q!$R$2:$R$600,"&gt;=1",Raw_Q!$R$2:$R$600,"&lt;=4"),""))</f>
        <v>0</v>
      </c>
      <c r="F4" s="51" t="n">
        <f aca="false">IF($A4="","",IFERROR(SUMIFS(Raw_Q!$L$2:$L$600,Raw_Q!$A$2:$A$600,$A4,Raw_Q!$R$2:$R$600,"&gt;=1",Raw_Q!$R$2:$R$600,"&lt;=4"),""))</f>
        <v>0</v>
      </c>
      <c r="G4" s="51" t="n">
        <f aca="false">IF($A4="","",IFERROR(SUMIFS(Raw_Q!$L$2:$L$600,Raw_Q!$A$2:$A$600,$A4,Raw_Q!$R$2:$R$600,"&gt;=0",Raw_Q!$R$2:$R$600,"&lt;=3"),""))</f>
        <v>0</v>
      </c>
      <c r="H4" s="51" t="n">
        <f aca="true">IF($A4="","",IFERROR(INDEX(Raw_Est!$B$2:$B$100,MATCH($A4,Raw_Est!$A$2:$A$100,0))*MIN(1,MAX(0,(INDEX(Raw_Est!$D$2:$D$100,MATCH($A4,Raw_Est!$A$2:$A$100,0))-TODAY())/Config!$B$8))+INDEX(Raw_Est!$C$2:$C$100,MATCH($A4,Raw_Est!$A$2:$A$100,0))*(1-MIN(1,MAX(0,(INDEX(Raw_Est!$D$2:$D$100,MATCH($A4,Raw_Est!$A$2:$A$100,0))-TODAY())/Config!$B$8))),""))</f>
        <v>227.804178438356</v>
      </c>
      <c r="I4" s="49" t="str">
        <f aca="false">IF($A4="","",IFERROR(SUMIFS(Raw_Q!$L$2:$L$600,Raw_Q!$A$2:$A$600,$A4,Raw_Q!$R$2:$R$600,"&gt;=1",Raw_Q!$R$2:$R$600,"&lt;=4")/SUMIFS(Raw_Q!$L$2:$L$600,Raw_Q!$A$2:$A$600,$A4,Raw_Q!$R$2:$R$600,"&gt;=5",Raw_Q!$R$2:$R$600,"&lt;=8")-1,""))</f>
        <v/>
      </c>
      <c r="J4" s="52" t="str">
        <f aca="false">IF($A4="","",IFERROR(IF(F4&lt;=0,"N/M",D4/F4),"N/M"))</f>
        <v>N/M</v>
      </c>
      <c r="K4" s="52" t="str">
        <f aca="false">IF($A4="","",IFERROR(IF(G4&lt;=0,"N/M",D4/G4),"N/M"))</f>
        <v>N/M</v>
      </c>
      <c r="L4" s="52" t="n">
        <f aca="false">IF($A4="","",IFERROR(IF(H4&lt;=0,"N/M",D4/H4),"N/M"))</f>
        <v>5.15793875272554</v>
      </c>
      <c r="M4" s="49" t="n">
        <f aca="false">IF($A4="","",IFERROR(INDEX(Raw_Est!$C$2:$C$100,MATCH($A4,Raw_Est!$A$2:$A$100,0))/INDEX(Raw_Est!$B$2:$B$100,MATCH($A4,Raw_Est!$A$2:$A$100,0))-1,""))</f>
        <v>-0.44842611440624</v>
      </c>
      <c r="N4" s="51" t="str">
        <f aca="false">IF($A4="","",IFERROR(IF(OR(NOT(ISNUMBER(J4)),I4&lt;Config!$B$6),"N/M",J4/(I4*100)),"N/M"))</f>
        <v>N/M</v>
      </c>
      <c r="O4" s="51" t="str">
        <f aca="false">IF($A4="","",IFERROR(IF(OR(NOT(ISNUMBER(L4)),M4&lt;Config!$B$6),"N/M",L4/(M4*100)),"N/M"))</f>
        <v>N/M</v>
      </c>
      <c r="P4" s="51" t="n">
        <f aca="false">IF($A4="","",IFERROR(SUMIFS(Raw_Q!$P$2:$P$600,Raw_Q!$A$2:$A$600,$A4,Raw_Q!$R$2:$R$600,"&gt;=1",Raw_Q!$R$2:$R$600,"&lt;=4"),""))</f>
        <v>0</v>
      </c>
      <c r="Q4" s="49" t="str">
        <f aca="false">IF($A4="","",IFERROR(IF(P4=0,"不配息",P4/D4),""))</f>
        <v>不配息</v>
      </c>
      <c r="R4" s="49" t="str">
        <f aca="false">IF($A4="","",IFERROR(IF(SUMIFS(Raw_Q!$P$2:$P$600,Raw_Q!$A$2:$A$600,$A4,Raw_Q!$R$2:$R$600,"&gt;=5",Raw_Q!$R$2:$R$600,"&lt;=8")=0,"",SUMIFS(Raw_Q!$P$2:$P$600,Raw_Q!$A$2:$A$600,$A4,Raw_Q!$R$2:$R$600,"&gt;=1",Raw_Q!$R$2:$R$600,"&lt;=4")/SUMIFS(Raw_Q!$P$2:$P$600,Raw_Q!$A$2:$A$600,$A4,Raw_Q!$R$2:$R$600,"&gt;=5",Raw_Q!$R$2:$R$600,"&lt;=8")-1),""))</f>
        <v/>
      </c>
      <c r="S4" s="49" t="str">
        <f aca="false">IF($A4="","",IFERROR(SUMIFS(Raw_Q!$I$2:$I$600,Raw_Q!$A$2:$A$600,$A4,Raw_Q!$R$2:$R$600,1)/SUMIFS(Raw_Q!$I$2:$I$600,Raw_Q!$A$2:$A$600,$A4,Raw_Q!$R$2:$R$600,5)-1,""))</f>
        <v/>
      </c>
      <c r="T4" s="49" t="str">
        <f aca="false">IF($A4="","",IFERROR(SUMIFS(Raw_Q!$I$2:$I$600,Raw_Q!$A$2:$A$600,$A4,Raw_Q!$R$2:$R$600,1)/SUMIFS(Raw_Q!$I$2:$I$600,Raw_Q!$A$2:$A$600,$A4,Raw_Q!$R$2:$R$600,2)-1,""))</f>
        <v/>
      </c>
      <c r="U4" s="49" t="str">
        <f aca="false">IF($A4="","",IFERROR(SUMIFS(Raw_Q!$I$2:$I$600,Raw_Q!$A$2:$A$600,$A4,Raw_Q!$R$2:$R$600,2)/SUMIFS(Raw_Q!$I$2:$I$600,Raw_Q!$A$2:$A$600,$A4,Raw_Q!$R$2:$R$600,3)-1,""))</f>
        <v/>
      </c>
      <c r="V4" s="68" t="str">
        <f aca="false">IF($A4="","",IFERROR((T4-U4)*100,""))</f>
        <v/>
      </c>
      <c r="W4" s="49" t="str">
        <f aca="false">IF($A4="","",IFERROR(IF(OR(NOT(ISNUMBER(T4)),NOT(ISNUMBER(U4)),U4&lt;=0,ABS(U4)&lt;Config!$B$9),"N/M",(T4-U4)/ABS(U4)),"N/M"))</f>
        <v>N/M</v>
      </c>
      <c r="X4" s="66" t="str">
        <f aca="false">IF($A4="","",IFERROR(IF(NOT(ISNUMBER(T4)),"",IF(AND(ISNUMBER(U4),U4&gt;0,T4&lt;=0),"由正轉負",IF(AND(ISNUMBER(U4),U4&lt;=0,T4&gt;0),"由負轉正",IF(T4&gt;0,IF(V4&gt;0,"成長且加速","成長但減速"),IF(V4&gt;0,"衰退但收斂","衰退且惡化"))))),""))</f>
        <v/>
      </c>
      <c r="Y4" s="68" t="str">
        <f aca="false">IF($A4="","",IFERROR((T4-(SUMIFS(Raw_Q!$I$2:$I$600,Raw_Q!$A$2:$A$600,$A4,Raw_Q!$R$2:$R$600,5)/SUMIFS(Raw_Q!$I$2:$I$600,Raw_Q!$A$2:$A$600,$A4,Raw_Q!$R$2:$R$600,6)-1))*100,""))</f>
        <v/>
      </c>
      <c r="Z4" s="49" t="str">
        <f aca="false">IF($A4="","",IFERROR(SUMIFS(Raw_Q!$L$2:$L$600,Raw_Q!$A$2:$A$600,$A4,Raw_Q!$R$2:$R$600,1)/SUMIFS(Raw_Q!$L$2:$L$600,Raw_Q!$A$2:$A$600,$A4,Raw_Q!$R$2:$R$600,5)-1,""))</f>
        <v/>
      </c>
      <c r="AA4" s="49" t="str">
        <f aca="false">IF($A4="","",IFERROR(SUMIFS(Raw_Q!$J$2:$J$600,Raw_Q!$A$2:$A$600,$A4,Raw_Q!$R$2:$R$600,"&gt;=1",Raw_Q!$R$2:$R$600,"&lt;=4")/E4,""))</f>
        <v/>
      </c>
      <c r="AB4" s="49" t="str">
        <f aca="false">IF($A4="","",IFERROR(SUMIFS(Raw_Q!$J$2:$J$600,Raw_Q!$A$2:$A$600,$A4,Raw_Q!$R$2:$R$600,"&gt;=1",Raw_Q!$R$2:$R$600,"&lt;="&amp;Config!$B$5)/SUMIFS(Raw_Q!$I$2:$I$600,Raw_Q!$A$2:$A$600,$A4,Raw_Q!$R$2:$R$600,"&gt;=1",Raw_Q!$R$2:$R$600,"&lt;="&amp;Config!$B$5),""))</f>
        <v/>
      </c>
      <c r="AC4" s="50" t="str">
        <f aca="false">IF($A4="","",IFERROR((AA4-AB4)*10000,""))</f>
        <v/>
      </c>
      <c r="AD4" s="50" t="str">
        <f aca="false">IF($A4="","",IFERROR((SUMIFS(Raw_Q!$J$2:$J$600,Raw_Q!$A$2:$A$600,$A4,Raw_Q!$R$2:$R$600,1)/SUMIFS(Raw_Q!$I$2:$I$600,Raw_Q!$A$2:$A$600,$A4,Raw_Q!$R$2:$R$600,1)-SUMIFS(Raw_Q!$J$2:$J$600,Raw_Q!$A$2:$A$600,$A4,Raw_Q!$R$2:$R$600,5)/SUMIFS(Raw_Q!$I$2:$I$600,Raw_Q!$A$2:$A$600,$A4,Raw_Q!$R$2:$R$600,5))*10000,""))</f>
        <v/>
      </c>
      <c r="AE4" s="51" t="str">
        <f aca="false">IF($A4="","",IFERROR(SUMIFS(Raw_Q!$O$2:$O$600,Raw_Q!$A$2:$A$600,$A4,Raw_Q!$R$2:$R$600,1)/SUMIFS(Raw_Q!$M$2:$M$600,Raw_Q!$A$2:$A$600,$A4,Raw_Q!$R$2:$R$600,1),""))</f>
        <v/>
      </c>
      <c r="AF4" s="48" t="n">
        <f aca="false">IF($A4="","",IFERROR(SUMPRODUCT((Raw_Q!$A$2:$A$600=$A4)*(Raw_Q!$R$2:$R$600&gt;=1)*(Raw_Q!$R$2:$R$600&lt;=4)*Raw_Q!$L$2:$L$600*Raw_Q!$M$2:$M$600),""))</f>
        <v>0</v>
      </c>
      <c r="AG4" s="49" t="str">
        <f aca="false">IF($A4="","",IFERROR(IF(MIN(SUMIFS(Raw_Q!$O$2:$O$600,Raw_Q!$A$2:$A$600,$A4,Raw_Q!$R$2:$R$600,1),SUMIFS(Raw_Q!$O$2:$O$600,Raw_Q!$A$2:$A$600,$A4,Raw_Q!$R$2:$R$600,5))&lt;=0,"N/M",AF4/((SUMIFS(Raw_Q!$O$2:$O$600,Raw_Q!$A$2:$A$600,$A4,Raw_Q!$R$2:$R$600,1)+SUMIFS(Raw_Q!$O$2:$O$600,Raw_Q!$A$2:$A$600,$A4,Raw_Q!$R$2:$R$600,5))/2)),"N/M"))</f>
        <v>N/M</v>
      </c>
      <c r="AH4" s="49" t="str">
        <f aca="false">IF($A4="","",IFERROR(AVERAGE(AP4:AT4),""))</f>
        <v/>
      </c>
      <c r="AI4" s="49" t="str">
        <f aca="false">IF($A4="","",IFERROR(IF(AE4&lt;=0,"N/M",INDEX(Raw_Est!$B$2:$B$100,MATCH($A4,Raw_Est!$A$2:$A$100,0))/AE4),"N/M"))</f>
        <v>N/M</v>
      </c>
      <c r="AJ4" s="51" t="n">
        <f aca="false">IF($A4="","",IFERROR(SUMIFS(Raw_Q!$L$2:$L$600,Raw_Q!$A$2:$A$600,$A4,Raw_Q!$R$2:$R$600,0),""))</f>
        <v>0</v>
      </c>
      <c r="AK4" s="66" t="str">
        <f aca="false">IF($A4="","",IFERROR(INDEX(Raw_Q!$B$2:$B$600,MATCH($A4&amp;"|"&amp;0,Raw_Q!$S$2:$S$600,0)),""))</f>
        <v/>
      </c>
      <c r="AL4" s="66" t="str">
        <f aca="false">IF($A4="","",IFERROR(INDEX(Raw_Q!$G$2:$G$600,MATCH($A4&amp;"|"&amp;0,Raw_Q!$S$2:$S$600,0)),""))</f>
        <v/>
      </c>
      <c r="AM4" s="47" t="n">
        <f aca="false">IF($A4="","",IFERROR(INDEX(Raw_Est!$E$2:$E$100,MATCH($A4,Raw_Est!$A$2:$A$100,0)),""))</f>
        <v>2</v>
      </c>
      <c r="AN4" s="67" t="n">
        <f aca="false">IF($A4="","",IFERROR(INDEX(Raw_Price!$D$2:$D$100,MATCH($A4,Raw_Price!$A$2:$A$100,0)),""))</f>
        <v>0</v>
      </c>
      <c r="AO4" s="67" t="n">
        <f aca="false">IF($A4="","",IFERROR(INDEX(Raw_Price!$E$2:$E$100,MATCH($A4,Raw_Price!$A$2:$A$100,0)),""))</f>
        <v>46311</v>
      </c>
      <c r="AP4" s="49" t="str">
        <f aca="false">IF($A4="","",IFERROR(IF(MIN(SUMIFS(Raw_Q!$O$2:$O$600,Raw_Q!$A$2:$A$600,$A4,Raw_Q!$R$2:$R$600,1),SUMIFS(Raw_Q!$O$2:$O$600,Raw_Q!$A$2:$A$600,$A4,Raw_Q!$R$2:$R$600,5))&lt;=0,"",SUMPRODUCT((Raw_Q!$A$2:$A$600=$A4)*(Raw_Q!$R$2:$R$600&gt;=1)*(Raw_Q!$R$2:$R$600&lt;=4)*Raw_Q!$L$2:$L$600*Raw_Q!$M$2:$M$600)/((SUMIFS(Raw_Q!$O$2:$O$600,Raw_Q!$A$2:$A$600,$A4,Raw_Q!$R$2:$R$600,1)+SUMIFS(Raw_Q!$O$2:$O$600,Raw_Q!$A$2:$A$600,$A4,Raw_Q!$R$2:$R$600,5))/2)),""))</f>
        <v/>
      </c>
      <c r="AQ4" s="49" t="str">
        <f aca="false">IF($A4="","",IFERROR(IF(MIN(SUMIFS(Raw_Q!$O$2:$O$600,Raw_Q!$A$2:$A$600,$A4,Raw_Q!$R$2:$R$600,5),SUMIFS(Raw_Q!$O$2:$O$600,Raw_Q!$A$2:$A$600,$A4,Raw_Q!$R$2:$R$600,9))&lt;=0,"",SUMPRODUCT((Raw_Q!$A$2:$A$600=$A4)*(Raw_Q!$R$2:$R$600&gt;=5)*(Raw_Q!$R$2:$R$600&lt;=8)*Raw_Q!$L$2:$L$600*Raw_Q!$M$2:$M$600)/((SUMIFS(Raw_Q!$O$2:$O$600,Raw_Q!$A$2:$A$600,$A4,Raw_Q!$R$2:$R$600,5)+SUMIFS(Raw_Q!$O$2:$O$600,Raw_Q!$A$2:$A$600,$A4,Raw_Q!$R$2:$R$600,9))/2)),""))</f>
        <v/>
      </c>
      <c r="AR4" s="49" t="str">
        <f aca="false">IF($A4="","",IFERROR(IF(MIN(SUMIFS(Raw_Q!$O$2:$O$600,Raw_Q!$A$2:$A$600,$A4,Raw_Q!$R$2:$R$600,9),SUMIFS(Raw_Q!$O$2:$O$600,Raw_Q!$A$2:$A$600,$A4,Raw_Q!$R$2:$R$600,13))&lt;=0,"",SUMPRODUCT((Raw_Q!$A$2:$A$600=$A4)*(Raw_Q!$R$2:$R$600&gt;=9)*(Raw_Q!$R$2:$R$600&lt;=12)*Raw_Q!$L$2:$L$600*Raw_Q!$M$2:$M$600)/((SUMIFS(Raw_Q!$O$2:$O$600,Raw_Q!$A$2:$A$600,$A4,Raw_Q!$R$2:$R$600,9)+SUMIFS(Raw_Q!$O$2:$O$600,Raw_Q!$A$2:$A$600,$A4,Raw_Q!$R$2:$R$600,13))/2)),""))</f>
        <v/>
      </c>
      <c r="AS4" s="49" t="str">
        <f aca="false">IF($A4="","",IFERROR(IF(MIN(SUMIFS(Raw_Q!$O$2:$O$600,Raw_Q!$A$2:$A$600,$A4,Raw_Q!$R$2:$R$600,13),SUMIFS(Raw_Q!$O$2:$O$600,Raw_Q!$A$2:$A$600,$A4,Raw_Q!$R$2:$R$600,17))&lt;=0,"",SUMPRODUCT((Raw_Q!$A$2:$A$600=$A4)*(Raw_Q!$R$2:$R$600&gt;=13)*(Raw_Q!$R$2:$R$600&lt;=16)*Raw_Q!$L$2:$L$600*Raw_Q!$M$2:$M$600)/((SUMIFS(Raw_Q!$O$2:$O$600,Raw_Q!$A$2:$A$600,$A4,Raw_Q!$R$2:$R$600,13)+SUMIFS(Raw_Q!$O$2:$O$600,Raw_Q!$A$2:$A$600,$A4,Raw_Q!$R$2:$R$600,17))/2)),""))</f>
        <v/>
      </c>
      <c r="AT4" s="49" t="str">
        <f aca="false">IF($A4="","",IFERROR(IF(MIN(SUMIFS(Raw_Q!$O$2:$O$600,Raw_Q!$A$2:$A$600,$A4,Raw_Q!$R$2:$R$600,17),SUMIFS(Raw_Q!$O$2:$O$600,Raw_Q!$A$2:$A$600,$A4,Raw_Q!$R$2:$R$600,21))&lt;=0,"",SUMPRODUCT((Raw_Q!$A$2:$A$600=$A4)*(Raw_Q!$R$2:$R$600&gt;=17)*(Raw_Q!$R$2:$R$600&lt;=20)*Raw_Q!$L$2:$L$600*Raw_Q!$M$2:$M$600)/((SUMIFS(Raw_Q!$O$2:$O$600,Raw_Q!$A$2:$A$600,$A4,Raw_Q!$R$2:$R$600,17)+SUMIFS(Raw_Q!$O$2:$O$600,Raw_Q!$A$2:$A$600,$A4,Raw_Q!$R$2:$R$600,21))/2)),""))</f>
        <v/>
      </c>
    </row>
    <row r="5" customFormat="false" ht="15" hidden="false" customHeight="false" outlineLevel="0" collapsed="false">
      <c r="A5" s="17" t="str">
        <f aca="false">IF(Tickers!A5="","",Tickers!A5)</f>
        <v>2455</v>
      </c>
      <c r="B5" s="66" t="str">
        <f aca="false">IF($A5="","",IFERROR(INDEX(Tickers!$B$2:$B$100,MATCH($A5,Tickers!$A$2:$A$100,0)),""))</f>
        <v>全新</v>
      </c>
      <c r="C5" s="66" t="str">
        <f aca="false">IF($A5="","",IFERROR(INDEX(Tickers!$D$2:$D$100,MATCH($A5,Tickers!$A$2:$A$100,0)),""))</f>
        <v>池子</v>
      </c>
      <c r="D5" s="51" t="n">
        <f aca="false">IF($A5="","",IFERROR(INDEX(Raw_Price!$B$2:$B$100,MATCH($A5,Raw_Price!$A$2:$A$100,0)),""))</f>
        <v>493</v>
      </c>
      <c r="E5" s="48" t="n">
        <f aca="false">IF($A5="","",IFERROR(SUMIFS(Raw_Q!$I$2:$I$600,Raw_Q!$A$2:$A$600,$A5,Raw_Q!$R$2:$R$600,"&gt;=1",Raw_Q!$R$2:$R$600,"&lt;=4"),""))</f>
        <v>3797.076</v>
      </c>
      <c r="F5" s="51" t="n">
        <f aca="false">IF($A5="","",IFERROR(SUMIFS(Raw_Q!$L$2:$L$600,Raw_Q!$A$2:$A$600,$A5,Raw_Q!$R$2:$R$600,"&gt;=1",Raw_Q!$R$2:$R$600,"&lt;=4"),""))</f>
        <v>4.12</v>
      </c>
      <c r="G5" s="51" t="n">
        <f aca="false">IF($A5="","",IFERROR(SUMIFS(Raw_Q!$L$2:$L$600,Raw_Q!$A$2:$A$600,$A5,Raw_Q!$R$2:$R$600,"&gt;=0",Raw_Q!$R$2:$R$600,"&lt;=3"),""))</f>
        <v>4.69429</v>
      </c>
      <c r="H5" s="51" t="n">
        <f aca="true">IF($A5="","",IFERROR(INDEX(Raw_Est!$B$2:$B$100,MATCH($A5,Raw_Est!$A$2:$A$100,0))*MIN(1,MAX(0,(INDEX(Raw_Est!$D$2:$D$100,MATCH($A5,Raw_Est!$A$2:$A$100,0))-TODAY())/Config!$B$8))+INDEX(Raw_Est!$C$2:$C$100,MATCH($A5,Raw_Est!$A$2:$A$100,0))*(1-MIN(1,MAX(0,(INDEX(Raw_Est!$D$2:$D$100,MATCH($A5,Raw_Est!$A$2:$A$100,0))-TODAY())/Config!$B$8))),""))</f>
        <v>8.65824136986301</v>
      </c>
      <c r="I5" s="49" t="n">
        <f aca="false">IF($A5="","",IFERROR(SUMIFS(Raw_Q!$L$2:$L$600,Raw_Q!$A$2:$A$600,$A5,Raw_Q!$R$2:$R$600,"&gt;=1",Raw_Q!$R$2:$R$600,"&lt;=4")/SUMIFS(Raw_Q!$L$2:$L$600,Raw_Q!$A$2:$A$600,$A5,Raw_Q!$R$2:$R$600,"&gt;=5",Raw_Q!$R$2:$R$600,"&lt;=8")-1,""))</f>
        <v>0.615686274509804</v>
      </c>
      <c r="J5" s="52" t="n">
        <f aca="false">IF($A5="","",IFERROR(IF(F5&lt;=0,"N/M",D5/F5),"N/M"))</f>
        <v>119.660194174757</v>
      </c>
      <c r="K5" s="52" t="n">
        <f aca="false">IF($A5="","",IFERROR(IF(G5&lt;=0,"N/M",D5/G5),"N/M"))</f>
        <v>105.021206614845</v>
      </c>
      <c r="L5" s="52" t="n">
        <f aca="false">IF($A5="","",IFERROR(IF(H5&lt;=0,"N/M",D5/H5),"N/M"))</f>
        <v>56.9399695550183</v>
      </c>
      <c r="M5" s="49" t="n">
        <f aca="false">IF($A5="","",IFERROR(INDEX(Raw_Est!$C$2:$C$100,MATCH($A5,Raw_Est!$A$2:$A$100,0))/INDEX(Raw_Est!$B$2:$B$100,MATCH($A5,Raw_Est!$A$2:$A$100,0))-1,""))</f>
        <v>0.680774289878773</v>
      </c>
      <c r="N5" s="51" t="n">
        <f aca="false">IF($A5="","",IFERROR(IF(OR(NOT(ISNUMBER(J5)),I5&lt;Config!$B$6),"N/M",J5/(I5*100)),"N/M"))</f>
        <v>1.94352544678746</v>
      </c>
      <c r="O5" s="51" t="n">
        <f aca="false">IF($A5="","",IFERROR(IF(OR(NOT(ISNUMBER(L5)),M5&lt;Config!$B$6),"N/M",L5/(M5*100)),"N/M"))</f>
        <v>0.836400116772297</v>
      </c>
      <c r="P5" s="51" t="n">
        <f aca="false">IF($A5="","",IFERROR(SUMIFS(Raw_Q!$P$2:$P$600,Raw_Q!$A$2:$A$600,$A5,Raw_Q!$R$2:$R$600,"&gt;=1",Raw_Q!$R$2:$R$600,"&lt;=4"),""))</f>
        <v>2.62055653</v>
      </c>
      <c r="Q5" s="49" t="n">
        <f aca="false">IF($A5="","",IFERROR(IF(P5=0,"不配息",P5/D5),""))</f>
        <v>0.00531553048681542</v>
      </c>
      <c r="R5" s="49" t="n">
        <f aca="false">IF($A5="","",IFERROR(IF(SUMIFS(Raw_Q!$P$2:$P$600,Raw_Q!$A$2:$A$600,$A5,Raw_Q!$R$2:$R$600,"&gt;=5",Raw_Q!$R$2:$R$600,"&lt;=8")=0,"",SUMIFS(Raw_Q!$P$2:$P$600,Raw_Q!$A$2:$A$600,$A5,Raw_Q!$R$2:$R$600,"&gt;=1",Raw_Q!$R$2:$R$600,"&lt;=4")/SUMIFS(Raw_Q!$P$2:$P$600,Raw_Q!$A$2:$A$600,$A5,Raw_Q!$R$2:$R$600,"&gt;=5",Raw_Q!$R$2:$R$600,"&lt;=8")-1),""))</f>
        <v>-0.18555809814312</v>
      </c>
      <c r="S5" s="49" t="n">
        <f aca="false">IF($A5="","",IFERROR(SUMIFS(Raw_Q!$I$2:$I$600,Raw_Q!$A$2:$A$600,$A5,Raw_Q!$R$2:$R$600,1)/SUMIFS(Raw_Q!$I$2:$I$600,Raw_Q!$A$2:$A$600,$A5,Raw_Q!$R$2:$R$600,5)-1,""))</f>
        <v>0.351898298106533</v>
      </c>
      <c r="T5" s="49" t="n">
        <f aca="false">IF($A5="","",IFERROR(SUMIFS(Raw_Q!$I$2:$I$600,Raw_Q!$A$2:$A$600,$A5,Raw_Q!$R$2:$R$600,1)/SUMIFS(Raw_Q!$I$2:$I$600,Raw_Q!$A$2:$A$600,$A5,Raw_Q!$R$2:$R$600,2)-1,""))</f>
        <v>0.00632016762047738</v>
      </c>
      <c r="U5" s="49" t="n">
        <f aca="false">IF($A5="","",IFERROR(SUMIFS(Raw_Q!$I$2:$I$600,Raw_Q!$A$2:$A$600,$A5,Raw_Q!$R$2:$R$600,2)/SUMIFS(Raw_Q!$I$2:$I$600,Raw_Q!$A$2:$A$600,$A5,Raw_Q!$R$2:$R$600,3)-1,""))</f>
        <v>-0.000290749477120045</v>
      </c>
      <c r="V5" s="68" t="n">
        <f aca="false">IF($A5="","",IFERROR((T5-U5)*100,""))</f>
        <v>0.661091709759742</v>
      </c>
      <c r="W5" s="49" t="str">
        <f aca="false">IF($A5="","",IFERROR(IF(OR(NOT(ISNUMBER(T5)),NOT(ISNUMBER(U5)),U5&lt;=0,ABS(U5)&lt;Config!$B$9),"N/M",(T5-U5)/ABS(U5)),"N/M"))</f>
        <v>N/M</v>
      </c>
      <c r="X5" s="66" t="str">
        <f aca="false">IF($A5="","",IFERROR(IF(NOT(ISNUMBER(T5)),"",IF(AND(ISNUMBER(U5),U5&gt;0,T5&lt;=0),"由正轉負",IF(AND(ISNUMBER(U5),U5&lt;=0,T5&gt;0),"由負轉正",IF(T5&gt;0,IF(V5&gt;0,"成長且加速","成長但減速"),IF(V5&gt;0,"衰退但收斂","衰退且惡化"))))),""))</f>
        <v>由負轉正</v>
      </c>
      <c r="Y5" s="68" t="n">
        <f aca="false">IF($A5="","",IFERROR((T5-(SUMIFS(Raw_Q!$I$2:$I$600,Raw_Q!$A$2:$A$600,$A5,Raw_Q!$R$2:$R$600,5)/SUMIFS(Raw_Q!$I$2:$I$600,Raw_Q!$A$2:$A$600,$A5,Raw_Q!$R$2:$R$600,6)-1))*100,""))</f>
        <v>10.6584385556805</v>
      </c>
      <c r="Z5" s="49" t="n">
        <f aca="false">IF($A5="","",IFERROR(SUMIFS(Raw_Q!$L$2:$L$600,Raw_Q!$A$2:$A$600,$A5,Raw_Q!$R$2:$R$600,1)/SUMIFS(Raw_Q!$L$2:$L$600,Raw_Q!$A$2:$A$600,$A5,Raw_Q!$R$2:$R$600,5)-1,""))</f>
        <v>4.75</v>
      </c>
      <c r="AA5" s="49" t="n">
        <f aca="false">IF($A5="","",IFERROR(SUMIFS(Raw_Q!$J$2:$J$600,Raw_Q!$A$2:$A$600,$A5,Raw_Q!$R$2:$R$600,"&gt;=1",Raw_Q!$R$2:$R$600,"&lt;=4")/E5,""))</f>
        <v>0.367558352795678</v>
      </c>
      <c r="AB5" s="49" t="n">
        <f aca="false">IF($A5="","",IFERROR(SUMIFS(Raw_Q!$J$2:$J$600,Raw_Q!$A$2:$A$600,$A5,Raw_Q!$R$2:$R$600,"&gt;=1",Raw_Q!$R$2:$R$600,"&lt;="&amp;Config!$B$5)/SUMIFS(Raw_Q!$I$2:$I$600,Raw_Q!$A$2:$A$600,$A5,Raw_Q!$R$2:$R$600,"&gt;=1",Raw_Q!$R$2:$R$600,"&lt;="&amp;Config!$B$5),""))</f>
        <v>0.394732998966364</v>
      </c>
      <c r="AC5" s="50" t="n">
        <f aca="false">IF($A5="","",IFERROR((AA5-AB5)*10000,""))</f>
        <v>-271.746461706861</v>
      </c>
      <c r="AD5" s="50" t="n">
        <f aca="false">IF($A5="","",IFERROR((SUMIFS(Raw_Q!$J$2:$J$600,Raw_Q!$A$2:$A$600,$A5,Raw_Q!$R$2:$R$600,1)/SUMIFS(Raw_Q!$I$2:$I$600,Raw_Q!$A$2:$A$600,$A5,Raw_Q!$R$2:$R$600,1)-SUMIFS(Raw_Q!$J$2:$J$600,Raw_Q!$A$2:$A$600,$A5,Raw_Q!$R$2:$R$600,5)/SUMIFS(Raw_Q!$I$2:$I$600,Raw_Q!$A$2:$A$600,$A5,Raw_Q!$R$2:$R$600,5))*10000,""))</f>
        <v>422.159438801699</v>
      </c>
      <c r="AE5" s="51" t="n">
        <f aca="false">IF($A5="","",IFERROR(SUMIFS(Raw_Q!$O$2:$O$600,Raw_Q!$A$2:$A$600,$A5,Raw_Q!$R$2:$R$600,1)/SUMIFS(Raw_Q!$M$2:$M$600,Raw_Q!$A$2:$A$600,$A5,Raw_Q!$R$2:$R$600,1),""))</f>
        <v>19.9729105453098</v>
      </c>
      <c r="AF5" s="48" t="n">
        <f aca="false">IF($A5="","",IFERROR(SUMPRODUCT((Raw_Q!$A$2:$A$600=$A5)*(Raw_Q!$R$2:$R$600&gt;=1)*(Raw_Q!$R$2:$R$600&lt;=4)*Raw_Q!$L$2:$L$600*Raw_Q!$M$2:$M$600),""))</f>
        <v>761.812308</v>
      </c>
      <c r="AG5" s="49" t="n">
        <f aca="false">IF($A5="","",IFERROR(IF(MIN(SUMIFS(Raw_Q!$O$2:$O$600,Raw_Q!$A$2:$A$600,$A5,Raw_Q!$R$2:$R$600,1),SUMIFS(Raw_Q!$O$2:$O$600,Raw_Q!$A$2:$A$600,$A5,Raw_Q!$R$2:$R$600,5))&lt;=0,"N/M",AF5/((SUMIFS(Raw_Q!$O$2:$O$600,Raw_Q!$A$2:$A$600,$A5,Raw_Q!$R$2:$R$600,1)+SUMIFS(Raw_Q!$O$2:$O$600,Raw_Q!$A$2:$A$600,$A5,Raw_Q!$R$2:$R$600,5))/2)),"N/M"))</f>
        <v>0.233486293705565</v>
      </c>
      <c r="AH5" s="49" t="n">
        <f aca="false">IF($A5="","",IFERROR(AVERAGE(AP5:AT5),""))</f>
        <v>0.19780000115247</v>
      </c>
      <c r="AI5" s="49" t="n">
        <f aca="false">IF($A5="","",IFERROR(IF(AE5&lt;=0,"N/M",INDEX(Raw_Est!$B$2:$B$100,MATCH($A5,Raw_Est!$A$2:$A$100,0))/AE5),"N/M"))</f>
        <v>0.281671516389037</v>
      </c>
      <c r="AJ5" s="51" t="n">
        <f aca="false">IF($A5="","",IFERROR(SUMIFS(Raw_Q!$L$2:$L$600,Raw_Q!$A$2:$A$600,$A5,Raw_Q!$R$2:$R$600,0),""))</f>
        <v>1.43429</v>
      </c>
      <c r="AK5" s="66" t="str">
        <f aca="false">IF($A5="","",IFERROR(INDEX(Raw_Q!$B$2:$B$600,MATCH($A5&amp;"|"&amp;0,Raw_Q!$S$2:$S$600,0)),""))</f>
        <v>FY2026Q3E</v>
      </c>
      <c r="AL5" s="66" t="str">
        <f aca="false">IF($A5="","",IFERROR(INDEX(Raw_Q!$G$2:$G$600,MATCH($A5&amp;"|"&amp;0,Raw_Q!$S$2:$S$600,0)),""))</f>
        <v>consensus</v>
      </c>
      <c r="AM5" s="47" t="n">
        <f aca="false">IF($A5="","",IFERROR(INDEX(Raw_Est!$E$2:$E$100,MATCH($A5,Raw_Est!$A$2:$A$100,0)),""))</f>
        <v>8</v>
      </c>
      <c r="AN5" s="67" t="n">
        <f aca="false">IF($A5="","",IFERROR(INDEX(Raw_Price!$D$2:$D$100,MATCH($A5,Raw_Price!$A$2:$A$100,0)),""))</f>
        <v>0</v>
      </c>
      <c r="AO5" s="67" t="n">
        <f aca="false">IF($A5="","",IFERROR(INDEX(Raw_Price!$E$2:$E$100,MATCH($A5,Raw_Price!$A$2:$A$100,0)),""))</f>
        <v>46311</v>
      </c>
      <c r="AP5" s="49" t="n">
        <f aca="false">IF($A5="","",IFERROR(IF(MIN(SUMIFS(Raw_Q!$O$2:$O$600,Raw_Q!$A$2:$A$600,$A5,Raw_Q!$R$2:$R$600,1),SUMIFS(Raw_Q!$O$2:$O$600,Raw_Q!$A$2:$A$600,$A5,Raw_Q!$R$2:$R$600,5))&lt;=0,"",SUMPRODUCT((Raw_Q!$A$2:$A$600=$A5)*(Raw_Q!$R$2:$R$600&gt;=1)*(Raw_Q!$R$2:$R$600&lt;=4)*Raw_Q!$L$2:$L$600*Raw_Q!$M$2:$M$600)/((SUMIFS(Raw_Q!$O$2:$O$600,Raw_Q!$A$2:$A$600,$A5,Raw_Q!$R$2:$R$600,1)+SUMIFS(Raw_Q!$O$2:$O$600,Raw_Q!$A$2:$A$600,$A5,Raw_Q!$R$2:$R$600,5))/2)),""))</f>
        <v>0.233486293705565</v>
      </c>
      <c r="AQ5" s="49" t="n">
        <f aca="false">IF($A5="","",IFERROR(IF(MIN(SUMIFS(Raw_Q!$O$2:$O$600,Raw_Q!$A$2:$A$600,$A5,Raw_Q!$R$2:$R$600,5),SUMIFS(Raw_Q!$O$2:$O$600,Raw_Q!$A$2:$A$600,$A5,Raw_Q!$R$2:$R$600,9))&lt;=0,"",SUMPRODUCT((Raw_Q!$A$2:$A$600=$A5)*(Raw_Q!$R$2:$R$600&gt;=5)*(Raw_Q!$R$2:$R$600&lt;=8)*Raw_Q!$L$2:$L$600*Raw_Q!$M$2:$M$600)/((SUMIFS(Raw_Q!$O$2:$O$600,Raw_Q!$A$2:$A$600,$A5,Raw_Q!$R$2:$R$600,5)+SUMIFS(Raw_Q!$O$2:$O$600,Raw_Q!$A$2:$A$600,$A5,Raw_Q!$R$2:$R$600,9))/2)),""))</f>
        <v>0.160138774358236</v>
      </c>
      <c r="AR5" s="49" t="n">
        <f aca="false">IF($A5="","",IFERROR(IF(MIN(SUMIFS(Raw_Q!$O$2:$O$600,Raw_Q!$A$2:$A$600,$A5,Raw_Q!$R$2:$R$600,9),SUMIFS(Raw_Q!$O$2:$O$600,Raw_Q!$A$2:$A$600,$A5,Raw_Q!$R$2:$R$600,13))&lt;=0,"",SUMPRODUCT((Raw_Q!$A$2:$A$600=$A5)*(Raw_Q!$R$2:$R$600&gt;=9)*(Raw_Q!$R$2:$R$600&lt;=12)*Raw_Q!$L$2:$L$600*Raw_Q!$M$2:$M$600)/((SUMIFS(Raw_Q!$O$2:$O$600,Raw_Q!$A$2:$A$600,$A5,Raw_Q!$R$2:$R$600,9)+SUMIFS(Raw_Q!$O$2:$O$600,Raw_Q!$A$2:$A$600,$A5,Raw_Q!$R$2:$R$600,13))/2)),""))</f>
        <v>0.248589526969674</v>
      </c>
      <c r="AS5" s="49" t="n">
        <f aca="false">IF($A5="","",IFERROR(IF(MIN(SUMIFS(Raw_Q!$O$2:$O$600,Raw_Q!$A$2:$A$600,$A5,Raw_Q!$R$2:$R$600,13),SUMIFS(Raw_Q!$O$2:$O$600,Raw_Q!$A$2:$A$600,$A5,Raw_Q!$R$2:$R$600,17))&lt;=0,"",SUMPRODUCT((Raw_Q!$A$2:$A$600=$A5)*(Raw_Q!$R$2:$R$600&gt;=13)*(Raw_Q!$R$2:$R$600&lt;=16)*Raw_Q!$L$2:$L$600*Raw_Q!$M$2:$M$600)/((SUMIFS(Raw_Q!$O$2:$O$600,Raw_Q!$A$2:$A$600,$A5,Raw_Q!$R$2:$R$600,13)+SUMIFS(Raw_Q!$O$2:$O$600,Raw_Q!$A$2:$A$600,$A5,Raw_Q!$R$2:$R$600,17))/2)),""))</f>
        <v>0.0905857987513444</v>
      </c>
      <c r="AT5" s="49" t="n">
        <f aca="false">IF($A5="","",IFERROR(IF(MIN(SUMIFS(Raw_Q!$O$2:$O$600,Raw_Q!$A$2:$A$600,$A5,Raw_Q!$R$2:$R$600,17),SUMIFS(Raw_Q!$O$2:$O$600,Raw_Q!$A$2:$A$600,$A5,Raw_Q!$R$2:$R$600,21))&lt;=0,"",SUMPRODUCT((Raw_Q!$A$2:$A$600=$A5)*(Raw_Q!$R$2:$R$600&gt;=17)*(Raw_Q!$R$2:$R$600&lt;=20)*Raw_Q!$L$2:$L$600*Raw_Q!$M$2:$M$600)/((SUMIFS(Raw_Q!$O$2:$O$600,Raw_Q!$A$2:$A$600,$A5,Raw_Q!$R$2:$R$600,17)+SUMIFS(Raw_Q!$O$2:$O$600,Raw_Q!$A$2:$A$600,$A5,Raw_Q!$R$2:$R$600,21))/2)),""))</f>
        <v>0.256199611977532</v>
      </c>
    </row>
    <row r="6" customFormat="false" ht="15" hidden="false" customHeight="false" outlineLevel="0" collapsed="false">
      <c r="A6" s="17" t="str">
        <f aca="false">IF(Tickers!A6="","",Tickers!A6)</f>
        <v>3034</v>
      </c>
      <c r="B6" s="66" t="str">
        <f aca="false">IF($A6="","",IFERROR(INDEX(Tickers!$B$2:$B$100,MATCH($A6,Tickers!$A$2:$A$100,0)),""))</f>
        <v>聯詠</v>
      </c>
      <c r="C6" s="66" t="str">
        <f aca="false">IF($A6="","",IFERROR(INDEX(Tickers!$D$2:$D$100,MATCH($A6,Tickers!$A$2:$A$100,0)),""))</f>
        <v>池子</v>
      </c>
      <c r="D6" s="51" t="n">
        <f aca="false">IF($A6="","",IFERROR(INDEX(Raw_Price!$B$2:$B$100,MATCH($A6,Raw_Price!$A$2:$A$100,0)),""))</f>
        <v>577</v>
      </c>
      <c r="E6" s="48" t="n">
        <f aca="false">IF($A6="","",IFERROR(SUMIFS(Raw_Q!$I$2:$I$600,Raw_Q!$A$2:$A$600,$A6,Raw_Q!$R$2:$R$600,"&gt;=1",Raw_Q!$R$2:$R$600,"&lt;=4"),""))</f>
        <v>99196.28</v>
      </c>
      <c r="F6" s="51" t="n">
        <f aca="false">IF($A6="","",IFERROR(SUMIFS(Raw_Q!$L$2:$L$600,Raw_Q!$A$2:$A$600,$A6,Raw_Q!$R$2:$R$600,"&gt;=1",Raw_Q!$R$2:$R$600,"&lt;=4"),""))</f>
        <v>28.67</v>
      </c>
      <c r="G6" s="51" t="n">
        <f aca="false">IF($A6="","",IFERROR(SUMIFS(Raw_Q!$L$2:$L$600,Raw_Q!$A$2:$A$600,$A6,Raw_Q!$R$2:$R$600,"&gt;=0",Raw_Q!$R$2:$R$600,"&lt;=3"),""))</f>
        <v>32.23273</v>
      </c>
      <c r="H6" s="51" t="n">
        <f aca="true">IF($A6="","",IFERROR(INDEX(Raw_Est!$B$2:$B$100,MATCH($A6,Raw_Est!$A$2:$A$100,0))*MIN(1,MAX(0,(INDEX(Raw_Est!$D$2:$D$100,MATCH($A6,Raw_Est!$A$2:$A$100,0))-TODAY())/Config!$B$8))+INDEX(Raw_Est!$C$2:$C$100,MATCH($A6,Raw_Est!$A$2:$A$100,0))*(1-MIN(1,MAX(0,(INDEX(Raw_Est!$D$2:$D$100,MATCH($A6,Raw_Est!$A$2:$A$100,0))-TODAY())/Config!$B$8))),""))</f>
        <v>35.1039341917808</v>
      </c>
      <c r="I6" s="49" t="n">
        <f aca="false">IF($A6="","",IFERROR(SUMIFS(Raw_Q!$L$2:$L$600,Raw_Q!$A$2:$A$600,$A6,Raw_Q!$R$2:$R$600,"&gt;=1",Raw_Q!$R$2:$R$600,"&lt;=4")/SUMIFS(Raw_Q!$L$2:$L$600,Raw_Q!$A$2:$A$600,$A6,Raw_Q!$R$2:$R$600,"&gt;=5",Raw_Q!$R$2:$R$600,"&lt;=8")-1,""))</f>
        <v>-0.084610472541507</v>
      </c>
      <c r="J6" s="52" t="n">
        <f aca="false">IF($A6="","",IFERROR(IF(F6&lt;=0,"N/M",D6/F6),"N/M"))</f>
        <v>20.1255667945588</v>
      </c>
      <c r="K6" s="52" t="n">
        <f aca="false">IF($A6="","",IFERROR(IF(G6&lt;=0,"N/M",D6/G6),"N/M"))</f>
        <v>17.9010589546712</v>
      </c>
      <c r="L6" s="52" t="n">
        <f aca="false">IF($A6="","",IFERROR(IF(H6&lt;=0,"N/M",D6/H6),"N/M"))</f>
        <v>16.4369041044721</v>
      </c>
      <c r="M6" s="49" t="n">
        <f aca="false">IF($A6="","",IFERROR(INDEX(Raw_Est!$C$2:$C$100,MATCH($A6,Raw_Est!$A$2:$A$100,0))/INDEX(Raw_Est!$B$2:$B$100,MATCH($A6,Raw_Est!$A$2:$A$100,0))-1,""))</f>
        <v>0.0435698727887142</v>
      </c>
      <c r="N6" s="51" t="str">
        <f aca="false">IF($A6="","",IFERROR(IF(OR(NOT(ISNUMBER(J6)),I6&lt;Config!$B$6),"N/M",J6/(I6*100)),"N/M"))</f>
        <v>N/M</v>
      </c>
      <c r="O6" s="51" t="str">
        <f aca="false">IF($A6="","",IFERROR(IF(OR(NOT(ISNUMBER(L6)),M6&lt;Config!$B$6),"N/M",L6/(M6*100)),"N/M"))</f>
        <v>N/M</v>
      </c>
      <c r="P6" s="51" t="n">
        <f aca="false">IF($A6="","",IFERROR(SUMIFS(Raw_Q!$P$2:$P$600,Raw_Q!$A$2:$A$600,$A6,Raw_Q!$R$2:$R$600,"&gt;=1",Raw_Q!$R$2:$R$600,"&lt;=4"),""))</f>
        <v>28</v>
      </c>
      <c r="Q6" s="49" t="n">
        <f aca="false">IF($A6="","",IFERROR(IF(P6=0,"不配息",P6/D6),""))</f>
        <v>0.048526863084922</v>
      </c>
      <c r="R6" s="49" t="n">
        <f aca="false">IF($A6="","",IFERROR(IF(SUMIFS(Raw_Q!$P$2:$P$600,Raw_Q!$A$2:$A$600,$A6,Raw_Q!$R$2:$R$600,"&gt;=5",Raw_Q!$R$2:$R$600,"&lt;=8")=0,"",SUMIFS(Raw_Q!$P$2:$P$600,Raw_Q!$A$2:$A$600,$A6,Raw_Q!$R$2:$R$600,"&gt;=1",Raw_Q!$R$2:$R$600,"&lt;=4")/SUMIFS(Raw_Q!$P$2:$P$600,Raw_Q!$A$2:$A$600,$A6,Raw_Q!$R$2:$R$600,"&gt;=5",Raw_Q!$R$2:$R$600,"&lt;=8")-1),""))</f>
        <v>-0.125</v>
      </c>
      <c r="S6" s="49" t="n">
        <f aca="false">IF($A6="","",IFERROR(SUMIFS(Raw_Q!$I$2:$I$600,Raw_Q!$A$2:$A$600,$A6,Raw_Q!$R$2:$R$600,1)/SUMIFS(Raw_Q!$I$2:$I$600,Raw_Q!$A$2:$A$600,$A6,Raw_Q!$R$2:$R$600,5)-1,""))</f>
        <v>0.0959019944239199</v>
      </c>
      <c r="T6" s="49" t="n">
        <f aca="false">IF($A6="","",IFERROR(SUMIFS(Raw_Q!$I$2:$I$600,Raw_Q!$A$2:$A$600,$A6,Raw_Q!$R$2:$R$600,1)/SUMIFS(Raw_Q!$I$2:$I$600,Raw_Q!$A$2:$A$600,$A6,Raw_Q!$R$2:$R$600,2)-1,""))</f>
        <v>0.238268429667998</v>
      </c>
      <c r="U6" s="49" t="n">
        <f aca="false">IF($A6="","",IFERROR(SUMIFS(Raw_Q!$I$2:$I$600,Raw_Q!$A$2:$A$600,$A6,Raw_Q!$R$2:$R$600,2)/SUMIFS(Raw_Q!$I$2:$I$600,Raw_Q!$A$2:$A$600,$A6,Raw_Q!$R$2:$R$600,3)-1,""))</f>
        <v>0.0143792345505536</v>
      </c>
      <c r="V6" s="68" t="n">
        <f aca="false">IF($A6="","",IFERROR((T6-U6)*100,""))</f>
        <v>22.3889195117444</v>
      </c>
      <c r="W6" s="49" t="str">
        <f aca="false">IF($A6="","",IFERROR(IF(OR(NOT(ISNUMBER(T6)),NOT(ISNUMBER(U6)),U6&lt;=0,ABS(U6)&lt;Config!$B$9),"N/M",(T6-U6)/ABS(U6)),"N/M"))</f>
        <v>N/M</v>
      </c>
      <c r="X6" s="66" t="str">
        <f aca="false">IF($A6="","",IFERROR(IF(NOT(ISNUMBER(T6)),"",IF(AND(ISNUMBER(U6),U6&gt;0,T6&lt;=0),"由正轉負",IF(AND(ISNUMBER(U6),U6&lt;=0,T6&gt;0),"由負轉正",IF(T6&gt;0,IF(V6&gt;0,"成長且加速","成長但減速"),IF(V6&gt;0,"衰退但收斂","衰退且惡化"))))),""))</f>
        <v>成長且加速</v>
      </c>
      <c r="Y6" s="68" t="n">
        <f aca="false">IF($A6="","",IFERROR((T6-(SUMIFS(Raw_Q!$I$2:$I$600,Raw_Q!$A$2:$A$600,$A6,Raw_Q!$R$2:$R$600,5)/SUMIFS(Raw_Q!$I$2:$I$600,Raw_Q!$A$2:$A$600,$A6,Raw_Q!$R$2:$R$600,6)-1))*100,""))</f>
        <v>27.3966504483223</v>
      </c>
      <c r="Z6" s="49" t="n">
        <f aca="false">IF($A6="","",IFERROR(SUMIFS(Raw_Q!$L$2:$L$600,Raw_Q!$A$2:$A$600,$A6,Raw_Q!$R$2:$R$600,1)/SUMIFS(Raw_Q!$L$2:$L$600,Raw_Q!$A$2:$A$600,$A6,Raw_Q!$R$2:$R$600,5)-1,""))</f>
        <v>0.693811074918567</v>
      </c>
      <c r="AA6" s="49" t="n">
        <f aca="false">IF($A6="","",IFERROR(SUMIFS(Raw_Q!$J$2:$J$600,Raw_Q!$A$2:$A$600,$A6,Raw_Q!$R$2:$R$600,"&gt;=1",Raw_Q!$R$2:$R$600,"&lt;=4")/E6,""))</f>
        <v>0.39142949715453</v>
      </c>
      <c r="AB6" s="49" t="n">
        <f aca="false">IF($A6="","",IFERROR(SUMIFS(Raw_Q!$J$2:$J$600,Raw_Q!$A$2:$A$600,$A6,Raw_Q!$R$2:$R$600,"&gt;=1",Raw_Q!$R$2:$R$600,"&lt;="&amp;Config!$B$5)/SUMIFS(Raw_Q!$I$2:$I$600,Raw_Q!$A$2:$A$600,$A6,Raw_Q!$R$2:$R$600,"&gt;=1",Raw_Q!$R$2:$R$600,"&lt;="&amp;Config!$B$5),""))</f>
        <v>0.429492751432017</v>
      </c>
      <c r="AC6" s="50" t="n">
        <f aca="false">IF($A6="","",IFERROR((AA6-AB6)*10000,""))</f>
        <v>-380.632542774863</v>
      </c>
      <c r="AD6" s="50" t="n">
        <f aca="false">IF($A6="","",IFERROR((SUMIFS(Raw_Q!$J$2:$J$600,Raw_Q!$A$2:$A$600,$A6,Raw_Q!$R$2:$R$600,1)/SUMIFS(Raw_Q!$I$2:$I$600,Raw_Q!$A$2:$A$600,$A6,Raw_Q!$R$2:$R$600,1)-SUMIFS(Raw_Q!$J$2:$J$600,Raw_Q!$A$2:$A$600,$A6,Raw_Q!$R$2:$R$600,5)/SUMIFS(Raw_Q!$I$2:$I$600,Raw_Q!$A$2:$A$600,$A6,Raw_Q!$R$2:$R$600,5))*10000,""))</f>
        <v>611.544741557178</v>
      </c>
      <c r="AE6" s="51" t="n">
        <f aca="false">IF($A6="","",IFERROR(SUMIFS(Raw_Q!$O$2:$O$600,Raw_Q!$A$2:$A$600,$A6,Raw_Q!$R$2:$R$600,1)/SUMIFS(Raw_Q!$M$2:$M$600,Raw_Q!$A$2:$A$600,$A6,Raw_Q!$R$2:$R$600,1),""))</f>
        <v>113.327455602729</v>
      </c>
      <c r="AF6" s="48" t="n">
        <f aca="false">IF($A6="","",IFERROR(SUMPRODUCT((Raw_Q!$A$2:$A$600=$A6)*(Raw_Q!$R$2:$R$600&gt;=1)*(Raw_Q!$R$2:$R$600&lt;=4)*Raw_Q!$L$2:$L$600*Raw_Q!$M$2:$M$600),""))</f>
        <v>17446.024705</v>
      </c>
      <c r="AG6" s="49" t="n">
        <f aca="false">IF($A6="","",IFERROR(IF(MIN(SUMIFS(Raw_Q!$O$2:$O$600,Raw_Q!$A$2:$A$600,$A6,Raw_Q!$R$2:$R$600,1),SUMIFS(Raw_Q!$O$2:$O$600,Raw_Q!$A$2:$A$600,$A6,Raw_Q!$R$2:$R$600,5))&lt;=0,"N/M",AF6/((SUMIFS(Raw_Q!$O$2:$O$600,Raw_Q!$A$2:$A$600,$A6,Raw_Q!$R$2:$R$600,1)+SUMIFS(Raw_Q!$O$2:$O$600,Raw_Q!$A$2:$A$600,$A6,Raw_Q!$R$2:$R$600,5))/2)),"N/M"))</f>
        <v>0.271316607852973</v>
      </c>
      <c r="AH6" s="49" t="n">
        <f aca="false">IF($A6="","",IFERROR(AVERAGE(AP6:AT6),""))</f>
        <v>0.432821020049639</v>
      </c>
      <c r="AI6" s="49" t="n">
        <f aca="false">IF($A6="","",IFERROR(IF(AE6&lt;=0,"N/M",INDEX(Raw_Est!$B$2:$B$100,MATCH($A6,Raw_Est!$A$2:$A$100,0))/AE6),"N/M"))</f>
        <v>0.299427087809628</v>
      </c>
      <c r="AJ6" s="51" t="n">
        <f aca="false">IF($A6="","",IFERROR(SUMIFS(Raw_Q!$L$2:$L$600,Raw_Q!$A$2:$A$600,$A6,Raw_Q!$R$2:$R$600,0),""))</f>
        <v>9.57273</v>
      </c>
      <c r="AK6" s="66" t="str">
        <f aca="false">IF($A6="","",IFERROR(INDEX(Raw_Q!$B$2:$B$600,MATCH($A6&amp;"|"&amp;0,Raw_Q!$S$2:$S$600,0)),""))</f>
        <v>FY2026Q3E</v>
      </c>
      <c r="AL6" s="66" t="str">
        <f aca="false">IF($A6="","",IFERROR(INDEX(Raw_Q!$G$2:$G$600,MATCH($A6&amp;"|"&amp;0,Raw_Q!$S$2:$S$600,0)),""))</f>
        <v>consensus</v>
      </c>
      <c r="AM6" s="47" t="n">
        <f aca="false">IF($A6="","",IFERROR(INDEX(Raw_Est!$E$2:$E$100,MATCH($A6,Raw_Est!$A$2:$A$100,0)),""))</f>
        <v>15</v>
      </c>
      <c r="AN6" s="67" t="n">
        <f aca="false">IF($A6="","",IFERROR(INDEX(Raw_Price!$D$2:$D$100,MATCH($A6,Raw_Price!$A$2:$A$100,0)),""))</f>
        <v>0</v>
      </c>
      <c r="AO6" s="67" t="n">
        <f aca="false">IF($A6="","",IFERROR(INDEX(Raw_Price!$E$2:$E$100,MATCH($A6,Raw_Price!$A$2:$A$100,0)),""))</f>
        <v>46311</v>
      </c>
      <c r="AP6" s="49" t="n">
        <f aca="false">IF($A6="","",IFERROR(IF(MIN(SUMIFS(Raw_Q!$O$2:$O$600,Raw_Q!$A$2:$A$600,$A6,Raw_Q!$R$2:$R$600,1),SUMIFS(Raw_Q!$O$2:$O$600,Raw_Q!$A$2:$A$600,$A6,Raw_Q!$R$2:$R$600,5))&lt;=0,"",SUMPRODUCT((Raw_Q!$A$2:$A$600=$A6)*(Raw_Q!$R$2:$R$600&gt;=1)*(Raw_Q!$R$2:$R$600&lt;=4)*Raw_Q!$L$2:$L$600*Raw_Q!$M$2:$M$600)/((SUMIFS(Raw_Q!$O$2:$O$600,Raw_Q!$A$2:$A$600,$A6,Raw_Q!$R$2:$R$600,1)+SUMIFS(Raw_Q!$O$2:$O$600,Raw_Q!$A$2:$A$600,$A6,Raw_Q!$R$2:$R$600,5))/2)),""))</f>
        <v>0.271316607852973</v>
      </c>
      <c r="AQ6" s="49" t="n">
        <f aca="false">IF($A6="","",IFERROR(IF(MIN(SUMIFS(Raw_Q!$O$2:$O$600,Raw_Q!$A$2:$A$600,$A6,Raw_Q!$R$2:$R$600,5),SUMIFS(Raw_Q!$O$2:$O$600,Raw_Q!$A$2:$A$600,$A6,Raw_Q!$R$2:$R$600,9))&lt;=0,"",SUMPRODUCT((Raw_Q!$A$2:$A$600=$A6)*(Raw_Q!$R$2:$R$600&gt;=5)*(Raw_Q!$R$2:$R$600&lt;=8)*Raw_Q!$L$2:$L$600*Raw_Q!$M$2:$M$600)/((SUMIFS(Raw_Q!$O$2:$O$600,Raw_Q!$A$2:$A$600,$A6,Raw_Q!$R$2:$R$600,5)+SUMIFS(Raw_Q!$O$2:$O$600,Raw_Q!$A$2:$A$600,$A6,Raw_Q!$R$2:$R$600,9))/2)),""))</f>
        <v>0.323588491198455</v>
      </c>
      <c r="AR6" s="49" t="n">
        <f aca="false">IF($A6="","",IFERROR(IF(MIN(SUMIFS(Raw_Q!$O$2:$O$600,Raw_Q!$A$2:$A$600,$A6,Raw_Q!$R$2:$R$600,9),SUMIFS(Raw_Q!$O$2:$O$600,Raw_Q!$A$2:$A$600,$A6,Raw_Q!$R$2:$R$600,13))&lt;=0,"",SUMPRODUCT((Raw_Q!$A$2:$A$600=$A6)*(Raw_Q!$R$2:$R$600&gt;=9)*(Raw_Q!$R$2:$R$600&lt;=12)*Raw_Q!$L$2:$L$600*Raw_Q!$M$2:$M$600)/((SUMIFS(Raw_Q!$O$2:$O$600,Raw_Q!$A$2:$A$600,$A6,Raw_Q!$R$2:$R$600,9)+SUMIFS(Raw_Q!$O$2:$O$600,Raw_Q!$A$2:$A$600,$A6,Raw_Q!$R$2:$R$600,13))/2)),""))</f>
        <v>0.387746329305875</v>
      </c>
      <c r="AS6" s="49" t="n">
        <f aca="false">IF($A6="","",IFERROR(IF(MIN(SUMIFS(Raw_Q!$O$2:$O$600,Raw_Q!$A$2:$A$600,$A6,Raw_Q!$R$2:$R$600,13),SUMIFS(Raw_Q!$O$2:$O$600,Raw_Q!$A$2:$A$600,$A6,Raw_Q!$R$2:$R$600,17))&lt;=0,"",SUMPRODUCT((Raw_Q!$A$2:$A$600=$A6)*(Raw_Q!$R$2:$R$600&gt;=13)*(Raw_Q!$R$2:$R$600&lt;=16)*Raw_Q!$L$2:$L$600*Raw_Q!$M$2:$M$600)/((SUMIFS(Raw_Q!$O$2:$O$600,Raw_Q!$A$2:$A$600,$A6,Raw_Q!$R$2:$R$600,13)+SUMIFS(Raw_Q!$O$2:$O$600,Raw_Q!$A$2:$A$600,$A6,Raw_Q!$R$2:$R$600,17))/2)),""))</f>
        <v>0.355158823418127</v>
      </c>
      <c r="AT6" s="49" t="n">
        <f aca="false">IF($A6="","",IFERROR(IF(MIN(SUMIFS(Raw_Q!$O$2:$O$600,Raw_Q!$A$2:$A$600,$A6,Raw_Q!$R$2:$R$600,17),SUMIFS(Raw_Q!$O$2:$O$600,Raw_Q!$A$2:$A$600,$A6,Raw_Q!$R$2:$R$600,21))&lt;=0,"",SUMPRODUCT((Raw_Q!$A$2:$A$600=$A6)*(Raw_Q!$R$2:$R$600&gt;=17)*(Raw_Q!$R$2:$R$600&lt;=20)*Raw_Q!$L$2:$L$600*Raw_Q!$M$2:$M$600)/((SUMIFS(Raw_Q!$O$2:$O$600,Raw_Q!$A$2:$A$600,$A6,Raw_Q!$R$2:$R$600,17)+SUMIFS(Raw_Q!$O$2:$O$600,Raw_Q!$A$2:$A$600,$A6,Raw_Q!$R$2:$R$600,21))/2)),""))</f>
        <v>0.826294848472765</v>
      </c>
    </row>
    <row r="7" customFormat="false" ht="15" hidden="false" customHeight="false" outlineLevel="0" collapsed="false">
      <c r="A7" s="17" t="str">
        <f aca="false">IF(Tickers!A7="","",Tickers!A7)</f>
        <v>3665</v>
      </c>
      <c r="B7" s="66" t="str">
        <f aca="false">IF($A7="","",IFERROR(INDEX(Tickers!$B$2:$B$100,MATCH($A7,Tickers!$A$2:$A$100,0)),""))</f>
        <v>貿聯-KY</v>
      </c>
      <c r="C7" s="66" t="str">
        <f aca="false">IF($A7="","",IFERROR(INDEX(Tickers!$D$2:$D$100,MATCH($A7,Tickers!$A$2:$A$100,0)),""))</f>
        <v>池子</v>
      </c>
      <c r="D7" s="51" t="n">
        <f aca="false">IF($A7="","",IFERROR(INDEX(Raw_Price!$B$2:$B$100,MATCH($A7,Raw_Price!$A$2:$A$100,0)),""))</f>
        <v>2015</v>
      </c>
      <c r="E7" s="48" t="n">
        <f aca="false">IF($A7="","",IFERROR(SUMIFS(Raw_Q!$I$2:$I$600,Raw_Q!$A$2:$A$600,$A7,Raw_Q!$R$2:$R$600,"&gt;=1",Raw_Q!$R$2:$R$600,"&lt;=4"),""))</f>
        <v>82337.996</v>
      </c>
      <c r="F7" s="51" t="n">
        <f aca="false">IF($A7="","",IFERROR(SUMIFS(Raw_Q!$L$2:$L$600,Raw_Q!$A$2:$A$600,$A7,Raw_Q!$R$2:$R$600,"&gt;=1",Raw_Q!$R$2:$R$600,"&lt;=4"),""))</f>
        <v>54.53</v>
      </c>
      <c r="G7" s="51" t="n">
        <f aca="false">IF($A7="","",IFERROR(SUMIFS(Raw_Q!$L$2:$L$600,Raw_Q!$A$2:$A$600,$A7,Raw_Q!$R$2:$R$600,"&gt;=0",Raw_Q!$R$2:$R$600,"&lt;=3"),""))</f>
        <v>59.76375</v>
      </c>
      <c r="H7" s="51" t="n">
        <f aca="true">IF($A7="","",IFERROR(INDEX(Raw_Est!$B$2:$B$100,MATCH($A7,Raw_Est!$A$2:$A$100,0))*MIN(1,MAX(0,(INDEX(Raw_Est!$D$2:$D$100,MATCH($A7,Raw_Est!$A$2:$A$100,0))-TODAY())/Config!$B$8))+INDEX(Raw_Est!$C$2:$C$100,MATCH($A7,Raw_Est!$A$2:$A$100,0))*(1-MIN(1,MAX(0,(INDEX(Raw_Est!$D$2:$D$100,MATCH($A7,Raw_Est!$A$2:$A$100,0))-TODAY())/Config!$B$8))),""))</f>
        <v>116.100301534247</v>
      </c>
      <c r="I7" s="49" t="n">
        <f aca="false">IF($A7="","",IFERROR(SUMIFS(Raw_Q!$L$2:$L$600,Raw_Q!$A$2:$A$600,$A7,Raw_Q!$R$2:$R$600,"&gt;=1",Raw_Q!$R$2:$R$600,"&lt;=4")/SUMIFS(Raw_Q!$L$2:$L$600,Raw_Q!$A$2:$A$600,$A7,Raw_Q!$R$2:$R$600,"&gt;=5",Raw_Q!$R$2:$R$600,"&lt;=8")-1,""))</f>
        <v>0.574646260467803</v>
      </c>
      <c r="J7" s="52" t="n">
        <f aca="false">IF($A7="","",IFERROR(IF(F7&lt;=0,"N/M",D7/F7),"N/M"))</f>
        <v>36.9521364386576</v>
      </c>
      <c r="K7" s="52" t="n">
        <f aca="false">IF($A7="","",IFERROR(IF(G7&lt;=0,"N/M",D7/G7),"N/M"))</f>
        <v>33.7160904394386</v>
      </c>
      <c r="L7" s="52" t="n">
        <f aca="false">IF($A7="","",IFERROR(IF(H7&lt;=0,"N/M",D7/H7),"N/M"))</f>
        <v>17.3556827447655</v>
      </c>
      <c r="M7" s="49" t="n">
        <f aca="false">IF($A7="","",IFERROR(INDEX(Raw_Est!$C$2:$C$100,MATCH($A7,Raw_Est!$A$2:$A$100,0))/INDEX(Raw_Est!$B$2:$B$100,MATCH($A7,Raw_Est!$A$2:$A$100,0))-1,""))</f>
        <v>0.846748464739437</v>
      </c>
      <c r="N7" s="51" t="n">
        <f aca="false">IF($A7="","",IFERROR(IF(OR(NOT(ISNUMBER(J7)),I7&lt;Config!$B$6),"N/M",J7/(I7*100)),"N/M"))</f>
        <v>0.643041449683775</v>
      </c>
      <c r="O7" s="51" t="n">
        <f aca="false">IF($A7="","",IFERROR(IF(OR(NOT(ISNUMBER(L7)),M7&lt;Config!$B$6),"N/M",L7/(M7*100)),"N/M"))</f>
        <v>0.204968576472191</v>
      </c>
      <c r="P7" s="51" t="n">
        <f aca="false">IF($A7="","",IFERROR(SUMIFS(Raw_Q!$P$2:$P$600,Raw_Q!$A$2:$A$600,$A7,Raw_Q!$R$2:$R$600,"&gt;=1",Raw_Q!$R$2:$R$600,"&lt;=4"),""))</f>
        <v>10.50548249</v>
      </c>
      <c r="Q7" s="49" t="n">
        <f aca="false">IF($A7="","",IFERROR(IF(P7=0,"不配息",P7/D7),""))</f>
        <v>0.0052136389528536</v>
      </c>
      <c r="R7" s="49" t="n">
        <f aca="false">IF($A7="","",IFERROR(IF(SUMIFS(Raw_Q!$P$2:$P$600,Raw_Q!$A$2:$A$600,$A7,Raw_Q!$R$2:$R$600,"&gt;=5",Raw_Q!$R$2:$R$600,"&lt;=8")=0,"",SUMIFS(Raw_Q!$P$2:$P$600,Raw_Q!$A$2:$A$600,$A7,Raw_Q!$R$2:$R$600,"&gt;=1",Raw_Q!$R$2:$R$600,"&lt;=4")/SUMIFS(Raw_Q!$P$2:$P$600,Raw_Q!$A$2:$A$600,$A7,Raw_Q!$R$2:$R$600,"&gt;=5",Raw_Q!$R$2:$R$600,"&lt;=8")-1),""))</f>
        <v>0.196424031741944</v>
      </c>
      <c r="S7" s="49" t="n">
        <f aca="false">IF($A7="","",IFERROR(SUMIFS(Raw_Q!$I$2:$I$600,Raw_Q!$A$2:$A$600,$A7,Raw_Q!$R$2:$R$600,1)/SUMIFS(Raw_Q!$I$2:$I$600,Raw_Q!$A$2:$A$600,$A7,Raw_Q!$R$2:$R$600,5)-1,""))</f>
        <v>0.374873740117713</v>
      </c>
      <c r="T7" s="49" t="n">
        <f aca="false">IF($A7="","",IFERROR(SUMIFS(Raw_Q!$I$2:$I$600,Raw_Q!$A$2:$A$600,$A7,Raw_Q!$R$2:$R$600,1)/SUMIFS(Raw_Q!$I$2:$I$600,Raw_Q!$A$2:$A$600,$A7,Raw_Q!$R$2:$R$600,2)-1,""))</f>
        <v>0.115873258795717</v>
      </c>
      <c r="U7" s="49" t="n">
        <f aca="false">IF($A7="","",IFERROR(SUMIFS(Raw_Q!$I$2:$I$600,Raw_Q!$A$2:$A$600,$A7,Raw_Q!$R$2:$R$600,2)/SUMIFS(Raw_Q!$I$2:$I$600,Raw_Q!$A$2:$A$600,$A7,Raw_Q!$R$2:$R$600,3)-1,""))</f>
        <v>0.0547870056790802</v>
      </c>
      <c r="V7" s="68" t="n">
        <f aca="false">IF($A7="","",IFERROR((T7-U7)*100,""))</f>
        <v>6.10862531166365</v>
      </c>
      <c r="W7" s="49" t="n">
        <f aca="false">IF($A7="","",IFERROR(IF(OR(NOT(ISNUMBER(T7)),NOT(ISNUMBER(U7)),U7&lt;=0,ABS(U7)&lt;Config!$B$9),"N/M",(T7-U7)/ABS(U7)),"N/M"))</f>
        <v>1.11497703441679</v>
      </c>
      <c r="X7" s="66" t="str">
        <f aca="false">IF($A7="","",IFERROR(IF(NOT(ISNUMBER(T7)),"",IF(AND(ISNUMBER(U7),U7&gt;0,T7&lt;=0),"由正轉負",IF(AND(ISNUMBER(U7),U7&lt;=0,T7&gt;0),"由負轉正",IF(T7&gt;0,IF(V7&gt;0,"成長且加速","成長但減速"),IF(V7&gt;0,"衰退但收斂","衰退且惡化"))))),""))</f>
        <v>成長且加速</v>
      </c>
      <c r="Y7" s="68" t="n">
        <f aca="false">IF($A7="","",IFERROR((T7-(SUMIFS(Raw_Q!$I$2:$I$600,Raw_Q!$A$2:$A$600,$A7,Raw_Q!$R$2:$R$600,5)/SUMIFS(Raw_Q!$I$2:$I$600,Raw_Q!$A$2:$A$600,$A7,Raw_Q!$R$2:$R$600,6)-1))*100,""))</f>
        <v>6.54698200053601</v>
      </c>
      <c r="Z7" s="49" t="n">
        <f aca="false">IF($A7="","",IFERROR(SUMIFS(Raw_Q!$L$2:$L$600,Raw_Q!$A$2:$A$600,$A7,Raw_Q!$R$2:$R$600,1)/SUMIFS(Raw_Q!$L$2:$L$600,Raw_Q!$A$2:$A$600,$A7,Raw_Q!$R$2:$R$600,5)-1,""))</f>
        <v>0.449715370018975</v>
      </c>
      <c r="AA7" s="49" t="n">
        <f aca="false">IF($A7="","",IFERROR(SUMIFS(Raw_Q!$J$2:$J$600,Raw_Q!$A$2:$A$600,$A7,Raw_Q!$R$2:$R$600,"&gt;=1",Raw_Q!$R$2:$R$600,"&lt;=4")/E7,""))</f>
        <v>0.310848347584267</v>
      </c>
      <c r="AB7" s="49" t="n">
        <f aca="false">IF($A7="","",IFERROR(SUMIFS(Raw_Q!$J$2:$J$600,Raw_Q!$A$2:$A$600,$A7,Raw_Q!$R$2:$R$600,"&gt;=1",Raw_Q!$R$2:$R$600,"&lt;="&amp;Config!$B$5)/SUMIFS(Raw_Q!$I$2:$I$600,Raw_Q!$A$2:$A$600,$A7,Raw_Q!$R$2:$R$600,"&gt;=1",Raw_Q!$R$2:$R$600,"&lt;="&amp;Config!$B$5),""))</f>
        <v>0.279551522958118</v>
      </c>
      <c r="AC7" s="50" t="n">
        <f aca="false">IF($A7="","",IFERROR((AA7-AB7)*10000,""))</f>
        <v>312.968246261493</v>
      </c>
      <c r="AD7" s="50" t="n">
        <f aca="false">IF($A7="","",IFERROR((SUMIFS(Raw_Q!$J$2:$J$600,Raw_Q!$A$2:$A$600,$A7,Raw_Q!$R$2:$R$600,1)/SUMIFS(Raw_Q!$I$2:$I$600,Raw_Q!$A$2:$A$600,$A7,Raw_Q!$R$2:$R$600,1)-SUMIFS(Raw_Q!$J$2:$J$600,Raw_Q!$A$2:$A$600,$A7,Raw_Q!$R$2:$R$600,5)/SUMIFS(Raw_Q!$I$2:$I$600,Raw_Q!$A$2:$A$600,$A7,Raw_Q!$R$2:$R$600,5))*10000,""))</f>
        <v>-38.5940363433762</v>
      </c>
      <c r="AE7" s="51" t="n">
        <f aca="false">IF($A7="","",IFERROR(SUMIFS(Raw_Q!$O$2:$O$600,Raw_Q!$A$2:$A$600,$A7,Raw_Q!$R$2:$R$600,1)/SUMIFS(Raw_Q!$M$2:$M$600,Raw_Q!$A$2:$A$600,$A7,Raw_Q!$R$2:$R$600,1),""))</f>
        <v>254.066067796332</v>
      </c>
      <c r="AF7" s="48" t="n">
        <f aca="false">IF($A7="","",IFERROR(SUMPRODUCT((Raw_Q!$A$2:$A$600=$A7)*(Raw_Q!$R$2:$R$600&gt;=1)*(Raw_Q!$R$2:$R$600&lt;=4)*Raw_Q!$L$2:$L$600*Raw_Q!$M$2:$M$600),""))</f>
        <v>10634.496537</v>
      </c>
      <c r="AG7" s="49" t="n">
        <f aca="false">IF($A7="","",IFERROR(IF(MIN(SUMIFS(Raw_Q!$O$2:$O$600,Raw_Q!$A$2:$A$600,$A7,Raw_Q!$R$2:$R$600,1),SUMIFS(Raw_Q!$O$2:$O$600,Raw_Q!$A$2:$A$600,$A7,Raw_Q!$R$2:$R$600,5))&lt;=0,"N/M",AF7/((SUMIFS(Raw_Q!$O$2:$O$600,Raw_Q!$A$2:$A$600,$A7,Raw_Q!$R$2:$R$600,1)+SUMIFS(Raw_Q!$O$2:$O$600,Raw_Q!$A$2:$A$600,$A7,Raw_Q!$R$2:$R$600,5))/2)),"N/M"))</f>
        <v>0.246843882201776</v>
      </c>
      <c r="AH7" s="49" t="n">
        <f aca="false">IF($A7="","",IFERROR(AVERAGE(AP7:AT7),""))</f>
        <v>0.180759126269984</v>
      </c>
      <c r="AI7" s="49" t="n">
        <f aca="false">IF($A7="","",IFERROR(IF(AE7&lt;=0,"N/M",INDEX(Raw_Est!$B$2:$B$100,MATCH($A7,Raw_Est!$A$2:$A$100,0))/AE7),"N/M"))</f>
        <v>0.273562150990253</v>
      </c>
      <c r="AJ7" s="51" t="n">
        <f aca="false">IF($A7="","",IFERROR(SUMIFS(Raw_Q!$L$2:$L$600,Raw_Q!$A$2:$A$600,$A7,Raw_Q!$R$2:$R$600,0),""))</f>
        <v>18.74375</v>
      </c>
      <c r="AK7" s="66" t="str">
        <f aca="false">IF($A7="","",IFERROR(INDEX(Raw_Q!$B$2:$B$600,MATCH($A7&amp;"|"&amp;0,Raw_Q!$S$2:$S$600,0)),""))</f>
        <v>FY2026Q3E</v>
      </c>
      <c r="AL7" s="66" t="str">
        <f aca="false">IF($A7="","",IFERROR(INDEX(Raw_Q!$G$2:$G$600,MATCH($A7&amp;"|"&amp;0,Raw_Q!$S$2:$S$600,0)),""))</f>
        <v>consensus</v>
      </c>
      <c r="AM7" s="47" t="n">
        <f aca="false">IF($A7="","",IFERROR(INDEX(Raw_Est!$E$2:$E$100,MATCH($A7,Raw_Est!$A$2:$A$100,0)),""))</f>
        <v>9</v>
      </c>
      <c r="AN7" s="67" t="n">
        <f aca="false">IF($A7="","",IFERROR(INDEX(Raw_Price!$D$2:$D$100,MATCH($A7,Raw_Price!$A$2:$A$100,0)),""))</f>
        <v>0</v>
      </c>
      <c r="AO7" s="67" t="n">
        <f aca="false">IF($A7="","",IFERROR(INDEX(Raw_Price!$E$2:$E$100,MATCH($A7,Raw_Price!$A$2:$A$100,0)),""))</f>
        <v>46311</v>
      </c>
      <c r="AP7" s="49" t="n">
        <f aca="false">IF($A7="","",IFERROR(IF(MIN(SUMIFS(Raw_Q!$O$2:$O$600,Raw_Q!$A$2:$A$600,$A7,Raw_Q!$R$2:$R$600,1),SUMIFS(Raw_Q!$O$2:$O$600,Raw_Q!$A$2:$A$600,$A7,Raw_Q!$R$2:$R$600,5))&lt;=0,"",SUMPRODUCT((Raw_Q!$A$2:$A$600=$A7)*(Raw_Q!$R$2:$R$600&gt;=1)*(Raw_Q!$R$2:$R$600&lt;=4)*Raw_Q!$L$2:$L$600*Raw_Q!$M$2:$M$600)/((SUMIFS(Raw_Q!$O$2:$O$600,Raw_Q!$A$2:$A$600,$A7,Raw_Q!$R$2:$R$600,1)+SUMIFS(Raw_Q!$O$2:$O$600,Raw_Q!$A$2:$A$600,$A7,Raw_Q!$R$2:$R$600,5))/2)),""))</f>
        <v>0.246843882201776</v>
      </c>
      <c r="AQ7" s="49" t="n">
        <f aca="false">IF($A7="","",IFERROR(IF(MIN(SUMIFS(Raw_Q!$O$2:$O$600,Raw_Q!$A$2:$A$600,$A7,Raw_Q!$R$2:$R$600,5),SUMIFS(Raw_Q!$O$2:$O$600,Raw_Q!$A$2:$A$600,$A7,Raw_Q!$R$2:$R$600,9))&lt;=0,"",SUMPRODUCT((Raw_Q!$A$2:$A$600=$A7)*(Raw_Q!$R$2:$R$600&gt;=5)*(Raw_Q!$R$2:$R$600&lt;=8)*Raw_Q!$L$2:$L$600*Raw_Q!$M$2:$M$600)/((SUMIFS(Raw_Q!$O$2:$O$600,Raw_Q!$A$2:$A$600,$A7,Raw_Q!$R$2:$R$600,5)+SUMIFS(Raw_Q!$O$2:$O$600,Raw_Q!$A$2:$A$600,$A7,Raw_Q!$R$2:$R$600,9))/2)),""))</f>
        <v>0.208536280060511</v>
      </c>
      <c r="AR7" s="49" t="n">
        <f aca="false">IF($A7="","",IFERROR(IF(MIN(SUMIFS(Raw_Q!$O$2:$O$600,Raw_Q!$A$2:$A$600,$A7,Raw_Q!$R$2:$R$600,9),SUMIFS(Raw_Q!$O$2:$O$600,Raw_Q!$A$2:$A$600,$A7,Raw_Q!$R$2:$R$600,13))&lt;=0,"",SUMPRODUCT((Raw_Q!$A$2:$A$600=$A7)*(Raw_Q!$R$2:$R$600&gt;=9)*(Raw_Q!$R$2:$R$600&lt;=12)*Raw_Q!$L$2:$L$600*Raw_Q!$M$2:$M$600)/((SUMIFS(Raw_Q!$O$2:$O$600,Raw_Q!$A$2:$A$600,$A7,Raw_Q!$R$2:$R$600,9)+SUMIFS(Raw_Q!$O$2:$O$600,Raw_Q!$A$2:$A$600,$A7,Raw_Q!$R$2:$R$600,13))/2)),""))</f>
        <v>0.115704213687219</v>
      </c>
      <c r="AS7" s="49" t="n">
        <f aca="false">IF($A7="","",IFERROR(IF(MIN(SUMIFS(Raw_Q!$O$2:$O$600,Raw_Q!$A$2:$A$600,$A7,Raw_Q!$R$2:$R$600,13),SUMIFS(Raw_Q!$O$2:$O$600,Raw_Q!$A$2:$A$600,$A7,Raw_Q!$R$2:$R$600,17))&lt;=0,"",SUMPRODUCT((Raw_Q!$A$2:$A$600=$A7)*(Raw_Q!$R$2:$R$600&gt;=13)*(Raw_Q!$R$2:$R$600&lt;=16)*Raw_Q!$L$2:$L$600*Raw_Q!$M$2:$M$600)/((SUMIFS(Raw_Q!$O$2:$O$600,Raw_Q!$A$2:$A$600,$A7,Raw_Q!$R$2:$R$600,13)+SUMIFS(Raw_Q!$O$2:$O$600,Raw_Q!$A$2:$A$600,$A7,Raw_Q!$R$2:$R$600,17))/2)),""))</f>
        <v>0.151426557202254</v>
      </c>
      <c r="AT7" s="49" t="n">
        <f aca="false">IF($A7="","",IFERROR(IF(MIN(SUMIFS(Raw_Q!$O$2:$O$600,Raw_Q!$A$2:$A$600,$A7,Raw_Q!$R$2:$R$600,17),SUMIFS(Raw_Q!$O$2:$O$600,Raw_Q!$A$2:$A$600,$A7,Raw_Q!$R$2:$R$600,21))&lt;=0,"",SUMPRODUCT((Raw_Q!$A$2:$A$600=$A7)*(Raw_Q!$R$2:$R$600&gt;=17)*(Raw_Q!$R$2:$R$600&lt;=20)*Raw_Q!$L$2:$L$600*Raw_Q!$M$2:$M$600)/((SUMIFS(Raw_Q!$O$2:$O$600,Raw_Q!$A$2:$A$600,$A7,Raw_Q!$R$2:$R$600,17)+SUMIFS(Raw_Q!$O$2:$O$600,Raw_Q!$A$2:$A$600,$A7,Raw_Q!$R$2:$R$600,21))/2)),""))</f>
        <v>0.181284698198162</v>
      </c>
    </row>
    <row r="8" customFormat="false" ht="15" hidden="false" customHeight="false" outlineLevel="0" collapsed="false">
      <c r="A8" s="17" t="str">
        <f aca="false">IF(Tickers!A8="","",Tickers!A8)</f>
        <v>5434</v>
      </c>
      <c r="B8" s="66" t="str">
        <f aca="false">IF($A8="","",IFERROR(INDEX(Tickers!$B$2:$B$100,MATCH($A8,Tickers!$A$2:$A$100,0)),""))</f>
        <v>崇越</v>
      </c>
      <c r="C8" s="66" t="str">
        <f aca="false">IF($A8="","",IFERROR(INDEX(Tickers!$D$2:$D$100,MATCH($A8,Tickers!$A$2:$A$100,0)),""))</f>
        <v>池子</v>
      </c>
      <c r="D8" s="51" t="n">
        <f aca="false">IF($A8="","",IFERROR(INDEX(Raw_Price!$B$2:$B$100,MATCH($A8,Raw_Price!$A$2:$A$100,0)),""))</f>
        <v>576</v>
      </c>
      <c r="E8" s="48" t="n">
        <f aca="false">IF($A8="","",IFERROR(SUMIFS(Raw_Q!$I$2:$I$600,Raw_Q!$A$2:$A$600,$A8,Raw_Q!$R$2:$R$600,"&gt;=1",Raw_Q!$R$2:$R$600,"&lt;=4"),""))</f>
        <v>0</v>
      </c>
      <c r="F8" s="51" t="n">
        <f aca="false">IF($A8="","",IFERROR(SUMIFS(Raw_Q!$L$2:$L$600,Raw_Q!$A$2:$A$600,$A8,Raw_Q!$R$2:$R$600,"&gt;=1",Raw_Q!$R$2:$R$600,"&lt;=4"),""))</f>
        <v>0</v>
      </c>
      <c r="G8" s="51" t="n">
        <f aca="false">IF($A8="","",IFERROR(SUMIFS(Raw_Q!$L$2:$L$600,Raw_Q!$A$2:$A$600,$A8,Raw_Q!$R$2:$R$600,"&gt;=0",Raw_Q!$R$2:$R$600,"&lt;=3"),""))</f>
        <v>0</v>
      </c>
      <c r="H8" s="51" t="n">
        <f aca="true">IF($A8="","",IFERROR(INDEX(Raw_Est!$B$2:$B$100,MATCH($A8,Raw_Est!$A$2:$A$100,0))*MIN(1,MAX(0,(INDEX(Raw_Est!$D$2:$D$100,MATCH($A8,Raw_Est!$A$2:$A$100,0))-TODAY())/Config!$B$8))+INDEX(Raw_Est!$C$2:$C$100,MATCH($A8,Raw_Est!$A$2:$A$100,0))*(1-MIN(1,MAX(0,(INDEX(Raw_Est!$D$2:$D$100,MATCH($A8,Raw_Est!$A$2:$A$100,0))-TODAY())/Config!$B$8))),""))</f>
        <v>33.2873260273973</v>
      </c>
      <c r="I8" s="49" t="str">
        <f aca="false">IF($A8="","",IFERROR(SUMIFS(Raw_Q!$L$2:$L$600,Raw_Q!$A$2:$A$600,$A8,Raw_Q!$R$2:$R$600,"&gt;=1",Raw_Q!$R$2:$R$600,"&lt;=4")/SUMIFS(Raw_Q!$L$2:$L$600,Raw_Q!$A$2:$A$600,$A8,Raw_Q!$R$2:$R$600,"&gt;=5",Raw_Q!$R$2:$R$600,"&lt;=8")-1,""))</f>
        <v/>
      </c>
      <c r="J8" s="52" t="str">
        <f aca="false">IF($A8="","",IFERROR(IF(F8&lt;=0,"N/M",D8/F8),"N/M"))</f>
        <v>N/M</v>
      </c>
      <c r="K8" s="52" t="str">
        <f aca="false">IF($A8="","",IFERROR(IF(G8&lt;=0,"N/M",D8/G8),"N/M"))</f>
        <v>N/M</v>
      </c>
      <c r="L8" s="52" t="n">
        <f aca="false">IF($A8="","",IFERROR(IF(H8&lt;=0,"N/M",D8/H8),"N/M"))</f>
        <v>17.3038831513808</v>
      </c>
      <c r="M8" s="49" t="n">
        <f aca="false">IF($A8="","",IFERROR(INDEX(Raw_Est!$C$2:$C$100,MATCH($A8,Raw_Est!$A$2:$A$100,0))/INDEX(Raw_Est!$B$2:$B$100,MATCH($A8,Raw_Est!$A$2:$A$100,0))-1,""))</f>
        <v>0.111252758028929</v>
      </c>
      <c r="N8" s="51" t="str">
        <f aca="false">IF($A8="","",IFERROR(IF(OR(NOT(ISNUMBER(J8)),I8&lt;Config!$B$6),"N/M",J8/(I8*100)),"N/M"))</f>
        <v>N/M</v>
      </c>
      <c r="O8" s="51" t="n">
        <f aca="false">IF($A8="","",IFERROR(IF(OR(NOT(ISNUMBER(L8)),M8&lt;Config!$B$6),"N/M",L8/(M8*100)),"N/M"))</f>
        <v>1.55536666757343</v>
      </c>
      <c r="P8" s="51" t="n">
        <f aca="false">IF($A8="","",IFERROR(SUMIFS(Raw_Q!$P$2:$P$600,Raw_Q!$A$2:$A$600,$A8,Raw_Q!$R$2:$R$600,"&gt;=1",Raw_Q!$R$2:$R$600,"&lt;=4"),""))</f>
        <v>0</v>
      </c>
      <c r="Q8" s="49" t="str">
        <f aca="false">IF($A8="","",IFERROR(IF(P8=0,"不配息",P8/D8),""))</f>
        <v>不配息</v>
      </c>
      <c r="R8" s="49" t="str">
        <f aca="false">IF($A8="","",IFERROR(IF(SUMIFS(Raw_Q!$P$2:$P$600,Raw_Q!$A$2:$A$600,$A8,Raw_Q!$R$2:$R$600,"&gt;=5",Raw_Q!$R$2:$R$600,"&lt;=8")=0,"",SUMIFS(Raw_Q!$P$2:$P$600,Raw_Q!$A$2:$A$600,$A8,Raw_Q!$R$2:$R$600,"&gt;=1",Raw_Q!$R$2:$R$600,"&lt;=4")/SUMIFS(Raw_Q!$P$2:$P$600,Raw_Q!$A$2:$A$600,$A8,Raw_Q!$R$2:$R$600,"&gt;=5",Raw_Q!$R$2:$R$600,"&lt;=8")-1),""))</f>
        <v/>
      </c>
      <c r="S8" s="49" t="str">
        <f aca="false">IF($A8="","",IFERROR(SUMIFS(Raw_Q!$I$2:$I$600,Raw_Q!$A$2:$A$600,$A8,Raw_Q!$R$2:$R$600,1)/SUMIFS(Raw_Q!$I$2:$I$600,Raw_Q!$A$2:$A$600,$A8,Raw_Q!$R$2:$R$600,5)-1,""))</f>
        <v/>
      </c>
      <c r="T8" s="49" t="str">
        <f aca="false">IF($A8="","",IFERROR(SUMIFS(Raw_Q!$I$2:$I$600,Raw_Q!$A$2:$A$600,$A8,Raw_Q!$R$2:$R$600,1)/SUMIFS(Raw_Q!$I$2:$I$600,Raw_Q!$A$2:$A$600,$A8,Raw_Q!$R$2:$R$600,2)-1,""))</f>
        <v/>
      </c>
      <c r="U8" s="49" t="str">
        <f aca="false">IF($A8="","",IFERROR(SUMIFS(Raw_Q!$I$2:$I$600,Raw_Q!$A$2:$A$600,$A8,Raw_Q!$R$2:$R$600,2)/SUMIFS(Raw_Q!$I$2:$I$600,Raw_Q!$A$2:$A$600,$A8,Raw_Q!$R$2:$R$600,3)-1,""))</f>
        <v/>
      </c>
      <c r="V8" s="68" t="str">
        <f aca="false">IF($A8="","",IFERROR((T8-U8)*100,""))</f>
        <v/>
      </c>
      <c r="W8" s="49" t="str">
        <f aca="false">IF($A8="","",IFERROR(IF(OR(NOT(ISNUMBER(T8)),NOT(ISNUMBER(U8)),U8&lt;=0,ABS(U8)&lt;Config!$B$9),"N/M",(T8-U8)/ABS(U8)),"N/M"))</f>
        <v>N/M</v>
      </c>
      <c r="X8" s="66" t="str">
        <f aca="false">IF($A8="","",IFERROR(IF(NOT(ISNUMBER(T8)),"",IF(AND(ISNUMBER(U8),U8&gt;0,T8&lt;=0),"由正轉負",IF(AND(ISNUMBER(U8),U8&lt;=0,T8&gt;0),"由負轉正",IF(T8&gt;0,IF(V8&gt;0,"成長且加速","成長但減速"),IF(V8&gt;0,"衰退但收斂","衰退且惡化"))))),""))</f>
        <v/>
      </c>
      <c r="Y8" s="68" t="str">
        <f aca="false">IF($A8="","",IFERROR((T8-(SUMIFS(Raw_Q!$I$2:$I$600,Raw_Q!$A$2:$A$600,$A8,Raw_Q!$R$2:$R$600,5)/SUMIFS(Raw_Q!$I$2:$I$600,Raw_Q!$A$2:$A$600,$A8,Raw_Q!$R$2:$R$600,6)-1))*100,""))</f>
        <v/>
      </c>
      <c r="Z8" s="49" t="str">
        <f aca="false">IF($A8="","",IFERROR(SUMIFS(Raw_Q!$L$2:$L$600,Raw_Q!$A$2:$A$600,$A8,Raw_Q!$R$2:$R$600,1)/SUMIFS(Raw_Q!$L$2:$L$600,Raw_Q!$A$2:$A$600,$A8,Raw_Q!$R$2:$R$600,5)-1,""))</f>
        <v/>
      </c>
      <c r="AA8" s="49" t="str">
        <f aca="false">IF($A8="","",IFERROR(SUMIFS(Raw_Q!$J$2:$J$600,Raw_Q!$A$2:$A$600,$A8,Raw_Q!$R$2:$R$600,"&gt;=1",Raw_Q!$R$2:$R$600,"&lt;=4")/E8,""))</f>
        <v/>
      </c>
      <c r="AB8" s="49" t="str">
        <f aca="false">IF($A8="","",IFERROR(SUMIFS(Raw_Q!$J$2:$J$600,Raw_Q!$A$2:$A$600,$A8,Raw_Q!$R$2:$R$600,"&gt;=1",Raw_Q!$R$2:$R$600,"&lt;="&amp;Config!$B$5)/SUMIFS(Raw_Q!$I$2:$I$600,Raw_Q!$A$2:$A$600,$A8,Raw_Q!$R$2:$R$600,"&gt;=1",Raw_Q!$R$2:$R$600,"&lt;="&amp;Config!$B$5),""))</f>
        <v/>
      </c>
      <c r="AC8" s="50" t="str">
        <f aca="false">IF($A8="","",IFERROR((AA8-AB8)*10000,""))</f>
        <v/>
      </c>
      <c r="AD8" s="50" t="str">
        <f aca="false">IF($A8="","",IFERROR((SUMIFS(Raw_Q!$J$2:$J$600,Raw_Q!$A$2:$A$600,$A8,Raw_Q!$R$2:$R$600,1)/SUMIFS(Raw_Q!$I$2:$I$600,Raw_Q!$A$2:$A$600,$A8,Raw_Q!$R$2:$R$600,1)-SUMIFS(Raw_Q!$J$2:$J$600,Raw_Q!$A$2:$A$600,$A8,Raw_Q!$R$2:$R$600,5)/SUMIFS(Raw_Q!$I$2:$I$600,Raw_Q!$A$2:$A$600,$A8,Raw_Q!$R$2:$R$600,5))*10000,""))</f>
        <v/>
      </c>
      <c r="AE8" s="51" t="str">
        <f aca="false">IF($A8="","",IFERROR(SUMIFS(Raw_Q!$O$2:$O$600,Raw_Q!$A$2:$A$600,$A8,Raw_Q!$R$2:$R$600,1)/SUMIFS(Raw_Q!$M$2:$M$600,Raw_Q!$A$2:$A$600,$A8,Raw_Q!$R$2:$R$600,1),""))</f>
        <v/>
      </c>
      <c r="AF8" s="48" t="n">
        <f aca="false">IF($A8="","",IFERROR(SUMPRODUCT((Raw_Q!$A$2:$A$600=$A8)*(Raw_Q!$R$2:$R$600&gt;=1)*(Raw_Q!$R$2:$R$600&lt;=4)*Raw_Q!$L$2:$L$600*Raw_Q!$M$2:$M$600),""))</f>
        <v>0</v>
      </c>
      <c r="AG8" s="49" t="str">
        <f aca="false">IF($A8="","",IFERROR(IF(MIN(SUMIFS(Raw_Q!$O$2:$O$600,Raw_Q!$A$2:$A$600,$A8,Raw_Q!$R$2:$R$600,1),SUMIFS(Raw_Q!$O$2:$O$600,Raw_Q!$A$2:$A$600,$A8,Raw_Q!$R$2:$R$600,5))&lt;=0,"N/M",AF8/((SUMIFS(Raw_Q!$O$2:$O$600,Raw_Q!$A$2:$A$600,$A8,Raw_Q!$R$2:$R$600,1)+SUMIFS(Raw_Q!$O$2:$O$600,Raw_Q!$A$2:$A$600,$A8,Raw_Q!$R$2:$R$600,5))/2)),"N/M"))</f>
        <v>N/M</v>
      </c>
      <c r="AH8" s="49" t="str">
        <f aca="false">IF($A8="","",IFERROR(AVERAGE(AP8:AT8),""))</f>
        <v/>
      </c>
      <c r="AI8" s="49" t="str">
        <f aca="false">IF($A8="","",IFERROR(IF(AE8&lt;=0,"N/M",INDEX(Raw_Est!$B$2:$B$100,MATCH($A8,Raw_Est!$A$2:$A$100,0))/AE8),"N/M"))</f>
        <v>N/M</v>
      </c>
      <c r="AJ8" s="51" t="n">
        <f aca="false">IF($A8="","",IFERROR(SUMIFS(Raw_Q!$L$2:$L$600,Raw_Q!$A$2:$A$600,$A8,Raw_Q!$R$2:$R$600,0),""))</f>
        <v>0</v>
      </c>
      <c r="AK8" s="66" t="str">
        <f aca="false">IF($A8="","",IFERROR(INDEX(Raw_Q!$B$2:$B$600,MATCH($A8&amp;"|"&amp;0,Raw_Q!$S$2:$S$600,0)),""))</f>
        <v/>
      </c>
      <c r="AL8" s="66" t="str">
        <f aca="false">IF($A8="","",IFERROR(INDEX(Raw_Q!$G$2:$G$600,MATCH($A8&amp;"|"&amp;0,Raw_Q!$S$2:$S$600,0)),""))</f>
        <v/>
      </c>
      <c r="AM8" s="47" t="n">
        <f aca="false">IF($A8="","",IFERROR(INDEX(Raw_Est!$E$2:$E$100,MATCH($A8,Raw_Est!$A$2:$A$100,0)),""))</f>
        <v>4</v>
      </c>
      <c r="AN8" s="67" t="n">
        <f aca="false">IF($A8="","",IFERROR(INDEX(Raw_Price!$D$2:$D$100,MATCH($A8,Raw_Price!$A$2:$A$100,0)),""))</f>
        <v>0</v>
      </c>
      <c r="AO8" s="67" t="n">
        <f aca="false">IF($A8="","",IFERROR(INDEX(Raw_Price!$E$2:$E$100,MATCH($A8,Raw_Price!$A$2:$A$100,0)),""))</f>
        <v>46311</v>
      </c>
      <c r="AP8" s="49" t="str">
        <f aca="false">IF($A8="","",IFERROR(IF(MIN(SUMIFS(Raw_Q!$O$2:$O$600,Raw_Q!$A$2:$A$600,$A8,Raw_Q!$R$2:$R$600,1),SUMIFS(Raw_Q!$O$2:$O$600,Raw_Q!$A$2:$A$600,$A8,Raw_Q!$R$2:$R$600,5))&lt;=0,"",SUMPRODUCT((Raw_Q!$A$2:$A$600=$A8)*(Raw_Q!$R$2:$R$600&gt;=1)*(Raw_Q!$R$2:$R$600&lt;=4)*Raw_Q!$L$2:$L$600*Raw_Q!$M$2:$M$600)/((SUMIFS(Raw_Q!$O$2:$O$600,Raw_Q!$A$2:$A$600,$A8,Raw_Q!$R$2:$R$600,1)+SUMIFS(Raw_Q!$O$2:$O$600,Raw_Q!$A$2:$A$600,$A8,Raw_Q!$R$2:$R$600,5))/2)),""))</f>
        <v/>
      </c>
      <c r="AQ8" s="49" t="str">
        <f aca="false">IF($A8="","",IFERROR(IF(MIN(SUMIFS(Raw_Q!$O$2:$O$600,Raw_Q!$A$2:$A$600,$A8,Raw_Q!$R$2:$R$600,5),SUMIFS(Raw_Q!$O$2:$O$600,Raw_Q!$A$2:$A$600,$A8,Raw_Q!$R$2:$R$600,9))&lt;=0,"",SUMPRODUCT((Raw_Q!$A$2:$A$600=$A8)*(Raw_Q!$R$2:$R$600&gt;=5)*(Raw_Q!$R$2:$R$600&lt;=8)*Raw_Q!$L$2:$L$600*Raw_Q!$M$2:$M$600)/((SUMIFS(Raw_Q!$O$2:$O$600,Raw_Q!$A$2:$A$600,$A8,Raw_Q!$R$2:$R$600,5)+SUMIFS(Raw_Q!$O$2:$O$600,Raw_Q!$A$2:$A$600,$A8,Raw_Q!$R$2:$R$600,9))/2)),""))</f>
        <v/>
      </c>
      <c r="AR8" s="49" t="str">
        <f aca="false">IF($A8="","",IFERROR(IF(MIN(SUMIFS(Raw_Q!$O$2:$O$600,Raw_Q!$A$2:$A$600,$A8,Raw_Q!$R$2:$R$600,9),SUMIFS(Raw_Q!$O$2:$O$600,Raw_Q!$A$2:$A$600,$A8,Raw_Q!$R$2:$R$600,13))&lt;=0,"",SUMPRODUCT((Raw_Q!$A$2:$A$600=$A8)*(Raw_Q!$R$2:$R$600&gt;=9)*(Raw_Q!$R$2:$R$600&lt;=12)*Raw_Q!$L$2:$L$600*Raw_Q!$M$2:$M$600)/((SUMIFS(Raw_Q!$O$2:$O$600,Raw_Q!$A$2:$A$600,$A8,Raw_Q!$R$2:$R$600,9)+SUMIFS(Raw_Q!$O$2:$O$600,Raw_Q!$A$2:$A$600,$A8,Raw_Q!$R$2:$R$600,13))/2)),""))</f>
        <v/>
      </c>
      <c r="AS8" s="49" t="str">
        <f aca="false">IF($A8="","",IFERROR(IF(MIN(SUMIFS(Raw_Q!$O$2:$O$600,Raw_Q!$A$2:$A$600,$A8,Raw_Q!$R$2:$R$600,13),SUMIFS(Raw_Q!$O$2:$O$600,Raw_Q!$A$2:$A$600,$A8,Raw_Q!$R$2:$R$600,17))&lt;=0,"",SUMPRODUCT((Raw_Q!$A$2:$A$600=$A8)*(Raw_Q!$R$2:$R$600&gt;=13)*(Raw_Q!$R$2:$R$600&lt;=16)*Raw_Q!$L$2:$L$600*Raw_Q!$M$2:$M$600)/((SUMIFS(Raw_Q!$O$2:$O$600,Raw_Q!$A$2:$A$600,$A8,Raw_Q!$R$2:$R$600,13)+SUMIFS(Raw_Q!$O$2:$O$600,Raw_Q!$A$2:$A$600,$A8,Raw_Q!$R$2:$R$600,17))/2)),""))</f>
        <v/>
      </c>
      <c r="AT8" s="49" t="str">
        <f aca="false">IF($A8="","",IFERROR(IF(MIN(SUMIFS(Raw_Q!$O$2:$O$600,Raw_Q!$A$2:$A$600,$A8,Raw_Q!$R$2:$R$600,17),SUMIFS(Raw_Q!$O$2:$O$600,Raw_Q!$A$2:$A$600,$A8,Raw_Q!$R$2:$R$600,21))&lt;=0,"",SUMPRODUCT((Raw_Q!$A$2:$A$600=$A8)*(Raw_Q!$R$2:$R$600&gt;=17)*(Raw_Q!$R$2:$R$600&lt;=20)*Raw_Q!$L$2:$L$600*Raw_Q!$M$2:$M$600)/((SUMIFS(Raw_Q!$O$2:$O$600,Raw_Q!$A$2:$A$600,$A8,Raw_Q!$R$2:$R$600,17)+SUMIFS(Raw_Q!$O$2:$O$600,Raw_Q!$A$2:$A$600,$A8,Raw_Q!$R$2:$R$600,21))/2)),""))</f>
        <v/>
      </c>
    </row>
    <row r="9" customFormat="false" ht="15" hidden="false" customHeight="false" outlineLevel="0" collapsed="false">
      <c r="A9" s="17" t="str">
        <f aca="false">IF(Tickers!A9="","",Tickers!A9)</f>
        <v>2376</v>
      </c>
      <c r="B9" s="66" t="str">
        <f aca="false">IF($A9="","",IFERROR(INDEX(Tickers!$B$2:$B$100,MATCH($A9,Tickers!$A$2:$A$100,0)),""))</f>
        <v>技嘉</v>
      </c>
      <c r="C9" s="66" t="str">
        <f aca="false">IF($A9="","",IFERROR(INDEX(Tickers!$D$2:$D$100,MATCH($A9,Tickers!$A$2:$A$100,0)),""))</f>
        <v>池子</v>
      </c>
      <c r="D9" s="51" t="n">
        <f aca="false">IF($A9="","",IFERROR(INDEX(Raw_Price!$B$2:$B$100,MATCH($A9,Raw_Price!$A$2:$A$100,0)),""))</f>
        <v>357.5</v>
      </c>
      <c r="E9" s="48" t="n">
        <f aca="false">IF($A9="","",IFERROR(SUMIFS(Raw_Q!$I$2:$I$600,Raw_Q!$A$2:$A$600,$A9,Raw_Q!$R$2:$R$600,"&gt;=1",Raw_Q!$R$2:$R$600,"&lt;=4"),""))</f>
        <v>418202.877</v>
      </c>
      <c r="F9" s="51" t="n">
        <f aca="false">IF($A9="","",IFERROR(SUMIFS(Raw_Q!$L$2:$L$600,Raw_Q!$A$2:$A$600,$A9,Raw_Q!$R$2:$R$600,"&gt;=1",Raw_Q!$R$2:$R$600,"&lt;=4"),""))</f>
        <v>26.71</v>
      </c>
      <c r="G9" s="51" t="n">
        <f aca="false">IF($A9="","",IFERROR(SUMIFS(Raw_Q!$L$2:$L$600,Raw_Q!$A$2:$A$600,$A9,Raw_Q!$R$2:$R$600,"&gt;=0",Raw_Q!$R$2:$R$600,"&lt;=3"),""))</f>
        <v>30.36666</v>
      </c>
      <c r="H9" s="51" t="n">
        <f aca="true">IF($A9="","",IFERROR(INDEX(Raw_Est!$B$2:$B$100,MATCH($A9,Raw_Est!$A$2:$A$100,0))*MIN(1,MAX(0,(INDEX(Raw_Est!$D$2:$D$100,MATCH($A9,Raw_Est!$A$2:$A$100,0))-TODAY())/Config!$B$8))+INDEX(Raw_Est!$C$2:$C$100,MATCH($A9,Raw_Est!$A$2:$A$100,0))*(1-MIN(1,MAX(0,(INDEX(Raw_Est!$D$2:$D$100,MATCH($A9,Raw_Est!$A$2:$A$100,0))-TODAY())/Config!$B$8))),""))</f>
        <v>36.6460208767123</v>
      </c>
      <c r="I9" s="49" t="n">
        <f aca="false">IF($A9="","",IFERROR(SUMIFS(Raw_Q!$L$2:$L$600,Raw_Q!$A$2:$A$600,$A9,Raw_Q!$R$2:$R$600,"&gt;=1",Raw_Q!$R$2:$R$600,"&lt;=4")/SUMIFS(Raw_Q!$L$2:$L$600,Raw_Q!$A$2:$A$600,$A9,Raw_Q!$R$2:$R$600,"&gt;=5",Raw_Q!$R$2:$R$600,"&lt;=8")-1,""))</f>
        <v>0.62667478684531</v>
      </c>
      <c r="J9" s="52" t="n">
        <f aca="false">IF($A9="","",IFERROR(IF(F9&lt;=0,"N/M",D9/F9),"N/M"))</f>
        <v>13.3845001871958</v>
      </c>
      <c r="K9" s="52" t="n">
        <f aca="false">IF($A9="","",IFERROR(IF(G9&lt;=0,"N/M",D9/G9),"N/M"))</f>
        <v>11.7727797525312</v>
      </c>
      <c r="L9" s="52" t="n">
        <f aca="false">IF($A9="","",IFERROR(IF(H9&lt;=0,"N/M",D9/H9),"N/M"))</f>
        <v>9.75549299616272</v>
      </c>
      <c r="M9" s="49" t="n">
        <f aca="false">IF($A9="","",IFERROR(INDEX(Raw_Est!$C$2:$C$100,MATCH($A9,Raw_Est!$A$2:$A$100,0))/INDEX(Raw_Est!$B$2:$B$100,MATCH($A9,Raw_Est!$A$2:$A$100,0))-1,""))</f>
        <v>0.097425753051003</v>
      </c>
      <c r="N9" s="51" t="n">
        <f aca="false">IF($A9="","",IFERROR(IF(OR(NOT(ISNUMBER(J9)),I9&lt;Config!$B$6),"N/M",J9/(I9*100)),"N/M"))</f>
        <v>0.21357968228742</v>
      </c>
      <c r="O9" s="51" t="n">
        <f aca="false">IF($A9="","",IFERROR(IF(OR(NOT(ISNUMBER(L9)),M9&lt;Config!$B$6),"N/M",L9/(M9*100)),"N/M"))</f>
        <v>1.00132590107419</v>
      </c>
      <c r="P9" s="51" t="n">
        <f aca="false">IF($A9="","",IFERROR(SUMIFS(Raw_Q!$P$2:$P$600,Raw_Q!$A$2:$A$600,$A9,Raw_Q!$R$2:$R$600,"&gt;=1",Raw_Q!$R$2:$R$600,"&lt;=4"),""))</f>
        <v>10</v>
      </c>
      <c r="Q9" s="49" t="n">
        <f aca="false">IF($A9="","",IFERROR(IF(P9=0,"不配息",P9/D9),""))</f>
        <v>0.027972027972028</v>
      </c>
      <c r="R9" s="49" t="n">
        <f aca="false">IF($A9="","",IFERROR(IF(SUMIFS(Raw_Q!$P$2:$P$600,Raw_Q!$A$2:$A$600,$A9,Raw_Q!$R$2:$R$600,"&gt;=5",Raw_Q!$R$2:$R$600,"&lt;=8")=0,"",SUMIFS(Raw_Q!$P$2:$P$600,Raw_Q!$A$2:$A$600,$A9,Raw_Q!$R$2:$R$600,"&gt;=1",Raw_Q!$R$2:$R$600,"&lt;=4")/SUMIFS(Raw_Q!$P$2:$P$600,Raw_Q!$A$2:$A$600,$A9,Raw_Q!$R$2:$R$600,"&gt;=5",Raw_Q!$R$2:$R$600,"&lt;=8")-1),""))</f>
        <v>0.572835675836409</v>
      </c>
      <c r="S9" s="49" t="n">
        <f aca="false">IF($A9="","",IFERROR(SUMIFS(Raw_Q!$I$2:$I$600,Raw_Q!$A$2:$A$600,$A9,Raw_Q!$R$2:$R$600,1)/SUMIFS(Raw_Q!$I$2:$I$600,Raw_Q!$A$2:$A$600,$A9,Raw_Q!$R$2:$R$600,5)-1,""))</f>
        <v>0.410298161565973</v>
      </c>
      <c r="T9" s="49" t="n">
        <f aca="false">IF($A9="","",IFERROR(SUMIFS(Raw_Q!$I$2:$I$600,Raw_Q!$A$2:$A$600,$A9,Raw_Q!$R$2:$R$600,1)/SUMIFS(Raw_Q!$I$2:$I$600,Raw_Q!$A$2:$A$600,$A9,Raw_Q!$R$2:$R$600,2)-1,""))</f>
        <v>0.372721284654769</v>
      </c>
      <c r="U9" s="49" t="n">
        <f aca="false">IF($A9="","",IFERROR(SUMIFS(Raw_Q!$I$2:$I$600,Raw_Q!$A$2:$A$600,$A9,Raw_Q!$R$2:$R$600,2)/SUMIFS(Raw_Q!$I$2:$I$600,Raw_Q!$A$2:$A$600,$A9,Raw_Q!$R$2:$R$600,3)-1,""))</f>
        <v>0.175800260638991</v>
      </c>
      <c r="V9" s="68" t="n">
        <f aca="false">IF($A9="","",IFERROR((T9-U9)*100,""))</f>
        <v>19.6921024015778</v>
      </c>
      <c r="W9" s="49" t="n">
        <f aca="false">IF($A9="","",IFERROR(IF(OR(NOT(ISNUMBER(T9)),NOT(ISNUMBER(U9)),U9&lt;=0,ABS(U9)&lt;Config!$B$9),"N/M",(T9-U9)/ABS(U9)),"N/M"))</f>
        <v>1.12014068295473</v>
      </c>
      <c r="X9" s="66" t="str">
        <f aca="false">IF($A9="","",IFERROR(IF(NOT(ISNUMBER(T9)),"",IF(AND(ISNUMBER(U9),U9&gt;0,T9&lt;=0),"由正轉負",IF(AND(ISNUMBER(U9),U9&lt;=0,T9&gt;0),"由負轉正",IF(T9&gt;0,IF(V9&gt;0,"成長且加速","成長但減速"),IF(V9&gt;0,"衰退但收斂","衰退且惡化"))))),""))</f>
        <v>成長且加速</v>
      </c>
      <c r="Y9" s="68" t="n">
        <f aca="false">IF($A9="","",IFERROR((T9-(SUMIFS(Raw_Q!$I$2:$I$600,Raw_Q!$A$2:$A$600,$A9,Raw_Q!$R$2:$R$600,5)/SUMIFS(Raw_Q!$I$2:$I$600,Raw_Q!$A$2:$A$600,$A9,Raw_Q!$R$2:$R$600,6)-1))*100,""))</f>
        <v>-18.259602584695</v>
      </c>
      <c r="Z9" s="49" t="n">
        <f aca="false">IF($A9="","",IFERROR(SUMIFS(Raw_Q!$L$2:$L$600,Raw_Q!$A$2:$A$600,$A9,Raw_Q!$R$2:$R$600,1)/SUMIFS(Raw_Q!$L$2:$L$600,Raw_Q!$A$2:$A$600,$A9,Raw_Q!$R$2:$R$600,5)-1,""))</f>
        <v>1.16703296703297</v>
      </c>
      <c r="AA9" s="49" t="n">
        <f aca="false">IF($A9="","",IFERROR(SUMIFS(Raw_Q!$J$2:$J$600,Raw_Q!$A$2:$A$600,$A9,Raw_Q!$R$2:$R$600,"&gt;=1",Raw_Q!$R$2:$R$600,"&lt;=4")/E9,""))</f>
        <v>0.10415901084296</v>
      </c>
      <c r="AB9" s="49" t="n">
        <f aca="false">IF($A9="","",IFERROR(SUMIFS(Raw_Q!$J$2:$J$600,Raw_Q!$A$2:$A$600,$A9,Raw_Q!$R$2:$R$600,"&gt;=1",Raw_Q!$R$2:$R$600,"&lt;="&amp;Config!$B$5)/SUMIFS(Raw_Q!$I$2:$I$600,Raw_Q!$A$2:$A$600,$A9,Raw_Q!$R$2:$R$600,"&gt;=1",Raw_Q!$R$2:$R$600,"&lt;="&amp;Config!$B$5),""))</f>
        <v>0.118581328423799</v>
      </c>
      <c r="AC9" s="50" t="n">
        <f aca="false">IF($A9="","",IFERROR((AA9-AB9)*10000,""))</f>
        <v>-144.223175808389</v>
      </c>
      <c r="AD9" s="50" t="n">
        <f aca="false">IF($A9="","",IFERROR((SUMIFS(Raw_Q!$J$2:$J$600,Raw_Q!$A$2:$A$600,$A9,Raw_Q!$R$2:$R$600,1)/SUMIFS(Raw_Q!$I$2:$I$600,Raw_Q!$A$2:$A$600,$A9,Raw_Q!$R$2:$R$600,1)-SUMIFS(Raw_Q!$J$2:$J$600,Raw_Q!$A$2:$A$600,$A9,Raw_Q!$R$2:$R$600,5)/SUMIFS(Raw_Q!$I$2:$I$600,Raw_Q!$A$2:$A$600,$A9,Raw_Q!$R$2:$R$600,5))*10000,""))</f>
        <v>19.9565993325862</v>
      </c>
      <c r="AE9" s="51" t="n">
        <f aca="false">IF($A9="","",IFERROR(SUMIFS(Raw_Q!$O$2:$O$600,Raw_Q!$A$2:$A$600,$A9,Raw_Q!$R$2:$R$600,1)/SUMIFS(Raw_Q!$M$2:$M$600,Raw_Q!$A$2:$A$600,$A9,Raw_Q!$R$2:$R$600,1),""))</f>
        <v>99.3010542494434</v>
      </c>
      <c r="AF9" s="48" t="n">
        <f aca="false">IF($A9="","",IFERROR(SUMPRODUCT((Raw_Q!$A$2:$A$600=$A9)*(Raw_Q!$R$2:$R$600&gt;=1)*(Raw_Q!$R$2:$R$600&lt;=4)*Raw_Q!$L$2:$L$600*Raw_Q!$M$2:$M$600),""))</f>
        <v>17892.732519</v>
      </c>
      <c r="AG9" s="49" t="n">
        <f aca="false">IF($A9="","",IFERROR(IF(MIN(SUMIFS(Raw_Q!$O$2:$O$600,Raw_Q!$A$2:$A$600,$A9,Raw_Q!$R$2:$R$600,1),SUMIFS(Raw_Q!$O$2:$O$600,Raw_Q!$A$2:$A$600,$A9,Raw_Q!$R$2:$R$600,5))&lt;=0,"N/M",AF9/((SUMIFS(Raw_Q!$O$2:$O$600,Raw_Q!$A$2:$A$600,$A9,Raw_Q!$R$2:$R$600,1)+SUMIFS(Raw_Q!$O$2:$O$600,Raw_Q!$A$2:$A$600,$A9,Raw_Q!$R$2:$R$600,5))/2)),"N/M"))</f>
        <v>0.301945745142759</v>
      </c>
      <c r="AH9" s="49" t="n">
        <f aca="false">IF($A9="","",IFERROR(AVERAGE(AP9:AT9),""))</f>
        <v>0.249162750478788</v>
      </c>
      <c r="AI9" s="49" t="n">
        <f aca="false">IF($A9="","",IFERROR(IF(AE9&lt;=0,"N/M",INDEX(Raw_Est!$B$2:$B$100,MATCH($A9,Raw_Est!$A$2:$A$100,0))/AE9),"N/M"))</f>
        <v>0.342610662667669</v>
      </c>
      <c r="AJ9" s="51" t="n">
        <f aca="false">IF($A9="","",IFERROR(SUMIFS(Raw_Q!$L$2:$L$600,Raw_Q!$A$2:$A$600,$A9,Raw_Q!$R$2:$R$600,0),""))</f>
        <v>8.21666</v>
      </c>
      <c r="AK9" s="66" t="str">
        <f aca="false">IF($A9="","",IFERROR(INDEX(Raw_Q!$B$2:$B$600,MATCH($A9&amp;"|"&amp;0,Raw_Q!$S$2:$S$600,0)),""))</f>
        <v>FY2026Q3E</v>
      </c>
      <c r="AL9" s="66" t="str">
        <f aca="false">IF($A9="","",IFERROR(INDEX(Raw_Q!$G$2:$G$600,MATCH($A9&amp;"|"&amp;0,Raw_Q!$S$2:$S$600,0)),""))</f>
        <v>consensus</v>
      </c>
      <c r="AM9" s="47" t="n">
        <f aca="false">IF($A9="","",IFERROR(INDEX(Raw_Est!$E$2:$E$100,MATCH($A9,Raw_Est!$A$2:$A$100,0)),""))</f>
        <v>8</v>
      </c>
      <c r="AN9" s="67" t="n">
        <f aca="false">IF($A9="","",IFERROR(INDEX(Raw_Price!$D$2:$D$100,MATCH($A9,Raw_Price!$A$2:$A$100,0)),""))</f>
        <v>0</v>
      </c>
      <c r="AO9" s="67" t="n">
        <f aca="false">IF($A9="","",IFERROR(INDEX(Raw_Price!$E$2:$E$100,MATCH($A9,Raw_Price!$A$2:$A$100,0)),""))</f>
        <v>46311</v>
      </c>
      <c r="AP9" s="49" t="n">
        <f aca="false">IF($A9="","",IFERROR(IF(MIN(SUMIFS(Raw_Q!$O$2:$O$600,Raw_Q!$A$2:$A$600,$A9,Raw_Q!$R$2:$R$600,1),SUMIFS(Raw_Q!$O$2:$O$600,Raw_Q!$A$2:$A$600,$A9,Raw_Q!$R$2:$R$600,5))&lt;=0,"",SUMPRODUCT((Raw_Q!$A$2:$A$600=$A9)*(Raw_Q!$R$2:$R$600&gt;=1)*(Raw_Q!$R$2:$R$600&lt;=4)*Raw_Q!$L$2:$L$600*Raw_Q!$M$2:$M$600)/((SUMIFS(Raw_Q!$O$2:$O$600,Raw_Q!$A$2:$A$600,$A9,Raw_Q!$R$2:$R$600,1)+SUMIFS(Raw_Q!$O$2:$O$600,Raw_Q!$A$2:$A$600,$A9,Raw_Q!$R$2:$R$600,5))/2)),""))</f>
        <v>0.301945745142759</v>
      </c>
      <c r="AQ9" s="49" t="n">
        <f aca="false">IF($A9="","",IFERROR(IF(MIN(SUMIFS(Raw_Q!$O$2:$O$600,Raw_Q!$A$2:$A$600,$A9,Raw_Q!$R$2:$R$600,5),SUMIFS(Raw_Q!$O$2:$O$600,Raw_Q!$A$2:$A$600,$A9,Raw_Q!$R$2:$R$600,9))&lt;=0,"",SUMPRODUCT((Raw_Q!$A$2:$A$600=$A9)*(Raw_Q!$R$2:$R$600&gt;=5)*(Raw_Q!$R$2:$R$600&lt;=8)*Raw_Q!$L$2:$L$600*Raw_Q!$M$2:$M$600)/((SUMIFS(Raw_Q!$O$2:$O$600,Raw_Q!$A$2:$A$600,$A9,Raw_Q!$R$2:$R$600,5)+SUMIFS(Raw_Q!$O$2:$O$600,Raw_Q!$A$2:$A$600,$A9,Raw_Q!$R$2:$R$600,9))/2)),""))</f>
        <v>0.242642805414615</v>
      </c>
      <c r="AR9" s="49" t="n">
        <f aca="false">IF($A9="","",IFERROR(IF(MIN(SUMIFS(Raw_Q!$O$2:$O$600,Raw_Q!$A$2:$A$600,$A9,Raw_Q!$R$2:$R$600,9),SUMIFS(Raw_Q!$O$2:$O$600,Raw_Q!$A$2:$A$600,$A9,Raw_Q!$R$2:$R$600,13))&lt;=0,"",SUMPRODUCT((Raw_Q!$A$2:$A$600=$A9)*(Raw_Q!$R$2:$R$600&gt;=9)*(Raw_Q!$R$2:$R$600&lt;=12)*Raw_Q!$L$2:$L$600*Raw_Q!$M$2:$M$600)/((SUMIFS(Raw_Q!$O$2:$O$600,Raw_Q!$A$2:$A$600,$A9,Raw_Q!$R$2:$R$600,9)+SUMIFS(Raw_Q!$O$2:$O$600,Raw_Q!$A$2:$A$600,$A9,Raw_Q!$R$2:$R$600,13))/2)),""))</f>
        <v>0.215326351838284</v>
      </c>
      <c r="AS9" s="49" t="n">
        <f aca="false">IF($A9="","",IFERROR(IF(MIN(SUMIFS(Raw_Q!$O$2:$O$600,Raw_Q!$A$2:$A$600,$A9,Raw_Q!$R$2:$R$600,13),SUMIFS(Raw_Q!$O$2:$O$600,Raw_Q!$A$2:$A$600,$A9,Raw_Q!$R$2:$R$600,17))&lt;=0,"",SUMPRODUCT((Raw_Q!$A$2:$A$600=$A9)*(Raw_Q!$R$2:$R$600&gt;=13)*(Raw_Q!$R$2:$R$600&lt;=16)*Raw_Q!$L$2:$L$600*Raw_Q!$M$2:$M$600)/((SUMIFS(Raw_Q!$O$2:$O$600,Raw_Q!$A$2:$A$600,$A9,Raw_Q!$R$2:$R$600,13)+SUMIFS(Raw_Q!$O$2:$O$600,Raw_Q!$A$2:$A$600,$A9,Raw_Q!$R$2:$R$600,17))/2)),""))</f>
        <v>0.130781167567616</v>
      </c>
      <c r="AT9" s="49" t="n">
        <f aca="false">IF($A9="","",IFERROR(IF(MIN(SUMIFS(Raw_Q!$O$2:$O$600,Raw_Q!$A$2:$A$600,$A9,Raw_Q!$R$2:$R$600,17),SUMIFS(Raw_Q!$O$2:$O$600,Raw_Q!$A$2:$A$600,$A9,Raw_Q!$R$2:$R$600,21))&lt;=0,"",SUMPRODUCT((Raw_Q!$A$2:$A$600=$A9)*(Raw_Q!$R$2:$R$600&gt;=17)*(Raw_Q!$R$2:$R$600&lt;=20)*Raw_Q!$L$2:$L$600*Raw_Q!$M$2:$M$600)/((SUMIFS(Raw_Q!$O$2:$O$600,Raw_Q!$A$2:$A$600,$A9,Raw_Q!$R$2:$R$600,17)+SUMIFS(Raw_Q!$O$2:$O$600,Raw_Q!$A$2:$A$600,$A9,Raw_Q!$R$2:$R$600,21))/2)),""))</f>
        <v>0.355117682430665</v>
      </c>
    </row>
    <row r="10" customFormat="false" ht="15" hidden="false" customHeight="false" outlineLevel="0" collapsed="false">
      <c r="A10" s="17" t="str">
        <f aca="false">IF(Tickers!A10="","",Tickers!A10)</f>
        <v>2059</v>
      </c>
      <c r="B10" s="66" t="str">
        <f aca="false">IF($A10="","",IFERROR(INDEX(Tickers!$B$2:$B$100,MATCH($A10,Tickers!$A$2:$A$100,0)),""))</f>
        <v>川湖</v>
      </c>
      <c r="C10" s="66" t="str">
        <f aca="false">IF($A10="","",IFERROR(INDEX(Tickers!$D$2:$D$100,MATCH($A10,Tickers!$A$2:$A$100,0)),""))</f>
        <v>池子</v>
      </c>
      <c r="D10" s="51" t="n">
        <f aca="false">IF($A10="","",IFERROR(INDEX(Raw_Price!$B$2:$B$100,MATCH($A10,Raw_Price!$A$2:$A$100,0)),""))</f>
        <v>9955</v>
      </c>
      <c r="E10" s="48" t="n">
        <f aca="false">IF($A10="","",IFERROR(SUMIFS(Raw_Q!$I$2:$I$600,Raw_Q!$A$2:$A$600,$A10,Raw_Q!$R$2:$R$600,"&gt;=1",Raw_Q!$R$2:$R$600,"&lt;=4"),""))</f>
        <v>25597.528</v>
      </c>
      <c r="F10" s="51" t="n">
        <f aca="false">IF($A10="","",IFERROR(SUMIFS(Raw_Q!$L$2:$L$600,Raw_Q!$A$2:$A$600,$A10,Raw_Q!$R$2:$R$600,"&gt;=1",Raw_Q!$R$2:$R$600,"&lt;=4"),""))</f>
        <v>181.39</v>
      </c>
      <c r="G10" s="51" t="n">
        <f aca="false">IF($A10="","",IFERROR(SUMIFS(Raw_Q!$L$2:$L$600,Raw_Q!$A$2:$A$600,$A10,Raw_Q!$R$2:$R$600,"&gt;=0",Raw_Q!$R$2:$R$600,"&lt;=3"),""))</f>
        <v>266.24075</v>
      </c>
      <c r="H10" s="51" t="n">
        <f aca="true">IF($A10="","",IFERROR(INDEX(Raw_Est!$B$2:$B$100,MATCH($A10,Raw_Est!$A$2:$A$100,0))*MIN(1,MAX(0,(INDEX(Raw_Est!$D$2:$D$100,MATCH($A10,Raw_Est!$A$2:$A$100,0))-TODAY())/Config!$B$8))+INDEX(Raw_Est!$C$2:$C$100,MATCH($A10,Raw_Est!$A$2:$A$100,0))*(1-MIN(1,MAX(0,(INDEX(Raw_Est!$D$2:$D$100,MATCH($A10,Raw_Est!$A$2:$A$100,0))-TODAY())/Config!$B$8))),""))</f>
        <v>466.164331232877</v>
      </c>
      <c r="I10" s="49" t="n">
        <f aca="false">IF($A10="","",IFERROR(SUMIFS(Raw_Q!$L$2:$L$600,Raw_Q!$A$2:$A$600,$A10,Raw_Q!$R$2:$R$600,"&gt;=1",Raw_Q!$R$2:$R$600,"&lt;=4")/SUMIFS(Raw_Q!$L$2:$L$600,Raw_Q!$A$2:$A$600,$A10,Raw_Q!$R$2:$R$600,"&gt;=5",Raw_Q!$R$2:$R$600,"&lt;=8")-1,""))</f>
        <v>1.68527017024426</v>
      </c>
      <c r="J10" s="52" t="n">
        <f aca="false">IF($A10="","",IFERROR(IF(F10&lt;=0,"N/M",D10/F10),"N/M"))</f>
        <v>54.8817465130382</v>
      </c>
      <c r="K10" s="52" t="n">
        <f aca="false">IF($A10="","",IFERROR(IF(G10&lt;=0,"N/M",D10/G10),"N/M"))</f>
        <v>37.3909703905206</v>
      </c>
      <c r="L10" s="52" t="n">
        <f aca="false">IF($A10="","",IFERROR(IF(H10&lt;=0,"N/M",D10/H10),"N/M"))</f>
        <v>21.3551302255832</v>
      </c>
      <c r="M10" s="49" t="n">
        <f aca="false">IF($A10="","",IFERROR(INDEX(Raw_Est!$C$2:$C$100,MATCH($A10,Raw_Est!$A$2:$A$100,0))/INDEX(Raw_Est!$B$2:$B$100,MATCH($A10,Raw_Est!$A$2:$A$100,0))-1,""))</f>
        <v>0.41598634140332</v>
      </c>
      <c r="N10" s="51" t="n">
        <f aca="false">IF($A10="","",IFERROR(IF(OR(NOT(ISNUMBER(J10)),I10&lt;Config!$B$6),"N/M",J10/(I10*100)),"N/M"))</f>
        <v>0.325655479353104</v>
      </c>
      <c r="O10" s="51" t="n">
        <f aca="false">IF($A10="","",IFERROR(IF(OR(NOT(ISNUMBER(L10)),M10&lt;Config!$B$6),"N/M",L10/(M10*100)),"N/M"))</f>
        <v>0.513361331853883</v>
      </c>
      <c r="P10" s="51" t="n">
        <f aca="false">IF($A10="","",IFERROR(SUMIFS(Raw_Q!$P$2:$P$600,Raw_Q!$A$2:$A$600,$A10,Raw_Q!$R$2:$R$600,"&gt;=1",Raw_Q!$R$2:$R$600,"&lt;=4"),""))</f>
        <v>32.2</v>
      </c>
      <c r="Q10" s="49" t="n">
        <f aca="false">IF($A10="","",IFERROR(IF(P10=0,"不配息",P10/D10),""))</f>
        <v>0.00323455549974887</v>
      </c>
      <c r="R10" s="49" t="n">
        <f aca="false">IF($A10="","",IFERROR(IF(SUMIFS(Raw_Q!$P$2:$P$600,Raw_Q!$A$2:$A$600,$A10,Raw_Q!$R$2:$R$600,"&gt;=5",Raw_Q!$R$2:$R$600,"&lt;=8")=0,"",SUMIFS(Raw_Q!$P$2:$P$600,Raw_Q!$A$2:$A$600,$A10,Raw_Q!$R$2:$R$600,"&gt;=1",Raw_Q!$R$2:$R$600,"&lt;=4")/SUMIFS(Raw_Q!$P$2:$P$600,Raw_Q!$A$2:$A$600,$A10,Raw_Q!$R$2:$R$600,"&gt;=5",Raw_Q!$R$2:$R$600,"&lt;=8")-1),""))</f>
        <v>1.2692036645525</v>
      </c>
      <c r="S10" s="49" t="n">
        <f aca="false">IF($A10="","",IFERROR(SUMIFS(Raw_Q!$I$2:$I$600,Raw_Q!$A$2:$A$600,$A10,Raw_Q!$R$2:$R$600,1)/SUMIFS(Raw_Q!$I$2:$I$600,Raw_Q!$A$2:$A$600,$A10,Raw_Q!$R$2:$R$600,5)-1,""))</f>
        <v>1.5610598822248</v>
      </c>
      <c r="T10" s="49" t="n">
        <f aca="false">IF($A10="","",IFERROR(SUMIFS(Raw_Q!$I$2:$I$600,Raw_Q!$A$2:$A$600,$A10,Raw_Q!$R$2:$R$600,1)/SUMIFS(Raw_Q!$I$2:$I$600,Raw_Q!$A$2:$A$600,$A10,Raw_Q!$R$2:$R$600,2)-1,""))</f>
        <v>0.987263761015464</v>
      </c>
      <c r="U10" s="49" t="n">
        <f aca="false">IF($A10="","",IFERROR(SUMIFS(Raw_Q!$I$2:$I$600,Raw_Q!$A$2:$A$600,$A10,Raw_Q!$R$2:$R$600,2)/SUMIFS(Raw_Q!$I$2:$I$600,Raw_Q!$A$2:$A$600,$A10,Raw_Q!$R$2:$R$600,3)-1,""))</f>
        <v>0.101152975445272</v>
      </c>
      <c r="V10" s="68" t="n">
        <f aca="false">IF($A10="","",IFERROR((T10-U10)*100,""))</f>
        <v>88.6110785570192</v>
      </c>
      <c r="W10" s="49" t="n">
        <f aca="false">IF($A10="","",IFERROR(IF(OR(NOT(ISNUMBER(T10)),NOT(ISNUMBER(U10)),U10&lt;=0,ABS(U10)&lt;Config!$B$9),"N/M",(T10-U10)/ABS(U10)),"N/M"))</f>
        <v>8.76010598471829</v>
      </c>
      <c r="X10" s="66" t="str">
        <f aca="false">IF($A10="","",IFERROR(IF(NOT(ISNUMBER(T10)),"",IF(AND(ISNUMBER(U10),U10&gt;0,T10&lt;=0),"由正轉負",IF(AND(ISNUMBER(U10),U10&lt;=0,T10&gt;0),"由負轉正",IF(T10&gt;0,IF(V10&gt;0,"成長且加速","成長但減速"),IF(V10&gt;0,"衰退但收斂","衰退且惡化"))))),""))</f>
        <v>成長且加速</v>
      </c>
      <c r="Y10" s="68" t="n">
        <f aca="false">IF($A10="","",IFERROR((T10-(SUMIFS(Raw_Q!$I$2:$I$600,Raw_Q!$A$2:$A$600,$A10,Raw_Q!$R$2:$R$600,5)/SUMIFS(Raw_Q!$I$2:$I$600,Raw_Q!$A$2:$A$600,$A10,Raw_Q!$R$2:$R$600,6)-1))*100,""))</f>
        <v>91.7835034742456</v>
      </c>
      <c r="Z10" s="49" t="n">
        <f aca="false">IF($A10="","",IFERROR(SUMIFS(Raw_Q!$L$2:$L$600,Raw_Q!$A$2:$A$600,$A10,Raw_Q!$R$2:$R$600,1)/SUMIFS(Raw_Q!$L$2:$L$600,Raw_Q!$A$2:$A$600,$A10,Raw_Q!$R$2:$R$600,5)-1,""))</f>
        <v>10.5317829457364</v>
      </c>
      <c r="AA10" s="49" t="n">
        <f aca="false">IF($A10="","",IFERROR(SUMIFS(Raw_Q!$J$2:$J$600,Raw_Q!$A$2:$A$600,$A10,Raw_Q!$R$2:$R$600,"&gt;=1",Raw_Q!$R$2:$R$600,"&lt;=4")/E10,""))</f>
        <v>0.809798391469676</v>
      </c>
      <c r="AB10" s="49" t="n">
        <f aca="false">IF($A10="","",IFERROR(SUMIFS(Raw_Q!$J$2:$J$600,Raw_Q!$A$2:$A$600,$A10,Raw_Q!$R$2:$R$600,"&gt;=1",Raw_Q!$R$2:$R$600,"&lt;="&amp;Config!$B$5)/SUMIFS(Raw_Q!$I$2:$I$600,Raw_Q!$A$2:$A$600,$A10,Raw_Q!$R$2:$R$600,"&gt;=1",Raw_Q!$R$2:$R$600,"&lt;="&amp;Config!$B$5),""))</f>
        <v>0.719932965892331</v>
      </c>
      <c r="AC10" s="50" t="n">
        <f aca="false">IF($A10="","",IFERROR((AA10-AB10)*10000,""))</f>
        <v>898.654255773452</v>
      </c>
      <c r="AD10" s="50" t="n">
        <f aca="false">IF($A10="","",IFERROR((SUMIFS(Raw_Q!$J$2:$J$600,Raw_Q!$A$2:$A$600,$A10,Raw_Q!$R$2:$R$600,1)/SUMIFS(Raw_Q!$I$2:$I$600,Raw_Q!$A$2:$A$600,$A10,Raw_Q!$R$2:$R$600,1)-SUMIFS(Raw_Q!$J$2:$J$600,Raw_Q!$A$2:$A$600,$A10,Raw_Q!$R$2:$R$600,5)/SUMIFS(Raw_Q!$I$2:$I$600,Raw_Q!$A$2:$A$600,$A10,Raw_Q!$R$2:$R$600,5))*10000,""))</f>
        <v>992.687211524755</v>
      </c>
      <c r="AE10" s="51" t="n">
        <f aca="false">IF($A10="","",IFERROR(SUMIFS(Raw_Q!$O$2:$O$600,Raw_Q!$A$2:$A$600,$A10,Raw_Q!$R$2:$R$600,1)/SUMIFS(Raw_Q!$M$2:$M$600,Raw_Q!$A$2:$A$600,$A10,Raw_Q!$R$2:$R$600,1),""))</f>
        <v>354.195856956822</v>
      </c>
      <c r="AF10" s="48" t="n">
        <f aca="false">IF($A10="","",IFERROR(SUMPRODUCT((Raw_Q!$A$2:$A$600=$A10)*(Raw_Q!$R$2:$R$600&gt;=1)*(Raw_Q!$R$2:$R$600&lt;=4)*Raw_Q!$L$2:$L$600*Raw_Q!$M$2:$M$600),""))</f>
        <v>17285.940969</v>
      </c>
      <c r="AG10" s="49" t="n">
        <f aca="false">IF($A10="","",IFERROR(IF(MIN(SUMIFS(Raw_Q!$O$2:$O$600,Raw_Q!$A$2:$A$600,$A10,Raw_Q!$R$2:$R$600,1),SUMIFS(Raw_Q!$O$2:$O$600,Raw_Q!$A$2:$A$600,$A10,Raw_Q!$R$2:$R$600,5))&lt;=0,"N/M",AF10/((SUMIFS(Raw_Q!$O$2:$O$600,Raw_Q!$A$2:$A$600,$A10,Raw_Q!$R$2:$R$600,1)+SUMIFS(Raw_Q!$O$2:$O$600,Raw_Q!$A$2:$A$600,$A10,Raw_Q!$R$2:$R$600,5))/2)),"N/M"))</f>
        <v>0.628454380649385</v>
      </c>
      <c r="AH10" s="49" t="n">
        <f aca="false">IF($A10="","",IFERROR(AVERAGE(AP10:AT10),""))</f>
        <v>0.341147971116175</v>
      </c>
      <c r="AI10" s="49" t="n">
        <f aca="false">IF($A10="","",IFERROR(IF(AE10&lt;=0,"N/M",INDEX(Raw_Est!$B$2:$B$100,MATCH($A10,Raw_Est!$A$2:$A$100,0))/AE10),"N/M"))</f>
        <v>0.990033037124845</v>
      </c>
      <c r="AJ10" s="51" t="n">
        <f aca="false">IF($A10="","",IFERROR(SUMIFS(Raw_Q!$L$2:$L$600,Raw_Q!$A$2:$A$600,$A10,Raw_Q!$R$2:$R$600,0),""))</f>
        <v>118.40075</v>
      </c>
      <c r="AK10" s="66" t="str">
        <f aca="false">IF($A10="","",IFERROR(INDEX(Raw_Q!$B$2:$B$600,MATCH($A10&amp;"|"&amp;0,Raw_Q!$S$2:$S$600,0)),""))</f>
        <v>FY2026Q3E</v>
      </c>
      <c r="AL10" s="66" t="str">
        <f aca="false">IF($A10="","",IFERROR(INDEX(Raw_Q!$G$2:$G$600,MATCH($A10&amp;"|"&amp;0,Raw_Q!$S$2:$S$600,0)),""))</f>
        <v>consensus</v>
      </c>
      <c r="AM10" s="47" t="n">
        <f aca="false">IF($A10="","",IFERROR(INDEX(Raw_Est!$E$2:$E$100,MATCH($A10,Raw_Est!$A$2:$A$100,0)),""))</f>
        <v>10</v>
      </c>
      <c r="AN10" s="67" t="n">
        <f aca="false">IF($A10="","",IFERROR(INDEX(Raw_Price!$D$2:$D$100,MATCH($A10,Raw_Price!$A$2:$A$100,0)),""))</f>
        <v>0</v>
      </c>
      <c r="AO10" s="67" t="n">
        <f aca="false">IF($A10="","",IFERROR(INDEX(Raw_Price!$E$2:$E$100,MATCH($A10,Raw_Price!$A$2:$A$100,0)),""))</f>
        <v>46311</v>
      </c>
      <c r="AP10" s="49" t="n">
        <f aca="false">IF($A10="","",IFERROR(IF(MIN(SUMIFS(Raw_Q!$O$2:$O$600,Raw_Q!$A$2:$A$600,$A10,Raw_Q!$R$2:$R$600,1),SUMIFS(Raw_Q!$O$2:$O$600,Raw_Q!$A$2:$A$600,$A10,Raw_Q!$R$2:$R$600,5))&lt;=0,"",SUMPRODUCT((Raw_Q!$A$2:$A$600=$A10)*(Raw_Q!$R$2:$R$600&gt;=1)*(Raw_Q!$R$2:$R$600&lt;=4)*Raw_Q!$L$2:$L$600*Raw_Q!$M$2:$M$600)/((SUMIFS(Raw_Q!$O$2:$O$600,Raw_Q!$A$2:$A$600,$A10,Raw_Q!$R$2:$R$600,1)+SUMIFS(Raw_Q!$O$2:$O$600,Raw_Q!$A$2:$A$600,$A10,Raw_Q!$R$2:$R$600,5))/2)),""))</f>
        <v>0.628454380649385</v>
      </c>
      <c r="AQ10" s="49" t="n">
        <f aca="false">IF($A10="","",IFERROR(IF(MIN(SUMIFS(Raw_Q!$O$2:$O$600,Raw_Q!$A$2:$A$600,$A10,Raw_Q!$R$2:$R$600,5),SUMIFS(Raw_Q!$O$2:$O$600,Raw_Q!$A$2:$A$600,$A10,Raw_Q!$R$2:$R$600,9))&lt;=0,"",SUMPRODUCT((Raw_Q!$A$2:$A$600=$A10)*(Raw_Q!$R$2:$R$600&gt;=5)*(Raw_Q!$R$2:$R$600&lt;=8)*Raw_Q!$L$2:$L$600*Raw_Q!$M$2:$M$600)/((SUMIFS(Raw_Q!$O$2:$O$600,Raw_Q!$A$2:$A$600,$A10,Raw_Q!$R$2:$R$600,5)+SUMIFS(Raw_Q!$O$2:$O$600,Raw_Q!$A$2:$A$600,$A10,Raw_Q!$R$2:$R$600,9))/2)),""))</f>
        <v>0.328208402106079</v>
      </c>
      <c r="AR10" s="49" t="n">
        <f aca="false">IF($A10="","",IFERROR(IF(MIN(SUMIFS(Raw_Q!$O$2:$O$600,Raw_Q!$A$2:$A$600,$A10,Raw_Q!$R$2:$R$600,9),SUMIFS(Raw_Q!$O$2:$O$600,Raw_Q!$A$2:$A$600,$A10,Raw_Q!$R$2:$R$600,13))&lt;=0,"",SUMPRODUCT((Raw_Q!$A$2:$A$600=$A10)*(Raw_Q!$R$2:$R$600&gt;=9)*(Raw_Q!$R$2:$R$600&lt;=12)*Raw_Q!$L$2:$L$600*Raw_Q!$M$2:$M$600)/((SUMIFS(Raw_Q!$O$2:$O$600,Raw_Q!$A$2:$A$600,$A10,Raw_Q!$R$2:$R$600,9)+SUMIFS(Raw_Q!$O$2:$O$600,Raw_Q!$A$2:$A$600,$A10,Raw_Q!$R$2:$R$600,13))/2)),""))</f>
        <v>0.266246162793637</v>
      </c>
      <c r="AS10" s="49" t="n">
        <f aca="false">IF($A10="","",IFERROR(IF(MIN(SUMIFS(Raw_Q!$O$2:$O$600,Raw_Q!$A$2:$A$600,$A10,Raw_Q!$R$2:$R$600,13),SUMIFS(Raw_Q!$O$2:$O$600,Raw_Q!$A$2:$A$600,$A10,Raw_Q!$R$2:$R$600,17))&lt;=0,"",SUMPRODUCT((Raw_Q!$A$2:$A$600=$A10)*(Raw_Q!$R$2:$R$600&gt;=13)*(Raw_Q!$R$2:$R$600&lt;=16)*Raw_Q!$L$2:$L$600*Raw_Q!$M$2:$M$600)/((SUMIFS(Raw_Q!$O$2:$O$600,Raw_Q!$A$2:$A$600,$A10,Raw_Q!$R$2:$R$600,13)+SUMIFS(Raw_Q!$O$2:$O$600,Raw_Q!$A$2:$A$600,$A10,Raw_Q!$R$2:$R$600,17))/2)),""))</f>
        <v>0.23389108646957</v>
      </c>
      <c r="AT10" s="49" t="n">
        <f aca="false">IF($A10="","",IFERROR(IF(MIN(SUMIFS(Raw_Q!$O$2:$O$600,Raw_Q!$A$2:$A$600,$A10,Raw_Q!$R$2:$R$600,17),SUMIFS(Raw_Q!$O$2:$O$600,Raw_Q!$A$2:$A$600,$A10,Raw_Q!$R$2:$R$600,21))&lt;=0,"",SUMPRODUCT((Raw_Q!$A$2:$A$600=$A10)*(Raw_Q!$R$2:$R$600&gt;=17)*(Raw_Q!$R$2:$R$600&lt;=20)*Raw_Q!$L$2:$L$600*Raw_Q!$M$2:$M$600)/((SUMIFS(Raw_Q!$O$2:$O$600,Raw_Q!$A$2:$A$600,$A10,Raw_Q!$R$2:$R$600,17)+SUMIFS(Raw_Q!$O$2:$O$600,Raw_Q!$A$2:$A$600,$A10,Raw_Q!$R$2:$R$600,21))/2)),""))</f>
        <v>0.248939823562201</v>
      </c>
    </row>
    <row r="11" customFormat="false" ht="15" hidden="false" customHeight="false" outlineLevel="0" collapsed="false">
      <c r="A11" s="17" t="str">
        <f aca="false">IF(Tickers!A11="","",Tickers!A11)</f>
        <v>3081</v>
      </c>
      <c r="B11" s="66" t="str">
        <f aca="false">IF($A11="","",IFERROR(INDEX(Tickers!$B$2:$B$100,MATCH($A11,Tickers!$A$2:$A$100,0)),""))</f>
        <v>聯亞</v>
      </c>
      <c r="C11" s="66" t="str">
        <f aca="false">IF($A11="","",IFERROR(INDEX(Tickers!$D$2:$D$100,MATCH($A11,Tickers!$A$2:$A$100,0)),""))</f>
        <v>池子</v>
      </c>
      <c r="D11" s="51" t="n">
        <f aca="false">IF($A11="","",IFERROR(INDEX(Raw_Price!$B$2:$B$100,MATCH($A11,Raw_Price!$A$2:$A$100,0)),""))</f>
        <v>2545</v>
      </c>
      <c r="E11" s="48" t="n">
        <f aca="false">IF($A11="","",IFERROR(SUMIFS(Raw_Q!$I$2:$I$600,Raw_Q!$A$2:$A$600,$A11,Raw_Q!$R$2:$R$600,"&gt;=1",Raw_Q!$R$2:$R$600,"&lt;=4"),""))</f>
        <v>3320.793</v>
      </c>
      <c r="F11" s="51" t="n">
        <f aca="false">IF($A11="","",IFERROR(SUMIFS(Raw_Q!$L$2:$L$600,Raw_Q!$A$2:$A$600,$A11,Raw_Q!$R$2:$R$600,"&gt;=1",Raw_Q!$R$2:$R$600,"&lt;=4"),""))</f>
        <v>11.21</v>
      </c>
      <c r="G11" s="51" t="n">
        <f aca="false">IF($A11="","",IFERROR(SUMIFS(Raw_Q!$L$2:$L$600,Raw_Q!$A$2:$A$600,$A11,Raw_Q!$R$2:$R$600,"&gt;=0",Raw_Q!$R$2:$R$600,"&lt;=3"),""))</f>
        <v>15.92</v>
      </c>
      <c r="H11" s="51" t="n">
        <f aca="true">IF($A11="","",IFERROR(INDEX(Raw_Est!$B$2:$B$100,MATCH($A11,Raw_Est!$A$2:$A$100,0))*MIN(1,MAX(0,(INDEX(Raw_Est!$D$2:$D$100,MATCH($A11,Raw_Est!$A$2:$A$100,0))-TODAY())/Config!$B$8))+INDEX(Raw_Est!$C$2:$C$100,MATCH($A11,Raw_Est!$A$2:$A$100,0))*(1-MIN(1,MAX(0,(INDEX(Raw_Est!$D$2:$D$100,MATCH($A11,Raw_Est!$A$2:$A$100,0))-TODAY())/Config!$B$8))),""))</f>
        <v>35.2746254246575</v>
      </c>
      <c r="I11" s="49" t="n">
        <f aca="false">IF($A11="","",IFERROR(SUMIFS(Raw_Q!$L$2:$L$600,Raw_Q!$A$2:$A$600,$A11,Raw_Q!$R$2:$R$600,"&gt;=1",Raw_Q!$R$2:$R$600,"&lt;=4")/SUMIFS(Raw_Q!$L$2:$L$600,Raw_Q!$A$2:$A$600,$A11,Raw_Q!$R$2:$R$600,"&gt;=5",Raw_Q!$R$2:$R$600,"&lt;=8")-1,""))</f>
        <v>5.63313609467456</v>
      </c>
      <c r="J11" s="52" t="n">
        <f aca="false">IF($A11="","",IFERROR(IF(F11&lt;=0,"N/M",D11/F11),"N/M"))</f>
        <v>227.029438001784</v>
      </c>
      <c r="K11" s="52" t="n">
        <f aca="false">IF($A11="","",IFERROR(IF(G11&lt;=0,"N/M",D11/G11),"N/M"))</f>
        <v>159.861809045226</v>
      </c>
      <c r="L11" s="52" t="n">
        <f aca="false">IF($A11="","",IFERROR(IF(H11&lt;=0,"N/M",D11/H11),"N/M"))</f>
        <v>72.1481793034436</v>
      </c>
      <c r="M11" s="49" t="n">
        <f aca="false">IF($A11="","",IFERROR(INDEX(Raw_Est!$C$2:$C$100,MATCH($A11,Raw_Est!$A$2:$A$100,0))/INDEX(Raw_Est!$B$2:$B$100,MATCH($A11,Raw_Est!$A$2:$A$100,0))-1,""))</f>
        <v>1.00878598851549</v>
      </c>
      <c r="N11" s="51" t="n">
        <f aca="false">IF($A11="","",IFERROR(IF(OR(NOT(ISNUMBER(J11)),I11&lt;Config!$B$6),"N/M",J11/(I11*100)),"N/M"))</f>
        <v>0.403024947713251</v>
      </c>
      <c r="O11" s="51" t="n">
        <f aca="false">IF($A11="","",IFERROR(IF(OR(NOT(ISNUMBER(L11)),M11&lt;Config!$B$6),"N/M",L11/(M11*100)),"N/M"))</f>
        <v>0.715198070996358</v>
      </c>
      <c r="P11" s="51" t="n">
        <f aca="false">IF($A11="","",IFERROR(SUMIFS(Raw_Q!$P$2:$P$600,Raw_Q!$A$2:$A$600,$A11,Raw_Q!$R$2:$R$600,"&gt;=1",Raw_Q!$R$2:$R$600,"&lt;=4"),""))</f>
        <v>0.50002215</v>
      </c>
      <c r="Q11" s="49" t="n">
        <f aca="false">IF($A11="","",IFERROR(IF(P11=0,"不配息",P11/D11),""))</f>
        <v>0.000196472357563851</v>
      </c>
      <c r="R11" s="49" t="n">
        <f aca="false">IF($A11="","",IFERROR(IF(SUMIFS(Raw_Q!$P$2:$P$600,Raw_Q!$A$2:$A$600,$A11,Raw_Q!$R$2:$R$600,"&gt;=5",Raw_Q!$R$2:$R$600,"&lt;=8")=0,"",SUMIFS(Raw_Q!$P$2:$P$600,Raw_Q!$A$2:$A$600,$A11,Raw_Q!$R$2:$R$600,"&gt;=1",Raw_Q!$R$2:$R$600,"&lt;=4")/SUMIFS(Raw_Q!$P$2:$P$600,Raw_Q!$A$2:$A$600,$A11,Raw_Q!$R$2:$R$600,"&gt;=5",Raw_Q!$R$2:$R$600,"&lt;=8")-1),""))</f>
        <v>9.77052174586657E-005</v>
      </c>
      <c r="S11" s="49" t="n">
        <f aca="false">IF($A11="","",IFERROR(SUMIFS(Raw_Q!$I$2:$I$600,Raw_Q!$A$2:$A$600,$A11,Raw_Q!$R$2:$R$600,1)/SUMIFS(Raw_Q!$I$2:$I$600,Raw_Q!$A$2:$A$600,$A11,Raw_Q!$R$2:$R$600,5)-1,""))</f>
        <v>1.20790317739842</v>
      </c>
      <c r="T11" s="49" t="n">
        <f aca="false">IF($A11="","",IFERROR(SUMIFS(Raw_Q!$I$2:$I$600,Raw_Q!$A$2:$A$600,$A11,Raw_Q!$R$2:$R$600,1)/SUMIFS(Raw_Q!$I$2:$I$600,Raw_Q!$A$2:$A$600,$A11,Raw_Q!$R$2:$R$600,2)-1,""))</f>
        <v>0.350279581020999</v>
      </c>
      <c r="U11" s="49" t="n">
        <f aca="false">IF($A11="","",IFERROR(SUMIFS(Raw_Q!$I$2:$I$600,Raw_Q!$A$2:$A$600,$A11,Raw_Q!$R$2:$R$600,2)/SUMIFS(Raw_Q!$I$2:$I$600,Raw_Q!$A$2:$A$600,$A11,Raw_Q!$R$2:$R$600,3)-1,""))</f>
        <v>0.407780244138588</v>
      </c>
      <c r="V11" s="68" t="n">
        <f aca="false">IF($A11="","",IFERROR((T11-U11)*100,""))</f>
        <v>-5.75006631175892</v>
      </c>
      <c r="W11" s="49" t="n">
        <f aca="false">IF($A11="","",IFERROR(IF(OR(NOT(ISNUMBER(T11)),NOT(ISNUMBER(U11)),U11&lt;=0,ABS(U11)&lt;Config!$B$9),"N/M",(T11-U11)/ABS(U11)),"N/M"))</f>
        <v>-0.141008947696954</v>
      </c>
      <c r="X11" s="66" t="str">
        <f aca="false">IF($A11="","",IFERROR(IF(NOT(ISNUMBER(T11)),"",IF(AND(ISNUMBER(U11),U11&gt;0,T11&lt;=0),"由正轉負",IF(AND(ISNUMBER(U11),U11&lt;=0,T11&gt;0),"由負轉正",IF(T11&gt;0,IF(V11&gt;0,"成長且加速","成長但減速"),IF(V11&gt;0,"衰退但收斂","衰退且惡化"))))),""))</f>
        <v>成長但減速</v>
      </c>
      <c r="Y11" s="68" t="n">
        <f aca="false">IF($A11="","",IFERROR((T11-(SUMIFS(Raw_Q!$I$2:$I$600,Raw_Q!$A$2:$A$600,$A11,Raw_Q!$R$2:$R$600,5)/SUMIFS(Raw_Q!$I$2:$I$600,Raw_Q!$A$2:$A$600,$A11,Raw_Q!$R$2:$R$600,6)-1))*100,""))</f>
        <v>13.335644316902</v>
      </c>
      <c r="Z11" s="49" t="n">
        <f aca="false">IF($A11="","",IFERROR(SUMIFS(Raw_Q!$L$2:$L$600,Raw_Q!$A$2:$A$600,$A11,Raw_Q!$R$2:$R$600,1)/SUMIFS(Raw_Q!$L$2:$L$600,Raw_Q!$A$2:$A$600,$A11,Raw_Q!$R$2:$R$600,5)-1,""))</f>
        <v>3.4</v>
      </c>
      <c r="AA11" s="49" t="n">
        <f aca="false">IF($A11="","",IFERROR(SUMIFS(Raw_Q!$J$2:$J$600,Raw_Q!$A$2:$A$600,$A11,Raw_Q!$R$2:$R$600,"&gt;=1",Raw_Q!$R$2:$R$600,"&lt;=4")/E11,""))</f>
        <v>0.527199677908259</v>
      </c>
      <c r="AB11" s="49" t="n">
        <f aca="false">IF($A11="","",IFERROR(SUMIFS(Raw_Q!$J$2:$J$600,Raw_Q!$A$2:$A$600,$A11,Raw_Q!$R$2:$R$600,"&gt;=1",Raw_Q!$R$2:$R$600,"&lt;="&amp;Config!$B$5)/SUMIFS(Raw_Q!$I$2:$I$600,Raw_Q!$A$2:$A$600,$A11,Raw_Q!$R$2:$R$600,"&gt;=1",Raw_Q!$R$2:$R$600,"&lt;="&amp;Config!$B$5),""))</f>
        <v>0.358686834362507</v>
      </c>
      <c r="AC11" s="50" t="n">
        <f aca="false">IF($A11="","",IFERROR((AA11-AB11)*10000,""))</f>
        <v>1685.12843545752</v>
      </c>
      <c r="AD11" s="50" t="n">
        <f aca="false">IF($A11="","",IFERROR((SUMIFS(Raw_Q!$J$2:$J$600,Raw_Q!$A$2:$A$600,$A11,Raw_Q!$R$2:$R$600,1)/SUMIFS(Raw_Q!$I$2:$I$600,Raw_Q!$A$2:$A$600,$A11,Raw_Q!$R$2:$R$600,1)-SUMIFS(Raw_Q!$J$2:$J$600,Raw_Q!$A$2:$A$600,$A11,Raw_Q!$R$2:$R$600,5)/SUMIFS(Raw_Q!$I$2:$I$600,Raw_Q!$A$2:$A$600,$A11,Raw_Q!$R$2:$R$600,5))*10000,""))</f>
        <v>1412.30133860807</v>
      </c>
      <c r="AE11" s="51" t="n">
        <f aca="false">IF($A11="","",IFERROR(SUMIFS(Raw_Q!$O$2:$O$600,Raw_Q!$A$2:$A$600,$A11,Raw_Q!$R$2:$R$600,1)/SUMIFS(Raw_Q!$M$2:$M$600,Raw_Q!$A$2:$A$600,$A11,Raw_Q!$R$2:$R$600,1),""))</f>
        <v>51.0056605629434</v>
      </c>
      <c r="AF11" s="48" t="n">
        <f aca="false">IF($A11="","",IFERROR(SUMPRODUCT((Raw_Q!$A$2:$A$600=$A11)*(Raw_Q!$R$2:$R$600&gt;=1)*(Raw_Q!$R$2:$R$600&lt;=4)*Raw_Q!$L$2:$L$600*Raw_Q!$M$2:$M$600),""))</f>
        <v>1037.131848</v>
      </c>
      <c r="AG11" s="49" t="n">
        <f aca="false">IF($A11="","",IFERROR(IF(MIN(SUMIFS(Raw_Q!$O$2:$O$600,Raw_Q!$A$2:$A$600,$A11,Raw_Q!$R$2:$R$600,1),SUMIFS(Raw_Q!$O$2:$O$600,Raw_Q!$A$2:$A$600,$A11,Raw_Q!$R$2:$R$600,5))&lt;=0,"N/M",AF11/((SUMIFS(Raw_Q!$O$2:$O$600,Raw_Q!$A$2:$A$600,$A11,Raw_Q!$R$2:$R$600,1)+SUMIFS(Raw_Q!$O$2:$O$600,Raw_Q!$A$2:$A$600,$A11,Raw_Q!$R$2:$R$600,5))/2)),"N/M"))</f>
        <v>0.24117216817725</v>
      </c>
      <c r="AH11" s="49" t="n">
        <f aca="false">IF($A11="","",IFERROR(AVERAGE(AP11:AT11),""))</f>
        <v>0.0600543962917394</v>
      </c>
      <c r="AI11" s="49" t="n">
        <f aca="false">IF($A11="","",IFERROR(IF(AE11&lt;=0,"N/M",INDEX(Raw_Est!$B$2:$B$100,MATCH($A11,Raw_Est!$A$2:$A$100,0))/AE11),"N/M"))</f>
        <v>0.384482227728418</v>
      </c>
      <c r="AJ11" s="51" t="n">
        <f aca="false">IF($A11="","",IFERROR(SUMIFS(Raw_Q!$L$2:$L$600,Raw_Q!$A$2:$A$600,$A11,Raw_Q!$R$2:$R$600,0),""))</f>
        <v>5.79</v>
      </c>
      <c r="AK11" s="66" t="str">
        <f aca="false">IF($A11="","",IFERROR(INDEX(Raw_Q!$B$2:$B$600,MATCH($A11&amp;"|"&amp;0,Raw_Q!$S$2:$S$600,0)),""))</f>
        <v>FY2026Q3E</v>
      </c>
      <c r="AL11" s="66" t="str">
        <f aca="false">IF($A11="","",IFERROR(INDEX(Raw_Q!$G$2:$G$600,MATCH($A11&amp;"|"&amp;0,Raw_Q!$S$2:$S$600,0)),""))</f>
        <v>consensus</v>
      </c>
      <c r="AM11" s="47" t="n">
        <f aca="false">IF($A11="","",IFERROR(INDEX(Raw_Est!$E$2:$E$100,MATCH($A11,Raw_Est!$A$2:$A$100,0)),""))</f>
        <v>7</v>
      </c>
      <c r="AN11" s="67" t="n">
        <f aca="false">IF($A11="","",IFERROR(INDEX(Raw_Price!$D$2:$D$100,MATCH($A11,Raw_Price!$A$2:$A$100,0)),""))</f>
        <v>0</v>
      </c>
      <c r="AO11" s="67" t="n">
        <f aca="false">IF($A11="","",IFERROR(INDEX(Raw_Price!$E$2:$E$100,MATCH($A11,Raw_Price!$A$2:$A$100,0)),""))</f>
        <v>46311</v>
      </c>
      <c r="AP11" s="49" t="n">
        <f aca="false">IF($A11="","",IFERROR(IF(MIN(SUMIFS(Raw_Q!$O$2:$O$600,Raw_Q!$A$2:$A$600,$A11,Raw_Q!$R$2:$R$600,1),SUMIFS(Raw_Q!$O$2:$O$600,Raw_Q!$A$2:$A$600,$A11,Raw_Q!$R$2:$R$600,5))&lt;=0,"",SUMPRODUCT((Raw_Q!$A$2:$A$600=$A11)*(Raw_Q!$R$2:$R$600&gt;=1)*(Raw_Q!$R$2:$R$600&lt;=4)*Raw_Q!$L$2:$L$600*Raw_Q!$M$2:$M$600)/((SUMIFS(Raw_Q!$O$2:$O$600,Raw_Q!$A$2:$A$600,$A11,Raw_Q!$R$2:$R$600,1)+SUMIFS(Raw_Q!$O$2:$O$600,Raw_Q!$A$2:$A$600,$A11,Raw_Q!$R$2:$R$600,5))/2)),""))</f>
        <v>0.24117216817725</v>
      </c>
      <c r="AQ11" s="49" t="n">
        <f aca="false">IF($A11="","",IFERROR(IF(MIN(SUMIFS(Raw_Q!$O$2:$O$600,Raw_Q!$A$2:$A$600,$A11,Raw_Q!$R$2:$R$600,5),SUMIFS(Raw_Q!$O$2:$O$600,Raw_Q!$A$2:$A$600,$A11,Raw_Q!$R$2:$R$600,9))&lt;=0,"",SUMPRODUCT((Raw_Q!$A$2:$A$600=$A11)*(Raw_Q!$R$2:$R$600&gt;=5)*(Raw_Q!$R$2:$R$600&lt;=8)*Raw_Q!$L$2:$L$600*Raw_Q!$M$2:$M$600)/((SUMIFS(Raw_Q!$O$2:$O$600,Raw_Q!$A$2:$A$600,$A11,Raw_Q!$R$2:$R$600,5)+SUMIFS(Raw_Q!$O$2:$O$600,Raw_Q!$A$2:$A$600,$A11,Raw_Q!$R$2:$R$600,9))/2)),""))</f>
        <v>0.0410585216274324</v>
      </c>
      <c r="AR11" s="49" t="n">
        <f aca="false">IF($A11="","",IFERROR(IF(MIN(SUMIFS(Raw_Q!$O$2:$O$600,Raw_Q!$A$2:$A$600,$A11,Raw_Q!$R$2:$R$600,9),SUMIFS(Raw_Q!$O$2:$O$600,Raw_Q!$A$2:$A$600,$A11,Raw_Q!$R$2:$R$600,13))&lt;=0,"",SUMPRODUCT((Raw_Q!$A$2:$A$600=$A11)*(Raw_Q!$R$2:$R$600&gt;=9)*(Raw_Q!$R$2:$R$600&lt;=12)*Raw_Q!$L$2:$L$600*Raw_Q!$M$2:$M$600)/((SUMIFS(Raw_Q!$O$2:$O$600,Raw_Q!$A$2:$A$600,$A11,Raw_Q!$R$2:$R$600,9)+SUMIFS(Raw_Q!$O$2:$O$600,Raw_Q!$A$2:$A$600,$A11,Raw_Q!$R$2:$R$600,13))/2)),""))</f>
        <v>-0.0547973433792431</v>
      </c>
      <c r="AS11" s="49" t="n">
        <f aca="false">IF($A11="","",IFERROR(IF(MIN(SUMIFS(Raw_Q!$O$2:$O$600,Raw_Q!$A$2:$A$600,$A11,Raw_Q!$R$2:$R$600,13),SUMIFS(Raw_Q!$O$2:$O$600,Raw_Q!$A$2:$A$600,$A11,Raw_Q!$R$2:$R$600,17))&lt;=0,"",SUMPRODUCT((Raw_Q!$A$2:$A$600=$A11)*(Raw_Q!$R$2:$R$600&gt;=13)*(Raw_Q!$R$2:$R$600&lt;=16)*Raw_Q!$L$2:$L$600*Raw_Q!$M$2:$M$600)/((SUMIFS(Raw_Q!$O$2:$O$600,Raw_Q!$A$2:$A$600,$A11,Raw_Q!$R$2:$R$600,13)+SUMIFS(Raw_Q!$O$2:$O$600,Raw_Q!$A$2:$A$600,$A11,Raw_Q!$R$2:$R$600,17))/2)),""))</f>
        <v>0.0371587041667204</v>
      </c>
      <c r="AT11" s="49" t="n">
        <f aca="false">IF($A11="","",IFERROR(IF(MIN(SUMIFS(Raw_Q!$O$2:$O$600,Raw_Q!$A$2:$A$600,$A11,Raw_Q!$R$2:$R$600,17),SUMIFS(Raw_Q!$O$2:$O$600,Raw_Q!$A$2:$A$600,$A11,Raw_Q!$R$2:$R$600,21))&lt;=0,"",SUMPRODUCT((Raw_Q!$A$2:$A$600=$A11)*(Raw_Q!$R$2:$R$600&gt;=17)*(Raw_Q!$R$2:$R$600&lt;=20)*Raw_Q!$L$2:$L$600*Raw_Q!$M$2:$M$600)/((SUMIFS(Raw_Q!$O$2:$O$600,Raw_Q!$A$2:$A$600,$A11,Raw_Q!$R$2:$R$600,17)+SUMIFS(Raw_Q!$O$2:$O$600,Raw_Q!$A$2:$A$600,$A11,Raw_Q!$R$2:$R$600,21))/2)),""))</f>
        <v>0.0356799308665366</v>
      </c>
    </row>
    <row r="12" customFormat="false" ht="15" hidden="false" customHeight="false" outlineLevel="0" collapsed="false">
      <c r="A12" s="17" t="str">
        <f aca="false">IF(Tickers!A12="","",Tickers!A12)</f>
        <v>3163</v>
      </c>
      <c r="B12" s="66" t="str">
        <f aca="false">IF($A12="","",IFERROR(INDEX(Tickers!$B$2:$B$100,MATCH($A12,Tickers!$A$2:$A$100,0)),""))</f>
        <v>波若威</v>
      </c>
      <c r="C12" s="66" t="str">
        <f aca="false">IF($A12="","",IFERROR(INDEX(Tickers!$D$2:$D$100,MATCH($A12,Tickers!$A$2:$A$100,0)),""))</f>
        <v>基本面not good</v>
      </c>
      <c r="D12" s="51" t="n">
        <f aca="false">IF($A12="","",IFERROR(INDEX(Raw_Price!$B$2:$B$100,MATCH($A12,Raw_Price!$A$2:$A$100,0)),""))</f>
        <v>589</v>
      </c>
      <c r="E12" s="48" t="n">
        <f aca="false">IF($A12="","",IFERROR(SUMIFS(Raw_Q!$I$2:$I$600,Raw_Q!$A$2:$A$600,$A12,Raw_Q!$R$2:$R$600,"&gt;=1",Raw_Q!$R$2:$R$600,"&lt;=4"),""))</f>
        <v>2411.202</v>
      </c>
      <c r="F12" s="51" t="n">
        <f aca="false">IF($A12="","",IFERROR(SUMIFS(Raw_Q!$L$2:$L$600,Raw_Q!$A$2:$A$600,$A12,Raw_Q!$R$2:$R$600,"&gt;=1",Raw_Q!$R$2:$R$600,"&lt;=4"),""))</f>
        <v>9.64</v>
      </c>
      <c r="G12" s="51" t="n">
        <f aca="false">IF($A12="","",IFERROR(SUMIFS(Raw_Q!$L$2:$L$600,Raw_Q!$A$2:$A$600,$A12,Raw_Q!$R$2:$R$600,"&gt;=0",Raw_Q!$R$2:$R$600,"&lt;=3"),""))</f>
        <v>6.86</v>
      </c>
      <c r="H12" s="51" t="n">
        <f aca="true">IF($A12="","",IFERROR(INDEX(Raw_Est!$B$2:$B$100,MATCH($A12,Raw_Est!$A$2:$A$100,0))*MIN(1,MAX(0,(INDEX(Raw_Est!$D$2:$D$100,MATCH($A12,Raw_Est!$A$2:$A$100,0))-TODAY())/Config!$B$8))+INDEX(Raw_Est!$C$2:$C$100,MATCH($A12,Raw_Est!$A$2:$A$100,0))*(1-MIN(1,MAX(0,(INDEX(Raw_Est!$D$2:$D$100,MATCH($A12,Raw_Est!$A$2:$A$100,0))-TODAY())/Config!$B$8))),""))</f>
        <v>0</v>
      </c>
      <c r="I12" s="49" t="n">
        <f aca="false">IF($A12="","",IFERROR(SUMIFS(Raw_Q!$L$2:$L$600,Raw_Q!$A$2:$A$600,$A12,Raw_Q!$R$2:$R$600,"&gt;=1",Raw_Q!$R$2:$R$600,"&lt;=4")/SUMIFS(Raw_Q!$L$2:$L$600,Raw_Q!$A$2:$A$600,$A12,Raw_Q!$R$2:$R$600,"&gt;=5",Raw_Q!$R$2:$R$600,"&lt;=8")-1,""))</f>
        <v>2.66539923954373</v>
      </c>
      <c r="J12" s="52" t="n">
        <f aca="false">IF($A12="","",IFERROR(IF(F12&lt;=0,"N/M",D12/F12),"N/M"))</f>
        <v>61.0995850622407</v>
      </c>
      <c r="K12" s="52" t="n">
        <f aca="false">IF($A12="","",IFERROR(IF(G12&lt;=0,"N/M",D12/G12),"N/M"))</f>
        <v>85.8600583090379</v>
      </c>
      <c r="L12" s="52" t="str">
        <f aca="false">IF($A12="","",IFERROR(IF(H12&lt;=0,"N/M",D12/H12),"N/M"))</f>
        <v>N/M</v>
      </c>
      <c r="M12" s="49" t="str">
        <f aca="false">IF($A12="","",IFERROR(INDEX(Raw_Est!$C$2:$C$100,MATCH($A12,Raw_Est!$A$2:$A$100,0))/INDEX(Raw_Est!$B$2:$B$100,MATCH($A12,Raw_Est!$A$2:$A$100,0))-1,""))</f>
        <v/>
      </c>
      <c r="N12" s="51" t="n">
        <f aca="false">IF($A12="","",IFERROR(IF(OR(NOT(ISNUMBER(J12)),I12&lt;Config!$B$6),"N/M",J12/(I12*100)),"N/M"))</f>
        <v>0.229232394741359</v>
      </c>
      <c r="O12" s="51" t="str">
        <f aca="false">IF($A12="","",IFERROR(IF(OR(NOT(ISNUMBER(L12)),M12&lt;Config!$B$6),"N/M",L12/(M12*100)),"N/M"))</f>
        <v>N/M</v>
      </c>
      <c r="P12" s="51" t="n">
        <f aca="false">IF($A12="","",IFERROR(SUMIFS(Raw_Q!$P$2:$P$600,Raw_Q!$A$2:$A$600,$A12,Raw_Q!$R$2:$R$600,"&gt;=1",Raw_Q!$R$2:$R$600,"&lt;=4"),""))</f>
        <v>0</v>
      </c>
      <c r="Q12" s="49" t="str">
        <f aca="false">IF($A12="","",IFERROR(IF(P12=0,"不配息",P12/D12),""))</f>
        <v>不配息</v>
      </c>
      <c r="R12" s="49" t="n">
        <f aca="false">IF($A12="","",IFERROR(IF(SUMIFS(Raw_Q!$P$2:$P$600,Raw_Q!$A$2:$A$600,$A12,Raw_Q!$R$2:$R$600,"&gt;=5",Raw_Q!$R$2:$R$600,"&lt;=8")=0,"",SUMIFS(Raw_Q!$P$2:$P$600,Raw_Q!$A$2:$A$600,$A12,Raw_Q!$R$2:$R$600,"&gt;=1",Raw_Q!$R$2:$R$600,"&lt;=4")/SUMIFS(Raw_Q!$P$2:$P$600,Raw_Q!$A$2:$A$600,$A12,Raw_Q!$R$2:$R$600,"&gt;=5",Raw_Q!$R$2:$R$600,"&lt;=8")-1),""))</f>
        <v>-1</v>
      </c>
      <c r="S12" s="49" t="n">
        <f aca="false">IF($A12="","",IFERROR(SUMIFS(Raw_Q!$I$2:$I$600,Raw_Q!$A$2:$A$600,$A12,Raw_Q!$R$2:$R$600,1)/SUMIFS(Raw_Q!$I$2:$I$600,Raw_Q!$A$2:$A$600,$A12,Raw_Q!$R$2:$R$600,5)-1,""))</f>
        <v>0.0991060087207789</v>
      </c>
      <c r="T12" s="49" t="n">
        <f aca="false">IF($A12="","",IFERROR(SUMIFS(Raw_Q!$I$2:$I$600,Raw_Q!$A$2:$A$600,$A12,Raw_Q!$R$2:$R$600,1)/SUMIFS(Raw_Q!$I$2:$I$600,Raw_Q!$A$2:$A$600,$A12,Raw_Q!$R$2:$R$600,2)-1,""))</f>
        <v>-0.0979187465229884</v>
      </c>
      <c r="U12" s="49" t="n">
        <f aca="false">IF($A12="","",IFERROR(SUMIFS(Raw_Q!$I$2:$I$600,Raw_Q!$A$2:$A$600,$A12,Raw_Q!$R$2:$R$600,2)/SUMIFS(Raw_Q!$I$2:$I$600,Raw_Q!$A$2:$A$600,$A12,Raw_Q!$R$2:$R$600,3)-1,""))</f>
        <v>0.0532826032862155</v>
      </c>
      <c r="V12" s="68" t="n">
        <f aca="false">IF($A12="","",IFERROR((T12-U12)*100,""))</f>
        <v>-15.1201349809204</v>
      </c>
      <c r="W12" s="49" t="n">
        <f aca="false">IF($A12="","",IFERROR(IF(OR(NOT(ISNUMBER(T12)),NOT(ISNUMBER(U12)),U12&lt;=0,ABS(U12)&lt;Config!$B$9),"N/M",(T12-U12)/ABS(U12)),"N/M"))</f>
        <v>-2.837724519521</v>
      </c>
      <c r="X12" s="66" t="str">
        <f aca="false">IF($A12="","",IFERROR(IF(NOT(ISNUMBER(T12)),"",IF(AND(ISNUMBER(U12),U12&gt;0,T12&lt;=0),"由正轉負",IF(AND(ISNUMBER(U12),U12&lt;=0,T12&gt;0),"由負轉正",IF(T12&gt;0,IF(V12&gt;0,"成長且加速","成長但減速"),IF(V12&gt;0,"衰退但收斂","衰退且惡化"))))),""))</f>
        <v>由正轉負</v>
      </c>
      <c r="Y12" s="68" t="n">
        <f aca="false">IF($A12="","",IFERROR((T12-(SUMIFS(Raw_Q!$I$2:$I$600,Raw_Q!$A$2:$A$600,$A12,Raw_Q!$R$2:$R$600,5)/SUMIFS(Raw_Q!$I$2:$I$600,Raw_Q!$A$2:$A$600,$A12,Raw_Q!$R$2:$R$600,6)-1))*100,""))</f>
        <v>-12.5734539663427</v>
      </c>
      <c r="Z12" s="49" t="n">
        <f aca="false">IF($A12="","",IFERROR(SUMIFS(Raw_Q!$L$2:$L$600,Raw_Q!$A$2:$A$600,$A12,Raw_Q!$R$2:$R$600,1)/SUMIFS(Raw_Q!$L$2:$L$600,Raw_Q!$A$2:$A$600,$A12,Raw_Q!$R$2:$R$600,5)-1,""))</f>
        <v>-14.2857142857143</v>
      </c>
      <c r="AA12" s="49" t="n">
        <f aca="false">IF($A12="","",IFERROR(SUMIFS(Raw_Q!$J$2:$J$600,Raw_Q!$A$2:$A$600,$A12,Raw_Q!$R$2:$R$600,"&gt;=1",Raw_Q!$R$2:$R$600,"&lt;=4")/E12,""))</f>
        <v>0.178306504390756</v>
      </c>
      <c r="AB12" s="49" t="n">
        <f aca="false">IF($A12="","",IFERROR(SUMIFS(Raw_Q!$J$2:$J$600,Raw_Q!$A$2:$A$600,$A12,Raw_Q!$R$2:$R$600,"&gt;=1",Raw_Q!$R$2:$R$600,"&lt;="&amp;Config!$B$5)/SUMIFS(Raw_Q!$I$2:$I$600,Raw_Q!$A$2:$A$600,$A12,Raw_Q!$R$2:$R$600,"&gt;=1",Raw_Q!$R$2:$R$600,"&lt;="&amp;Config!$B$5),""))</f>
        <v>0.194188067451665</v>
      </c>
      <c r="AC12" s="50" t="n">
        <f aca="false">IF($A12="","",IFERROR((AA12-AB12)*10000,""))</f>
        <v>-158.815630609086</v>
      </c>
      <c r="AD12" s="50" t="n">
        <f aca="false">IF($A12="","",IFERROR((SUMIFS(Raw_Q!$J$2:$J$600,Raw_Q!$A$2:$A$600,$A12,Raw_Q!$R$2:$R$600,1)/SUMIFS(Raw_Q!$I$2:$I$600,Raw_Q!$A$2:$A$600,$A12,Raw_Q!$R$2:$R$600,1)-SUMIFS(Raw_Q!$J$2:$J$600,Raw_Q!$A$2:$A$600,$A12,Raw_Q!$R$2:$R$600,5)/SUMIFS(Raw_Q!$I$2:$I$600,Raw_Q!$A$2:$A$600,$A12,Raw_Q!$R$2:$R$600,5))*10000,""))</f>
        <v>-199.816088531759</v>
      </c>
      <c r="AE12" s="51" t="n">
        <f aca="false">IF($A12="","",IFERROR(SUMIFS(Raw_Q!$O$2:$O$600,Raw_Q!$A$2:$A$600,$A12,Raw_Q!$R$2:$R$600,1)/SUMIFS(Raw_Q!$M$2:$M$600,Raw_Q!$A$2:$A$600,$A12,Raw_Q!$R$2:$R$600,1),""))</f>
        <v>40.8007504280445</v>
      </c>
      <c r="AF12" s="48" t="n">
        <f aca="false">IF($A12="","",IFERROR(SUMPRODUCT((Raw_Q!$A$2:$A$600=$A12)*(Raw_Q!$R$2:$R$600&gt;=1)*(Raw_Q!$R$2:$R$600&lt;=4)*Raw_Q!$L$2:$L$600*Raw_Q!$M$2:$M$600),""))</f>
        <v>776.412348</v>
      </c>
      <c r="AG12" s="49" t="n">
        <f aca="false">IF($A12="","",IFERROR(IF(MIN(SUMIFS(Raw_Q!$O$2:$O$600,Raw_Q!$A$2:$A$600,$A12,Raw_Q!$R$2:$R$600,1),SUMIFS(Raw_Q!$O$2:$O$600,Raw_Q!$A$2:$A$600,$A12,Raw_Q!$R$2:$R$600,5))&lt;=0,"N/M",AF12/((SUMIFS(Raw_Q!$O$2:$O$600,Raw_Q!$A$2:$A$600,$A12,Raw_Q!$R$2:$R$600,1)+SUMIFS(Raw_Q!$O$2:$O$600,Raw_Q!$A$2:$A$600,$A12,Raw_Q!$R$2:$R$600,5))/2)),"N/M"))</f>
        <v>0.265219556044418</v>
      </c>
      <c r="AH12" s="49" t="n">
        <f aca="false">IF($A12="","",IFERROR(AVERAGE(AP12:AT12),""))</f>
        <v>0.188510758552902</v>
      </c>
      <c r="AI12" s="49" t="n">
        <f aca="false">IF($A12="","",IFERROR(IF(AE12&lt;=0,"N/M",INDEX(Raw_Est!$B$2:$B$100,MATCH($A12,Raw_Est!$A$2:$A$100,0))/AE12),"N/M"))</f>
        <v>0</v>
      </c>
      <c r="AJ12" s="51" t="n">
        <f aca="false">IF($A12="","",IFERROR(SUMIFS(Raw_Q!$L$2:$L$600,Raw_Q!$A$2:$A$600,$A12,Raw_Q!$R$2:$R$600,0),""))</f>
        <v>0</v>
      </c>
      <c r="AK12" s="66" t="str">
        <f aca="false">IF($A12="","",IFERROR(INDEX(Raw_Q!$B$2:$B$600,MATCH($A12&amp;"|"&amp;0,Raw_Q!$S$2:$S$600,0)),""))</f>
        <v/>
      </c>
      <c r="AL12" s="66" t="str">
        <f aca="false">IF($A12="","",IFERROR(INDEX(Raw_Q!$G$2:$G$600,MATCH($A12&amp;"|"&amp;0,Raw_Q!$S$2:$S$600,0)),""))</f>
        <v/>
      </c>
      <c r="AM12" s="47" t="n">
        <f aca="false">IF($A12="","",IFERROR(INDEX(Raw_Est!$E$2:$E$100,MATCH($A12,Raw_Est!$A$2:$A$100,0)),""))</f>
        <v>0</v>
      </c>
      <c r="AN12" s="67" t="n">
        <f aca="false">IF($A12="","",IFERROR(INDEX(Raw_Price!$D$2:$D$100,MATCH($A12,Raw_Price!$A$2:$A$100,0)),""))</f>
        <v>0</v>
      </c>
      <c r="AO12" s="67" t="n">
        <f aca="false">IF($A12="","",IFERROR(INDEX(Raw_Price!$E$2:$E$100,MATCH($A12,Raw_Price!$A$2:$A$100,0)),""))</f>
        <v>46311</v>
      </c>
      <c r="AP12" s="49" t="n">
        <f aca="false">IF($A12="","",IFERROR(IF(MIN(SUMIFS(Raw_Q!$O$2:$O$600,Raw_Q!$A$2:$A$600,$A12,Raw_Q!$R$2:$R$600,1),SUMIFS(Raw_Q!$O$2:$O$600,Raw_Q!$A$2:$A$600,$A12,Raw_Q!$R$2:$R$600,5))&lt;=0,"",SUMPRODUCT((Raw_Q!$A$2:$A$600=$A12)*(Raw_Q!$R$2:$R$600&gt;=1)*(Raw_Q!$R$2:$R$600&lt;=4)*Raw_Q!$L$2:$L$600*Raw_Q!$M$2:$M$600)/((SUMIFS(Raw_Q!$O$2:$O$600,Raw_Q!$A$2:$A$600,$A12,Raw_Q!$R$2:$R$600,1)+SUMIFS(Raw_Q!$O$2:$O$600,Raw_Q!$A$2:$A$600,$A12,Raw_Q!$R$2:$R$600,5))/2)),""))</f>
        <v>0.265219556044418</v>
      </c>
      <c r="AQ12" s="49" t="n">
        <f aca="false">IF($A12="","",IFERROR(IF(MIN(SUMIFS(Raw_Q!$O$2:$O$600,Raw_Q!$A$2:$A$600,$A12,Raw_Q!$R$2:$R$600,5),SUMIFS(Raw_Q!$O$2:$O$600,Raw_Q!$A$2:$A$600,$A12,Raw_Q!$R$2:$R$600,9))&lt;=0,"",SUMPRODUCT((Raw_Q!$A$2:$A$600=$A12)*(Raw_Q!$R$2:$R$600&gt;=5)*(Raw_Q!$R$2:$R$600&lt;=8)*Raw_Q!$L$2:$L$600*Raw_Q!$M$2:$M$600)/((SUMIFS(Raw_Q!$O$2:$O$600,Raw_Q!$A$2:$A$600,$A12,Raw_Q!$R$2:$R$600,5)+SUMIFS(Raw_Q!$O$2:$O$600,Raw_Q!$A$2:$A$600,$A12,Raw_Q!$R$2:$R$600,9))/2)),""))</f>
        <v>0.0810701218030293</v>
      </c>
      <c r="AR12" s="49" t="n">
        <f aca="false">IF($A12="","",IFERROR(IF(MIN(SUMIFS(Raw_Q!$O$2:$O$600,Raw_Q!$A$2:$A$600,$A12,Raw_Q!$R$2:$R$600,9),SUMIFS(Raw_Q!$O$2:$O$600,Raw_Q!$A$2:$A$600,$A12,Raw_Q!$R$2:$R$600,13))&lt;=0,"",SUMPRODUCT((Raw_Q!$A$2:$A$600=$A12)*(Raw_Q!$R$2:$R$600&gt;=9)*(Raw_Q!$R$2:$R$600&lt;=12)*Raw_Q!$L$2:$L$600*Raw_Q!$M$2:$M$600)/((SUMIFS(Raw_Q!$O$2:$O$600,Raw_Q!$A$2:$A$600,$A12,Raw_Q!$R$2:$R$600,9)+SUMIFS(Raw_Q!$O$2:$O$600,Raw_Q!$A$2:$A$600,$A12,Raw_Q!$R$2:$R$600,13))/2)),""))</f>
        <v>0.219712217445663</v>
      </c>
      <c r="AS12" s="49" t="n">
        <f aca="false">IF($A12="","",IFERROR(IF(MIN(SUMIFS(Raw_Q!$O$2:$O$600,Raw_Q!$A$2:$A$600,$A12,Raw_Q!$R$2:$R$600,13),SUMIFS(Raw_Q!$O$2:$O$600,Raw_Q!$A$2:$A$600,$A12,Raw_Q!$R$2:$R$600,17))&lt;=0,"",SUMPRODUCT((Raw_Q!$A$2:$A$600=$A12)*(Raw_Q!$R$2:$R$600&gt;=13)*(Raw_Q!$R$2:$R$600&lt;=16)*Raw_Q!$L$2:$L$600*Raw_Q!$M$2:$M$600)/((SUMIFS(Raw_Q!$O$2:$O$600,Raw_Q!$A$2:$A$600,$A12,Raw_Q!$R$2:$R$600,13)+SUMIFS(Raw_Q!$O$2:$O$600,Raw_Q!$A$2:$A$600,$A12,Raw_Q!$R$2:$R$600,17))/2)),""))</f>
        <v>0.229948358168245</v>
      </c>
      <c r="AT12" s="49" t="n">
        <f aca="false">IF($A12="","",IFERROR(IF(MIN(SUMIFS(Raw_Q!$O$2:$O$600,Raw_Q!$A$2:$A$600,$A12,Raw_Q!$R$2:$R$600,17),SUMIFS(Raw_Q!$O$2:$O$600,Raw_Q!$A$2:$A$600,$A12,Raw_Q!$R$2:$R$600,21))&lt;=0,"",SUMPRODUCT((Raw_Q!$A$2:$A$600=$A12)*(Raw_Q!$R$2:$R$600&gt;=17)*(Raw_Q!$R$2:$R$600&lt;=20)*Raw_Q!$L$2:$L$600*Raw_Q!$M$2:$M$600)/((SUMIFS(Raw_Q!$O$2:$O$600,Raw_Q!$A$2:$A$600,$A12,Raw_Q!$R$2:$R$600,17)+SUMIFS(Raw_Q!$O$2:$O$600,Raw_Q!$A$2:$A$600,$A12,Raw_Q!$R$2:$R$600,21))/2)),""))</f>
        <v>0.146603539303156</v>
      </c>
    </row>
    <row r="13" customFormat="false" ht="15" hidden="false" customHeight="false" outlineLevel="0" collapsed="false">
      <c r="A13" s="17" t="str">
        <f aca="false">IF(Tickers!A13="","",Tickers!A13)</f>
        <v>3189</v>
      </c>
      <c r="B13" s="66" t="str">
        <f aca="false">IF($A13="","",IFERROR(INDEX(Tickers!$B$2:$B$100,MATCH($A13,Tickers!$A$2:$A$100,0)),""))</f>
        <v>景碩</v>
      </c>
      <c r="C13" s="66" t="str">
        <f aca="false">IF($A13="","",IFERROR(INDEX(Tickers!$D$2:$D$100,MATCH($A13,Tickers!$A$2:$A$100,0)),""))</f>
        <v>池子</v>
      </c>
      <c r="D13" s="51" t="n">
        <f aca="false">IF($A13="","",IFERROR(INDEX(Raw_Price!$B$2:$B$100,MATCH($A13,Raw_Price!$A$2:$A$100,0)),""))</f>
        <v>1000</v>
      </c>
      <c r="E13" s="48" t="n">
        <f aca="false">IF($A13="","",IFERROR(SUMIFS(Raw_Q!$I$2:$I$600,Raw_Q!$A$2:$A$600,$A13,Raw_Q!$R$2:$R$600,"&gt;=1",Raw_Q!$R$2:$R$600,"&lt;=4"),""))</f>
        <v>44768.845</v>
      </c>
      <c r="F13" s="51" t="n">
        <f aca="false">IF($A13="","",IFERROR(SUMIFS(Raw_Q!$L$2:$L$600,Raw_Q!$A$2:$A$600,$A13,Raw_Q!$R$2:$R$600,"&gt;=1",Raw_Q!$R$2:$R$600,"&lt;=4"),""))</f>
        <v>5.9</v>
      </c>
      <c r="G13" s="51" t="n">
        <f aca="false">IF($A13="","",IFERROR(SUMIFS(Raw_Q!$L$2:$L$600,Raw_Q!$A$2:$A$600,$A13,Raw_Q!$R$2:$R$600,"&gt;=0",Raw_Q!$R$2:$R$600,"&lt;=3"),""))</f>
        <v>8.33425</v>
      </c>
      <c r="H13" s="51" t="n">
        <f aca="true">IF($A13="","",IFERROR(INDEX(Raw_Est!$B$2:$B$100,MATCH($A13,Raw_Est!$A$2:$A$100,0))*MIN(1,MAX(0,(INDEX(Raw_Est!$D$2:$D$100,MATCH($A13,Raw_Est!$A$2:$A$100,0))-TODAY())/Config!$B$8))+INDEX(Raw_Est!$C$2:$C$100,MATCH($A13,Raw_Est!$A$2:$A$100,0))*(1-MIN(1,MAX(0,(INDEX(Raw_Est!$D$2:$D$100,MATCH($A13,Raw_Est!$A$2:$A$100,0))-TODAY())/Config!$B$8))),""))</f>
        <v>26.1397963287671</v>
      </c>
      <c r="I13" s="49" t="n">
        <f aca="false">IF($A13="","",IFERROR(SUMIFS(Raw_Q!$L$2:$L$600,Raw_Q!$A$2:$A$600,$A13,Raw_Q!$R$2:$R$600,"&gt;=1",Raw_Q!$R$2:$R$600,"&lt;=4")/SUMIFS(Raw_Q!$L$2:$L$600,Raw_Q!$A$2:$A$600,$A13,Raw_Q!$R$2:$R$600,"&gt;=5",Raw_Q!$R$2:$R$600,"&lt;=8")-1,""))</f>
        <v>3.87603305785124</v>
      </c>
      <c r="J13" s="52" t="n">
        <f aca="false">IF($A13="","",IFERROR(IF(F13&lt;=0,"N/M",D13/F13),"N/M"))</f>
        <v>169.491525423729</v>
      </c>
      <c r="K13" s="52" t="n">
        <f aca="false">IF($A13="","",IFERROR(IF(G13&lt;=0,"N/M",D13/G13),"N/M"))</f>
        <v>119.98680145184</v>
      </c>
      <c r="L13" s="52" t="n">
        <f aca="false">IF($A13="","",IFERROR(IF(H13&lt;=0,"N/M",D13/H13),"N/M"))</f>
        <v>38.2558451268226</v>
      </c>
      <c r="M13" s="49" t="n">
        <f aca="false">IF($A13="","",IFERROR(INDEX(Raw_Est!$C$2:$C$100,MATCH($A13,Raw_Est!$A$2:$A$100,0))/INDEX(Raw_Est!$B$2:$B$100,MATCH($A13,Raw_Est!$A$2:$A$100,0))-1,""))</f>
        <v>1.47862824836424</v>
      </c>
      <c r="N13" s="51" t="n">
        <f aca="false">IF($A13="","",IFERROR(IF(OR(NOT(ISNUMBER(J13)),I13&lt;Config!$B$6),"N/M",J13/(I13*100)),"N/M"))</f>
        <v>0.43728090780962</v>
      </c>
      <c r="O13" s="51" t="n">
        <f aca="false">IF($A13="","",IFERROR(IF(OR(NOT(ISNUMBER(L13)),M13&lt;Config!$B$6),"N/M",L13/(M13*100)),"N/M"))</f>
        <v>0.258725241920298</v>
      </c>
      <c r="P13" s="51" t="n">
        <f aca="false">IF($A13="","",IFERROR(SUMIFS(Raw_Q!$P$2:$P$600,Raw_Q!$A$2:$A$600,$A13,Raw_Q!$R$2:$R$600,"&gt;=1",Raw_Q!$R$2:$R$600,"&lt;=4"),""))</f>
        <v>1.00017193</v>
      </c>
      <c r="Q13" s="49" t="n">
        <f aca="false">IF($A13="","",IFERROR(IF(P13=0,"不配息",P13/D13),""))</f>
        <v>0.00100017193</v>
      </c>
      <c r="R13" s="49" t="n">
        <f aca="false">IF($A13="","",IFERROR(IF(SUMIFS(Raw_Q!$P$2:$P$600,Raw_Q!$A$2:$A$600,$A13,Raw_Q!$R$2:$R$600,"&gt;=5",Raw_Q!$R$2:$R$600,"&lt;=8")=0,"",SUMIFS(Raw_Q!$P$2:$P$600,Raw_Q!$A$2:$A$600,$A13,Raw_Q!$R$2:$R$600,"&gt;=1",Raw_Q!$R$2:$R$600,"&lt;=4")/SUMIFS(Raw_Q!$P$2:$P$600,Raw_Q!$A$2:$A$600,$A13,Raw_Q!$R$2:$R$600,"&gt;=5",Raw_Q!$R$2:$R$600,"&lt;=8")-1),""))</f>
        <v>6.40830892795208E-005</v>
      </c>
      <c r="S13" s="49" t="n">
        <f aca="false">IF($A13="","",IFERROR(SUMIFS(Raw_Q!$I$2:$I$600,Raw_Q!$A$2:$A$600,$A13,Raw_Q!$R$2:$R$600,1)/SUMIFS(Raw_Q!$I$2:$I$600,Raw_Q!$A$2:$A$600,$A13,Raw_Q!$R$2:$R$600,5)-1,""))</f>
        <v>0.306630281963327</v>
      </c>
      <c r="T13" s="49" t="n">
        <f aca="false">IF($A13="","",IFERROR(SUMIFS(Raw_Q!$I$2:$I$600,Raw_Q!$A$2:$A$600,$A13,Raw_Q!$R$2:$R$600,1)/SUMIFS(Raw_Q!$I$2:$I$600,Raw_Q!$A$2:$A$600,$A13,Raw_Q!$R$2:$R$600,2)-1,""))</f>
        <v>0.125285311570095</v>
      </c>
      <c r="U13" s="49" t="n">
        <f aca="false">IF($A13="","",IFERROR(SUMIFS(Raw_Q!$I$2:$I$600,Raw_Q!$A$2:$A$600,$A13,Raw_Q!$R$2:$R$600,2)/SUMIFS(Raw_Q!$I$2:$I$600,Raw_Q!$A$2:$A$600,$A13,Raw_Q!$R$2:$R$600,3)-1,""))</f>
        <v>0.027149672411755</v>
      </c>
      <c r="V13" s="68" t="n">
        <f aca="false">IF($A13="","",IFERROR((T13-U13)*100,""))</f>
        <v>9.81356391583401</v>
      </c>
      <c r="W13" s="49" t="n">
        <f aca="false">IF($A13="","",IFERROR(IF(OR(NOT(ISNUMBER(T13)),NOT(ISNUMBER(U13)),U13&lt;=0,ABS(U13)&lt;Config!$B$9),"N/M",(T13-U13)/ABS(U13)),"N/M"))</f>
        <v>3.61461595815978</v>
      </c>
      <c r="X13" s="66" t="str">
        <f aca="false">IF($A13="","",IFERROR(IF(NOT(ISNUMBER(T13)),"",IF(AND(ISNUMBER(U13),U13&gt;0,T13&lt;=0),"由正轉負",IF(AND(ISNUMBER(U13),U13&lt;=0,T13&gt;0),"由負轉正",IF(T13&gt;0,IF(V13&gt;0,"成長且加速","成長但減速"),IF(V13&gt;0,"衰退但收斂","衰退且惡化"))))),""))</f>
        <v>成長且加速</v>
      </c>
      <c r="Y13" s="68" t="n">
        <f aca="false">IF($A13="","",IFERROR((T13-(SUMIFS(Raw_Q!$I$2:$I$600,Raw_Q!$A$2:$A$600,$A13,Raw_Q!$R$2:$R$600,5)/SUMIFS(Raw_Q!$I$2:$I$600,Raw_Q!$A$2:$A$600,$A13,Raw_Q!$R$2:$R$600,6)-1))*100,""))</f>
        <v>1.5771386330552</v>
      </c>
      <c r="Z13" s="49" t="n">
        <f aca="false">IF($A13="","",IFERROR(SUMIFS(Raw_Q!$L$2:$L$600,Raw_Q!$A$2:$A$600,$A13,Raw_Q!$R$2:$R$600,1)/SUMIFS(Raw_Q!$L$2:$L$600,Raw_Q!$A$2:$A$600,$A13,Raw_Q!$R$2:$R$600,5)-1,""))</f>
        <v>2.47297297297297</v>
      </c>
      <c r="AA13" s="49" t="n">
        <f aca="false">IF($A13="","",IFERROR(SUMIFS(Raw_Q!$J$2:$J$600,Raw_Q!$A$2:$A$600,$A13,Raw_Q!$R$2:$R$600,"&gt;=1",Raw_Q!$R$2:$R$600,"&lt;=4")/E13,""))</f>
        <v>0.222641906441857</v>
      </c>
      <c r="AB13" s="49" t="n">
        <f aca="false">IF($A13="","",IFERROR(SUMIFS(Raw_Q!$J$2:$J$600,Raw_Q!$A$2:$A$600,$A13,Raw_Q!$R$2:$R$600,"&gt;=1",Raw_Q!$R$2:$R$600,"&lt;="&amp;Config!$B$5)/SUMIFS(Raw_Q!$I$2:$I$600,Raw_Q!$A$2:$A$600,$A13,Raw_Q!$R$2:$R$600,"&gt;=1",Raw_Q!$R$2:$R$600,"&lt;="&amp;Config!$B$5),""))</f>
        <v>0.285033485013648</v>
      </c>
      <c r="AC13" s="50" t="n">
        <f aca="false">IF($A13="","",IFERROR((AA13-AB13)*10000,""))</f>
        <v>-623.915785717906</v>
      </c>
      <c r="AD13" s="50" t="n">
        <f aca="false">IF($A13="","",IFERROR((SUMIFS(Raw_Q!$J$2:$J$600,Raw_Q!$A$2:$A$600,$A13,Raw_Q!$R$2:$R$600,1)/SUMIFS(Raw_Q!$I$2:$I$600,Raw_Q!$A$2:$A$600,$A13,Raw_Q!$R$2:$R$600,1)-SUMIFS(Raw_Q!$J$2:$J$600,Raw_Q!$A$2:$A$600,$A13,Raw_Q!$R$2:$R$600,5)/SUMIFS(Raw_Q!$I$2:$I$600,Raw_Q!$A$2:$A$600,$A13,Raw_Q!$R$2:$R$600,5))*10000,""))</f>
        <v>501.715545944687</v>
      </c>
      <c r="AE13" s="51" t="n">
        <f aca="false">IF($A13="","",IFERROR(SUMIFS(Raw_Q!$O$2:$O$600,Raw_Q!$A$2:$A$600,$A13,Raw_Q!$R$2:$R$600,1)/SUMIFS(Raw_Q!$M$2:$M$600,Raw_Q!$A$2:$A$600,$A13,Raw_Q!$R$2:$R$600,1),""))</f>
        <v>84.3913765983742</v>
      </c>
      <c r="AF13" s="48" t="n">
        <f aca="false">IF($A13="","",IFERROR(SUMPRODUCT((Raw_Q!$A$2:$A$600=$A13)*(Raw_Q!$R$2:$R$600&gt;=1)*(Raw_Q!$R$2:$R$600&lt;=4)*Raw_Q!$L$2:$L$600*Raw_Q!$M$2:$M$600),""))</f>
        <v>2957.337459</v>
      </c>
      <c r="AG13" s="49" t="n">
        <f aca="false">IF($A13="","",IFERROR(IF(MIN(SUMIFS(Raw_Q!$O$2:$O$600,Raw_Q!$A$2:$A$600,$A13,Raw_Q!$R$2:$R$600,1),SUMIFS(Raw_Q!$O$2:$O$600,Raw_Q!$A$2:$A$600,$A13,Raw_Q!$R$2:$R$600,5))&lt;=0,"N/M",AF13/((SUMIFS(Raw_Q!$O$2:$O$600,Raw_Q!$A$2:$A$600,$A13,Raw_Q!$R$2:$R$600,1)+SUMIFS(Raw_Q!$O$2:$O$600,Raw_Q!$A$2:$A$600,$A13,Raw_Q!$R$2:$R$600,5))/2)),"N/M"))</f>
        <v>0.0778103242070686</v>
      </c>
      <c r="AH13" s="49" t="n">
        <f aca="false">IF($A13="","",IFERROR(AVERAGE(AP13:AT13),""))</f>
        <v>0.0864176589454461</v>
      </c>
      <c r="AI13" s="49" t="n">
        <f aca="false">IF($A13="","",IFERROR(IF(AE13&lt;=0,"N/M",INDEX(Raw_Est!$B$2:$B$100,MATCH($A13,Raw_Est!$A$2:$A$100,0))/AE13),"N/M"))</f>
        <v>0.142690289996194</v>
      </c>
      <c r="AJ13" s="51" t="n">
        <f aca="false">IF($A13="","",IFERROR(SUMIFS(Raw_Q!$L$2:$L$600,Raw_Q!$A$2:$A$600,$A13,Raw_Q!$R$2:$R$600,0),""))</f>
        <v>3.18425</v>
      </c>
      <c r="AK13" s="66" t="str">
        <f aca="false">IF($A13="","",IFERROR(INDEX(Raw_Q!$B$2:$B$600,MATCH($A13&amp;"|"&amp;0,Raw_Q!$S$2:$S$600,0)),""))</f>
        <v>FY2026Q3E</v>
      </c>
      <c r="AL13" s="66" t="str">
        <f aca="false">IF($A13="","",IFERROR(INDEX(Raw_Q!$G$2:$G$600,MATCH($A13&amp;"|"&amp;0,Raw_Q!$S$2:$S$600,0)),""))</f>
        <v>consensus</v>
      </c>
      <c r="AM13" s="47" t="n">
        <f aca="false">IF($A13="","",IFERROR(INDEX(Raw_Est!$E$2:$E$100,MATCH($A13,Raw_Est!$A$2:$A$100,0)),""))</f>
        <v>7</v>
      </c>
      <c r="AN13" s="67" t="n">
        <f aca="false">IF($A13="","",IFERROR(INDEX(Raw_Price!$D$2:$D$100,MATCH($A13,Raw_Price!$A$2:$A$100,0)),""))</f>
        <v>0</v>
      </c>
      <c r="AO13" s="67" t="n">
        <f aca="false">IF($A13="","",IFERROR(INDEX(Raw_Price!$E$2:$E$100,MATCH($A13,Raw_Price!$A$2:$A$100,0)),""))</f>
        <v>46311</v>
      </c>
      <c r="AP13" s="49" t="n">
        <f aca="false">IF($A13="","",IFERROR(IF(MIN(SUMIFS(Raw_Q!$O$2:$O$600,Raw_Q!$A$2:$A$600,$A13,Raw_Q!$R$2:$R$600,1),SUMIFS(Raw_Q!$O$2:$O$600,Raw_Q!$A$2:$A$600,$A13,Raw_Q!$R$2:$R$600,5))&lt;=0,"",SUMPRODUCT((Raw_Q!$A$2:$A$600=$A13)*(Raw_Q!$R$2:$R$600&gt;=1)*(Raw_Q!$R$2:$R$600&lt;=4)*Raw_Q!$L$2:$L$600*Raw_Q!$M$2:$M$600)/((SUMIFS(Raw_Q!$O$2:$O$600,Raw_Q!$A$2:$A$600,$A13,Raw_Q!$R$2:$R$600,1)+SUMIFS(Raw_Q!$O$2:$O$600,Raw_Q!$A$2:$A$600,$A13,Raw_Q!$R$2:$R$600,5))/2)),""))</f>
        <v>0.0778103242070686</v>
      </c>
      <c r="AQ13" s="49" t="n">
        <f aca="false">IF($A13="","",IFERROR(IF(MIN(SUMIFS(Raw_Q!$O$2:$O$600,Raw_Q!$A$2:$A$600,$A13,Raw_Q!$R$2:$R$600,5),SUMIFS(Raw_Q!$O$2:$O$600,Raw_Q!$A$2:$A$600,$A13,Raw_Q!$R$2:$R$600,9))&lt;=0,"",SUMPRODUCT((Raw_Q!$A$2:$A$600=$A13)*(Raw_Q!$R$2:$R$600&gt;=5)*(Raw_Q!$R$2:$R$600&lt;=8)*Raw_Q!$L$2:$L$600*Raw_Q!$M$2:$M$600)/((SUMIFS(Raw_Q!$O$2:$O$600,Raw_Q!$A$2:$A$600,$A13,Raw_Q!$R$2:$R$600,5)+SUMIFS(Raw_Q!$O$2:$O$600,Raw_Q!$A$2:$A$600,$A13,Raw_Q!$R$2:$R$600,9))/2)),""))</f>
        <v>0.0175261878892471</v>
      </c>
      <c r="AR13" s="49" t="n">
        <f aca="false">IF($A13="","",IFERROR(IF(MIN(SUMIFS(Raw_Q!$O$2:$O$600,Raw_Q!$A$2:$A$600,$A13,Raw_Q!$R$2:$R$600,9),SUMIFS(Raw_Q!$O$2:$O$600,Raw_Q!$A$2:$A$600,$A13,Raw_Q!$R$2:$R$600,13))&lt;=0,"",SUMPRODUCT((Raw_Q!$A$2:$A$600=$A13)*(Raw_Q!$R$2:$R$600&gt;=9)*(Raw_Q!$R$2:$R$600&lt;=12)*Raw_Q!$L$2:$L$600*Raw_Q!$M$2:$M$600)/((SUMIFS(Raw_Q!$O$2:$O$600,Raw_Q!$A$2:$A$600,$A13,Raw_Q!$R$2:$R$600,9)+SUMIFS(Raw_Q!$O$2:$O$600,Raw_Q!$A$2:$A$600,$A13,Raw_Q!$R$2:$R$600,13))/2)),""))</f>
        <v>0.00432562031280168</v>
      </c>
      <c r="AS13" s="49" t="n">
        <f aca="false">IF($A13="","",IFERROR(IF(MIN(SUMIFS(Raw_Q!$O$2:$O$600,Raw_Q!$A$2:$A$600,$A13,Raw_Q!$R$2:$R$600,13),SUMIFS(Raw_Q!$O$2:$O$600,Raw_Q!$A$2:$A$600,$A13,Raw_Q!$R$2:$R$600,17))&lt;=0,"",SUMPRODUCT((Raw_Q!$A$2:$A$600=$A13)*(Raw_Q!$R$2:$R$600&gt;=13)*(Raw_Q!$R$2:$R$600&lt;=16)*Raw_Q!$L$2:$L$600*Raw_Q!$M$2:$M$600)/((SUMIFS(Raw_Q!$O$2:$O$600,Raw_Q!$A$2:$A$600,$A13,Raw_Q!$R$2:$R$600,13)+SUMIFS(Raw_Q!$O$2:$O$600,Raw_Q!$A$2:$A$600,$A13,Raw_Q!$R$2:$R$600,17))/2)),""))</f>
        <v>0.108983567807926</v>
      </c>
      <c r="AT13" s="49" t="n">
        <f aca="false">IF($A13="","",IFERROR(IF(MIN(SUMIFS(Raw_Q!$O$2:$O$600,Raw_Q!$A$2:$A$600,$A13,Raw_Q!$R$2:$R$600,17),SUMIFS(Raw_Q!$O$2:$O$600,Raw_Q!$A$2:$A$600,$A13,Raw_Q!$R$2:$R$600,21))&lt;=0,"",SUMPRODUCT((Raw_Q!$A$2:$A$600=$A13)*(Raw_Q!$R$2:$R$600&gt;=17)*(Raw_Q!$R$2:$R$600&lt;=20)*Raw_Q!$L$2:$L$600*Raw_Q!$M$2:$M$600)/((SUMIFS(Raw_Q!$O$2:$O$600,Raw_Q!$A$2:$A$600,$A13,Raw_Q!$R$2:$R$600,17)+SUMIFS(Raw_Q!$O$2:$O$600,Raw_Q!$A$2:$A$600,$A13,Raw_Q!$R$2:$R$600,21))/2)),""))</f>
        <v>0.223442594510187</v>
      </c>
    </row>
    <row r="14" customFormat="false" ht="15" hidden="false" customHeight="false" outlineLevel="0" collapsed="false">
      <c r="A14" s="17" t="str">
        <f aca="false">IF(Tickers!A14="","",Tickers!A14)</f>
        <v>6442</v>
      </c>
      <c r="B14" s="66" t="str">
        <f aca="false">IF($A14="","",IFERROR(INDEX(Tickers!$B$2:$B$100,MATCH($A14,Tickers!$A$2:$A$100,0)),""))</f>
        <v>光聖</v>
      </c>
      <c r="C14" s="66" t="str">
        <f aca="false">IF($A14="","",IFERROR(INDEX(Tickers!$D$2:$D$100,MATCH($A14,Tickers!$A$2:$A$100,0)),""))</f>
        <v>池子</v>
      </c>
      <c r="D14" s="51" t="n">
        <f aca="false">IF($A14="","",IFERROR(INDEX(Raw_Price!$B$2:$B$100,MATCH($A14,Raw_Price!$A$2:$A$100,0)),""))</f>
        <v>1505</v>
      </c>
      <c r="E14" s="48" t="n">
        <f aca="false">IF($A14="","",IFERROR(SUMIFS(Raw_Q!$I$2:$I$600,Raw_Q!$A$2:$A$600,$A14,Raw_Q!$R$2:$R$600,"&gt;=1",Raw_Q!$R$2:$R$600,"&lt;=4"),""))</f>
        <v>0</v>
      </c>
      <c r="F14" s="51" t="n">
        <f aca="false">IF($A14="","",IFERROR(SUMIFS(Raw_Q!$L$2:$L$600,Raw_Q!$A$2:$A$600,$A14,Raw_Q!$R$2:$R$600,"&gt;=1",Raw_Q!$R$2:$R$600,"&lt;=4"),""))</f>
        <v>0</v>
      </c>
      <c r="G14" s="51" t="n">
        <f aca="false">IF($A14="","",IFERROR(SUMIFS(Raw_Q!$L$2:$L$600,Raw_Q!$A$2:$A$600,$A14,Raw_Q!$R$2:$R$600,"&gt;=0",Raw_Q!$R$2:$R$600,"&lt;=3"),""))</f>
        <v>0</v>
      </c>
      <c r="H14" s="51" t="n">
        <f aca="true">IF($A14="","",IFERROR(INDEX(Raw_Est!$B$2:$B$100,MATCH($A14,Raw_Est!$A$2:$A$100,0))*MIN(1,MAX(0,(INDEX(Raw_Est!$D$2:$D$100,MATCH($A14,Raw_Est!$A$2:$A$100,0))-TODAY())/Config!$B$8))+INDEX(Raw_Est!$C$2:$C$100,MATCH($A14,Raw_Est!$A$2:$A$100,0))*(1-MIN(1,MAX(0,(INDEX(Raw_Est!$D$2:$D$100,MATCH($A14,Raw_Est!$A$2:$A$100,0))-TODAY())/Config!$B$8))),""))</f>
        <v>115.843178082192</v>
      </c>
      <c r="I14" s="49" t="str">
        <f aca="false">IF($A14="","",IFERROR(SUMIFS(Raw_Q!$L$2:$L$600,Raw_Q!$A$2:$A$600,$A14,Raw_Q!$R$2:$R$600,"&gt;=1",Raw_Q!$R$2:$R$600,"&lt;=4")/SUMIFS(Raw_Q!$L$2:$L$600,Raw_Q!$A$2:$A$600,$A14,Raw_Q!$R$2:$R$600,"&gt;=5",Raw_Q!$R$2:$R$600,"&lt;=8")-1,""))</f>
        <v/>
      </c>
      <c r="J14" s="52" t="str">
        <f aca="false">IF($A14="","",IFERROR(IF(F14&lt;=0,"N/M",D14/F14),"N/M"))</f>
        <v>N/M</v>
      </c>
      <c r="K14" s="52" t="str">
        <f aca="false">IF($A14="","",IFERROR(IF(G14&lt;=0,"N/M",D14/G14),"N/M"))</f>
        <v>N/M</v>
      </c>
      <c r="L14" s="52" t="n">
        <f aca="false">IF($A14="","",IFERROR(IF(H14&lt;=0,"N/M",D14/H14),"N/M"))</f>
        <v>12.9917015823943</v>
      </c>
      <c r="M14" s="49" t="n">
        <f aca="false">IF($A14="","",IFERROR(INDEX(Raw_Est!$C$2:$C$100,MATCH($A14,Raw_Est!$A$2:$A$100,0))/INDEX(Raw_Est!$B$2:$B$100,MATCH($A14,Raw_Est!$A$2:$A$100,0))-1,""))</f>
        <v>1.09643605870021</v>
      </c>
      <c r="N14" s="51" t="str">
        <f aca="false">IF($A14="","",IFERROR(IF(OR(NOT(ISNUMBER(J14)),I14&lt;Config!$B$6),"N/M",J14/(I14*100)),"N/M"))</f>
        <v>N/M</v>
      </c>
      <c r="O14" s="51" t="n">
        <f aca="false">IF($A14="","",IFERROR(IF(OR(NOT(ISNUMBER(L14)),M14&lt;Config!$B$6),"N/M",L14/(M14*100)),"N/M"))</f>
        <v>0.118490280206541</v>
      </c>
      <c r="P14" s="51" t="n">
        <f aca="false">IF($A14="","",IFERROR(SUMIFS(Raw_Q!$P$2:$P$600,Raw_Q!$A$2:$A$600,$A14,Raw_Q!$R$2:$R$600,"&gt;=1",Raw_Q!$R$2:$R$600,"&lt;=4"),""))</f>
        <v>0</v>
      </c>
      <c r="Q14" s="49" t="str">
        <f aca="false">IF($A14="","",IFERROR(IF(P14=0,"不配息",P14/D14),""))</f>
        <v>不配息</v>
      </c>
      <c r="R14" s="49" t="str">
        <f aca="false">IF($A14="","",IFERROR(IF(SUMIFS(Raw_Q!$P$2:$P$600,Raw_Q!$A$2:$A$600,$A14,Raw_Q!$R$2:$R$600,"&gt;=5",Raw_Q!$R$2:$R$600,"&lt;=8")=0,"",SUMIFS(Raw_Q!$P$2:$P$600,Raw_Q!$A$2:$A$600,$A14,Raw_Q!$R$2:$R$600,"&gt;=1",Raw_Q!$R$2:$R$600,"&lt;=4")/SUMIFS(Raw_Q!$P$2:$P$600,Raw_Q!$A$2:$A$600,$A14,Raw_Q!$R$2:$R$600,"&gt;=5",Raw_Q!$R$2:$R$600,"&lt;=8")-1),""))</f>
        <v/>
      </c>
      <c r="S14" s="49" t="str">
        <f aca="false">IF($A14="","",IFERROR(SUMIFS(Raw_Q!$I$2:$I$600,Raw_Q!$A$2:$A$600,$A14,Raw_Q!$R$2:$R$600,1)/SUMIFS(Raw_Q!$I$2:$I$600,Raw_Q!$A$2:$A$600,$A14,Raw_Q!$R$2:$R$600,5)-1,""))</f>
        <v/>
      </c>
      <c r="T14" s="49" t="str">
        <f aca="false">IF($A14="","",IFERROR(SUMIFS(Raw_Q!$I$2:$I$600,Raw_Q!$A$2:$A$600,$A14,Raw_Q!$R$2:$R$600,1)/SUMIFS(Raw_Q!$I$2:$I$600,Raw_Q!$A$2:$A$600,$A14,Raw_Q!$R$2:$R$600,2)-1,""))</f>
        <v/>
      </c>
      <c r="U14" s="49" t="str">
        <f aca="false">IF($A14="","",IFERROR(SUMIFS(Raw_Q!$I$2:$I$600,Raw_Q!$A$2:$A$600,$A14,Raw_Q!$R$2:$R$600,2)/SUMIFS(Raw_Q!$I$2:$I$600,Raw_Q!$A$2:$A$600,$A14,Raw_Q!$R$2:$R$600,3)-1,""))</f>
        <v/>
      </c>
      <c r="V14" s="68" t="str">
        <f aca="false">IF($A14="","",IFERROR((T14-U14)*100,""))</f>
        <v/>
      </c>
      <c r="W14" s="49" t="str">
        <f aca="false">IF($A14="","",IFERROR(IF(OR(NOT(ISNUMBER(T14)),NOT(ISNUMBER(U14)),U14&lt;=0,ABS(U14)&lt;Config!$B$9),"N/M",(T14-U14)/ABS(U14)),"N/M"))</f>
        <v>N/M</v>
      </c>
      <c r="X14" s="66" t="str">
        <f aca="false">IF($A14="","",IFERROR(IF(NOT(ISNUMBER(T14)),"",IF(AND(ISNUMBER(U14),U14&gt;0,T14&lt;=0),"由正轉負",IF(AND(ISNUMBER(U14),U14&lt;=0,T14&gt;0),"由負轉正",IF(T14&gt;0,IF(V14&gt;0,"成長且加速","成長但減速"),IF(V14&gt;0,"衰退但收斂","衰退且惡化"))))),""))</f>
        <v/>
      </c>
      <c r="Y14" s="68" t="str">
        <f aca="false">IF($A14="","",IFERROR((T14-(SUMIFS(Raw_Q!$I$2:$I$600,Raw_Q!$A$2:$A$600,$A14,Raw_Q!$R$2:$R$600,5)/SUMIFS(Raw_Q!$I$2:$I$600,Raw_Q!$A$2:$A$600,$A14,Raw_Q!$R$2:$R$600,6)-1))*100,""))</f>
        <v/>
      </c>
      <c r="Z14" s="49" t="str">
        <f aca="false">IF($A14="","",IFERROR(SUMIFS(Raw_Q!$L$2:$L$600,Raw_Q!$A$2:$A$600,$A14,Raw_Q!$R$2:$R$600,1)/SUMIFS(Raw_Q!$L$2:$L$600,Raw_Q!$A$2:$A$600,$A14,Raw_Q!$R$2:$R$600,5)-1,""))</f>
        <v/>
      </c>
      <c r="AA14" s="49" t="str">
        <f aca="false">IF($A14="","",IFERROR(SUMIFS(Raw_Q!$J$2:$J$600,Raw_Q!$A$2:$A$600,$A14,Raw_Q!$R$2:$R$600,"&gt;=1",Raw_Q!$R$2:$R$600,"&lt;=4")/E14,""))</f>
        <v/>
      </c>
      <c r="AB14" s="49" t="str">
        <f aca="false">IF($A14="","",IFERROR(SUMIFS(Raw_Q!$J$2:$J$600,Raw_Q!$A$2:$A$600,$A14,Raw_Q!$R$2:$R$600,"&gt;=1",Raw_Q!$R$2:$R$600,"&lt;="&amp;Config!$B$5)/SUMIFS(Raw_Q!$I$2:$I$600,Raw_Q!$A$2:$A$600,$A14,Raw_Q!$R$2:$R$600,"&gt;=1",Raw_Q!$R$2:$R$600,"&lt;="&amp;Config!$B$5),""))</f>
        <v/>
      </c>
      <c r="AC14" s="50" t="str">
        <f aca="false">IF($A14="","",IFERROR((AA14-AB14)*10000,""))</f>
        <v/>
      </c>
      <c r="AD14" s="50" t="str">
        <f aca="false">IF($A14="","",IFERROR((SUMIFS(Raw_Q!$J$2:$J$600,Raw_Q!$A$2:$A$600,$A14,Raw_Q!$R$2:$R$600,1)/SUMIFS(Raw_Q!$I$2:$I$600,Raw_Q!$A$2:$A$600,$A14,Raw_Q!$R$2:$R$600,1)-SUMIFS(Raw_Q!$J$2:$J$600,Raw_Q!$A$2:$A$600,$A14,Raw_Q!$R$2:$R$600,5)/SUMIFS(Raw_Q!$I$2:$I$600,Raw_Q!$A$2:$A$600,$A14,Raw_Q!$R$2:$R$600,5))*10000,""))</f>
        <v/>
      </c>
      <c r="AE14" s="51" t="str">
        <f aca="false">IF($A14="","",IFERROR(SUMIFS(Raw_Q!$O$2:$O$600,Raw_Q!$A$2:$A$600,$A14,Raw_Q!$R$2:$R$600,1)/SUMIFS(Raw_Q!$M$2:$M$600,Raw_Q!$A$2:$A$600,$A14,Raw_Q!$R$2:$R$600,1),""))</f>
        <v/>
      </c>
      <c r="AF14" s="48" t="n">
        <f aca="false">IF($A14="","",IFERROR(SUMPRODUCT((Raw_Q!$A$2:$A$600=$A14)*(Raw_Q!$R$2:$R$600&gt;=1)*(Raw_Q!$R$2:$R$600&lt;=4)*Raw_Q!$L$2:$L$600*Raw_Q!$M$2:$M$600),""))</f>
        <v>0</v>
      </c>
      <c r="AG14" s="49" t="str">
        <f aca="false">IF($A14="","",IFERROR(IF(MIN(SUMIFS(Raw_Q!$O$2:$O$600,Raw_Q!$A$2:$A$600,$A14,Raw_Q!$R$2:$R$600,1),SUMIFS(Raw_Q!$O$2:$O$600,Raw_Q!$A$2:$A$600,$A14,Raw_Q!$R$2:$R$600,5))&lt;=0,"N/M",AF14/((SUMIFS(Raw_Q!$O$2:$O$600,Raw_Q!$A$2:$A$600,$A14,Raw_Q!$R$2:$R$600,1)+SUMIFS(Raw_Q!$O$2:$O$600,Raw_Q!$A$2:$A$600,$A14,Raw_Q!$R$2:$R$600,5))/2)),"N/M"))</f>
        <v>N/M</v>
      </c>
      <c r="AH14" s="49" t="str">
        <f aca="false">IF($A14="","",IFERROR(AVERAGE(AP14:AT14),""))</f>
        <v/>
      </c>
      <c r="AI14" s="49" t="str">
        <f aca="false">IF($A14="","",IFERROR(IF(AE14&lt;=0,"N/M",INDEX(Raw_Est!$B$2:$B$100,MATCH($A14,Raw_Est!$A$2:$A$100,0))/AE14),"N/M"))</f>
        <v>N/M</v>
      </c>
      <c r="AJ14" s="51" t="n">
        <f aca="false">IF($A14="","",IFERROR(SUMIFS(Raw_Q!$L$2:$L$600,Raw_Q!$A$2:$A$600,$A14,Raw_Q!$R$2:$R$600,0),""))</f>
        <v>0</v>
      </c>
      <c r="AK14" s="66" t="str">
        <f aca="false">IF($A14="","",IFERROR(INDEX(Raw_Q!$B$2:$B$600,MATCH($A14&amp;"|"&amp;0,Raw_Q!$S$2:$S$600,0)),""))</f>
        <v/>
      </c>
      <c r="AL14" s="66" t="str">
        <f aca="false">IF($A14="","",IFERROR(INDEX(Raw_Q!$G$2:$G$600,MATCH($A14&amp;"|"&amp;0,Raw_Q!$S$2:$S$600,0)),""))</f>
        <v/>
      </c>
      <c r="AM14" s="47" t="n">
        <f aca="false">IF($A14="","",IFERROR(INDEX(Raw_Est!$E$2:$E$100,MATCH($A14,Raw_Est!$A$2:$A$100,0)),""))</f>
        <v>1</v>
      </c>
      <c r="AN14" s="67" t="n">
        <f aca="false">IF($A14="","",IFERROR(INDEX(Raw_Price!$D$2:$D$100,MATCH($A14,Raw_Price!$A$2:$A$100,0)),""))</f>
        <v>0</v>
      </c>
      <c r="AO14" s="67" t="n">
        <f aca="false">IF($A14="","",IFERROR(INDEX(Raw_Price!$E$2:$E$100,MATCH($A14,Raw_Price!$A$2:$A$100,0)),""))</f>
        <v>46311</v>
      </c>
      <c r="AP14" s="49" t="str">
        <f aca="false">IF($A14="","",IFERROR(IF(MIN(SUMIFS(Raw_Q!$O$2:$O$600,Raw_Q!$A$2:$A$600,$A14,Raw_Q!$R$2:$R$600,1),SUMIFS(Raw_Q!$O$2:$O$600,Raw_Q!$A$2:$A$600,$A14,Raw_Q!$R$2:$R$600,5))&lt;=0,"",SUMPRODUCT((Raw_Q!$A$2:$A$600=$A14)*(Raw_Q!$R$2:$R$600&gt;=1)*(Raw_Q!$R$2:$R$600&lt;=4)*Raw_Q!$L$2:$L$600*Raw_Q!$M$2:$M$600)/((SUMIFS(Raw_Q!$O$2:$O$600,Raw_Q!$A$2:$A$600,$A14,Raw_Q!$R$2:$R$600,1)+SUMIFS(Raw_Q!$O$2:$O$600,Raw_Q!$A$2:$A$600,$A14,Raw_Q!$R$2:$R$600,5))/2)),""))</f>
        <v/>
      </c>
      <c r="AQ14" s="49" t="str">
        <f aca="false">IF($A14="","",IFERROR(IF(MIN(SUMIFS(Raw_Q!$O$2:$O$600,Raw_Q!$A$2:$A$600,$A14,Raw_Q!$R$2:$R$600,5),SUMIFS(Raw_Q!$O$2:$O$600,Raw_Q!$A$2:$A$600,$A14,Raw_Q!$R$2:$R$600,9))&lt;=0,"",SUMPRODUCT((Raw_Q!$A$2:$A$600=$A14)*(Raw_Q!$R$2:$R$600&gt;=5)*(Raw_Q!$R$2:$R$600&lt;=8)*Raw_Q!$L$2:$L$600*Raw_Q!$M$2:$M$600)/((SUMIFS(Raw_Q!$O$2:$O$600,Raw_Q!$A$2:$A$600,$A14,Raw_Q!$R$2:$R$600,5)+SUMIFS(Raw_Q!$O$2:$O$600,Raw_Q!$A$2:$A$600,$A14,Raw_Q!$R$2:$R$600,9))/2)),""))</f>
        <v/>
      </c>
      <c r="AR14" s="49" t="str">
        <f aca="false">IF($A14="","",IFERROR(IF(MIN(SUMIFS(Raw_Q!$O$2:$O$600,Raw_Q!$A$2:$A$600,$A14,Raw_Q!$R$2:$R$600,9),SUMIFS(Raw_Q!$O$2:$O$600,Raw_Q!$A$2:$A$600,$A14,Raw_Q!$R$2:$R$600,13))&lt;=0,"",SUMPRODUCT((Raw_Q!$A$2:$A$600=$A14)*(Raw_Q!$R$2:$R$600&gt;=9)*(Raw_Q!$R$2:$R$600&lt;=12)*Raw_Q!$L$2:$L$600*Raw_Q!$M$2:$M$600)/((SUMIFS(Raw_Q!$O$2:$O$600,Raw_Q!$A$2:$A$600,$A14,Raw_Q!$R$2:$R$600,9)+SUMIFS(Raw_Q!$O$2:$O$600,Raw_Q!$A$2:$A$600,$A14,Raw_Q!$R$2:$R$600,13))/2)),""))</f>
        <v/>
      </c>
      <c r="AS14" s="49" t="str">
        <f aca="false">IF($A14="","",IFERROR(IF(MIN(SUMIFS(Raw_Q!$O$2:$O$600,Raw_Q!$A$2:$A$600,$A14,Raw_Q!$R$2:$R$600,13),SUMIFS(Raw_Q!$O$2:$O$600,Raw_Q!$A$2:$A$600,$A14,Raw_Q!$R$2:$R$600,17))&lt;=0,"",SUMPRODUCT((Raw_Q!$A$2:$A$600=$A14)*(Raw_Q!$R$2:$R$600&gt;=13)*(Raw_Q!$R$2:$R$600&lt;=16)*Raw_Q!$L$2:$L$600*Raw_Q!$M$2:$M$600)/((SUMIFS(Raw_Q!$O$2:$O$600,Raw_Q!$A$2:$A$600,$A14,Raw_Q!$R$2:$R$600,13)+SUMIFS(Raw_Q!$O$2:$O$600,Raw_Q!$A$2:$A$600,$A14,Raw_Q!$R$2:$R$600,17))/2)),""))</f>
        <v/>
      </c>
      <c r="AT14" s="49" t="str">
        <f aca="false">IF($A14="","",IFERROR(IF(MIN(SUMIFS(Raw_Q!$O$2:$O$600,Raw_Q!$A$2:$A$600,$A14,Raw_Q!$R$2:$R$600,17),SUMIFS(Raw_Q!$O$2:$O$600,Raw_Q!$A$2:$A$600,$A14,Raw_Q!$R$2:$R$600,21))&lt;=0,"",SUMPRODUCT((Raw_Q!$A$2:$A$600=$A14)*(Raw_Q!$R$2:$R$600&gt;=17)*(Raw_Q!$R$2:$R$600&lt;=20)*Raw_Q!$L$2:$L$600*Raw_Q!$M$2:$M$600)/((SUMIFS(Raw_Q!$O$2:$O$600,Raw_Q!$A$2:$A$600,$A14,Raw_Q!$R$2:$R$600,17)+SUMIFS(Raw_Q!$O$2:$O$600,Raw_Q!$A$2:$A$600,$A14,Raw_Q!$R$2:$R$600,21))/2)),""))</f>
        <v/>
      </c>
    </row>
    <row r="15" customFormat="false" ht="15" hidden="false" customHeight="false" outlineLevel="0" collapsed="false">
      <c r="A15" s="17" t="str">
        <f aca="false">IF(Tickers!A15="","",Tickers!A15)</f>
        <v>2303</v>
      </c>
      <c r="B15" s="66" t="str">
        <f aca="false">IF($A15="","",IFERROR(INDEX(Tickers!$B$2:$B$100,MATCH($A15,Tickers!$A$2:$A$100,0)),""))</f>
        <v>聯電</v>
      </c>
      <c r="C15" s="66" t="str">
        <f aca="false">IF($A15="","",IFERROR(INDEX(Tickers!$D$2:$D$100,MATCH($A15,Tickers!$A$2:$A$100,0)),""))</f>
        <v>池子</v>
      </c>
      <c r="D15" s="51" t="n">
        <f aca="false">IF($A15="","",IFERROR(INDEX(Raw_Price!$B$2:$B$100,MATCH($A15,Raw_Price!$A$2:$A$100,0)),""))</f>
        <v>133</v>
      </c>
      <c r="E15" s="48" t="n">
        <f aca="false">IF($A15="","",IFERROR(SUMIFS(Raw_Q!$I$2:$I$600,Raw_Q!$A$2:$A$600,$A15,Raw_Q!$R$2:$R$600,"&gt;=1",Raw_Q!$R$2:$R$600,"&lt;=4"),""))</f>
        <v>250707.149</v>
      </c>
      <c r="F15" s="51" t="n">
        <f aca="false">IF($A15="","",IFERROR(SUMIFS(Raw_Q!$L$2:$L$600,Raw_Q!$A$2:$A$600,$A15,Raw_Q!$R$2:$R$600,"&gt;=1",Raw_Q!$R$2:$R$600,"&lt;=4"),""))</f>
        <v>6.68</v>
      </c>
      <c r="G15" s="51" t="n">
        <f aca="false">IF($A15="","",IFERROR(SUMIFS(Raw_Q!$L$2:$L$600,Raw_Q!$A$2:$A$600,$A15,Raw_Q!$R$2:$R$600,"&gt;=0",Raw_Q!$R$2:$R$600,"&lt;=3"),""))</f>
        <v>6.8914</v>
      </c>
      <c r="H15" s="51" t="n">
        <f aca="true">IF($A15="","",IFERROR(INDEX(Raw_Est!$B$2:$B$100,MATCH($A15,Raw_Est!$A$2:$A$100,0))*MIN(1,MAX(0,(INDEX(Raw_Est!$D$2:$D$100,MATCH($A15,Raw_Est!$A$2:$A$100,0))-TODAY())/Config!$B$8))+INDEX(Raw_Est!$C$2:$C$100,MATCH($A15,Raw_Est!$A$2:$A$100,0))*(1-MIN(1,MAX(0,(INDEX(Raw_Est!$D$2:$D$100,MATCH($A15,Raw_Est!$A$2:$A$100,0))-TODAY())/Config!$B$8))),""))</f>
        <v>7.28554843835616</v>
      </c>
      <c r="I15" s="49" t="n">
        <f aca="false">IF($A15="","",IFERROR(SUMIFS(Raw_Q!$L$2:$L$600,Raw_Q!$A$2:$A$600,$A15,Raw_Q!$R$2:$R$600,"&gt;=1",Raw_Q!$R$2:$R$600,"&lt;=4")/SUMIFS(Raw_Q!$L$2:$L$600,Raw_Q!$A$2:$A$600,$A15,Raw_Q!$R$2:$R$600,"&gt;=5",Raw_Q!$R$2:$R$600,"&lt;=8")-1,""))</f>
        <v>1.10725552050473</v>
      </c>
      <c r="J15" s="52" t="n">
        <f aca="false">IF($A15="","",IFERROR(IF(F15&lt;=0,"N/M",D15/F15),"N/M"))</f>
        <v>19.9101796407186</v>
      </c>
      <c r="K15" s="52" t="n">
        <f aca="false">IF($A15="","",IFERROR(IF(G15&lt;=0,"N/M",D15/G15),"N/M"))</f>
        <v>19.2994166642482</v>
      </c>
      <c r="L15" s="52" t="n">
        <f aca="false">IF($A15="","",IFERROR(IF(H15&lt;=0,"N/M",D15/H15),"N/M"))</f>
        <v>18.2553175132013</v>
      </c>
      <c r="M15" s="49" t="n">
        <f aca="false">IF($A15="","",IFERROR(INDEX(Raw_Est!$C$2:$C$100,MATCH($A15,Raw_Est!$A$2:$A$100,0))/INDEX(Raw_Est!$B$2:$B$100,MATCH($A15,Raw_Est!$A$2:$A$100,0))-1,""))</f>
        <v>0.0236049821865021</v>
      </c>
      <c r="N15" s="51" t="n">
        <f aca="false">IF($A15="","",IFERROR(IF(OR(NOT(ISNUMBER(J15)),I15&lt;Config!$B$6),"N/M",J15/(I15*100)),"N/M"))</f>
        <v>0.179815582510193</v>
      </c>
      <c r="O15" s="51" t="str">
        <f aca="false">IF($A15="","",IFERROR(IF(OR(NOT(ISNUMBER(L15)),M15&lt;Config!$B$6),"N/M",L15/(M15*100)),"N/M"))</f>
        <v>N/M</v>
      </c>
      <c r="P15" s="51" t="n">
        <f aca="false">IF($A15="","",IFERROR(SUMIFS(Raw_Q!$P$2:$P$600,Raw_Q!$A$2:$A$600,$A15,Raw_Q!$R$2:$R$600,"&gt;=1",Raw_Q!$R$2:$R$600,"&lt;=4"),""))</f>
        <v>0</v>
      </c>
      <c r="Q15" s="49" t="str">
        <f aca="false">IF($A15="","",IFERROR(IF(P15=0,"不配息",P15/D15),""))</f>
        <v>不配息</v>
      </c>
      <c r="R15" s="49" t="n">
        <f aca="false">IF($A15="","",IFERROR(IF(SUMIFS(Raw_Q!$P$2:$P$600,Raw_Q!$A$2:$A$600,$A15,Raw_Q!$R$2:$R$600,"&gt;=5",Raw_Q!$R$2:$R$600,"&lt;=8")=0,"",SUMIFS(Raw_Q!$P$2:$P$600,Raw_Q!$A$2:$A$600,$A15,Raw_Q!$R$2:$R$600,"&gt;=1",Raw_Q!$R$2:$R$600,"&lt;=4")/SUMIFS(Raw_Q!$P$2:$P$600,Raw_Q!$A$2:$A$600,$A15,Raw_Q!$R$2:$R$600,"&gt;=5",Raw_Q!$R$2:$R$600,"&lt;=8")-1),""))</f>
        <v>-1</v>
      </c>
      <c r="S15" s="49" t="n">
        <f aca="false">IF($A15="","",IFERROR(SUMIFS(Raw_Q!$I$2:$I$600,Raw_Q!$A$2:$A$600,$A15,Raw_Q!$R$2:$R$600,1)/SUMIFS(Raw_Q!$I$2:$I$600,Raw_Q!$A$2:$A$600,$A15,Raw_Q!$R$2:$R$600,5)-1,""))</f>
        <v>0.169765193326208</v>
      </c>
      <c r="T15" s="49" t="n">
        <f aca="false">IF($A15="","",IFERROR(SUMIFS(Raw_Q!$I$2:$I$600,Raw_Q!$A$2:$A$600,$A15,Raw_Q!$R$2:$R$600,1)/SUMIFS(Raw_Q!$I$2:$I$600,Raw_Q!$A$2:$A$600,$A15,Raw_Q!$R$2:$R$600,2)-1,""))</f>
        <v>0.126065276621074</v>
      </c>
      <c r="U15" s="49" t="n">
        <f aca="false">IF($A15="","",IFERROR(SUMIFS(Raw_Q!$I$2:$I$600,Raw_Q!$A$2:$A$600,$A15,Raw_Q!$R$2:$R$600,2)/SUMIFS(Raw_Q!$I$2:$I$600,Raw_Q!$A$2:$A$600,$A15,Raw_Q!$R$2:$R$600,3)-1,""))</f>
        <v>-0.0124842045027187</v>
      </c>
      <c r="V15" s="68" t="n">
        <f aca="false">IF($A15="","",IFERROR((T15-U15)*100,""))</f>
        <v>13.8549481123793</v>
      </c>
      <c r="W15" s="49" t="str">
        <f aca="false">IF($A15="","",IFERROR(IF(OR(NOT(ISNUMBER(T15)),NOT(ISNUMBER(U15)),U15&lt;=0,ABS(U15)&lt;Config!$B$9),"N/M",(T15-U15)/ABS(U15)),"N/M"))</f>
        <v>N/M</v>
      </c>
      <c r="X15" s="66" t="str">
        <f aca="false">IF($A15="","",IFERROR(IF(NOT(ISNUMBER(T15)),"",IF(AND(ISNUMBER(U15),U15&gt;0,T15&lt;=0),"由正轉負",IF(AND(ISNUMBER(U15),U15&lt;=0,T15&gt;0),"由負轉正",IF(T15&gt;0,IF(V15&gt;0,"成長且加速","成長但減速"),IF(V15&gt;0,"衰退但收斂","衰退且惡化"))))),""))</f>
        <v>由負轉正</v>
      </c>
      <c r="Y15" s="68" t="n">
        <f aca="false">IF($A15="","",IFERROR((T15-(SUMIFS(Raw_Q!$I$2:$I$600,Raw_Q!$A$2:$A$600,$A15,Raw_Q!$R$2:$R$600,5)/SUMIFS(Raw_Q!$I$2:$I$600,Raw_Q!$A$2:$A$600,$A15,Raw_Q!$R$2:$R$600,6)-1))*100,""))</f>
        <v>11.0532677234604</v>
      </c>
      <c r="Z15" s="49" t="n">
        <f aca="false">IF($A15="","",IFERROR(SUMIFS(Raw_Q!$L$2:$L$600,Raw_Q!$A$2:$A$600,$A15,Raw_Q!$R$2:$R$600,1)/SUMIFS(Raw_Q!$L$2:$L$600,Raw_Q!$A$2:$A$600,$A15,Raw_Q!$R$2:$R$600,5)-1,""))</f>
        <v>3.77464788732394</v>
      </c>
      <c r="AA15" s="49" t="n">
        <f aca="false">IF($A15="","",IFERROR(SUMIFS(Raw_Q!$J$2:$J$600,Raw_Q!$A$2:$A$600,$A15,Raw_Q!$R$2:$R$600,"&gt;=1",Raw_Q!$R$2:$R$600,"&lt;=4")/E15,""))</f>
        <v>0.306026518613556</v>
      </c>
      <c r="AB15" s="49" t="n">
        <f aca="false">IF($A15="","",IFERROR(SUMIFS(Raw_Q!$J$2:$J$600,Raw_Q!$A$2:$A$600,$A15,Raw_Q!$R$2:$R$600,"&gt;=1",Raw_Q!$R$2:$R$600,"&lt;="&amp;Config!$B$5)/SUMIFS(Raw_Q!$I$2:$I$600,Raw_Q!$A$2:$A$600,$A15,Raw_Q!$R$2:$R$600,"&gt;=1",Raw_Q!$R$2:$R$600,"&lt;="&amp;Config!$B$5),""))</f>
        <v>0.355183628068084</v>
      </c>
      <c r="AC15" s="50" t="n">
        <f aca="false">IF($A15="","",IFERROR((AA15-AB15)*10000,""))</f>
        <v>-491.571094545287</v>
      </c>
      <c r="AD15" s="50" t="n">
        <f aca="false">IF($A15="","",IFERROR((SUMIFS(Raw_Q!$J$2:$J$600,Raw_Q!$A$2:$A$600,$A15,Raw_Q!$R$2:$R$600,1)/SUMIFS(Raw_Q!$I$2:$I$600,Raw_Q!$A$2:$A$600,$A15,Raw_Q!$R$2:$R$600,1)-SUMIFS(Raw_Q!$J$2:$J$600,Raw_Q!$A$2:$A$600,$A15,Raw_Q!$R$2:$R$600,5)/SUMIFS(Raw_Q!$I$2:$I$600,Raw_Q!$A$2:$A$600,$A15,Raw_Q!$R$2:$R$600,5))*10000,""))</f>
        <v>375.276957853214</v>
      </c>
      <c r="AE15" s="51" t="n">
        <f aca="false">IF($A15="","",IFERROR(SUMIFS(Raw_Q!$O$2:$O$600,Raw_Q!$A$2:$A$600,$A15,Raw_Q!$R$2:$R$600,1)/SUMIFS(Raw_Q!$M$2:$M$600,Raw_Q!$A$2:$A$600,$A15,Raw_Q!$R$2:$R$600,1),""))</f>
        <v>35.2962377334173</v>
      </c>
      <c r="AF15" s="48" t="n">
        <f aca="false">IF($A15="","",IFERROR(SUMPRODUCT((Raw_Q!$A$2:$A$600=$A15)*(Raw_Q!$R$2:$R$600&gt;=1)*(Raw_Q!$R$2:$R$600&lt;=4)*Raw_Q!$L$2:$L$600*Raw_Q!$M$2:$M$600),""))</f>
        <v>84000.393465</v>
      </c>
      <c r="AG15" s="49" t="n">
        <f aca="false">IF($A15="","",IFERROR(IF(MIN(SUMIFS(Raw_Q!$O$2:$O$600,Raw_Q!$A$2:$A$600,$A15,Raw_Q!$R$2:$R$600,1),SUMIFS(Raw_Q!$O$2:$O$600,Raw_Q!$A$2:$A$600,$A15,Raw_Q!$R$2:$R$600,5))&lt;=0,"N/M",AF15/((SUMIFS(Raw_Q!$O$2:$O$600,Raw_Q!$A$2:$A$600,$A15,Raw_Q!$R$2:$R$600,1)+SUMIFS(Raw_Q!$O$2:$O$600,Raw_Q!$A$2:$A$600,$A15,Raw_Q!$R$2:$R$600,5))/2)),"N/M"))</f>
        <v>0.215167216303623</v>
      </c>
      <c r="AH15" s="49" t="n">
        <f aca="false">IF($A15="","",IFERROR(AVERAGE(AP15:AT15),""))</f>
        <v>0.207483850203655</v>
      </c>
      <c r="AI15" s="49" t="n">
        <f aca="false">IF($A15="","",IFERROR(IF(AE15&lt;=0,"N/M",INDEX(Raw_Est!$B$2:$B$100,MATCH($A15,Raw_Est!$A$2:$A$100,0))/AE15),"N/M"))</f>
        <v>0.202624428530207</v>
      </c>
      <c r="AJ15" s="51" t="n">
        <f aca="false">IF($A15="","",IFERROR(SUMIFS(Raw_Q!$L$2:$L$600,Raw_Q!$A$2:$A$600,$A15,Raw_Q!$R$2:$R$600,0),""))</f>
        <v>1.4114</v>
      </c>
      <c r="AK15" s="66" t="str">
        <f aca="false">IF($A15="","",IFERROR(INDEX(Raw_Q!$B$2:$B$600,MATCH($A15&amp;"|"&amp;0,Raw_Q!$S$2:$S$600,0)),""))</f>
        <v>FY2026Q3E</v>
      </c>
      <c r="AL15" s="66" t="str">
        <f aca="false">IF($A15="","",IFERROR(INDEX(Raw_Q!$G$2:$G$600,MATCH($A15&amp;"|"&amp;0,Raw_Q!$S$2:$S$600,0)),""))</f>
        <v>consensus</v>
      </c>
      <c r="AM15" s="47" t="n">
        <f aca="false">IF($A15="","",IFERROR(INDEX(Raw_Est!$E$2:$E$100,MATCH($A15,Raw_Est!$A$2:$A$100,0)),""))</f>
        <v>13</v>
      </c>
      <c r="AN15" s="67" t="n">
        <f aca="false">IF($A15="","",IFERROR(INDEX(Raw_Price!$D$2:$D$100,MATCH($A15,Raw_Price!$A$2:$A$100,0)),""))</f>
        <v>0</v>
      </c>
      <c r="AO15" s="67" t="n">
        <f aca="false">IF($A15="","",IFERROR(INDEX(Raw_Price!$E$2:$E$100,MATCH($A15,Raw_Price!$A$2:$A$100,0)),""))</f>
        <v>46311</v>
      </c>
      <c r="AP15" s="49" t="n">
        <f aca="false">IF($A15="","",IFERROR(IF(MIN(SUMIFS(Raw_Q!$O$2:$O$600,Raw_Q!$A$2:$A$600,$A15,Raw_Q!$R$2:$R$600,1),SUMIFS(Raw_Q!$O$2:$O$600,Raw_Q!$A$2:$A$600,$A15,Raw_Q!$R$2:$R$600,5))&lt;=0,"",SUMPRODUCT((Raw_Q!$A$2:$A$600=$A15)*(Raw_Q!$R$2:$R$600&gt;=1)*(Raw_Q!$R$2:$R$600&lt;=4)*Raw_Q!$L$2:$L$600*Raw_Q!$M$2:$M$600)/((SUMIFS(Raw_Q!$O$2:$O$600,Raw_Q!$A$2:$A$600,$A15,Raw_Q!$R$2:$R$600,1)+SUMIFS(Raw_Q!$O$2:$O$600,Raw_Q!$A$2:$A$600,$A15,Raw_Q!$R$2:$R$600,5))/2)),""))</f>
        <v>0.215167216303623</v>
      </c>
      <c r="AQ15" s="49" t="n">
        <f aca="false">IF($A15="","",IFERROR(IF(MIN(SUMIFS(Raw_Q!$O$2:$O$600,Raw_Q!$A$2:$A$600,$A15,Raw_Q!$R$2:$R$600,5),SUMIFS(Raw_Q!$O$2:$O$600,Raw_Q!$A$2:$A$600,$A15,Raw_Q!$R$2:$R$600,9))&lt;=0,"",SUMPRODUCT((Raw_Q!$A$2:$A$600=$A15)*(Raw_Q!$R$2:$R$600&gt;=5)*(Raw_Q!$R$2:$R$600&lt;=8)*Raw_Q!$L$2:$L$600*Raw_Q!$M$2:$M$600)/((SUMIFS(Raw_Q!$O$2:$O$600,Raw_Q!$A$2:$A$600,$A15,Raw_Q!$R$2:$R$600,5)+SUMIFS(Raw_Q!$O$2:$O$600,Raw_Q!$A$2:$A$600,$A15,Raw_Q!$R$2:$R$600,9))/2)),""))</f>
        <v>0.114850388684341</v>
      </c>
      <c r="AR15" s="49" t="n">
        <f aca="false">IF($A15="","",IFERROR(IF(MIN(SUMIFS(Raw_Q!$O$2:$O$600,Raw_Q!$A$2:$A$600,$A15,Raw_Q!$R$2:$R$600,9),SUMIFS(Raw_Q!$O$2:$O$600,Raw_Q!$A$2:$A$600,$A15,Raw_Q!$R$2:$R$600,13))&lt;=0,"",SUMPRODUCT((Raw_Q!$A$2:$A$600=$A15)*(Raw_Q!$R$2:$R$600&gt;=9)*(Raw_Q!$R$2:$R$600&lt;=12)*Raw_Q!$L$2:$L$600*Raw_Q!$M$2:$M$600)/((SUMIFS(Raw_Q!$O$2:$O$600,Raw_Q!$A$2:$A$600,$A15,Raw_Q!$R$2:$R$600,9)+SUMIFS(Raw_Q!$O$2:$O$600,Raw_Q!$A$2:$A$600,$A15,Raw_Q!$R$2:$R$600,13))/2)),""))</f>
        <v>0.157818684510694</v>
      </c>
      <c r="AS15" s="49" t="n">
        <f aca="false">IF($A15="","",IFERROR(IF(MIN(SUMIFS(Raw_Q!$O$2:$O$600,Raw_Q!$A$2:$A$600,$A15,Raw_Q!$R$2:$R$600,13),SUMIFS(Raw_Q!$O$2:$O$600,Raw_Q!$A$2:$A$600,$A15,Raw_Q!$R$2:$R$600,17))&lt;=0,"",SUMPRODUCT((Raw_Q!$A$2:$A$600=$A15)*(Raw_Q!$R$2:$R$600&gt;=13)*(Raw_Q!$R$2:$R$600&lt;=16)*Raw_Q!$L$2:$L$600*Raw_Q!$M$2:$M$600)/((SUMIFS(Raw_Q!$O$2:$O$600,Raw_Q!$A$2:$A$600,$A15,Raw_Q!$R$2:$R$600,13)+SUMIFS(Raw_Q!$O$2:$O$600,Raw_Q!$A$2:$A$600,$A15,Raw_Q!$R$2:$R$600,17))/2)),""))</f>
        <v>0.259188880581712</v>
      </c>
      <c r="AT15" s="49" t="n">
        <f aca="false">IF($A15="","",IFERROR(IF(MIN(SUMIFS(Raw_Q!$O$2:$O$600,Raw_Q!$A$2:$A$600,$A15,Raw_Q!$R$2:$R$600,17),SUMIFS(Raw_Q!$O$2:$O$600,Raw_Q!$A$2:$A$600,$A15,Raw_Q!$R$2:$R$600,21))&lt;=0,"",SUMPRODUCT((Raw_Q!$A$2:$A$600=$A15)*(Raw_Q!$R$2:$R$600&gt;=17)*(Raw_Q!$R$2:$R$600&lt;=20)*Raw_Q!$L$2:$L$600*Raw_Q!$M$2:$M$600)/((SUMIFS(Raw_Q!$O$2:$O$600,Raw_Q!$A$2:$A$600,$A15,Raw_Q!$R$2:$R$600,17)+SUMIFS(Raw_Q!$O$2:$O$600,Raw_Q!$A$2:$A$600,$A15,Raw_Q!$R$2:$R$600,21))/2)),""))</f>
        <v>0.290394080937903</v>
      </c>
    </row>
    <row r="16" customFormat="false" ht="15" hidden="false" customHeight="false" outlineLevel="0" collapsed="false">
      <c r="A16" s="17" t="str">
        <f aca="false">IF(Tickers!A16="","",Tickers!A16)</f>
        <v>2454</v>
      </c>
      <c r="B16" s="66" t="str">
        <f aca="false">IF($A16="","",IFERROR(INDEX(Tickers!$B$2:$B$100,MATCH($A16,Tickers!$A$2:$A$100,0)),""))</f>
        <v>聯發科</v>
      </c>
      <c r="C16" s="66" t="str">
        <f aca="false">IF($A16="","",IFERROR(INDEX(Tickers!$D$2:$D$100,MATCH($A16,Tickers!$A$2:$A$100,0)),""))</f>
        <v>池子</v>
      </c>
      <c r="D16" s="51" t="n">
        <f aca="false">IF($A16="","",IFERROR(INDEX(Raw_Price!$B$2:$B$100,MATCH($A16,Raw_Price!$A$2:$A$100,0)),""))</f>
        <v>4250</v>
      </c>
      <c r="E16" s="48" t="n">
        <f aca="false">IF($A16="","",IFERROR(SUMIFS(Raw_Q!$I$2:$I$600,Raw_Q!$A$2:$A$600,$A16,Raw_Q!$R$2:$R$600,"&gt;=1",Raw_Q!$R$2:$R$600,"&lt;=4"),""))</f>
        <v>593617.995</v>
      </c>
      <c r="F16" s="51" t="n">
        <f aca="false">IF($A16="","",IFERROR(SUMIFS(Raw_Q!$L$2:$L$600,Raw_Q!$A$2:$A$600,$A16,Raw_Q!$R$2:$R$600,"&gt;=1",Raw_Q!$R$2:$R$600,"&lt;=4"),""))</f>
        <v>60.69</v>
      </c>
      <c r="G16" s="51" t="n">
        <f aca="false">IF($A16="","",IFERROR(SUMIFS(Raw_Q!$L$2:$L$600,Raw_Q!$A$2:$A$600,$A16,Raw_Q!$R$2:$R$600,"&gt;=0",Raw_Q!$R$2:$R$600,"&lt;=3"),""))</f>
        <v>60.28434</v>
      </c>
      <c r="H16" s="51" t="n">
        <f aca="true">IF($A16="","",IFERROR(INDEX(Raw_Est!$B$2:$B$100,MATCH($A16,Raw_Est!$A$2:$A$100,0))*MIN(1,MAX(0,(INDEX(Raw_Est!$D$2:$D$100,MATCH($A16,Raw_Est!$A$2:$A$100,0))-TODAY())/Config!$B$8))+INDEX(Raw_Est!$C$2:$C$100,MATCH($A16,Raw_Est!$A$2:$A$100,0))*(1-MIN(1,MAX(0,(INDEX(Raw_Est!$D$2:$D$100,MATCH($A16,Raw_Est!$A$2:$A$100,0))-TODAY())/Config!$B$8))),""))</f>
        <v>131.986195616438</v>
      </c>
      <c r="I16" s="49" t="n">
        <f aca="false">IF($A16="","",IFERROR(SUMIFS(Raw_Q!$L$2:$L$600,Raw_Q!$A$2:$A$600,$A16,Raw_Q!$R$2:$R$600,"&gt;=1",Raw_Q!$R$2:$R$600,"&lt;=4")/SUMIFS(Raw_Q!$L$2:$L$600,Raw_Q!$A$2:$A$600,$A16,Raw_Q!$R$2:$R$600,"&gt;=5",Raw_Q!$R$2:$R$600,"&lt;=8")-1,""))</f>
        <v>-0.0916030534351146</v>
      </c>
      <c r="J16" s="52" t="n">
        <f aca="false">IF($A16="","",IFERROR(IF(F16&lt;=0,"N/M",D16/F16),"N/M"))</f>
        <v>70.0280112044818</v>
      </c>
      <c r="K16" s="52" t="n">
        <f aca="false">IF($A16="","",IFERROR(IF(G16&lt;=0,"N/M",D16/G16),"N/M"))</f>
        <v>70.4992374470717</v>
      </c>
      <c r="L16" s="52" t="n">
        <f aca="false">IF($A16="","",IFERROR(IF(H16&lt;=0,"N/M",D16/H16),"N/M"))</f>
        <v>32.2003371651897</v>
      </c>
      <c r="M16" s="49" t="n">
        <f aca="false">IF($A16="","",IFERROR(INDEX(Raw_Est!$C$2:$C$100,MATCH($A16,Raw_Est!$A$2:$A$100,0))/INDEX(Raw_Est!$B$2:$B$100,MATCH($A16,Raw_Est!$A$2:$A$100,0))-1,""))</f>
        <v>1.17093759518005</v>
      </c>
      <c r="N16" s="51" t="str">
        <f aca="false">IF($A16="","",IFERROR(IF(OR(NOT(ISNUMBER(J16)),I16&lt;Config!$B$6),"N/M",J16/(I16*100)),"N/M"))</f>
        <v>N/M</v>
      </c>
      <c r="O16" s="51" t="n">
        <f aca="false">IF($A16="","",IFERROR(IF(OR(NOT(ISNUMBER(L16)),M16&lt;Config!$B$6),"N/M",L16/(M16*100)),"N/M"))</f>
        <v>0.274996185089083</v>
      </c>
      <c r="P16" s="51" t="n">
        <f aca="false">IF($A16="","",IFERROR(SUMIFS(Raw_Q!$P$2:$P$600,Raw_Q!$A$2:$A$600,$A16,Raw_Q!$R$2:$R$600,"&gt;=1",Raw_Q!$R$2:$R$600,"&lt;=4"),""))</f>
        <v>54.00021747</v>
      </c>
      <c r="Q16" s="49" t="n">
        <f aca="false">IF($A16="","",IFERROR(IF(P16=0,"不配息",P16/D16),""))</f>
        <v>0.0127059335223529</v>
      </c>
      <c r="R16" s="49" t="n">
        <f aca="false">IF($A16="","",IFERROR(IF(SUMIFS(Raw_Q!$P$2:$P$600,Raw_Q!$A$2:$A$600,$A16,Raw_Q!$R$2:$R$600,"&gt;=5",Raw_Q!$R$2:$R$600,"&lt;=8")=0,"",SUMIFS(Raw_Q!$P$2:$P$600,Raw_Q!$A$2:$A$600,$A16,Raw_Q!$R$2:$R$600,"&gt;=1",Raw_Q!$R$2:$R$600,"&lt;=4")/SUMIFS(Raw_Q!$P$2:$P$600,Raw_Q!$A$2:$A$600,$A16,Raw_Q!$R$2:$R$600,"&gt;=5",Raw_Q!$R$2:$R$600,"&lt;=8")-1),""))</f>
        <v>-0.0909866707983378</v>
      </c>
      <c r="S16" s="49" t="n">
        <f aca="false">IF($A16="","",IFERROR(SUMIFS(Raw_Q!$I$2:$I$600,Raw_Q!$A$2:$A$600,$A16,Raw_Q!$R$2:$R$600,1)/SUMIFS(Raw_Q!$I$2:$I$600,Raw_Q!$A$2:$A$600,$A16,Raw_Q!$R$2:$R$600,5)-1,""))</f>
        <v>0.0120639571682837</v>
      </c>
      <c r="T16" s="49" t="n">
        <f aca="false">IF($A16="","",IFERROR(SUMIFS(Raw_Q!$I$2:$I$600,Raw_Q!$A$2:$A$600,$A16,Raw_Q!$R$2:$R$600,1)/SUMIFS(Raw_Q!$I$2:$I$600,Raw_Q!$A$2:$A$600,$A16,Raw_Q!$R$2:$R$600,2)-1,""))</f>
        <v>0.0203291359848519</v>
      </c>
      <c r="U16" s="49" t="n">
        <f aca="false">IF($A16="","",IFERROR(SUMIFS(Raw_Q!$I$2:$I$600,Raw_Q!$A$2:$A$600,$A16,Raw_Q!$R$2:$R$600,2)/SUMIFS(Raw_Q!$I$2:$I$600,Raw_Q!$A$2:$A$600,$A16,Raw_Q!$R$2:$R$600,3)-1,""))</f>
        <v>-0.00690800816922732</v>
      </c>
      <c r="V16" s="68" t="n">
        <f aca="false">IF($A16="","",IFERROR((T16-U16)*100,""))</f>
        <v>2.72371441540792</v>
      </c>
      <c r="W16" s="49" t="str">
        <f aca="false">IF($A16="","",IFERROR(IF(OR(NOT(ISNUMBER(T16)),NOT(ISNUMBER(U16)),U16&lt;=0,ABS(U16)&lt;Config!$B$9),"N/M",(T16-U16)/ABS(U16)),"N/M"))</f>
        <v>N/M</v>
      </c>
      <c r="X16" s="66" t="str">
        <f aca="false">IF($A16="","",IFERROR(IF(NOT(ISNUMBER(T16)),"",IF(AND(ISNUMBER(U16),U16&gt;0,T16&lt;=0),"由正轉負",IF(AND(ISNUMBER(U16),U16&lt;=0,T16&gt;0),"由負轉正",IF(T16&gt;0,IF(V16&gt;0,"成長且加速","成長但減速"),IF(V16&gt;0,"衰退但收斂","衰退且惡化"))))),""))</f>
        <v>由負轉正</v>
      </c>
      <c r="Y16" s="68" t="n">
        <f aca="false">IF($A16="","",IFERROR((T16-(SUMIFS(Raw_Q!$I$2:$I$600,Raw_Q!$A$2:$A$600,$A16,Raw_Q!$R$2:$R$600,5)/SUMIFS(Raw_Q!$I$2:$I$600,Raw_Q!$A$2:$A$600,$A16,Raw_Q!$R$2:$R$600,6)-1))*100,""))</f>
        <v>3.95295994155694</v>
      </c>
      <c r="Z16" s="49" t="n">
        <f aca="false">IF($A16="","",IFERROR(SUMIFS(Raw_Q!$L$2:$L$600,Raw_Q!$A$2:$A$600,$A16,Raw_Q!$R$2:$R$600,1)/SUMIFS(Raw_Q!$L$2:$L$600,Raw_Q!$A$2:$A$600,$A16,Raw_Q!$R$2:$R$600,5)-1,""))</f>
        <v>-0.126857142857143</v>
      </c>
      <c r="AA16" s="49" t="n">
        <f aca="false">IF($A16="","",IFERROR(SUMIFS(Raw_Q!$J$2:$J$600,Raw_Q!$A$2:$A$600,$A16,Raw_Q!$R$2:$R$600,"&gt;=1",Raw_Q!$R$2:$R$600,"&lt;=4")/E16,""))</f>
        <v>0.462849459272204</v>
      </c>
      <c r="AB16" s="49" t="n">
        <f aca="false">IF($A16="","",IFERROR(SUMIFS(Raw_Q!$J$2:$J$600,Raw_Q!$A$2:$A$600,$A16,Raw_Q!$R$2:$R$600,"&gt;=1",Raw_Q!$R$2:$R$600,"&lt;="&amp;Config!$B$5)/SUMIFS(Raw_Q!$I$2:$I$600,Raw_Q!$A$2:$A$600,$A16,Raw_Q!$R$2:$R$600,"&gt;=1",Raw_Q!$R$2:$R$600,"&lt;="&amp;Config!$B$5),""))</f>
        <v>0.482852341875616</v>
      </c>
      <c r="AC16" s="50" t="n">
        <f aca="false">IF($A16="","",IFERROR((AA16-AB16)*10000,""))</f>
        <v>-200.028826034122</v>
      </c>
      <c r="AD16" s="50" t="n">
        <f aca="false">IF($A16="","",IFERROR((SUMIFS(Raw_Q!$J$2:$J$600,Raw_Q!$A$2:$A$600,$A16,Raw_Q!$R$2:$R$600,1)/SUMIFS(Raw_Q!$I$2:$I$600,Raw_Q!$A$2:$A$600,$A16,Raw_Q!$R$2:$R$600,1)-SUMIFS(Raw_Q!$J$2:$J$600,Raw_Q!$A$2:$A$600,$A16,Raw_Q!$R$2:$R$600,5)/SUMIFS(Raw_Q!$I$2:$I$600,Raw_Q!$A$2:$A$600,$A16,Raw_Q!$R$2:$R$600,5))*10000,""))</f>
        <v>-293.153782549667</v>
      </c>
      <c r="AE16" s="51" t="n">
        <f aca="false">IF($A16="","",IFERROR(SUMIFS(Raw_Q!$O$2:$O$600,Raw_Q!$A$2:$A$600,$A16,Raw_Q!$R$2:$R$600,1)/SUMIFS(Raw_Q!$M$2:$M$600,Raw_Q!$A$2:$A$600,$A16,Raw_Q!$R$2:$R$600,1),""))</f>
        <v>264.475000052996</v>
      </c>
      <c r="AF16" s="48" t="n">
        <f aca="false">IF($A16="","",IFERROR(SUMPRODUCT((Raw_Q!$A$2:$A$600=$A16)*(Raw_Q!$R$2:$R$600&gt;=1)*(Raw_Q!$R$2:$R$600&lt;=4)*Raw_Q!$L$2:$L$600*Raw_Q!$M$2:$M$600),""))</f>
        <v>97341.314647</v>
      </c>
      <c r="AG16" s="49" t="n">
        <f aca="false">IF($A16="","",IFERROR(IF(MIN(SUMIFS(Raw_Q!$O$2:$O$600,Raw_Q!$A$2:$A$600,$A16,Raw_Q!$R$2:$R$600,1),SUMIFS(Raw_Q!$O$2:$O$600,Raw_Q!$A$2:$A$600,$A16,Raw_Q!$R$2:$R$600,5))&lt;=0,"N/M",AF16/((SUMIFS(Raw_Q!$O$2:$O$600,Raw_Q!$A$2:$A$600,$A16,Raw_Q!$R$2:$R$600,1)+SUMIFS(Raw_Q!$O$2:$O$600,Raw_Q!$A$2:$A$600,$A16,Raw_Q!$R$2:$R$600,5))/2)),"N/M"))</f>
        <v>0.243176517047698</v>
      </c>
      <c r="AH16" s="49" t="n">
        <f aca="false">IF($A16="","",IFERROR(AVERAGE(AP16:AT16),""))</f>
        <v>0.269656864555169</v>
      </c>
      <c r="AI16" s="49" t="n">
        <f aca="false">IF($A16="","",IFERROR(IF(AE16&lt;=0,"N/M",INDEX(Raw_Est!$B$2:$B$100,MATCH($A16,Raw_Est!$A$2:$A$100,0))/AE16),"N/M"))</f>
        <v>0.258960657855284</v>
      </c>
      <c r="AJ16" s="51" t="n">
        <f aca="false">IF($A16="","",IFERROR(SUMIFS(Raw_Q!$L$2:$L$600,Raw_Q!$A$2:$A$600,$A16,Raw_Q!$R$2:$R$600,0),""))</f>
        <v>15.43434</v>
      </c>
      <c r="AK16" s="66" t="str">
        <f aca="false">IF($A16="","",IFERROR(INDEX(Raw_Q!$B$2:$B$600,MATCH($A16&amp;"|"&amp;0,Raw_Q!$S$2:$S$600,0)),""))</f>
        <v>FY2026Q3E</v>
      </c>
      <c r="AL16" s="66" t="str">
        <f aca="false">IF($A16="","",IFERROR(INDEX(Raw_Q!$G$2:$G$600,MATCH($A16&amp;"|"&amp;0,Raw_Q!$S$2:$S$600,0)),""))</f>
        <v>consensus</v>
      </c>
      <c r="AM16" s="47" t="n">
        <f aca="false">IF($A16="","",IFERROR(INDEX(Raw_Est!$E$2:$E$100,MATCH($A16,Raw_Est!$A$2:$A$100,0)),""))</f>
        <v>15</v>
      </c>
      <c r="AN16" s="67" t="n">
        <f aca="false">IF($A16="","",IFERROR(INDEX(Raw_Price!$D$2:$D$100,MATCH($A16,Raw_Price!$A$2:$A$100,0)),""))</f>
        <v>0</v>
      </c>
      <c r="AO16" s="67" t="n">
        <f aca="false">IF($A16="","",IFERROR(INDEX(Raw_Price!$E$2:$E$100,MATCH($A16,Raw_Price!$A$2:$A$100,0)),""))</f>
        <v>46311</v>
      </c>
      <c r="AP16" s="49" t="n">
        <f aca="false">IF($A16="","",IFERROR(IF(MIN(SUMIFS(Raw_Q!$O$2:$O$600,Raw_Q!$A$2:$A$600,$A16,Raw_Q!$R$2:$R$600,1),SUMIFS(Raw_Q!$O$2:$O$600,Raw_Q!$A$2:$A$600,$A16,Raw_Q!$R$2:$R$600,5))&lt;=0,"",SUMPRODUCT((Raw_Q!$A$2:$A$600=$A16)*(Raw_Q!$R$2:$R$600&gt;=1)*(Raw_Q!$R$2:$R$600&lt;=4)*Raw_Q!$L$2:$L$600*Raw_Q!$M$2:$M$600)/((SUMIFS(Raw_Q!$O$2:$O$600,Raw_Q!$A$2:$A$600,$A16,Raw_Q!$R$2:$R$600,1)+SUMIFS(Raw_Q!$O$2:$O$600,Raw_Q!$A$2:$A$600,$A16,Raw_Q!$R$2:$R$600,5))/2)),""))</f>
        <v>0.243176517047698</v>
      </c>
      <c r="AQ16" s="49" t="n">
        <f aca="false">IF($A16="","",IFERROR(IF(MIN(SUMIFS(Raw_Q!$O$2:$O$600,Raw_Q!$A$2:$A$600,$A16,Raw_Q!$R$2:$R$600,5),SUMIFS(Raw_Q!$O$2:$O$600,Raw_Q!$A$2:$A$600,$A16,Raw_Q!$R$2:$R$600,9))&lt;=0,"",SUMPRODUCT((Raw_Q!$A$2:$A$600=$A16)*(Raw_Q!$R$2:$R$600&gt;=5)*(Raw_Q!$R$2:$R$600&lt;=8)*Raw_Q!$L$2:$L$600*Raw_Q!$M$2:$M$600)/((SUMIFS(Raw_Q!$O$2:$O$600,Raw_Q!$A$2:$A$600,$A16,Raw_Q!$R$2:$R$600,5)+SUMIFS(Raw_Q!$O$2:$O$600,Raw_Q!$A$2:$A$600,$A16,Raw_Q!$R$2:$R$600,9))/2)),""))</f>
        <v>0.281231019996377</v>
      </c>
      <c r="AR16" s="49" t="n">
        <f aca="false">IF($A16="","",IFERROR(IF(MIN(SUMIFS(Raw_Q!$O$2:$O$600,Raw_Q!$A$2:$A$600,$A16,Raw_Q!$R$2:$R$600,9),SUMIFS(Raw_Q!$O$2:$O$600,Raw_Q!$A$2:$A$600,$A16,Raw_Q!$R$2:$R$600,13))&lt;=0,"",SUMPRODUCT((Raw_Q!$A$2:$A$600=$A16)*(Raw_Q!$R$2:$R$600&gt;=9)*(Raw_Q!$R$2:$R$600&lt;=12)*Raw_Q!$L$2:$L$600*Raw_Q!$M$2:$M$600)/((SUMIFS(Raw_Q!$O$2:$O$600,Raw_Q!$A$2:$A$600,$A16,Raw_Q!$R$2:$R$600,9)+SUMIFS(Raw_Q!$O$2:$O$600,Raw_Q!$A$2:$A$600,$A16,Raw_Q!$R$2:$R$600,13))/2)),""))</f>
        <v>0.272878769393999</v>
      </c>
      <c r="AS16" s="49" t="n">
        <f aca="false">IF($A16="","",IFERROR(IF(MIN(SUMIFS(Raw_Q!$O$2:$O$600,Raw_Q!$A$2:$A$600,$A16,Raw_Q!$R$2:$R$600,13),SUMIFS(Raw_Q!$O$2:$O$600,Raw_Q!$A$2:$A$600,$A16,Raw_Q!$R$2:$R$600,17))&lt;=0,"",SUMPRODUCT((Raw_Q!$A$2:$A$600=$A16)*(Raw_Q!$R$2:$R$600&gt;=13)*(Raw_Q!$R$2:$R$600&lt;=16)*Raw_Q!$L$2:$L$600*Raw_Q!$M$2:$M$600)/((SUMIFS(Raw_Q!$O$2:$O$600,Raw_Q!$A$2:$A$600,$A16,Raw_Q!$R$2:$R$600,13)+SUMIFS(Raw_Q!$O$2:$O$600,Raw_Q!$A$2:$A$600,$A16,Raw_Q!$R$2:$R$600,17))/2)),""))</f>
        <v>0.220167361567853</v>
      </c>
      <c r="AT16" s="49" t="n">
        <f aca="false">IF($A16="","",IFERROR(IF(MIN(SUMIFS(Raw_Q!$O$2:$O$600,Raw_Q!$A$2:$A$600,$A16,Raw_Q!$R$2:$R$600,17),SUMIFS(Raw_Q!$O$2:$O$600,Raw_Q!$A$2:$A$600,$A16,Raw_Q!$R$2:$R$600,21))&lt;=0,"",SUMPRODUCT((Raw_Q!$A$2:$A$600=$A16)*(Raw_Q!$R$2:$R$600&gt;=17)*(Raw_Q!$R$2:$R$600&lt;=20)*Raw_Q!$L$2:$L$600*Raw_Q!$M$2:$M$600)/((SUMIFS(Raw_Q!$O$2:$O$600,Raw_Q!$A$2:$A$600,$A16,Raw_Q!$R$2:$R$600,17)+SUMIFS(Raw_Q!$O$2:$O$600,Raw_Q!$A$2:$A$600,$A16,Raw_Q!$R$2:$R$600,21))/2)),""))</f>
        <v>0.330830654769917</v>
      </c>
    </row>
    <row r="17" customFormat="false" ht="15" hidden="false" customHeight="false" outlineLevel="0" collapsed="false">
      <c r="A17" s="17" t="str">
        <f aca="false">IF(Tickers!A17="","",Tickers!A17)</f>
        <v>2465</v>
      </c>
      <c r="B17" s="66" t="str">
        <f aca="false">IF($A17="","",IFERROR(INDEX(Tickers!$B$2:$B$100,MATCH($A17,Tickers!$A$2:$A$100,0)),""))</f>
        <v>麗臺</v>
      </c>
      <c r="C17" s="66" t="str">
        <f aca="false">IF($A17="","",IFERROR(INDEX(Tickers!$D$2:$D$100,MATCH($A17,Tickers!$A$2:$A$100,0)),""))</f>
        <v>池子</v>
      </c>
      <c r="D17" s="51" t="n">
        <f aca="false">IF($A17="","",IFERROR(INDEX(Raw_Price!$B$2:$B$100,MATCH($A17,Raw_Price!$A$2:$A$100,0)),""))</f>
        <v>86</v>
      </c>
      <c r="E17" s="48" t="n">
        <f aca="false">IF($A17="","",IFERROR(SUMIFS(Raw_Q!$I$2:$I$600,Raw_Q!$A$2:$A$600,$A17,Raw_Q!$R$2:$R$600,"&gt;=1",Raw_Q!$R$2:$R$600,"&lt;=4"),""))</f>
        <v>6954.399</v>
      </c>
      <c r="F17" s="51" t="n">
        <f aca="false">IF($A17="","",IFERROR(SUMIFS(Raw_Q!$L$2:$L$600,Raw_Q!$A$2:$A$600,$A17,Raw_Q!$R$2:$R$600,"&gt;=1",Raw_Q!$R$2:$R$600,"&lt;=4"),""))</f>
        <v>2.7</v>
      </c>
      <c r="G17" s="51" t="n">
        <f aca="false">IF($A17="","",IFERROR(SUMIFS(Raw_Q!$L$2:$L$600,Raw_Q!$A$2:$A$600,$A17,Raw_Q!$R$2:$R$600,"&gt;=0",Raw_Q!$R$2:$R$600,"&lt;=3"),""))</f>
        <v>3.13</v>
      </c>
      <c r="H17" s="51" t="n">
        <f aca="true">IF($A17="","",IFERROR(INDEX(Raw_Est!$B$2:$B$100,MATCH($A17,Raw_Est!$A$2:$A$100,0))*MIN(1,MAX(0,(INDEX(Raw_Est!$D$2:$D$100,MATCH($A17,Raw_Est!$A$2:$A$100,0))-TODAY())/Config!$B$8))+INDEX(Raw_Est!$C$2:$C$100,MATCH($A17,Raw_Est!$A$2:$A$100,0))*(1-MIN(1,MAX(0,(INDEX(Raw_Est!$D$2:$D$100,MATCH($A17,Raw_Est!$A$2:$A$100,0))-TODAY())/Config!$B$8))),""))</f>
        <v>0</v>
      </c>
      <c r="I17" s="49" t="n">
        <f aca="false">IF($A17="","",IFERROR(SUMIFS(Raw_Q!$L$2:$L$600,Raw_Q!$A$2:$A$600,$A17,Raw_Q!$R$2:$R$600,"&gt;=1",Raw_Q!$R$2:$R$600,"&lt;=4")/SUMIFS(Raw_Q!$L$2:$L$600,Raw_Q!$A$2:$A$600,$A17,Raw_Q!$R$2:$R$600,"&gt;=5",Raw_Q!$R$2:$R$600,"&lt;=8")-1,""))</f>
        <v>-2.25</v>
      </c>
      <c r="J17" s="52" t="n">
        <f aca="false">IF($A17="","",IFERROR(IF(F17&lt;=0,"N/M",D17/F17),"N/M"))</f>
        <v>31.8518518518519</v>
      </c>
      <c r="K17" s="52" t="n">
        <f aca="false">IF($A17="","",IFERROR(IF(G17&lt;=0,"N/M",D17/G17),"N/M"))</f>
        <v>27.4760383386582</v>
      </c>
      <c r="L17" s="52" t="str">
        <f aca="false">IF($A17="","",IFERROR(IF(H17&lt;=0,"N/M",D17/H17),"N/M"))</f>
        <v>N/M</v>
      </c>
      <c r="M17" s="49" t="str">
        <f aca="false">IF($A17="","",IFERROR(INDEX(Raw_Est!$C$2:$C$100,MATCH($A17,Raw_Est!$A$2:$A$100,0))/INDEX(Raw_Est!$B$2:$B$100,MATCH($A17,Raw_Est!$A$2:$A$100,0))-1,""))</f>
        <v/>
      </c>
      <c r="N17" s="51" t="str">
        <f aca="false">IF($A17="","",IFERROR(IF(OR(NOT(ISNUMBER(J17)),I17&lt;Config!$B$6),"N/M",J17/(I17*100)),"N/M"))</f>
        <v>N/M</v>
      </c>
      <c r="O17" s="51" t="str">
        <f aca="false">IF($A17="","",IFERROR(IF(OR(NOT(ISNUMBER(L17)),M17&lt;Config!$B$6),"N/M",L17/(M17*100)),"N/M"))</f>
        <v>N/M</v>
      </c>
      <c r="P17" s="51" t="n">
        <f aca="false">IF($A17="","",IFERROR(SUMIFS(Raw_Q!$P$2:$P$600,Raw_Q!$A$2:$A$600,$A17,Raw_Q!$R$2:$R$600,"&gt;=1",Raw_Q!$R$2:$R$600,"&lt;=4"),""))</f>
        <v>0</v>
      </c>
      <c r="Q17" s="49" t="str">
        <f aca="false">IF($A17="","",IFERROR(IF(P17=0,"不配息",P17/D17),""))</f>
        <v>不配息</v>
      </c>
      <c r="R17" s="49" t="str">
        <f aca="false">IF($A17="","",IFERROR(IF(SUMIFS(Raw_Q!$P$2:$P$600,Raw_Q!$A$2:$A$600,$A17,Raw_Q!$R$2:$R$600,"&gt;=5",Raw_Q!$R$2:$R$600,"&lt;=8")=0,"",SUMIFS(Raw_Q!$P$2:$P$600,Raw_Q!$A$2:$A$600,$A17,Raw_Q!$R$2:$R$600,"&gt;=1",Raw_Q!$R$2:$R$600,"&lt;=4")/SUMIFS(Raw_Q!$P$2:$P$600,Raw_Q!$A$2:$A$600,$A17,Raw_Q!$R$2:$R$600,"&gt;=5",Raw_Q!$R$2:$R$600,"&lt;=8")-1),""))</f>
        <v/>
      </c>
      <c r="S17" s="49" t="n">
        <f aca="false">IF($A17="","",IFERROR(SUMIFS(Raw_Q!$I$2:$I$600,Raw_Q!$A$2:$A$600,$A17,Raw_Q!$R$2:$R$600,1)/SUMIFS(Raw_Q!$I$2:$I$600,Raw_Q!$A$2:$A$600,$A17,Raw_Q!$R$2:$R$600,5)-1,""))</f>
        <v>2.40401468828157</v>
      </c>
      <c r="T17" s="49" t="n">
        <f aca="false">IF($A17="","",IFERROR(SUMIFS(Raw_Q!$I$2:$I$600,Raw_Q!$A$2:$A$600,$A17,Raw_Q!$R$2:$R$600,1)/SUMIFS(Raw_Q!$I$2:$I$600,Raw_Q!$A$2:$A$600,$A17,Raw_Q!$R$2:$R$600,2)-1,""))</f>
        <v>0.596803569744352</v>
      </c>
      <c r="U17" s="49" t="n">
        <f aca="false">IF($A17="","",IFERROR(SUMIFS(Raw_Q!$I$2:$I$600,Raw_Q!$A$2:$A$600,$A17,Raw_Q!$R$2:$R$600,2)/SUMIFS(Raw_Q!$I$2:$I$600,Raw_Q!$A$2:$A$600,$A17,Raw_Q!$R$2:$R$600,3)-1,""))</f>
        <v>0.690982721498663</v>
      </c>
      <c r="V17" s="68" t="n">
        <f aca="false">IF($A17="","",IFERROR((T17-U17)*100,""))</f>
        <v>-9.41791517543111</v>
      </c>
      <c r="W17" s="49" t="n">
        <f aca="false">IF($A17="","",IFERROR(IF(OR(NOT(ISNUMBER(T17)),NOT(ISNUMBER(U17)),U17&lt;=0,ABS(U17)&lt;Config!$B$9),"N/M",(T17-U17)/ABS(U17)),"N/M"))</f>
        <v>-0.136297404875837</v>
      </c>
      <c r="X17" s="66" t="str">
        <f aca="false">IF($A17="","",IFERROR(IF(NOT(ISNUMBER(T17)),"",IF(AND(ISNUMBER(U17),U17&gt;0,T17&lt;=0),"由正轉負",IF(AND(ISNUMBER(U17),U17&lt;=0,T17&gt;0),"由負轉正",IF(T17&gt;0,IF(V17&gt;0,"成長且加速","成長但減速"),IF(V17&gt;0,"衰退但收斂","衰退且惡化"))))),""))</f>
        <v>成長但減速</v>
      </c>
      <c r="Y17" s="68" t="n">
        <f aca="false">IF($A17="","",IFERROR((T17-(SUMIFS(Raw_Q!$I$2:$I$600,Raw_Q!$A$2:$A$600,$A17,Raw_Q!$R$2:$R$600,5)/SUMIFS(Raw_Q!$I$2:$I$600,Raw_Q!$A$2:$A$600,$A17,Raw_Q!$R$2:$R$600,6)-1))*100,""))</f>
        <v>69.9493074179724</v>
      </c>
      <c r="Z17" s="49" t="n">
        <f aca="false">IF($A17="","",IFERROR(SUMIFS(Raw_Q!$L$2:$L$600,Raw_Q!$A$2:$A$600,$A17,Raw_Q!$R$2:$R$600,1)/SUMIFS(Raw_Q!$L$2:$L$600,Raw_Q!$A$2:$A$600,$A17,Raw_Q!$R$2:$R$600,5)-1,""))</f>
        <v>5.07407407407407</v>
      </c>
      <c r="AA17" s="49" t="n">
        <f aca="false">IF($A17="","",IFERROR(SUMIFS(Raw_Q!$J$2:$J$600,Raw_Q!$A$2:$A$600,$A17,Raw_Q!$R$2:$R$600,"&gt;=1",Raw_Q!$R$2:$R$600,"&lt;=4")/E17,""))</f>
        <v>0.095604954504336</v>
      </c>
      <c r="AB17" s="49" t="n">
        <f aca="false">IF($A17="","",IFERROR(SUMIFS(Raw_Q!$J$2:$J$600,Raw_Q!$A$2:$A$600,$A17,Raw_Q!$R$2:$R$600,"&gt;=1",Raw_Q!$R$2:$R$600,"&lt;="&amp;Config!$B$5)/SUMIFS(Raw_Q!$I$2:$I$600,Raw_Q!$A$2:$A$600,$A17,Raw_Q!$R$2:$R$600,"&gt;=1",Raw_Q!$R$2:$R$600,"&lt;="&amp;Config!$B$5),""))</f>
        <v>0.118614384746041</v>
      </c>
      <c r="AC17" s="50" t="n">
        <f aca="false">IF($A17="","",IFERROR((AA17-AB17)*10000,""))</f>
        <v>-230.094302417049</v>
      </c>
      <c r="AD17" s="50" t="n">
        <f aca="false">IF($A17="","",IFERROR((SUMIFS(Raw_Q!$J$2:$J$600,Raw_Q!$A$2:$A$600,$A17,Raw_Q!$R$2:$R$600,1)/SUMIFS(Raw_Q!$I$2:$I$600,Raw_Q!$A$2:$A$600,$A17,Raw_Q!$R$2:$R$600,1)-SUMIFS(Raw_Q!$J$2:$J$600,Raw_Q!$A$2:$A$600,$A17,Raw_Q!$R$2:$R$600,5)/SUMIFS(Raw_Q!$I$2:$I$600,Raw_Q!$A$2:$A$600,$A17,Raw_Q!$R$2:$R$600,5))*10000,""))</f>
        <v>234.402253955736</v>
      </c>
      <c r="AE17" s="51" t="n">
        <f aca="false">IF($A17="","",IFERROR(SUMIFS(Raw_Q!$O$2:$O$600,Raw_Q!$A$2:$A$600,$A17,Raw_Q!$R$2:$R$600,1)/SUMIFS(Raw_Q!$M$2:$M$600,Raw_Q!$A$2:$A$600,$A17,Raw_Q!$R$2:$R$600,1),""))</f>
        <v>14.5118791646265</v>
      </c>
      <c r="AF17" s="48" t="n">
        <f aca="false">IF($A17="","",IFERROR(SUMPRODUCT((Raw_Q!$A$2:$A$600=$A17)*(Raw_Q!$R$2:$R$600&gt;=1)*(Raw_Q!$R$2:$R$600&lt;=4)*Raw_Q!$L$2:$L$600*Raw_Q!$M$2:$M$600),""))</f>
        <v>257.9542</v>
      </c>
      <c r="AG17" s="49" t="n">
        <f aca="false">IF($A17="","",IFERROR(IF(MIN(SUMIFS(Raw_Q!$O$2:$O$600,Raw_Q!$A$2:$A$600,$A17,Raw_Q!$R$2:$R$600,1),SUMIFS(Raw_Q!$O$2:$O$600,Raw_Q!$A$2:$A$600,$A17,Raw_Q!$R$2:$R$600,5))&lt;=0,"N/M",AF17/((SUMIFS(Raw_Q!$O$2:$O$600,Raw_Q!$A$2:$A$600,$A17,Raw_Q!$R$2:$R$600,1)+SUMIFS(Raw_Q!$O$2:$O$600,Raw_Q!$A$2:$A$600,$A17,Raw_Q!$R$2:$R$600,5))/2)),"N/M"))</f>
        <v>0.263003472160269</v>
      </c>
      <c r="AH17" s="49" t="n">
        <f aca="false">IF($A17="","",IFERROR(AVERAGE(AP17:AT17),""))</f>
        <v>-0.146717242444086</v>
      </c>
      <c r="AI17" s="49" t="n">
        <f aca="false">IF($A17="","",IFERROR(IF(AE17&lt;=0,"N/M",INDEX(Raw_Est!$B$2:$B$100,MATCH($A17,Raw_Est!$A$2:$A$100,0))/AE17),"N/M"))</f>
        <v>0</v>
      </c>
      <c r="AJ17" s="51" t="n">
        <f aca="false">IF($A17="","",IFERROR(SUMIFS(Raw_Q!$L$2:$L$600,Raw_Q!$A$2:$A$600,$A17,Raw_Q!$R$2:$R$600,0),""))</f>
        <v>0</v>
      </c>
      <c r="AK17" s="66" t="str">
        <f aca="false">IF($A17="","",IFERROR(INDEX(Raw_Q!$B$2:$B$600,MATCH($A17&amp;"|"&amp;0,Raw_Q!$S$2:$S$600,0)),""))</f>
        <v/>
      </c>
      <c r="AL17" s="66" t="str">
        <f aca="false">IF($A17="","",IFERROR(INDEX(Raw_Q!$G$2:$G$600,MATCH($A17&amp;"|"&amp;0,Raw_Q!$S$2:$S$600,0)),""))</f>
        <v/>
      </c>
      <c r="AM17" s="47" t="n">
        <f aca="false">IF($A17="","",IFERROR(INDEX(Raw_Est!$E$2:$E$100,MATCH($A17,Raw_Est!$A$2:$A$100,0)),""))</f>
        <v>0</v>
      </c>
      <c r="AN17" s="67" t="n">
        <f aca="false">IF($A17="","",IFERROR(INDEX(Raw_Price!$D$2:$D$100,MATCH($A17,Raw_Price!$A$2:$A$100,0)),""))</f>
        <v>0</v>
      </c>
      <c r="AO17" s="67" t="n">
        <f aca="false">IF($A17="","",IFERROR(INDEX(Raw_Price!$E$2:$E$100,MATCH($A17,Raw_Price!$A$2:$A$100,0)),""))</f>
        <v>46311</v>
      </c>
      <c r="AP17" s="49" t="n">
        <f aca="false">IF($A17="","",IFERROR(IF(MIN(SUMIFS(Raw_Q!$O$2:$O$600,Raw_Q!$A$2:$A$600,$A17,Raw_Q!$R$2:$R$600,1),SUMIFS(Raw_Q!$O$2:$O$600,Raw_Q!$A$2:$A$600,$A17,Raw_Q!$R$2:$R$600,5))&lt;=0,"",SUMPRODUCT((Raw_Q!$A$2:$A$600=$A17)*(Raw_Q!$R$2:$R$600&gt;=1)*(Raw_Q!$R$2:$R$600&lt;=4)*Raw_Q!$L$2:$L$600*Raw_Q!$M$2:$M$600)/((SUMIFS(Raw_Q!$O$2:$O$600,Raw_Q!$A$2:$A$600,$A17,Raw_Q!$R$2:$R$600,1)+SUMIFS(Raw_Q!$O$2:$O$600,Raw_Q!$A$2:$A$600,$A17,Raw_Q!$R$2:$R$600,5))/2)),""))</f>
        <v>0.263003472160269</v>
      </c>
      <c r="AQ17" s="49" t="n">
        <f aca="false">IF($A17="","",IFERROR(IF(MIN(SUMIFS(Raw_Q!$O$2:$O$600,Raw_Q!$A$2:$A$600,$A17,Raw_Q!$R$2:$R$600,5),SUMIFS(Raw_Q!$O$2:$O$600,Raw_Q!$A$2:$A$600,$A17,Raw_Q!$R$2:$R$600,9))&lt;=0,"",SUMPRODUCT((Raw_Q!$A$2:$A$600=$A17)*(Raw_Q!$R$2:$R$600&gt;=5)*(Raw_Q!$R$2:$R$600&lt;=8)*Raw_Q!$L$2:$L$600*Raw_Q!$M$2:$M$600)/((SUMIFS(Raw_Q!$O$2:$O$600,Raw_Q!$A$2:$A$600,$A17,Raw_Q!$R$2:$R$600,5)+SUMIFS(Raw_Q!$O$2:$O$600,Raw_Q!$A$2:$A$600,$A17,Raw_Q!$R$2:$R$600,9))/2)),""))</f>
        <v>-0.258494594837332</v>
      </c>
      <c r="AR17" s="49" t="n">
        <f aca="false">IF($A17="","",IFERROR(IF(MIN(SUMIFS(Raw_Q!$O$2:$O$600,Raw_Q!$A$2:$A$600,$A17,Raw_Q!$R$2:$R$600,9),SUMIFS(Raw_Q!$O$2:$O$600,Raw_Q!$A$2:$A$600,$A17,Raw_Q!$R$2:$R$600,13))&lt;=0,"",SUMPRODUCT((Raw_Q!$A$2:$A$600=$A17)*(Raw_Q!$R$2:$R$600&gt;=9)*(Raw_Q!$R$2:$R$600&lt;=12)*Raw_Q!$L$2:$L$600*Raw_Q!$M$2:$M$600)/((SUMIFS(Raw_Q!$O$2:$O$600,Raw_Q!$A$2:$A$600,$A17,Raw_Q!$R$2:$R$600,9)+SUMIFS(Raw_Q!$O$2:$O$600,Raw_Q!$A$2:$A$600,$A17,Raw_Q!$R$2:$R$600,13))/2)),""))</f>
        <v>-0.399921732740729</v>
      </c>
      <c r="AS17" s="49" t="n">
        <f aca="false">IF($A17="","",IFERROR(IF(MIN(SUMIFS(Raw_Q!$O$2:$O$600,Raw_Q!$A$2:$A$600,$A17,Raw_Q!$R$2:$R$600,13),SUMIFS(Raw_Q!$O$2:$O$600,Raw_Q!$A$2:$A$600,$A17,Raw_Q!$R$2:$R$600,17))&lt;=0,"",SUMPRODUCT((Raw_Q!$A$2:$A$600=$A17)*(Raw_Q!$R$2:$R$600&gt;=13)*(Raw_Q!$R$2:$R$600&lt;=16)*Raw_Q!$L$2:$L$600*Raw_Q!$M$2:$M$600)/((SUMIFS(Raw_Q!$O$2:$O$600,Raw_Q!$A$2:$A$600,$A17,Raw_Q!$R$2:$R$600,13)+SUMIFS(Raw_Q!$O$2:$O$600,Raw_Q!$A$2:$A$600,$A17,Raw_Q!$R$2:$R$600,17))/2)),""))</f>
        <v>-0.540193969521276</v>
      </c>
      <c r="AT17" s="49" t="n">
        <f aca="false">IF($A17="","",IFERROR(IF(MIN(SUMIFS(Raw_Q!$O$2:$O$600,Raw_Q!$A$2:$A$600,$A17,Raw_Q!$R$2:$R$600,17),SUMIFS(Raw_Q!$O$2:$O$600,Raw_Q!$A$2:$A$600,$A17,Raw_Q!$R$2:$R$600,21))&lt;=0,"",SUMPRODUCT((Raw_Q!$A$2:$A$600=$A17)*(Raw_Q!$R$2:$R$600&gt;=17)*(Raw_Q!$R$2:$R$600&lt;=20)*Raw_Q!$L$2:$L$600*Raw_Q!$M$2:$M$600)/((SUMIFS(Raw_Q!$O$2:$O$600,Raw_Q!$A$2:$A$600,$A17,Raw_Q!$R$2:$R$600,17)+SUMIFS(Raw_Q!$O$2:$O$600,Raw_Q!$A$2:$A$600,$A17,Raw_Q!$R$2:$R$600,21))/2)),""))</f>
        <v>0.202020612718636</v>
      </c>
    </row>
    <row r="18" customFormat="false" ht="15" hidden="false" customHeight="false" outlineLevel="0" collapsed="false">
      <c r="A18" s="17" t="str">
        <f aca="false">IF(Tickers!A18="","",Tickers!A18)</f>
        <v>4938</v>
      </c>
      <c r="B18" s="66" t="str">
        <f aca="false">IF($A18="","",IFERROR(INDEX(Tickers!$B$2:$B$100,MATCH($A18,Tickers!$A$2:$A$100,0)),""))</f>
        <v>和碩</v>
      </c>
      <c r="C18" s="66" t="str">
        <f aca="false">IF($A18="","",IFERROR(INDEX(Tickers!$D$2:$D$100,MATCH($A18,Tickers!$A$2:$A$100,0)),""))</f>
        <v>池子</v>
      </c>
      <c r="D18" s="51" t="n">
        <f aca="false">IF($A18="","",IFERROR(INDEX(Raw_Price!$B$2:$B$100,MATCH($A18,Raw_Price!$A$2:$A$100,0)),""))</f>
        <v>102</v>
      </c>
      <c r="E18" s="48" t="n">
        <f aca="false">IF($A18="","",IFERROR(SUMIFS(Raw_Q!$I$2:$I$600,Raw_Q!$A$2:$A$600,$A18,Raw_Q!$R$2:$R$600,"&gt;=1",Raw_Q!$R$2:$R$600,"&lt;=4"),""))</f>
        <v>1095944.378</v>
      </c>
      <c r="F18" s="51" t="n">
        <f aca="false">IF($A18="","",IFERROR(SUMIFS(Raw_Q!$L$2:$L$600,Raw_Q!$A$2:$A$600,$A18,Raw_Q!$R$2:$R$600,"&gt;=1",Raw_Q!$R$2:$R$600,"&lt;=4"),""))</f>
        <v>5.92</v>
      </c>
      <c r="G18" s="51" t="n">
        <f aca="false">IF($A18="","",IFERROR(SUMIFS(Raw_Q!$L$2:$L$600,Raw_Q!$A$2:$A$600,$A18,Raw_Q!$R$2:$R$600,"&gt;=0",Raw_Q!$R$2:$R$600,"&lt;=3"),""))</f>
        <v>5.70057</v>
      </c>
      <c r="H18" s="51" t="n">
        <f aca="true">IF($A18="","",IFERROR(INDEX(Raw_Est!$B$2:$B$100,MATCH($A18,Raw_Est!$A$2:$A$100,0))*MIN(1,MAX(0,(INDEX(Raw_Est!$D$2:$D$100,MATCH($A18,Raw_Est!$A$2:$A$100,0))-TODAY())/Config!$B$8))+INDEX(Raw_Est!$C$2:$C$100,MATCH($A18,Raw_Est!$A$2:$A$100,0))*(1-MIN(1,MAX(0,(INDEX(Raw_Est!$D$2:$D$100,MATCH($A18,Raw_Est!$A$2:$A$100,0))-TODAY())/Config!$B$8))),""))</f>
        <v>7.09577202739726</v>
      </c>
      <c r="I18" s="49" t="n">
        <f aca="false">IF($A18="","",IFERROR(SUMIFS(Raw_Q!$L$2:$L$600,Raw_Q!$A$2:$A$600,$A18,Raw_Q!$R$2:$R$600,"&gt;=1",Raw_Q!$R$2:$R$600,"&lt;=4")/SUMIFS(Raw_Q!$L$2:$L$600,Raw_Q!$A$2:$A$600,$A18,Raw_Q!$R$2:$R$600,"&gt;=5",Raw_Q!$R$2:$R$600,"&lt;=8")-1,""))</f>
        <v>0.246315789473684</v>
      </c>
      <c r="J18" s="52" t="n">
        <f aca="false">IF($A18="","",IFERROR(IF(F18&lt;=0,"N/M",D18/F18),"N/M"))</f>
        <v>17.2297297297297</v>
      </c>
      <c r="K18" s="52" t="n">
        <f aca="false">IF($A18="","",IFERROR(IF(G18&lt;=0,"N/M",D18/G18),"N/M"))</f>
        <v>17.8929475473505</v>
      </c>
      <c r="L18" s="52" t="n">
        <f aca="false">IF($A18="","",IFERROR(IF(H18&lt;=0,"N/M",D18/H18),"N/M"))</f>
        <v>14.3747571943082</v>
      </c>
      <c r="M18" s="49" t="n">
        <f aca="false">IF($A18="","",IFERROR(INDEX(Raw_Est!$C$2:$C$100,MATCH($A18,Raw_Est!$A$2:$A$100,0))/INDEX(Raw_Est!$B$2:$B$100,MATCH($A18,Raw_Est!$A$2:$A$100,0))-1,""))</f>
        <v>0.284860826131111</v>
      </c>
      <c r="N18" s="51" t="n">
        <f aca="false">IF($A18="","",IFERROR(IF(OR(NOT(ISNUMBER(J18)),I18&lt;Config!$B$6),"N/M",J18/(I18*100)),"N/M"))</f>
        <v>0.699497574497574</v>
      </c>
      <c r="O18" s="51" t="n">
        <f aca="false">IF($A18="","",IFERROR(IF(OR(NOT(ISNUMBER(L18)),M18&lt;Config!$B$6),"N/M",L18/(M18*100)),"N/M"))</f>
        <v>0.50462386806714</v>
      </c>
      <c r="P18" s="51" t="n">
        <f aca="false">IF($A18="","",IFERROR(SUMIFS(Raw_Q!$P$2:$P$600,Raw_Q!$A$2:$A$600,$A18,Raw_Q!$R$2:$R$600,"&gt;=1",Raw_Q!$R$2:$R$600,"&lt;=4"),""))</f>
        <v>4.00943684</v>
      </c>
      <c r="Q18" s="49" t="n">
        <f aca="false">IF($A18="","",IFERROR(IF(P18=0,"不配息",P18/D18),""))</f>
        <v>0.0393082043137255</v>
      </c>
      <c r="R18" s="49" t="n">
        <f aca="false">IF($A18="","",IFERROR(IF(SUMIFS(Raw_Q!$P$2:$P$600,Raw_Q!$A$2:$A$600,$A18,Raw_Q!$R$2:$R$600,"&gt;=5",Raw_Q!$R$2:$R$600,"&lt;=8")=0,"",SUMIFS(Raw_Q!$P$2:$P$600,Raw_Q!$A$2:$A$600,$A18,Raw_Q!$R$2:$R$600,"&gt;=1",Raw_Q!$R$2:$R$600,"&lt;=4")/SUMIFS(Raw_Q!$P$2:$P$600,Raw_Q!$A$2:$A$600,$A18,Raw_Q!$R$2:$R$600,"&gt;=5",Raw_Q!$R$2:$R$600,"&lt;=8")-1),""))</f>
        <v>-0.109573083169745</v>
      </c>
      <c r="S18" s="49" t="n">
        <f aca="false">IF($A18="","",IFERROR(SUMIFS(Raw_Q!$I$2:$I$600,Raw_Q!$A$2:$A$600,$A18,Raw_Q!$R$2:$R$600,1)/SUMIFS(Raw_Q!$I$2:$I$600,Raw_Q!$A$2:$A$600,$A18,Raw_Q!$R$2:$R$600,5)-1,""))</f>
        <v>0.0266035467463031</v>
      </c>
      <c r="T18" s="49" t="n">
        <f aca="false">IF($A18="","",IFERROR(SUMIFS(Raw_Q!$I$2:$I$600,Raw_Q!$A$2:$A$600,$A18,Raw_Q!$R$2:$R$600,1)/SUMIFS(Raw_Q!$I$2:$I$600,Raw_Q!$A$2:$A$600,$A18,Raw_Q!$R$2:$R$600,2)-1,""))</f>
        <v>0.124300662746502</v>
      </c>
      <c r="U18" s="49" t="n">
        <f aca="false">IF($A18="","",IFERROR(SUMIFS(Raw_Q!$I$2:$I$600,Raw_Q!$A$2:$A$600,$A18,Raw_Q!$R$2:$R$600,2)/SUMIFS(Raw_Q!$I$2:$I$600,Raw_Q!$A$2:$A$600,$A18,Raw_Q!$R$2:$R$600,3)-1,""))</f>
        <v>-0.236043770462527</v>
      </c>
      <c r="V18" s="68" t="n">
        <f aca="false">IF($A18="","",IFERROR((T18-U18)*100,""))</f>
        <v>36.0344433209029</v>
      </c>
      <c r="W18" s="49" t="str">
        <f aca="false">IF($A18="","",IFERROR(IF(OR(NOT(ISNUMBER(T18)),NOT(ISNUMBER(U18)),U18&lt;=0,ABS(U18)&lt;Config!$B$9),"N/M",(T18-U18)/ABS(U18)),"N/M"))</f>
        <v>N/M</v>
      </c>
      <c r="X18" s="66" t="str">
        <f aca="false">IF($A18="","",IFERROR(IF(NOT(ISNUMBER(T18)),"",IF(AND(ISNUMBER(U18),U18&gt;0,T18&lt;=0),"由正轉負",IF(AND(ISNUMBER(U18),U18&lt;=0,T18&gt;0),"由負轉正",IF(T18&gt;0,IF(V18&gt;0,"成長且加速","成長但減速"),IF(V18&gt;0,"衰退但收斂","衰退且惡化"))))),""))</f>
        <v>由負轉正</v>
      </c>
      <c r="Y18" s="68" t="n">
        <f aca="false">IF($A18="","",IFERROR((T18-(SUMIFS(Raw_Q!$I$2:$I$600,Raw_Q!$A$2:$A$600,$A18,Raw_Q!$R$2:$R$600,5)/SUMIFS(Raw_Q!$I$2:$I$600,Raw_Q!$A$2:$A$600,$A18,Raw_Q!$R$2:$R$600,6)-1))*100,""))</f>
        <v>14.3012386224339</v>
      </c>
      <c r="Z18" s="49" t="n">
        <f aca="false">IF($A18="","",IFERROR(SUMIFS(Raw_Q!$L$2:$L$600,Raw_Q!$A$2:$A$600,$A18,Raw_Q!$R$2:$R$600,1)/SUMIFS(Raw_Q!$L$2:$L$600,Raw_Q!$A$2:$A$600,$A18,Raw_Q!$R$2:$R$600,5)-1,""))</f>
        <v>14.2727272727273</v>
      </c>
      <c r="AA18" s="49" t="n">
        <f aca="false">IF($A18="","",IFERROR(SUMIFS(Raw_Q!$J$2:$J$600,Raw_Q!$A$2:$A$600,$A18,Raw_Q!$R$2:$R$600,"&gt;=1",Raw_Q!$R$2:$R$600,"&lt;=4")/E18,""))</f>
        <v>0.0428089252901848</v>
      </c>
      <c r="AB18" s="49" t="n">
        <f aca="false">IF($A18="","",IFERROR(SUMIFS(Raw_Q!$J$2:$J$600,Raw_Q!$A$2:$A$600,$A18,Raw_Q!$R$2:$R$600,"&gt;=1",Raw_Q!$R$2:$R$600,"&lt;="&amp;Config!$B$5)/SUMIFS(Raw_Q!$I$2:$I$600,Raw_Q!$A$2:$A$600,$A18,Raw_Q!$R$2:$R$600,"&gt;=1",Raw_Q!$R$2:$R$600,"&lt;="&amp;Config!$B$5),""))</f>
        <v>0.0396882618137586</v>
      </c>
      <c r="AC18" s="50" t="n">
        <f aca="false">IF($A18="","",IFERROR((AA18-AB18)*10000,""))</f>
        <v>31.2066347642616</v>
      </c>
      <c r="AD18" s="50" t="n">
        <f aca="false">IF($A18="","",IFERROR((SUMIFS(Raw_Q!$J$2:$J$600,Raw_Q!$A$2:$A$600,$A18,Raw_Q!$R$2:$R$600,1)/SUMIFS(Raw_Q!$I$2:$I$600,Raw_Q!$A$2:$A$600,$A18,Raw_Q!$R$2:$R$600,1)-SUMIFS(Raw_Q!$J$2:$J$600,Raw_Q!$A$2:$A$600,$A18,Raw_Q!$R$2:$R$600,5)/SUMIFS(Raw_Q!$I$2:$I$600,Raw_Q!$A$2:$A$600,$A18,Raw_Q!$R$2:$R$600,5))*10000,""))</f>
        <v>129.561955903691</v>
      </c>
      <c r="AE18" s="51" t="n">
        <f aca="false">IF($A18="","",IFERROR(SUMIFS(Raw_Q!$O$2:$O$600,Raw_Q!$A$2:$A$600,$A18,Raw_Q!$R$2:$R$600,1)/SUMIFS(Raw_Q!$M$2:$M$600,Raw_Q!$A$2:$A$600,$A18,Raw_Q!$R$2:$R$600,1),""))</f>
        <v>77.3293009232722</v>
      </c>
      <c r="AF18" s="48" t="n">
        <f aca="false">IF($A18="","",IFERROR(SUMPRODUCT((Raw_Q!$A$2:$A$600=$A18)*(Raw_Q!$R$2:$R$600&gt;=1)*(Raw_Q!$R$2:$R$600&lt;=4)*Raw_Q!$L$2:$L$600*Raw_Q!$M$2:$M$600),""))</f>
        <v>15867.80069</v>
      </c>
      <c r="AG18" s="49" t="n">
        <f aca="false">IF($A18="","",IFERROR(IF(MIN(SUMIFS(Raw_Q!$O$2:$O$600,Raw_Q!$A$2:$A$600,$A18,Raw_Q!$R$2:$R$600,1),SUMIFS(Raw_Q!$O$2:$O$600,Raw_Q!$A$2:$A$600,$A18,Raw_Q!$R$2:$R$600,5))&lt;=0,"N/M",AF18/((SUMIFS(Raw_Q!$O$2:$O$600,Raw_Q!$A$2:$A$600,$A18,Raw_Q!$R$2:$R$600,1)+SUMIFS(Raw_Q!$O$2:$O$600,Raw_Q!$A$2:$A$600,$A18,Raw_Q!$R$2:$R$600,5))/2)),"N/M"))</f>
        <v>0.0821536877888394</v>
      </c>
      <c r="AH18" s="49" t="n">
        <f aca="false">IF($A18="","",IFERROR(AVERAGE(AP18:AT18),""))</f>
        <v>0.0872674361183306</v>
      </c>
      <c r="AI18" s="49" t="n">
        <f aca="false">IF($A18="","",IFERROR(IF(AE18&lt;=0,"N/M",INDEX(Raw_Est!$B$2:$B$100,MATCH($A18,Raw_Est!$A$2:$A$100,0))/AE18),"N/M"))</f>
        <v>0.0748730420535528</v>
      </c>
      <c r="AJ18" s="51" t="n">
        <f aca="false">IF($A18="","",IFERROR(SUMIFS(Raw_Q!$L$2:$L$600,Raw_Q!$A$2:$A$600,$A18,Raw_Q!$R$2:$R$600,0),""))</f>
        <v>1.47057</v>
      </c>
      <c r="AK18" s="66" t="str">
        <f aca="false">IF($A18="","",IFERROR(INDEX(Raw_Q!$B$2:$B$600,MATCH($A18&amp;"|"&amp;0,Raw_Q!$S$2:$S$600,0)),""))</f>
        <v>FY2026Q3E</v>
      </c>
      <c r="AL18" s="66" t="str">
        <f aca="false">IF($A18="","",IFERROR(INDEX(Raw_Q!$G$2:$G$600,MATCH($A18&amp;"|"&amp;0,Raw_Q!$S$2:$S$600,0)),""))</f>
        <v>consensus</v>
      </c>
      <c r="AM18" s="47" t="n">
        <f aca="false">IF($A18="","",IFERROR(INDEX(Raw_Est!$E$2:$E$100,MATCH($A18,Raw_Est!$A$2:$A$100,0)),""))</f>
        <v>6</v>
      </c>
      <c r="AN18" s="67" t="n">
        <f aca="false">IF($A18="","",IFERROR(INDEX(Raw_Price!$D$2:$D$100,MATCH($A18,Raw_Price!$A$2:$A$100,0)),""))</f>
        <v>0</v>
      </c>
      <c r="AO18" s="67" t="n">
        <f aca="false">IF($A18="","",IFERROR(INDEX(Raw_Price!$E$2:$E$100,MATCH($A18,Raw_Price!$A$2:$A$100,0)),""))</f>
        <v>46311</v>
      </c>
      <c r="AP18" s="49" t="n">
        <f aca="false">IF($A18="","",IFERROR(IF(MIN(SUMIFS(Raw_Q!$O$2:$O$600,Raw_Q!$A$2:$A$600,$A18,Raw_Q!$R$2:$R$600,1),SUMIFS(Raw_Q!$O$2:$O$600,Raw_Q!$A$2:$A$600,$A18,Raw_Q!$R$2:$R$600,5))&lt;=0,"",SUMPRODUCT((Raw_Q!$A$2:$A$600=$A18)*(Raw_Q!$R$2:$R$600&gt;=1)*(Raw_Q!$R$2:$R$600&lt;=4)*Raw_Q!$L$2:$L$600*Raw_Q!$M$2:$M$600)/((SUMIFS(Raw_Q!$O$2:$O$600,Raw_Q!$A$2:$A$600,$A18,Raw_Q!$R$2:$R$600,1)+SUMIFS(Raw_Q!$O$2:$O$600,Raw_Q!$A$2:$A$600,$A18,Raw_Q!$R$2:$R$600,5))/2)),""))</f>
        <v>0.0821536877888394</v>
      </c>
      <c r="AQ18" s="49" t="n">
        <f aca="false">IF($A18="","",IFERROR(IF(MIN(SUMIFS(Raw_Q!$O$2:$O$600,Raw_Q!$A$2:$A$600,$A18,Raw_Q!$R$2:$R$600,5),SUMIFS(Raw_Q!$O$2:$O$600,Raw_Q!$A$2:$A$600,$A18,Raw_Q!$R$2:$R$600,9))&lt;=0,"",SUMPRODUCT((Raw_Q!$A$2:$A$600=$A18)*(Raw_Q!$R$2:$R$600&gt;=5)*(Raw_Q!$R$2:$R$600&lt;=8)*Raw_Q!$L$2:$L$600*Raw_Q!$M$2:$M$600)/((SUMIFS(Raw_Q!$O$2:$O$600,Raw_Q!$A$2:$A$600,$A18,Raw_Q!$R$2:$R$600,5)+SUMIFS(Raw_Q!$O$2:$O$600,Raw_Q!$A$2:$A$600,$A18,Raw_Q!$R$2:$R$600,9))/2)),""))</f>
        <v>0.0671162377304044</v>
      </c>
      <c r="AR18" s="49" t="n">
        <f aca="false">IF($A18="","",IFERROR(IF(MIN(SUMIFS(Raw_Q!$O$2:$O$600,Raw_Q!$A$2:$A$600,$A18,Raw_Q!$R$2:$R$600,9),SUMIFS(Raw_Q!$O$2:$O$600,Raw_Q!$A$2:$A$600,$A18,Raw_Q!$R$2:$R$600,13))&lt;=0,"",SUMPRODUCT((Raw_Q!$A$2:$A$600=$A18)*(Raw_Q!$R$2:$R$600&gt;=9)*(Raw_Q!$R$2:$R$600&lt;=12)*Raw_Q!$L$2:$L$600*Raw_Q!$M$2:$M$600)/((SUMIFS(Raw_Q!$O$2:$O$600,Raw_Q!$A$2:$A$600,$A18,Raw_Q!$R$2:$R$600,9)+SUMIFS(Raw_Q!$O$2:$O$600,Raw_Q!$A$2:$A$600,$A18,Raw_Q!$R$2:$R$600,13))/2)),""))</f>
        <v>0.0976750919625655</v>
      </c>
      <c r="AS18" s="49" t="n">
        <f aca="false">IF($A18="","",IFERROR(IF(MIN(SUMIFS(Raw_Q!$O$2:$O$600,Raw_Q!$A$2:$A$600,$A18,Raw_Q!$R$2:$R$600,13),SUMIFS(Raw_Q!$O$2:$O$600,Raw_Q!$A$2:$A$600,$A18,Raw_Q!$R$2:$R$600,17))&lt;=0,"",SUMPRODUCT((Raw_Q!$A$2:$A$600=$A18)*(Raw_Q!$R$2:$R$600&gt;=13)*(Raw_Q!$R$2:$R$600&lt;=16)*Raw_Q!$L$2:$L$600*Raw_Q!$M$2:$M$600)/((SUMIFS(Raw_Q!$O$2:$O$600,Raw_Q!$A$2:$A$600,$A18,Raw_Q!$R$2:$R$600,13)+SUMIFS(Raw_Q!$O$2:$O$600,Raw_Q!$A$2:$A$600,$A18,Raw_Q!$R$2:$R$600,17))/2)),""))</f>
        <v>0.0946053046778013</v>
      </c>
      <c r="AT18" s="49" t="n">
        <f aca="false">IF($A18="","",IFERROR(IF(MIN(SUMIFS(Raw_Q!$O$2:$O$600,Raw_Q!$A$2:$A$600,$A18,Raw_Q!$R$2:$R$600,17),SUMIFS(Raw_Q!$O$2:$O$600,Raw_Q!$A$2:$A$600,$A18,Raw_Q!$R$2:$R$600,21))&lt;=0,"",SUMPRODUCT((Raw_Q!$A$2:$A$600=$A18)*(Raw_Q!$R$2:$R$600&gt;=17)*(Raw_Q!$R$2:$R$600&lt;=20)*Raw_Q!$L$2:$L$600*Raw_Q!$M$2:$M$600)/((SUMIFS(Raw_Q!$O$2:$O$600,Raw_Q!$A$2:$A$600,$A18,Raw_Q!$R$2:$R$600,17)+SUMIFS(Raw_Q!$O$2:$O$600,Raw_Q!$A$2:$A$600,$A18,Raw_Q!$R$2:$R$600,21))/2)),""))</f>
        <v>0.0947868584320424</v>
      </c>
    </row>
    <row r="19" customFormat="false" ht="15" hidden="false" customHeight="false" outlineLevel="0" collapsed="false">
      <c r="A19" s="17" t="str">
        <f aca="false">IF(Tickers!A19="","",Tickers!A19)</f>
        <v>8299</v>
      </c>
      <c r="B19" s="66" t="str">
        <f aca="false">IF($A19="","",IFERROR(INDEX(Tickers!$B$2:$B$100,MATCH($A19,Tickers!$A$2:$A$100,0)),""))</f>
        <v>群聯</v>
      </c>
      <c r="C19" s="66" t="str">
        <f aca="false">IF($A19="","",IFERROR(INDEX(Tickers!$D$2:$D$100,MATCH($A19,Tickers!$A$2:$A$100,0)),""))</f>
        <v>池子</v>
      </c>
      <c r="D19" s="51" t="n">
        <f aca="false">IF($A19="","",IFERROR(INDEX(Raw_Price!$B$2:$B$100,MATCH($A19,Raw_Price!$A$2:$A$100,0)),""))</f>
        <v>1890</v>
      </c>
      <c r="E19" s="48" t="n">
        <f aca="false">IF($A19="","",IFERROR(SUMIFS(Raw_Q!$I$2:$I$600,Raw_Q!$A$2:$A$600,$A19,Raw_Q!$R$2:$R$600,"&gt;=1",Raw_Q!$R$2:$R$600,"&lt;=4"),""))</f>
        <v>0</v>
      </c>
      <c r="F19" s="51" t="n">
        <f aca="false">IF($A19="","",IFERROR(SUMIFS(Raw_Q!$L$2:$L$600,Raw_Q!$A$2:$A$600,$A19,Raw_Q!$R$2:$R$600,"&gt;=1",Raw_Q!$R$2:$R$600,"&lt;=4"),""))</f>
        <v>0</v>
      </c>
      <c r="G19" s="51" t="n">
        <f aca="false">IF($A19="","",IFERROR(SUMIFS(Raw_Q!$L$2:$L$600,Raw_Q!$A$2:$A$600,$A19,Raw_Q!$R$2:$R$600,"&gt;=0",Raw_Q!$R$2:$R$600,"&lt;=3"),""))</f>
        <v>0</v>
      </c>
      <c r="H19" s="51" t="n">
        <f aca="true">IF($A19="","",IFERROR(INDEX(Raw_Est!$B$2:$B$100,MATCH($A19,Raw_Est!$A$2:$A$100,0))*MIN(1,MAX(0,(INDEX(Raw_Est!$D$2:$D$100,MATCH($A19,Raw_Est!$A$2:$A$100,0))-TODAY())/Config!$B$8))+INDEX(Raw_Est!$C$2:$C$100,MATCH($A19,Raw_Est!$A$2:$A$100,0))*(1-MIN(1,MAX(0,(INDEX(Raw_Est!$D$2:$D$100,MATCH($A19,Raw_Est!$A$2:$A$100,0))-TODAY())/Config!$B$8))),""))</f>
        <v>308.77157060274</v>
      </c>
      <c r="I19" s="49" t="str">
        <f aca="false">IF($A19="","",IFERROR(SUMIFS(Raw_Q!$L$2:$L$600,Raw_Q!$A$2:$A$600,$A19,Raw_Q!$R$2:$R$600,"&gt;=1",Raw_Q!$R$2:$R$600,"&lt;=4")/SUMIFS(Raw_Q!$L$2:$L$600,Raw_Q!$A$2:$A$600,$A19,Raw_Q!$R$2:$R$600,"&gt;=5",Raw_Q!$R$2:$R$600,"&lt;=8")-1,""))</f>
        <v/>
      </c>
      <c r="J19" s="52" t="str">
        <f aca="false">IF($A19="","",IFERROR(IF(F19&lt;=0,"N/M",D19/F19),"N/M"))</f>
        <v>N/M</v>
      </c>
      <c r="K19" s="52" t="str">
        <f aca="false">IF($A19="","",IFERROR(IF(G19&lt;=0,"N/M",D19/G19),"N/M"))</f>
        <v>N/M</v>
      </c>
      <c r="L19" s="52" t="n">
        <f aca="false">IF($A19="","",IFERROR(IF(H19&lt;=0,"N/M",D19/H19),"N/M"))</f>
        <v>6.12102984841063</v>
      </c>
      <c r="M19" s="49" t="n">
        <f aca="false">IF($A19="","",IFERROR(INDEX(Raw_Est!$C$2:$C$100,MATCH($A19,Raw_Est!$A$2:$A$100,0))/INDEX(Raw_Est!$B$2:$B$100,MATCH($A19,Raw_Est!$A$2:$A$100,0))-1,""))</f>
        <v>-0.317229480084619</v>
      </c>
      <c r="N19" s="51" t="str">
        <f aca="false">IF($A19="","",IFERROR(IF(OR(NOT(ISNUMBER(J19)),I19&lt;Config!$B$6),"N/M",J19/(I19*100)),"N/M"))</f>
        <v>N/M</v>
      </c>
      <c r="O19" s="51" t="str">
        <f aca="false">IF($A19="","",IFERROR(IF(OR(NOT(ISNUMBER(L19)),M19&lt;Config!$B$6),"N/M",L19/(M19*100)),"N/M"))</f>
        <v>N/M</v>
      </c>
      <c r="P19" s="51" t="n">
        <f aca="false">IF($A19="","",IFERROR(SUMIFS(Raw_Q!$P$2:$P$600,Raw_Q!$A$2:$A$600,$A19,Raw_Q!$R$2:$R$600,"&gt;=1",Raw_Q!$R$2:$R$600,"&lt;=4"),""))</f>
        <v>0</v>
      </c>
      <c r="Q19" s="49" t="str">
        <f aca="false">IF($A19="","",IFERROR(IF(P19=0,"不配息",P19/D19),""))</f>
        <v>不配息</v>
      </c>
      <c r="R19" s="49" t="str">
        <f aca="false">IF($A19="","",IFERROR(IF(SUMIFS(Raw_Q!$P$2:$P$600,Raw_Q!$A$2:$A$600,$A19,Raw_Q!$R$2:$R$600,"&gt;=5",Raw_Q!$R$2:$R$600,"&lt;=8")=0,"",SUMIFS(Raw_Q!$P$2:$P$600,Raw_Q!$A$2:$A$600,$A19,Raw_Q!$R$2:$R$600,"&gt;=1",Raw_Q!$R$2:$R$600,"&lt;=4")/SUMIFS(Raw_Q!$P$2:$P$600,Raw_Q!$A$2:$A$600,$A19,Raw_Q!$R$2:$R$600,"&gt;=5",Raw_Q!$R$2:$R$600,"&lt;=8")-1),""))</f>
        <v/>
      </c>
      <c r="S19" s="49" t="str">
        <f aca="false">IF($A19="","",IFERROR(SUMIFS(Raw_Q!$I$2:$I$600,Raw_Q!$A$2:$A$600,$A19,Raw_Q!$R$2:$R$600,1)/SUMIFS(Raw_Q!$I$2:$I$600,Raw_Q!$A$2:$A$600,$A19,Raw_Q!$R$2:$R$600,5)-1,""))</f>
        <v/>
      </c>
      <c r="T19" s="49" t="str">
        <f aca="false">IF($A19="","",IFERROR(SUMIFS(Raw_Q!$I$2:$I$600,Raw_Q!$A$2:$A$600,$A19,Raw_Q!$R$2:$R$600,1)/SUMIFS(Raw_Q!$I$2:$I$600,Raw_Q!$A$2:$A$600,$A19,Raw_Q!$R$2:$R$600,2)-1,""))</f>
        <v/>
      </c>
      <c r="U19" s="49" t="str">
        <f aca="false">IF($A19="","",IFERROR(SUMIFS(Raw_Q!$I$2:$I$600,Raw_Q!$A$2:$A$600,$A19,Raw_Q!$R$2:$R$600,2)/SUMIFS(Raw_Q!$I$2:$I$600,Raw_Q!$A$2:$A$600,$A19,Raw_Q!$R$2:$R$600,3)-1,""))</f>
        <v/>
      </c>
      <c r="V19" s="68" t="str">
        <f aca="false">IF($A19="","",IFERROR((T19-U19)*100,""))</f>
        <v/>
      </c>
      <c r="W19" s="49" t="str">
        <f aca="false">IF($A19="","",IFERROR(IF(OR(NOT(ISNUMBER(T19)),NOT(ISNUMBER(U19)),U19&lt;=0,ABS(U19)&lt;Config!$B$9),"N/M",(T19-U19)/ABS(U19)),"N/M"))</f>
        <v>N/M</v>
      </c>
      <c r="X19" s="66" t="str">
        <f aca="false">IF($A19="","",IFERROR(IF(NOT(ISNUMBER(T19)),"",IF(AND(ISNUMBER(U19),U19&gt;0,T19&lt;=0),"由正轉負",IF(AND(ISNUMBER(U19),U19&lt;=0,T19&gt;0),"由負轉正",IF(T19&gt;0,IF(V19&gt;0,"成長且加速","成長但減速"),IF(V19&gt;0,"衰退但收斂","衰退且惡化"))))),""))</f>
        <v/>
      </c>
      <c r="Y19" s="68" t="str">
        <f aca="false">IF($A19="","",IFERROR((T19-(SUMIFS(Raw_Q!$I$2:$I$600,Raw_Q!$A$2:$A$600,$A19,Raw_Q!$R$2:$R$600,5)/SUMIFS(Raw_Q!$I$2:$I$600,Raw_Q!$A$2:$A$600,$A19,Raw_Q!$R$2:$R$600,6)-1))*100,""))</f>
        <v/>
      </c>
      <c r="Z19" s="49" t="str">
        <f aca="false">IF($A19="","",IFERROR(SUMIFS(Raw_Q!$L$2:$L$600,Raw_Q!$A$2:$A$600,$A19,Raw_Q!$R$2:$R$600,1)/SUMIFS(Raw_Q!$L$2:$L$600,Raw_Q!$A$2:$A$600,$A19,Raw_Q!$R$2:$R$600,5)-1,""))</f>
        <v/>
      </c>
      <c r="AA19" s="49" t="str">
        <f aca="false">IF($A19="","",IFERROR(SUMIFS(Raw_Q!$J$2:$J$600,Raw_Q!$A$2:$A$600,$A19,Raw_Q!$R$2:$R$600,"&gt;=1",Raw_Q!$R$2:$R$600,"&lt;=4")/E19,""))</f>
        <v/>
      </c>
      <c r="AB19" s="49" t="str">
        <f aca="false">IF($A19="","",IFERROR(SUMIFS(Raw_Q!$J$2:$J$600,Raw_Q!$A$2:$A$600,$A19,Raw_Q!$R$2:$R$600,"&gt;=1",Raw_Q!$R$2:$R$600,"&lt;="&amp;Config!$B$5)/SUMIFS(Raw_Q!$I$2:$I$600,Raw_Q!$A$2:$A$600,$A19,Raw_Q!$R$2:$R$600,"&gt;=1",Raw_Q!$R$2:$R$600,"&lt;="&amp;Config!$B$5),""))</f>
        <v/>
      </c>
      <c r="AC19" s="50" t="str">
        <f aca="false">IF($A19="","",IFERROR((AA19-AB19)*10000,""))</f>
        <v/>
      </c>
      <c r="AD19" s="50" t="str">
        <f aca="false">IF($A19="","",IFERROR((SUMIFS(Raw_Q!$J$2:$J$600,Raw_Q!$A$2:$A$600,$A19,Raw_Q!$R$2:$R$600,1)/SUMIFS(Raw_Q!$I$2:$I$600,Raw_Q!$A$2:$A$600,$A19,Raw_Q!$R$2:$R$600,1)-SUMIFS(Raw_Q!$J$2:$J$600,Raw_Q!$A$2:$A$600,$A19,Raw_Q!$R$2:$R$600,5)/SUMIFS(Raw_Q!$I$2:$I$600,Raw_Q!$A$2:$A$600,$A19,Raw_Q!$R$2:$R$600,5))*10000,""))</f>
        <v/>
      </c>
      <c r="AE19" s="51" t="str">
        <f aca="false">IF($A19="","",IFERROR(SUMIFS(Raw_Q!$O$2:$O$600,Raw_Q!$A$2:$A$600,$A19,Raw_Q!$R$2:$R$600,1)/SUMIFS(Raw_Q!$M$2:$M$600,Raw_Q!$A$2:$A$600,$A19,Raw_Q!$R$2:$R$600,1),""))</f>
        <v/>
      </c>
      <c r="AF19" s="48" t="n">
        <f aca="false">IF($A19="","",IFERROR(SUMPRODUCT((Raw_Q!$A$2:$A$600=$A19)*(Raw_Q!$R$2:$R$600&gt;=1)*(Raw_Q!$R$2:$R$600&lt;=4)*Raw_Q!$L$2:$L$600*Raw_Q!$M$2:$M$600),""))</f>
        <v>0</v>
      </c>
      <c r="AG19" s="49" t="str">
        <f aca="false">IF($A19="","",IFERROR(IF(MIN(SUMIFS(Raw_Q!$O$2:$O$600,Raw_Q!$A$2:$A$600,$A19,Raw_Q!$R$2:$R$600,1),SUMIFS(Raw_Q!$O$2:$O$600,Raw_Q!$A$2:$A$600,$A19,Raw_Q!$R$2:$R$600,5))&lt;=0,"N/M",AF19/((SUMIFS(Raw_Q!$O$2:$O$600,Raw_Q!$A$2:$A$600,$A19,Raw_Q!$R$2:$R$600,1)+SUMIFS(Raw_Q!$O$2:$O$600,Raw_Q!$A$2:$A$600,$A19,Raw_Q!$R$2:$R$600,5))/2)),"N/M"))</f>
        <v>N/M</v>
      </c>
      <c r="AH19" s="49" t="str">
        <f aca="false">IF($A19="","",IFERROR(AVERAGE(AP19:AT19),""))</f>
        <v/>
      </c>
      <c r="AI19" s="49" t="str">
        <f aca="false">IF($A19="","",IFERROR(IF(AE19&lt;=0,"N/M",INDEX(Raw_Est!$B$2:$B$100,MATCH($A19,Raw_Est!$A$2:$A$100,0))/AE19),"N/M"))</f>
        <v>N/M</v>
      </c>
      <c r="AJ19" s="51" t="n">
        <f aca="false">IF($A19="","",IFERROR(SUMIFS(Raw_Q!$L$2:$L$600,Raw_Q!$A$2:$A$600,$A19,Raw_Q!$R$2:$R$600,0),""))</f>
        <v>0</v>
      </c>
      <c r="AK19" s="66" t="str">
        <f aca="false">IF($A19="","",IFERROR(INDEX(Raw_Q!$B$2:$B$600,MATCH($A19&amp;"|"&amp;0,Raw_Q!$S$2:$S$600,0)),""))</f>
        <v/>
      </c>
      <c r="AL19" s="66" t="str">
        <f aca="false">IF($A19="","",IFERROR(INDEX(Raw_Q!$G$2:$G$600,MATCH($A19&amp;"|"&amp;0,Raw_Q!$S$2:$S$600,0)),""))</f>
        <v/>
      </c>
      <c r="AM19" s="47" t="n">
        <f aca="false">IF($A19="","",IFERROR(INDEX(Raw_Est!$E$2:$E$100,MATCH($A19,Raw_Est!$A$2:$A$100,0)),""))</f>
        <v>7</v>
      </c>
      <c r="AN19" s="67" t="n">
        <f aca="false">IF($A19="","",IFERROR(INDEX(Raw_Price!$D$2:$D$100,MATCH($A19,Raw_Price!$A$2:$A$100,0)),""))</f>
        <v>0</v>
      </c>
      <c r="AO19" s="67" t="n">
        <f aca="false">IF($A19="","",IFERROR(INDEX(Raw_Price!$E$2:$E$100,MATCH($A19,Raw_Price!$A$2:$A$100,0)),""))</f>
        <v>46311</v>
      </c>
      <c r="AP19" s="49" t="str">
        <f aca="false">IF($A19="","",IFERROR(IF(MIN(SUMIFS(Raw_Q!$O$2:$O$600,Raw_Q!$A$2:$A$600,$A19,Raw_Q!$R$2:$R$600,1),SUMIFS(Raw_Q!$O$2:$O$600,Raw_Q!$A$2:$A$600,$A19,Raw_Q!$R$2:$R$600,5))&lt;=0,"",SUMPRODUCT((Raw_Q!$A$2:$A$600=$A19)*(Raw_Q!$R$2:$R$600&gt;=1)*(Raw_Q!$R$2:$R$600&lt;=4)*Raw_Q!$L$2:$L$600*Raw_Q!$M$2:$M$600)/((SUMIFS(Raw_Q!$O$2:$O$600,Raw_Q!$A$2:$A$600,$A19,Raw_Q!$R$2:$R$600,1)+SUMIFS(Raw_Q!$O$2:$O$600,Raw_Q!$A$2:$A$600,$A19,Raw_Q!$R$2:$R$600,5))/2)),""))</f>
        <v/>
      </c>
      <c r="AQ19" s="49" t="str">
        <f aca="false">IF($A19="","",IFERROR(IF(MIN(SUMIFS(Raw_Q!$O$2:$O$600,Raw_Q!$A$2:$A$600,$A19,Raw_Q!$R$2:$R$600,5),SUMIFS(Raw_Q!$O$2:$O$600,Raw_Q!$A$2:$A$600,$A19,Raw_Q!$R$2:$R$600,9))&lt;=0,"",SUMPRODUCT((Raw_Q!$A$2:$A$600=$A19)*(Raw_Q!$R$2:$R$600&gt;=5)*(Raw_Q!$R$2:$R$600&lt;=8)*Raw_Q!$L$2:$L$600*Raw_Q!$M$2:$M$600)/((SUMIFS(Raw_Q!$O$2:$O$600,Raw_Q!$A$2:$A$600,$A19,Raw_Q!$R$2:$R$600,5)+SUMIFS(Raw_Q!$O$2:$O$600,Raw_Q!$A$2:$A$600,$A19,Raw_Q!$R$2:$R$600,9))/2)),""))</f>
        <v/>
      </c>
      <c r="AR19" s="49" t="str">
        <f aca="false">IF($A19="","",IFERROR(IF(MIN(SUMIFS(Raw_Q!$O$2:$O$600,Raw_Q!$A$2:$A$600,$A19,Raw_Q!$R$2:$R$600,9),SUMIFS(Raw_Q!$O$2:$O$600,Raw_Q!$A$2:$A$600,$A19,Raw_Q!$R$2:$R$600,13))&lt;=0,"",SUMPRODUCT((Raw_Q!$A$2:$A$600=$A19)*(Raw_Q!$R$2:$R$600&gt;=9)*(Raw_Q!$R$2:$R$600&lt;=12)*Raw_Q!$L$2:$L$600*Raw_Q!$M$2:$M$600)/((SUMIFS(Raw_Q!$O$2:$O$600,Raw_Q!$A$2:$A$600,$A19,Raw_Q!$R$2:$R$600,9)+SUMIFS(Raw_Q!$O$2:$O$600,Raw_Q!$A$2:$A$600,$A19,Raw_Q!$R$2:$R$600,13))/2)),""))</f>
        <v/>
      </c>
      <c r="AS19" s="49" t="str">
        <f aca="false">IF($A19="","",IFERROR(IF(MIN(SUMIFS(Raw_Q!$O$2:$O$600,Raw_Q!$A$2:$A$600,$A19,Raw_Q!$R$2:$R$600,13),SUMIFS(Raw_Q!$O$2:$O$600,Raw_Q!$A$2:$A$600,$A19,Raw_Q!$R$2:$R$600,17))&lt;=0,"",SUMPRODUCT((Raw_Q!$A$2:$A$600=$A19)*(Raw_Q!$R$2:$R$600&gt;=13)*(Raw_Q!$R$2:$R$600&lt;=16)*Raw_Q!$L$2:$L$600*Raw_Q!$M$2:$M$600)/((SUMIFS(Raw_Q!$O$2:$O$600,Raw_Q!$A$2:$A$600,$A19,Raw_Q!$R$2:$R$600,13)+SUMIFS(Raw_Q!$O$2:$O$600,Raw_Q!$A$2:$A$600,$A19,Raw_Q!$R$2:$R$600,17))/2)),""))</f>
        <v/>
      </c>
      <c r="AT19" s="49" t="str">
        <f aca="false">IF($A19="","",IFERROR(IF(MIN(SUMIFS(Raw_Q!$O$2:$O$600,Raw_Q!$A$2:$A$600,$A19,Raw_Q!$R$2:$R$600,17),SUMIFS(Raw_Q!$O$2:$O$600,Raw_Q!$A$2:$A$600,$A19,Raw_Q!$R$2:$R$600,21))&lt;=0,"",SUMPRODUCT((Raw_Q!$A$2:$A$600=$A19)*(Raw_Q!$R$2:$R$600&gt;=17)*(Raw_Q!$R$2:$R$600&lt;=20)*Raw_Q!$L$2:$L$600*Raw_Q!$M$2:$M$600)/((SUMIFS(Raw_Q!$O$2:$O$600,Raw_Q!$A$2:$A$600,$A19,Raw_Q!$R$2:$R$600,17)+SUMIFS(Raw_Q!$O$2:$O$600,Raw_Q!$A$2:$A$600,$A19,Raw_Q!$R$2:$R$600,21))/2)),""))</f>
        <v/>
      </c>
    </row>
    <row r="20" customFormat="false" ht="15" hidden="false" customHeight="false" outlineLevel="0" collapsed="false">
      <c r="A20" s="17" t="str">
        <f aca="false">IF(Tickers!A20="","",Tickers!A20)</f>
        <v>3105</v>
      </c>
      <c r="B20" s="66" t="str">
        <f aca="false">IF($A20="","",IFERROR(INDEX(Tickers!$B$2:$B$100,MATCH($A20,Tickers!$A$2:$A$100,0)),""))</f>
        <v>穩懋</v>
      </c>
      <c r="C20" s="66" t="str">
        <f aca="false">IF($A20="","",IFERROR(INDEX(Tickers!$D$2:$D$100,MATCH($A20,Tickers!$A$2:$A$100,0)),""))</f>
        <v>池子</v>
      </c>
      <c r="D20" s="51" t="n">
        <f aca="false">IF($A20="","",IFERROR(INDEX(Raw_Price!$B$2:$B$100,MATCH($A20,Raw_Price!$A$2:$A$100,0)),""))</f>
        <v>501</v>
      </c>
      <c r="E20" s="48" t="n">
        <f aca="false">IF($A20="","",IFERROR(SUMIFS(Raw_Q!$I$2:$I$600,Raw_Q!$A$2:$A$600,$A20,Raw_Q!$R$2:$R$600,"&gt;=1",Raw_Q!$R$2:$R$600,"&lt;=4"),""))</f>
        <v>19129.661</v>
      </c>
      <c r="F20" s="51" t="n">
        <f aca="false">IF($A20="","",IFERROR(SUMIFS(Raw_Q!$L$2:$L$600,Raw_Q!$A$2:$A$600,$A20,Raw_Q!$R$2:$R$600,"&gt;=1",Raw_Q!$R$2:$R$600,"&lt;=4"),""))</f>
        <v>8.51</v>
      </c>
      <c r="G20" s="51" t="n">
        <f aca="false">IF($A20="","",IFERROR(SUMIFS(Raw_Q!$L$2:$L$600,Raw_Q!$A$2:$A$600,$A20,Raw_Q!$R$2:$R$600,"&gt;=0",Raw_Q!$R$2:$R$600,"&lt;=3"),""))</f>
        <v>8.10774</v>
      </c>
      <c r="H20" s="51" t="n">
        <f aca="true">IF($A20="","",IFERROR(INDEX(Raw_Est!$B$2:$B$100,MATCH($A20,Raw_Est!$A$2:$A$100,0))*MIN(1,MAX(0,(INDEX(Raw_Est!$D$2:$D$100,MATCH($A20,Raw_Est!$A$2:$A$100,0))-TODAY())/Config!$B$8))+INDEX(Raw_Est!$C$2:$C$100,MATCH($A20,Raw_Est!$A$2:$A$100,0))*(1-MIN(1,MAX(0,(INDEX(Raw_Est!$D$2:$D$100,MATCH($A20,Raw_Est!$A$2:$A$100,0))-TODAY())/Config!$B$8))),""))</f>
        <v>9.72119484931507</v>
      </c>
      <c r="I20" s="49" t="n">
        <f aca="false">IF($A20="","",IFERROR(SUMIFS(Raw_Q!$L$2:$L$600,Raw_Q!$A$2:$A$600,$A20,Raw_Q!$R$2:$R$600,"&gt;=1",Raw_Q!$R$2:$R$600,"&lt;=4")/SUMIFS(Raw_Q!$L$2:$L$600,Raw_Q!$A$2:$A$600,$A20,Raw_Q!$R$2:$R$600,"&gt;=5",Raw_Q!$R$2:$R$600,"&lt;=8")-1,""))</f>
        <v>-7.86290322580645</v>
      </c>
      <c r="J20" s="52" t="n">
        <f aca="false">IF($A20="","",IFERROR(IF(F20&lt;=0,"N/M",D20/F20),"N/M"))</f>
        <v>58.8719153936545</v>
      </c>
      <c r="K20" s="52" t="n">
        <f aca="false">IF($A20="","",IFERROR(IF(G20&lt;=0,"N/M",D20/G20),"N/M"))</f>
        <v>61.7928053933649</v>
      </c>
      <c r="L20" s="52" t="n">
        <f aca="false">IF($A20="","",IFERROR(IF(H20&lt;=0,"N/M",D20/H20),"N/M"))</f>
        <v>51.5368746091227</v>
      </c>
      <c r="M20" s="49" t="n">
        <f aca="false">IF($A20="","",IFERROR(INDEX(Raw_Est!$C$2:$C$100,MATCH($A20,Raw_Est!$A$2:$A$100,0))/INDEX(Raw_Est!$B$2:$B$100,MATCH($A20,Raw_Est!$A$2:$A$100,0))-1,""))</f>
        <v>0.311584482205835</v>
      </c>
      <c r="N20" s="51" t="str">
        <f aca="false">IF($A20="","",IFERROR(IF(OR(NOT(ISNUMBER(J20)),I20&lt;Config!$B$6),"N/M",J20/(I20*100)),"N/M"))</f>
        <v>N/M</v>
      </c>
      <c r="O20" s="51" t="n">
        <f aca="false">IF($A20="","",IFERROR(IF(OR(NOT(ISNUMBER(L20)),M20&lt;Config!$B$6),"N/M",L20/(M20*100)),"N/M"))</f>
        <v>1.65402571541021</v>
      </c>
      <c r="P20" s="51" t="n">
        <f aca="false">IF($A20="","",IFERROR(SUMIFS(Raw_Q!$P$2:$P$600,Raw_Q!$A$2:$A$600,$A20,Raw_Q!$R$2:$R$600,"&gt;=1",Raw_Q!$R$2:$R$600,"&lt;=4"),""))</f>
        <v>2</v>
      </c>
      <c r="Q20" s="49" t="n">
        <f aca="false">IF($A20="","",IFERROR(IF(P20=0,"不配息",P20/D20),""))</f>
        <v>0.00399201596806387</v>
      </c>
      <c r="R20" s="49" t="n">
        <f aca="false">IF($A20="","",IFERROR(IF(SUMIFS(Raw_Q!$P$2:$P$600,Raw_Q!$A$2:$A$600,$A20,Raw_Q!$R$2:$R$600,"&gt;=5",Raw_Q!$R$2:$R$600,"&lt;=8")=0,"",SUMIFS(Raw_Q!$P$2:$P$600,Raw_Q!$A$2:$A$600,$A20,Raw_Q!$R$2:$R$600,"&gt;=1",Raw_Q!$R$2:$R$600,"&lt;=4")/SUMIFS(Raw_Q!$P$2:$P$600,Raw_Q!$A$2:$A$600,$A20,Raw_Q!$R$2:$R$600,"&gt;=5",Raw_Q!$R$2:$R$600,"&lt;=8")-1),""))</f>
        <v>1</v>
      </c>
      <c r="S20" s="49" t="n">
        <f aca="false">IF($A20="","",IFERROR(SUMIFS(Raw_Q!$I$2:$I$600,Raw_Q!$A$2:$A$600,$A20,Raw_Q!$R$2:$R$600,1)/SUMIFS(Raw_Q!$I$2:$I$600,Raw_Q!$A$2:$A$600,$A20,Raw_Q!$R$2:$R$600,5)-1,""))</f>
        <v>0.390665215673059</v>
      </c>
      <c r="T20" s="49" t="n">
        <f aca="false">IF($A20="","",IFERROR(SUMIFS(Raw_Q!$I$2:$I$600,Raw_Q!$A$2:$A$600,$A20,Raw_Q!$R$2:$R$600,1)/SUMIFS(Raw_Q!$I$2:$I$600,Raw_Q!$A$2:$A$600,$A20,Raw_Q!$R$2:$R$600,2)-1,""))</f>
        <v>0.145359319921744</v>
      </c>
      <c r="U20" s="49" t="n">
        <f aca="false">IF($A20="","",IFERROR(SUMIFS(Raw_Q!$I$2:$I$600,Raw_Q!$A$2:$A$600,$A20,Raw_Q!$R$2:$R$600,2)/SUMIFS(Raw_Q!$I$2:$I$600,Raw_Q!$A$2:$A$600,$A20,Raw_Q!$R$2:$R$600,3)-1,""))</f>
        <v>-0.0426313402944317</v>
      </c>
      <c r="V20" s="68" t="n">
        <f aca="false">IF($A20="","",IFERROR((T20-U20)*100,""))</f>
        <v>18.7990660216176</v>
      </c>
      <c r="W20" s="49" t="str">
        <f aca="false">IF($A20="","",IFERROR(IF(OR(NOT(ISNUMBER(T20)),NOT(ISNUMBER(U20)),U20&lt;=0,ABS(U20)&lt;Config!$B$9),"N/M",(T20-U20)/ABS(U20)),"N/M"))</f>
        <v>N/M</v>
      </c>
      <c r="X20" s="66" t="str">
        <f aca="false">IF($A20="","",IFERROR(IF(NOT(ISNUMBER(T20)),"",IF(AND(ISNUMBER(U20),U20&gt;0,T20&lt;=0),"由正轉負",IF(AND(ISNUMBER(U20),U20&lt;=0,T20&gt;0),"由負轉正",IF(T20&gt;0,IF(V20&gt;0,"成長且加速","成長但減速"),IF(V20&gt;0,"衰退但收斂","衰退且惡化"))))),""))</f>
        <v>由負轉正</v>
      </c>
      <c r="Y20" s="68" t="n">
        <f aca="false">IF($A20="","",IFERROR((T20-(SUMIFS(Raw_Q!$I$2:$I$600,Raw_Q!$A$2:$A$600,$A20,Raw_Q!$R$2:$R$600,5)/SUMIFS(Raw_Q!$I$2:$I$600,Raw_Q!$A$2:$A$600,$A20,Raw_Q!$R$2:$R$600,6)-1))*100,""))</f>
        <v>8.81428010027765</v>
      </c>
      <c r="Z20" s="49" t="n">
        <f aca="false">IF($A20="","",IFERROR(SUMIFS(Raw_Q!$L$2:$L$600,Raw_Q!$A$2:$A$600,$A20,Raw_Q!$R$2:$R$600,1)/SUMIFS(Raw_Q!$L$2:$L$600,Raw_Q!$A$2:$A$600,$A20,Raw_Q!$R$2:$R$600,5)-1,""))</f>
        <v>-3.32323232323232</v>
      </c>
      <c r="AA20" s="49" t="n">
        <f aca="false">IF($A20="","",IFERROR(SUMIFS(Raw_Q!$J$2:$J$600,Raw_Q!$A$2:$A$600,$A20,Raw_Q!$R$2:$R$600,"&gt;=1",Raw_Q!$R$2:$R$600,"&lt;=4")/E20,""))</f>
        <v>0.283508578641305</v>
      </c>
      <c r="AB20" s="49" t="n">
        <f aca="false">IF($A20="","",IFERROR(SUMIFS(Raw_Q!$J$2:$J$600,Raw_Q!$A$2:$A$600,$A20,Raw_Q!$R$2:$R$600,"&gt;=1",Raw_Q!$R$2:$R$600,"&lt;="&amp;Config!$B$5)/SUMIFS(Raw_Q!$I$2:$I$600,Raw_Q!$A$2:$A$600,$A20,Raw_Q!$R$2:$R$600,"&gt;=1",Raw_Q!$R$2:$R$600,"&lt;="&amp;Config!$B$5),""))</f>
        <v>0.26605366742513</v>
      </c>
      <c r="AC20" s="50" t="n">
        <f aca="false">IF($A20="","",IFERROR((AA20-AB20)*10000,""))</f>
        <v>174.549112161746</v>
      </c>
      <c r="AD20" s="50" t="n">
        <f aca="false">IF($A20="","",IFERROR((SUMIFS(Raw_Q!$J$2:$J$600,Raw_Q!$A$2:$A$600,$A20,Raw_Q!$R$2:$R$600,1)/SUMIFS(Raw_Q!$I$2:$I$600,Raw_Q!$A$2:$A$600,$A20,Raw_Q!$R$2:$R$600,1)-SUMIFS(Raw_Q!$J$2:$J$600,Raw_Q!$A$2:$A$600,$A20,Raw_Q!$R$2:$R$600,5)/SUMIFS(Raw_Q!$I$2:$I$600,Raw_Q!$A$2:$A$600,$A20,Raw_Q!$R$2:$R$600,5))*10000,""))</f>
        <v>977.882838186663</v>
      </c>
      <c r="AE20" s="51" t="n">
        <f aca="false">IF($A20="","",IFERROR(SUMIFS(Raw_Q!$O$2:$O$600,Raw_Q!$A$2:$A$600,$A20,Raw_Q!$R$2:$R$600,1)/SUMIFS(Raw_Q!$M$2:$M$600,Raw_Q!$A$2:$A$600,$A20,Raw_Q!$R$2:$R$600,1),""))</f>
        <v>103.340997932728</v>
      </c>
      <c r="AF20" s="48" t="n">
        <f aca="false">IF($A20="","",IFERROR(SUMPRODUCT((Raw_Q!$A$2:$A$600=$A20)*(Raw_Q!$R$2:$R$600&gt;=1)*(Raw_Q!$R$2:$R$600&lt;=4)*Raw_Q!$L$2:$L$600*Raw_Q!$M$2:$M$600),""))</f>
        <v>3607.732804</v>
      </c>
      <c r="AG20" s="49" t="n">
        <f aca="false">IF($A20="","",IFERROR(IF(MIN(SUMIFS(Raw_Q!$O$2:$O$600,Raw_Q!$A$2:$A$600,$A20,Raw_Q!$R$2:$R$600,1),SUMIFS(Raw_Q!$O$2:$O$600,Raw_Q!$A$2:$A$600,$A20,Raw_Q!$R$2:$R$600,5))&lt;=0,"N/M",AF20/((SUMIFS(Raw_Q!$O$2:$O$600,Raw_Q!$A$2:$A$600,$A20,Raw_Q!$R$2:$R$600,1)+SUMIFS(Raw_Q!$O$2:$O$600,Raw_Q!$A$2:$A$600,$A20,Raw_Q!$R$2:$R$600,5))/2)),"N/M"))</f>
        <v>0.0898087355197115</v>
      </c>
      <c r="AH20" s="49" t="n">
        <f aca="false">IF($A20="","",IFERROR(AVERAGE(AP20:AT20),""))</f>
        <v>0.0508951709631041</v>
      </c>
      <c r="AI20" s="49" t="n">
        <f aca="false">IF($A20="","",IFERROR(IF(AE20&lt;=0,"N/M",INDEX(Raw_Est!$B$2:$B$100,MATCH($A20,Raw_Est!$A$2:$A$100,0))/AE20),"N/M"))</f>
        <v>0.0754540807228892</v>
      </c>
      <c r="AJ20" s="51" t="n">
        <f aca="false">IF($A20="","",IFERROR(SUMIFS(Raw_Q!$L$2:$L$600,Raw_Q!$A$2:$A$600,$A20,Raw_Q!$R$2:$R$600,0),""))</f>
        <v>2.11774</v>
      </c>
      <c r="AK20" s="66" t="str">
        <f aca="false">IF($A20="","",IFERROR(INDEX(Raw_Q!$B$2:$B$600,MATCH($A20&amp;"|"&amp;0,Raw_Q!$S$2:$S$600,0)),""))</f>
        <v>FY2026Q3E</v>
      </c>
      <c r="AL20" s="66" t="str">
        <f aca="false">IF($A20="","",IFERROR(INDEX(Raw_Q!$G$2:$G$600,MATCH($A20&amp;"|"&amp;0,Raw_Q!$S$2:$S$600,0)),""))</f>
        <v>consensus</v>
      </c>
      <c r="AM20" s="47" t="n">
        <f aca="false">IF($A20="","",IFERROR(INDEX(Raw_Est!$E$2:$E$100,MATCH($A20,Raw_Est!$A$2:$A$100,0)),""))</f>
        <v>10</v>
      </c>
      <c r="AN20" s="67" t="n">
        <f aca="false">IF($A20="","",IFERROR(INDEX(Raw_Price!$D$2:$D$100,MATCH($A20,Raw_Price!$A$2:$A$100,0)),""))</f>
        <v>0</v>
      </c>
      <c r="AO20" s="67" t="n">
        <f aca="false">IF($A20="","",IFERROR(INDEX(Raw_Price!$E$2:$E$100,MATCH($A20,Raw_Price!$A$2:$A$100,0)),""))</f>
        <v>46311</v>
      </c>
      <c r="AP20" s="49" t="n">
        <f aca="false">IF($A20="","",IFERROR(IF(MIN(SUMIFS(Raw_Q!$O$2:$O$600,Raw_Q!$A$2:$A$600,$A20,Raw_Q!$R$2:$R$600,1),SUMIFS(Raw_Q!$O$2:$O$600,Raw_Q!$A$2:$A$600,$A20,Raw_Q!$R$2:$R$600,5))&lt;=0,"",SUMPRODUCT((Raw_Q!$A$2:$A$600=$A20)*(Raw_Q!$R$2:$R$600&gt;=1)*(Raw_Q!$R$2:$R$600&lt;=4)*Raw_Q!$L$2:$L$600*Raw_Q!$M$2:$M$600)/((SUMIFS(Raw_Q!$O$2:$O$600,Raw_Q!$A$2:$A$600,$A20,Raw_Q!$R$2:$R$600,1)+SUMIFS(Raw_Q!$O$2:$O$600,Raw_Q!$A$2:$A$600,$A20,Raw_Q!$R$2:$R$600,5))/2)),""))</f>
        <v>0.0898087355197115</v>
      </c>
      <c r="AQ20" s="49" t="n">
        <f aca="false">IF($A20="","",IFERROR(IF(MIN(SUMIFS(Raw_Q!$O$2:$O$600,Raw_Q!$A$2:$A$600,$A20,Raw_Q!$R$2:$R$600,5),SUMIFS(Raw_Q!$O$2:$O$600,Raw_Q!$A$2:$A$600,$A20,Raw_Q!$R$2:$R$600,9))&lt;=0,"",SUMPRODUCT((Raw_Q!$A$2:$A$600=$A20)*(Raw_Q!$R$2:$R$600&gt;=5)*(Raw_Q!$R$2:$R$600&lt;=8)*Raw_Q!$L$2:$L$600*Raw_Q!$M$2:$M$600)/((SUMIFS(Raw_Q!$O$2:$O$600,Raw_Q!$A$2:$A$600,$A20,Raw_Q!$R$2:$R$600,5)+SUMIFS(Raw_Q!$O$2:$O$600,Raw_Q!$A$2:$A$600,$A20,Raw_Q!$R$2:$R$600,9))/2)),""))</f>
        <v>-0.0143608555285948</v>
      </c>
      <c r="AR20" s="49" t="n">
        <f aca="false">IF($A20="","",IFERROR(IF(MIN(SUMIFS(Raw_Q!$O$2:$O$600,Raw_Q!$A$2:$A$600,$A20,Raw_Q!$R$2:$R$600,9),SUMIFS(Raw_Q!$O$2:$O$600,Raw_Q!$A$2:$A$600,$A20,Raw_Q!$R$2:$R$600,13))&lt;=0,"",SUMPRODUCT((Raw_Q!$A$2:$A$600=$A20)*(Raw_Q!$R$2:$R$600&gt;=9)*(Raw_Q!$R$2:$R$600&lt;=12)*Raw_Q!$L$2:$L$600*Raw_Q!$M$2:$M$600)/((SUMIFS(Raw_Q!$O$2:$O$600,Raw_Q!$A$2:$A$600,$A20,Raw_Q!$R$2:$R$600,9)+SUMIFS(Raw_Q!$O$2:$O$600,Raw_Q!$A$2:$A$600,$A20,Raw_Q!$R$2:$R$600,13))/2)),""))</f>
        <v>0.0378847982143958</v>
      </c>
      <c r="AS20" s="49" t="n">
        <f aca="false">IF($A20="","",IFERROR(IF(MIN(SUMIFS(Raw_Q!$O$2:$O$600,Raw_Q!$A$2:$A$600,$A20,Raw_Q!$R$2:$R$600,13),SUMIFS(Raw_Q!$O$2:$O$600,Raw_Q!$A$2:$A$600,$A20,Raw_Q!$R$2:$R$600,17))&lt;=0,"",SUMPRODUCT((Raw_Q!$A$2:$A$600=$A20)*(Raw_Q!$R$2:$R$600&gt;=13)*(Raw_Q!$R$2:$R$600&lt;=16)*Raw_Q!$L$2:$L$600*Raw_Q!$M$2:$M$600)/((SUMIFS(Raw_Q!$O$2:$O$600,Raw_Q!$A$2:$A$600,$A20,Raw_Q!$R$2:$R$600,13)+SUMIFS(Raw_Q!$O$2:$O$600,Raw_Q!$A$2:$A$600,$A20,Raw_Q!$R$2:$R$600,17))/2)),""))</f>
        <v>-0.00687059982772466</v>
      </c>
      <c r="AT20" s="49" t="n">
        <f aca="false">IF($A20="","",IFERROR(IF(MIN(SUMIFS(Raw_Q!$O$2:$O$600,Raw_Q!$A$2:$A$600,$A20,Raw_Q!$R$2:$R$600,17),SUMIFS(Raw_Q!$O$2:$O$600,Raw_Q!$A$2:$A$600,$A20,Raw_Q!$R$2:$R$600,21))&lt;=0,"",SUMPRODUCT((Raw_Q!$A$2:$A$600=$A20)*(Raw_Q!$R$2:$R$600&gt;=17)*(Raw_Q!$R$2:$R$600&lt;=20)*Raw_Q!$L$2:$L$600*Raw_Q!$M$2:$M$600)/((SUMIFS(Raw_Q!$O$2:$O$600,Raw_Q!$A$2:$A$600,$A20,Raw_Q!$R$2:$R$600,17)+SUMIFS(Raw_Q!$O$2:$O$600,Raw_Q!$A$2:$A$600,$A20,Raw_Q!$R$2:$R$600,21))/2)),""))</f>
        <v>0.148013776437733</v>
      </c>
    </row>
    <row r="21" customFormat="false" ht="15" hidden="false" customHeight="false" outlineLevel="0" collapsed="false">
      <c r="A21" s="17" t="str">
        <f aca="false">IF(Tickers!A21="","",Tickers!A21)</f>
        <v>4979</v>
      </c>
      <c r="B21" s="66" t="str">
        <f aca="false">IF($A21="","",IFERROR(INDEX(Tickers!$B$2:$B$100,MATCH($A21,Tickers!$A$2:$A$100,0)),""))</f>
        <v>華星光</v>
      </c>
      <c r="C21" s="66" t="str">
        <f aca="false">IF($A21="","",IFERROR(INDEX(Tickers!$D$2:$D$100,MATCH($A21,Tickers!$A$2:$A$100,0)),""))</f>
        <v>池子</v>
      </c>
      <c r="D21" s="51" t="n">
        <f aca="false">IF($A21="","",IFERROR(INDEX(Raw_Price!$B$2:$B$100,MATCH($A21,Raw_Price!$A$2:$A$100,0)),""))</f>
        <v>520</v>
      </c>
      <c r="E21" s="48" t="n">
        <f aca="false">IF($A21="","",IFERROR(SUMIFS(Raw_Q!$I$2:$I$600,Raw_Q!$A$2:$A$600,$A21,Raw_Q!$R$2:$R$600,"&gt;=1",Raw_Q!$R$2:$R$600,"&lt;=4"),""))</f>
        <v>4713.04</v>
      </c>
      <c r="F21" s="51" t="n">
        <f aca="false">IF($A21="","",IFERROR(SUMIFS(Raw_Q!$L$2:$L$600,Raw_Q!$A$2:$A$600,$A21,Raw_Q!$R$2:$R$600,"&gt;=1",Raw_Q!$R$2:$R$600,"&lt;=4"),""))</f>
        <v>6.15</v>
      </c>
      <c r="G21" s="51" t="n">
        <f aca="false">IF($A21="","",IFERROR(SUMIFS(Raw_Q!$L$2:$L$600,Raw_Q!$A$2:$A$600,$A21,Raw_Q!$R$2:$R$600,"&gt;=0",Raw_Q!$R$2:$R$600,"&lt;=3"),""))</f>
        <v>6.79</v>
      </c>
      <c r="H21" s="51" t="n">
        <f aca="true">IF($A21="","",IFERROR(INDEX(Raw_Est!$B$2:$B$100,MATCH($A21,Raw_Est!$A$2:$A$100,0))*MIN(1,MAX(0,(INDEX(Raw_Est!$D$2:$D$100,MATCH($A21,Raw_Est!$A$2:$A$100,0))-TODAY())/Config!$B$8))+INDEX(Raw_Est!$C$2:$C$100,MATCH($A21,Raw_Est!$A$2:$A$100,0))*(1-MIN(1,MAX(0,(INDEX(Raw_Est!$D$2:$D$100,MATCH($A21,Raw_Est!$A$2:$A$100,0))-TODAY())/Config!$B$8))),""))</f>
        <v>12.726602739726</v>
      </c>
      <c r="I21" s="49" t="n">
        <f aca="false">IF($A21="","",IFERROR(SUMIFS(Raw_Q!$L$2:$L$600,Raw_Q!$A$2:$A$600,$A21,Raw_Q!$R$2:$R$600,"&gt;=1",Raw_Q!$R$2:$R$600,"&lt;=4")/SUMIFS(Raw_Q!$L$2:$L$600,Raw_Q!$A$2:$A$600,$A21,Raw_Q!$R$2:$R$600,"&gt;=5",Raw_Q!$R$2:$R$600,"&lt;=8")-1,""))</f>
        <v>0.447058823529412</v>
      </c>
      <c r="J21" s="52" t="n">
        <f aca="false">IF($A21="","",IFERROR(IF(F21&lt;=0,"N/M",D21/F21),"N/M"))</f>
        <v>84.5528455284553</v>
      </c>
      <c r="K21" s="52" t="n">
        <f aca="false">IF($A21="","",IFERROR(IF(G21&lt;=0,"N/M",D21/G21),"N/M"))</f>
        <v>76.5832106038292</v>
      </c>
      <c r="L21" s="52" t="n">
        <f aca="false">IF($A21="","",IFERROR(IF(H21&lt;=0,"N/M",D21/H21),"N/M"))</f>
        <v>40.8592937671279</v>
      </c>
      <c r="M21" s="49" t="n">
        <f aca="false">IF($A21="","",IFERROR(INDEX(Raw_Est!$C$2:$C$100,MATCH($A21,Raw_Est!$A$2:$A$100,0))/INDEX(Raw_Est!$B$2:$B$100,MATCH($A21,Raw_Est!$A$2:$A$100,0))-1,""))</f>
        <v>0.912043301759134</v>
      </c>
      <c r="N21" s="51" t="n">
        <f aca="false">IF($A21="","",IFERROR(IF(OR(NOT(ISNUMBER(J21)),I21&lt;Config!$B$6),"N/M",J21/(I21*100)),"N/M"))</f>
        <v>1.8913136499786</v>
      </c>
      <c r="O21" s="51" t="n">
        <f aca="false">IF($A21="","",IFERROR(IF(OR(NOT(ISNUMBER(L21)),M21&lt;Config!$B$6),"N/M",L21/(M21*100)),"N/M"))</f>
        <v>0.44799730109655</v>
      </c>
      <c r="P21" s="51" t="n">
        <f aca="false">IF($A21="","",IFERROR(SUMIFS(Raw_Q!$P$2:$P$600,Raw_Q!$A$2:$A$600,$A21,Raw_Q!$R$2:$R$600,"&gt;=1",Raw_Q!$R$2:$R$600,"&lt;=4"),""))</f>
        <v>1.54463283</v>
      </c>
      <c r="Q21" s="49" t="n">
        <f aca="false">IF($A21="","",IFERROR(IF(P21=0,"不配息",P21/D21),""))</f>
        <v>0.00297044775</v>
      </c>
      <c r="R21" s="49" t="n">
        <f aca="false">IF($A21="","",IFERROR(IF(SUMIFS(Raw_Q!$P$2:$P$600,Raw_Q!$A$2:$A$600,$A21,Raw_Q!$R$2:$R$600,"&gt;=5",Raw_Q!$R$2:$R$600,"&lt;=8")=0,"",SUMIFS(Raw_Q!$P$2:$P$600,Raw_Q!$A$2:$A$600,$A21,Raw_Q!$R$2:$R$600,"&gt;=1",Raw_Q!$R$2:$R$600,"&lt;=4")/SUMIFS(Raw_Q!$P$2:$P$600,Raw_Q!$A$2:$A$600,$A21,Raw_Q!$R$2:$R$600,"&gt;=5",Raw_Q!$R$2:$R$600,"&lt;=8")-1),""))</f>
        <v>0.0801595474889227</v>
      </c>
      <c r="S21" s="49" t="n">
        <f aca="false">IF($A21="","",IFERROR(SUMIFS(Raw_Q!$I$2:$I$600,Raw_Q!$A$2:$A$600,$A21,Raw_Q!$R$2:$R$600,1)/SUMIFS(Raw_Q!$I$2:$I$600,Raw_Q!$A$2:$A$600,$A21,Raw_Q!$R$2:$R$600,5)-1,""))</f>
        <v>0.185401927013313</v>
      </c>
      <c r="T21" s="49" t="n">
        <f aca="false">IF($A21="","",IFERROR(SUMIFS(Raw_Q!$I$2:$I$600,Raw_Q!$A$2:$A$600,$A21,Raw_Q!$R$2:$R$600,1)/SUMIFS(Raw_Q!$I$2:$I$600,Raw_Q!$A$2:$A$600,$A21,Raw_Q!$R$2:$R$600,2)-1,""))</f>
        <v>0.0801271577691418</v>
      </c>
      <c r="U21" s="49" t="n">
        <f aca="false">IF($A21="","",IFERROR(SUMIFS(Raw_Q!$I$2:$I$600,Raw_Q!$A$2:$A$600,$A21,Raw_Q!$R$2:$R$600,2)/SUMIFS(Raw_Q!$I$2:$I$600,Raw_Q!$A$2:$A$600,$A21,Raw_Q!$R$2:$R$600,3)-1,""))</f>
        <v>0.0338871755778094</v>
      </c>
      <c r="V21" s="68" t="n">
        <f aca="false">IF($A21="","",IFERROR((T21-U21)*100,""))</f>
        <v>4.62399821913324</v>
      </c>
      <c r="W21" s="49" t="n">
        <f aca="false">IF($A21="","",IFERROR(IF(OR(NOT(ISNUMBER(T21)),NOT(ISNUMBER(U21)),U21&lt;=0,ABS(U21)&lt;Config!$B$9),"N/M",(T21-U21)/ABS(U21)),"N/M"))</f>
        <v>1.36452747692588</v>
      </c>
      <c r="X21" s="66" t="str">
        <f aca="false">IF($A21="","",IFERROR(IF(NOT(ISNUMBER(T21)),"",IF(AND(ISNUMBER(U21),U21&gt;0,T21&lt;=0),"由正轉負",IF(AND(ISNUMBER(U21),U21&lt;=0,T21&gt;0),"由負轉正",IF(T21&gt;0,IF(V21&gt;0,"成長且加速","成長但減速"),IF(V21&gt;0,"衰退但收斂","衰退且惡化"))))),""))</f>
        <v>成長且加速</v>
      </c>
      <c r="Y21" s="68" t="n">
        <f aca="false">IF($A21="","",IFERROR((T21-(SUMIFS(Raw_Q!$I$2:$I$600,Raw_Q!$A$2:$A$600,$A21,Raw_Q!$R$2:$R$600,5)/SUMIFS(Raw_Q!$I$2:$I$600,Raw_Q!$A$2:$A$600,$A21,Raw_Q!$R$2:$R$600,6)-1))*100,""))</f>
        <v>6.08377358331886</v>
      </c>
      <c r="Z21" s="49" t="n">
        <f aca="false">IF($A21="","",IFERROR(SUMIFS(Raw_Q!$L$2:$L$600,Raw_Q!$A$2:$A$600,$A21,Raw_Q!$R$2:$R$600,1)/SUMIFS(Raw_Q!$L$2:$L$600,Raw_Q!$A$2:$A$600,$A21,Raw_Q!$R$2:$R$600,5)-1,""))</f>
        <v>0.925373134328358</v>
      </c>
      <c r="AA21" s="49" t="n">
        <f aca="false">IF($A21="","",IFERROR(SUMIFS(Raw_Q!$J$2:$J$600,Raw_Q!$A$2:$A$600,$A21,Raw_Q!$R$2:$R$600,"&gt;=1",Raw_Q!$R$2:$R$600,"&lt;=4")/E21,""))</f>
        <v>0.230280880281092</v>
      </c>
      <c r="AB21" s="49" t="n">
        <f aca="false">IF($A21="","",IFERROR(SUMIFS(Raw_Q!$J$2:$J$600,Raw_Q!$A$2:$A$600,$A21,Raw_Q!$R$2:$R$600,"&gt;=1",Raw_Q!$R$2:$R$600,"&lt;="&amp;Config!$B$5)/SUMIFS(Raw_Q!$I$2:$I$600,Raw_Q!$A$2:$A$600,$A21,Raw_Q!$R$2:$R$600,"&gt;=1",Raw_Q!$R$2:$R$600,"&lt;="&amp;Config!$B$5),""))</f>
        <v>0.207512020688297</v>
      </c>
      <c r="AC21" s="50" t="n">
        <f aca="false">IF($A21="","",IFERROR((AA21-AB21)*10000,""))</f>
        <v>227.688595927956</v>
      </c>
      <c r="AD21" s="50" t="n">
        <f aca="false">IF($A21="","",IFERROR((SUMIFS(Raw_Q!$J$2:$J$600,Raw_Q!$A$2:$A$600,$A21,Raw_Q!$R$2:$R$600,1)/SUMIFS(Raw_Q!$I$2:$I$600,Raw_Q!$A$2:$A$600,$A21,Raw_Q!$R$2:$R$600,1)-SUMIFS(Raw_Q!$J$2:$J$600,Raw_Q!$A$2:$A$600,$A21,Raw_Q!$R$2:$R$600,5)/SUMIFS(Raw_Q!$I$2:$I$600,Raw_Q!$A$2:$A$600,$A21,Raw_Q!$R$2:$R$600,5))*10000,""))</f>
        <v>512.043564759779</v>
      </c>
      <c r="AE21" s="51" t="n">
        <f aca="false">IF($A21="","",IFERROR(SUMIFS(Raw_Q!$O$2:$O$600,Raw_Q!$A$2:$A$600,$A21,Raw_Q!$R$2:$R$600,1)/SUMIFS(Raw_Q!$M$2:$M$600,Raw_Q!$A$2:$A$600,$A21,Raw_Q!$R$2:$R$600,1),""))</f>
        <v>31.2739666463659</v>
      </c>
      <c r="AF21" s="48" t="n">
        <f aca="false">IF($A21="","",IFERROR(SUMPRODUCT((Raw_Q!$A$2:$A$600=$A21)*(Raw_Q!$R$2:$R$600&gt;=1)*(Raw_Q!$R$2:$R$600&lt;=4)*Raw_Q!$L$2:$L$600*Raw_Q!$M$2:$M$600),""))</f>
        <v>868.475655</v>
      </c>
      <c r="AG21" s="49" t="n">
        <f aca="false">IF($A21="","",IFERROR(IF(MIN(SUMIFS(Raw_Q!$O$2:$O$600,Raw_Q!$A$2:$A$600,$A21,Raw_Q!$R$2:$R$600,1),SUMIFS(Raw_Q!$O$2:$O$600,Raw_Q!$A$2:$A$600,$A21,Raw_Q!$R$2:$R$600,5))&lt;=0,"N/M",AF21/((SUMIFS(Raw_Q!$O$2:$O$600,Raw_Q!$A$2:$A$600,$A21,Raw_Q!$R$2:$R$600,1)+SUMIFS(Raw_Q!$O$2:$O$600,Raw_Q!$A$2:$A$600,$A21,Raw_Q!$R$2:$R$600,5))/2)),"N/M"))</f>
        <v>0.219846911633873</v>
      </c>
      <c r="AH21" s="49" t="n">
        <f aca="false">IF($A21="","",IFERROR(AVERAGE(AP21:AT21),""))</f>
        <v>0.161032334137756</v>
      </c>
      <c r="AI21" s="49" t="n">
        <f aca="false">IF($A21="","",IFERROR(IF(AE21&lt;=0,"N/M",INDEX(Raw_Est!$B$2:$B$100,MATCH($A21,Raw_Est!$A$2:$A$100,0))/AE21),"N/M"))</f>
        <v>0.236298774746526</v>
      </c>
      <c r="AJ21" s="51" t="n">
        <f aca="false">IF($A21="","",IFERROR(SUMIFS(Raw_Q!$L$2:$L$600,Raw_Q!$A$2:$A$600,$A21,Raw_Q!$R$2:$R$600,0),""))</f>
        <v>2.18</v>
      </c>
      <c r="AK21" s="66" t="str">
        <f aca="false">IF($A21="","",IFERROR(INDEX(Raw_Q!$B$2:$B$600,MATCH($A21&amp;"|"&amp;0,Raw_Q!$S$2:$S$600,0)),""))</f>
        <v>FY2026Q3E</v>
      </c>
      <c r="AL21" s="66" t="str">
        <f aca="false">IF($A21="","",IFERROR(INDEX(Raw_Q!$G$2:$G$600,MATCH($A21&amp;"|"&amp;0,Raw_Q!$S$2:$S$600,0)),""))</f>
        <v>consensus</v>
      </c>
      <c r="AM21" s="47" t="n">
        <f aca="false">IF($A21="","",IFERROR(INDEX(Raw_Est!$E$2:$E$100,MATCH($A21,Raw_Est!$A$2:$A$100,0)),""))</f>
        <v>1</v>
      </c>
      <c r="AN21" s="67" t="n">
        <f aca="false">IF($A21="","",IFERROR(INDEX(Raw_Price!$D$2:$D$100,MATCH($A21,Raw_Price!$A$2:$A$100,0)),""))</f>
        <v>0</v>
      </c>
      <c r="AO21" s="67" t="n">
        <f aca="false">IF($A21="","",IFERROR(INDEX(Raw_Price!$E$2:$E$100,MATCH($A21,Raw_Price!$A$2:$A$100,0)),""))</f>
        <v>46311</v>
      </c>
      <c r="AP21" s="49" t="n">
        <f aca="false">IF($A21="","",IFERROR(IF(MIN(SUMIFS(Raw_Q!$O$2:$O$600,Raw_Q!$A$2:$A$600,$A21,Raw_Q!$R$2:$R$600,1),SUMIFS(Raw_Q!$O$2:$O$600,Raw_Q!$A$2:$A$600,$A21,Raw_Q!$R$2:$R$600,5))&lt;=0,"",SUMPRODUCT((Raw_Q!$A$2:$A$600=$A21)*(Raw_Q!$R$2:$R$600&gt;=1)*(Raw_Q!$R$2:$R$600&lt;=4)*Raw_Q!$L$2:$L$600*Raw_Q!$M$2:$M$600)/((SUMIFS(Raw_Q!$O$2:$O$600,Raw_Q!$A$2:$A$600,$A21,Raw_Q!$R$2:$R$600,1)+SUMIFS(Raw_Q!$O$2:$O$600,Raw_Q!$A$2:$A$600,$A21,Raw_Q!$R$2:$R$600,5))/2)),""))</f>
        <v>0.219846911633873</v>
      </c>
      <c r="AQ21" s="49" t="n">
        <f aca="false">IF($A21="","",IFERROR(IF(MIN(SUMIFS(Raw_Q!$O$2:$O$600,Raw_Q!$A$2:$A$600,$A21,Raw_Q!$R$2:$R$600,5),SUMIFS(Raw_Q!$O$2:$O$600,Raw_Q!$A$2:$A$600,$A21,Raw_Q!$R$2:$R$600,9))&lt;=0,"",SUMPRODUCT((Raw_Q!$A$2:$A$600=$A21)*(Raw_Q!$R$2:$R$600&gt;=5)*(Raw_Q!$R$2:$R$600&lt;=8)*Raw_Q!$L$2:$L$600*Raw_Q!$M$2:$M$600)/((SUMIFS(Raw_Q!$O$2:$O$600,Raw_Q!$A$2:$A$600,$A21,Raw_Q!$R$2:$R$600,5)+SUMIFS(Raw_Q!$O$2:$O$600,Raw_Q!$A$2:$A$600,$A21,Raw_Q!$R$2:$R$600,9))/2)),""))</f>
        <v>0.184296078010584</v>
      </c>
      <c r="AR21" s="49" t="n">
        <f aca="false">IF($A21="","",IFERROR(IF(MIN(SUMIFS(Raw_Q!$O$2:$O$600,Raw_Q!$A$2:$A$600,$A21,Raw_Q!$R$2:$R$600,9),SUMIFS(Raw_Q!$O$2:$O$600,Raw_Q!$A$2:$A$600,$A21,Raw_Q!$R$2:$R$600,13))&lt;=0,"",SUMPRODUCT((Raw_Q!$A$2:$A$600=$A21)*(Raw_Q!$R$2:$R$600&gt;=9)*(Raw_Q!$R$2:$R$600&lt;=12)*Raw_Q!$L$2:$L$600*Raw_Q!$M$2:$M$600)/((SUMIFS(Raw_Q!$O$2:$O$600,Raw_Q!$A$2:$A$600,$A21,Raw_Q!$R$2:$R$600,9)+SUMIFS(Raw_Q!$O$2:$O$600,Raw_Q!$A$2:$A$600,$A21,Raw_Q!$R$2:$R$600,13))/2)),""))</f>
        <v>0.248022487377053</v>
      </c>
      <c r="AS21" s="49" t="n">
        <f aca="false">IF($A21="","",IFERROR(IF(MIN(SUMIFS(Raw_Q!$O$2:$O$600,Raw_Q!$A$2:$A$600,$A21,Raw_Q!$R$2:$R$600,13),SUMIFS(Raw_Q!$O$2:$O$600,Raw_Q!$A$2:$A$600,$A21,Raw_Q!$R$2:$R$600,17))&lt;=0,"",SUMPRODUCT((Raw_Q!$A$2:$A$600=$A21)*(Raw_Q!$R$2:$R$600&gt;=13)*(Raw_Q!$R$2:$R$600&lt;=16)*Raw_Q!$L$2:$L$600*Raw_Q!$M$2:$M$600)/((SUMIFS(Raw_Q!$O$2:$O$600,Raw_Q!$A$2:$A$600,$A21,Raw_Q!$R$2:$R$600,13)+SUMIFS(Raw_Q!$O$2:$O$600,Raw_Q!$A$2:$A$600,$A21,Raw_Q!$R$2:$R$600,17))/2)),""))</f>
        <v>0.214616055271397</v>
      </c>
      <c r="AT21" s="49" t="n">
        <f aca="false">IF($A21="","",IFERROR(IF(MIN(SUMIFS(Raw_Q!$O$2:$O$600,Raw_Q!$A$2:$A$600,$A21,Raw_Q!$R$2:$R$600,17),SUMIFS(Raw_Q!$O$2:$O$600,Raw_Q!$A$2:$A$600,$A21,Raw_Q!$R$2:$R$600,21))&lt;=0,"",SUMPRODUCT((Raw_Q!$A$2:$A$600=$A21)*(Raw_Q!$R$2:$R$600&gt;=17)*(Raw_Q!$R$2:$R$600&lt;=20)*Raw_Q!$L$2:$L$600*Raw_Q!$M$2:$M$600)/((SUMIFS(Raw_Q!$O$2:$O$600,Raw_Q!$A$2:$A$600,$A21,Raw_Q!$R$2:$R$600,17)+SUMIFS(Raw_Q!$O$2:$O$600,Raw_Q!$A$2:$A$600,$A21,Raw_Q!$R$2:$R$600,21))/2)),""))</f>
        <v>-0.0616198616041254</v>
      </c>
    </row>
    <row r="22" customFormat="false" ht="15" hidden="false" customHeight="false" outlineLevel="0" collapsed="false">
      <c r="A22" s="17" t="str">
        <f aca="false">IF(Tickers!A22="","",Tickers!A22)</f>
        <v>3363</v>
      </c>
      <c r="B22" s="66" t="str">
        <f aca="false">IF($A22="","",IFERROR(INDEX(Tickers!$B$2:$B$100,MATCH($A22,Tickers!$A$2:$A$100,0)),""))</f>
        <v>上詮</v>
      </c>
      <c r="C22" s="66" t="str">
        <f aca="false">IF($A22="","",IFERROR(INDEX(Tickers!$D$2:$D$100,MATCH($A22,Tickers!$A$2:$A$100,0)),""))</f>
        <v>池子</v>
      </c>
      <c r="D22" s="51" t="n">
        <f aca="false">IF($A22="","",IFERROR(INDEX(Raw_Price!$B$2:$B$100,MATCH($A22,Raw_Price!$A$2:$A$100,0)),""))</f>
        <v>531</v>
      </c>
      <c r="E22" s="48" t="n">
        <f aca="false">IF($A22="","",IFERROR(SUMIFS(Raw_Q!$I$2:$I$600,Raw_Q!$A$2:$A$600,$A22,Raw_Q!$R$2:$R$600,"&gt;=1",Raw_Q!$R$2:$R$600,"&lt;=4"),""))</f>
        <v>1709.672</v>
      </c>
      <c r="F22" s="51" t="n">
        <f aca="false">IF($A22="","",IFERROR(SUMIFS(Raw_Q!$L$2:$L$600,Raw_Q!$A$2:$A$600,$A22,Raw_Q!$R$2:$R$600,"&gt;=1",Raw_Q!$R$2:$R$600,"&lt;=4"),""))</f>
        <v>-1.21</v>
      </c>
      <c r="G22" s="51" t="n">
        <f aca="false">IF($A22="","",IFERROR(SUMIFS(Raw_Q!$L$2:$L$600,Raw_Q!$A$2:$A$600,$A22,Raw_Q!$R$2:$R$600,"&gt;=0",Raw_Q!$R$2:$R$600,"&lt;=3"),""))</f>
        <v>-1.22</v>
      </c>
      <c r="H22" s="51" t="n">
        <f aca="true">IF($A22="","",IFERROR(INDEX(Raw_Est!$B$2:$B$100,MATCH($A22,Raw_Est!$A$2:$A$100,0))*MIN(1,MAX(0,(INDEX(Raw_Est!$D$2:$D$100,MATCH($A22,Raw_Est!$A$2:$A$100,0))-TODAY())/Config!$B$8))+INDEX(Raw_Est!$C$2:$C$100,MATCH($A22,Raw_Est!$A$2:$A$100,0))*(1-MIN(1,MAX(0,(INDEX(Raw_Est!$D$2:$D$100,MATCH($A22,Raw_Est!$A$2:$A$100,0))-TODAY())/Config!$B$8))),""))</f>
        <v>8.58206128767123</v>
      </c>
      <c r="I22" s="49" t="n">
        <f aca="false">IF($A22="","",IFERROR(SUMIFS(Raw_Q!$L$2:$L$600,Raw_Q!$A$2:$A$600,$A22,Raw_Q!$R$2:$R$600,"&gt;=1",Raw_Q!$R$2:$R$600,"&lt;=4")/SUMIFS(Raw_Q!$L$2:$L$600,Raw_Q!$A$2:$A$600,$A22,Raw_Q!$R$2:$R$600,"&gt;=5",Raw_Q!$R$2:$R$600,"&lt;=8")-1,""))</f>
        <v>3.32142857142857</v>
      </c>
      <c r="J22" s="52" t="str">
        <f aca="false">IF($A22="","",IFERROR(IF(F22&lt;=0,"N/M",D22/F22),"N/M"))</f>
        <v>N/M</v>
      </c>
      <c r="K22" s="52" t="str">
        <f aca="false">IF($A22="","",IFERROR(IF(G22&lt;=0,"N/M",D22/G22),"N/M"))</f>
        <v>N/M</v>
      </c>
      <c r="L22" s="52" t="n">
        <f aca="false">IF($A22="","",IFERROR(IF(H22&lt;=0,"N/M",D22/H22),"N/M"))</f>
        <v>61.873247253876</v>
      </c>
      <c r="M22" s="49" t="n">
        <f aca="false">IF($A22="","",IFERROR(INDEX(Raw_Est!$C$2:$C$100,MATCH($A22,Raw_Est!$A$2:$A$100,0))/INDEX(Raw_Est!$B$2:$B$100,MATCH($A22,Raw_Est!$A$2:$A$100,0))-1,""))</f>
        <v>-26.1800689655172</v>
      </c>
      <c r="N22" s="51" t="str">
        <f aca="false">IF($A22="","",IFERROR(IF(OR(NOT(ISNUMBER(J22)),I22&lt;Config!$B$6),"N/M",J22/(I22*100)),"N/M"))</f>
        <v>N/M</v>
      </c>
      <c r="O22" s="51" t="str">
        <f aca="false">IF($A22="","",IFERROR(IF(OR(NOT(ISNUMBER(L22)),M22&lt;Config!$B$6),"N/M",L22/(M22*100)),"N/M"))</f>
        <v>N/M</v>
      </c>
      <c r="P22" s="51" t="n">
        <f aca="false">IF($A22="","",IFERROR(SUMIFS(Raw_Q!$P$2:$P$600,Raw_Q!$A$2:$A$600,$A22,Raw_Q!$R$2:$R$600,"&gt;=1",Raw_Q!$R$2:$R$600,"&lt;=4"),""))</f>
        <v>0</v>
      </c>
      <c r="Q22" s="49" t="str">
        <f aca="false">IF($A22="","",IFERROR(IF(P22=0,"不配息",P22/D22),""))</f>
        <v>不配息</v>
      </c>
      <c r="R22" s="49" t="str">
        <f aca="false">IF($A22="","",IFERROR(IF(SUMIFS(Raw_Q!$P$2:$P$600,Raw_Q!$A$2:$A$600,$A22,Raw_Q!$R$2:$R$600,"&gt;=5",Raw_Q!$R$2:$R$600,"&lt;=8")=0,"",SUMIFS(Raw_Q!$P$2:$P$600,Raw_Q!$A$2:$A$600,$A22,Raw_Q!$R$2:$R$600,"&gt;=1",Raw_Q!$R$2:$R$600,"&lt;=4")/SUMIFS(Raw_Q!$P$2:$P$600,Raw_Q!$A$2:$A$600,$A22,Raw_Q!$R$2:$R$600,"&gt;=5",Raw_Q!$R$2:$R$600,"&lt;=8")-1),""))</f>
        <v/>
      </c>
      <c r="S22" s="49" t="n">
        <f aca="false">IF($A22="","",IFERROR(SUMIFS(Raw_Q!$I$2:$I$600,Raw_Q!$A$2:$A$600,$A22,Raw_Q!$R$2:$R$600,1)/SUMIFS(Raw_Q!$I$2:$I$600,Raw_Q!$A$2:$A$600,$A22,Raw_Q!$R$2:$R$600,5)-1,""))</f>
        <v>-0.262659858850047</v>
      </c>
      <c r="T22" s="49" t="n">
        <f aca="false">IF($A22="","",IFERROR(SUMIFS(Raw_Q!$I$2:$I$600,Raw_Q!$A$2:$A$600,$A22,Raw_Q!$R$2:$R$600,1)/SUMIFS(Raw_Q!$I$2:$I$600,Raw_Q!$A$2:$A$600,$A22,Raw_Q!$R$2:$R$600,2)-1,""))</f>
        <v>0.123619979631855</v>
      </c>
      <c r="U22" s="49" t="n">
        <f aca="false">IF($A22="","",IFERROR(SUMIFS(Raw_Q!$I$2:$I$600,Raw_Q!$A$2:$A$600,$A22,Raw_Q!$R$2:$R$600,2)/SUMIFS(Raw_Q!$I$2:$I$600,Raw_Q!$A$2:$A$600,$A22,Raw_Q!$R$2:$R$600,3)-1,""))</f>
        <v>-0.0225322053156044</v>
      </c>
      <c r="V22" s="68" t="n">
        <f aca="false">IF($A22="","",IFERROR((T22-U22)*100,""))</f>
        <v>14.6152184947459</v>
      </c>
      <c r="W22" s="49" t="str">
        <f aca="false">IF($A22="","",IFERROR(IF(OR(NOT(ISNUMBER(T22)),NOT(ISNUMBER(U22)),U22&lt;=0,ABS(U22)&lt;Config!$B$9),"N/M",(T22-U22)/ABS(U22)),"N/M"))</f>
        <v>N/M</v>
      </c>
      <c r="X22" s="66" t="str">
        <f aca="false">IF($A22="","",IFERROR(IF(NOT(ISNUMBER(T22)),"",IF(AND(ISNUMBER(U22),U22&gt;0,T22&lt;=0),"由正轉負",IF(AND(ISNUMBER(U22),U22&lt;=0,T22&gt;0),"由負轉正",IF(T22&gt;0,IF(V22&gt;0,"成長且加速","成長但減速"),IF(V22&gt;0,"衰退但收斂","衰退且惡化"))))),""))</f>
        <v>由負轉正</v>
      </c>
      <c r="Y22" s="68" t="n">
        <f aca="false">IF($A22="","",IFERROR((T22-(SUMIFS(Raw_Q!$I$2:$I$600,Raw_Q!$A$2:$A$600,$A22,Raw_Q!$R$2:$R$600,5)/SUMIFS(Raw_Q!$I$2:$I$600,Raw_Q!$A$2:$A$600,$A22,Raw_Q!$R$2:$R$600,6)-1))*100,""))</f>
        <v>-29.1236013153808</v>
      </c>
      <c r="Z22" s="49" t="n">
        <f aca="false">IF($A22="","",IFERROR(SUMIFS(Raw_Q!$L$2:$L$600,Raw_Q!$A$2:$A$600,$A22,Raw_Q!$R$2:$R$600,1)/SUMIFS(Raw_Q!$L$2:$L$600,Raw_Q!$A$2:$A$600,$A22,Raw_Q!$R$2:$R$600,5)-1,""))</f>
        <v>-2.375</v>
      </c>
      <c r="AA22" s="49" t="n">
        <f aca="false">IF($A22="","",IFERROR(SUMIFS(Raw_Q!$J$2:$J$600,Raw_Q!$A$2:$A$600,$A22,Raw_Q!$R$2:$R$600,"&gt;=1",Raw_Q!$R$2:$R$600,"&lt;=4")/E22,""))</f>
        <v>0.103895951972074</v>
      </c>
      <c r="AB22" s="49" t="n">
        <f aca="false">IF($A22="","",IFERROR(SUMIFS(Raw_Q!$J$2:$J$600,Raw_Q!$A$2:$A$600,$A22,Raw_Q!$R$2:$R$600,"&gt;=1",Raw_Q!$R$2:$R$600,"&lt;="&amp;Config!$B$5)/SUMIFS(Raw_Q!$I$2:$I$600,Raw_Q!$A$2:$A$600,$A22,Raw_Q!$R$2:$R$600,"&gt;=1",Raw_Q!$R$2:$R$600,"&lt;="&amp;Config!$B$5),""))</f>
        <v>0.166387271176686</v>
      </c>
      <c r="AC22" s="50" t="n">
        <f aca="false">IF($A22="","",IFERROR((AA22-AB22)*10000,""))</f>
        <v>-624.913192046118</v>
      </c>
      <c r="AD22" s="50" t="n">
        <f aca="false">IF($A22="","",IFERROR((SUMIFS(Raw_Q!$J$2:$J$600,Raw_Q!$A$2:$A$600,$A22,Raw_Q!$R$2:$R$600,1)/SUMIFS(Raw_Q!$I$2:$I$600,Raw_Q!$A$2:$A$600,$A22,Raw_Q!$R$2:$R$600,1)-SUMIFS(Raw_Q!$J$2:$J$600,Raw_Q!$A$2:$A$600,$A22,Raw_Q!$R$2:$R$600,5)/SUMIFS(Raw_Q!$I$2:$I$600,Raw_Q!$A$2:$A$600,$A22,Raw_Q!$R$2:$R$600,5))*10000,""))</f>
        <v>-1951.48493622402</v>
      </c>
      <c r="AE22" s="51" t="n">
        <f aca="false">IF($A22="","",IFERROR(SUMIFS(Raw_Q!$O$2:$O$600,Raw_Q!$A$2:$A$600,$A22,Raw_Q!$R$2:$R$600,1)/SUMIFS(Raw_Q!$M$2:$M$600,Raw_Q!$A$2:$A$600,$A22,Raw_Q!$R$2:$R$600,1),""))</f>
        <v>50.3090620781657</v>
      </c>
      <c r="AF22" s="48" t="n">
        <f aca="false">IF($A22="","",IFERROR(SUMPRODUCT((Raw_Q!$A$2:$A$600=$A22)*(Raw_Q!$R$2:$R$600&gt;=1)*(Raw_Q!$R$2:$R$600&lt;=4)*Raw_Q!$L$2:$L$600*Raw_Q!$M$2:$M$600),""))</f>
        <v>-137.405126</v>
      </c>
      <c r="AG22" s="49" t="n">
        <f aca="false">IF($A22="","",IFERROR(IF(MIN(SUMIFS(Raw_Q!$O$2:$O$600,Raw_Q!$A$2:$A$600,$A22,Raw_Q!$R$2:$R$600,1),SUMIFS(Raw_Q!$O$2:$O$600,Raw_Q!$A$2:$A$600,$A22,Raw_Q!$R$2:$R$600,5))&lt;=0,"N/M",AF22/((SUMIFS(Raw_Q!$O$2:$O$600,Raw_Q!$A$2:$A$600,$A22,Raw_Q!$R$2:$R$600,1)+SUMIFS(Raw_Q!$O$2:$O$600,Raw_Q!$A$2:$A$600,$A22,Raw_Q!$R$2:$R$600,5))/2)),"N/M"))</f>
        <v>-0.0333504997048567</v>
      </c>
      <c r="AH22" s="49" t="n">
        <f aca="false">IF($A22="","",IFERROR(AVERAGE(AP22:AT22),""))</f>
        <v>0.0197197224365461</v>
      </c>
      <c r="AI22" s="49" t="n">
        <f aca="false">IF($A22="","",IFERROR(IF(AE22&lt;=0,"N/M",INDEX(Raw_Est!$B$2:$B$100,MATCH($A22,Raw_Est!$A$2:$A$100,0))/AE22),"N/M"))</f>
        <v>-0.00864655356373243</v>
      </c>
      <c r="AJ22" s="51" t="n">
        <f aca="false">IF($A22="","",IFERROR(SUMIFS(Raw_Q!$L$2:$L$600,Raw_Q!$A$2:$A$600,$A22,Raw_Q!$R$2:$R$600,0),""))</f>
        <v>0.19</v>
      </c>
      <c r="AK22" s="66" t="str">
        <f aca="false">IF($A22="","",IFERROR(INDEX(Raw_Q!$B$2:$B$600,MATCH($A22&amp;"|"&amp;0,Raw_Q!$S$2:$S$600,0)),""))</f>
        <v>FY2026Q3E</v>
      </c>
      <c r="AL22" s="66" t="str">
        <f aca="false">IF($A22="","",IFERROR(INDEX(Raw_Q!$G$2:$G$600,MATCH($A22&amp;"|"&amp;0,Raw_Q!$S$2:$S$600,0)),""))</f>
        <v>consensus</v>
      </c>
      <c r="AM22" s="47" t="n">
        <f aca="false">IF($A22="","",IFERROR(INDEX(Raw_Est!$E$2:$E$100,MATCH($A22,Raw_Est!$A$2:$A$100,0)),""))</f>
        <v>3</v>
      </c>
      <c r="AN22" s="67" t="n">
        <f aca="false">IF($A22="","",IFERROR(INDEX(Raw_Price!$D$2:$D$100,MATCH($A22,Raw_Price!$A$2:$A$100,0)),""))</f>
        <v>0</v>
      </c>
      <c r="AO22" s="67" t="n">
        <f aca="false">IF($A22="","",IFERROR(INDEX(Raw_Price!$E$2:$E$100,MATCH($A22,Raw_Price!$A$2:$A$100,0)),""))</f>
        <v>46311</v>
      </c>
      <c r="AP22" s="49" t="n">
        <f aca="false">IF($A22="","",IFERROR(IF(MIN(SUMIFS(Raw_Q!$O$2:$O$600,Raw_Q!$A$2:$A$600,$A22,Raw_Q!$R$2:$R$600,1),SUMIFS(Raw_Q!$O$2:$O$600,Raw_Q!$A$2:$A$600,$A22,Raw_Q!$R$2:$R$600,5))&lt;=0,"",SUMPRODUCT((Raw_Q!$A$2:$A$600=$A22)*(Raw_Q!$R$2:$R$600&gt;=1)*(Raw_Q!$R$2:$R$600&lt;=4)*Raw_Q!$L$2:$L$600*Raw_Q!$M$2:$M$600)/((SUMIFS(Raw_Q!$O$2:$O$600,Raw_Q!$A$2:$A$600,$A22,Raw_Q!$R$2:$R$600,1)+SUMIFS(Raw_Q!$O$2:$O$600,Raw_Q!$A$2:$A$600,$A22,Raw_Q!$R$2:$R$600,5))/2)),""))</f>
        <v>-0.0333504997048567</v>
      </c>
      <c r="AQ22" s="49" t="n">
        <f aca="false">IF($A22="","",IFERROR(IF(MIN(SUMIFS(Raw_Q!$O$2:$O$600,Raw_Q!$A$2:$A$600,$A22,Raw_Q!$R$2:$R$600,5),SUMIFS(Raw_Q!$O$2:$O$600,Raw_Q!$A$2:$A$600,$A22,Raw_Q!$R$2:$R$600,9))&lt;=0,"",SUMPRODUCT((Raw_Q!$A$2:$A$600=$A22)*(Raw_Q!$R$2:$R$600&gt;=5)*(Raw_Q!$R$2:$R$600&lt;=8)*Raw_Q!$L$2:$L$600*Raw_Q!$M$2:$M$600)/((SUMIFS(Raw_Q!$O$2:$O$600,Raw_Q!$A$2:$A$600,$A22,Raw_Q!$R$2:$R$600,5)+SUMIFS(Raw_Q!$O$2:$O$600,Raw_Q!$A$2:$A$600,$A22,Raw_Q!$R$2:$R$600,9))/2)),""))</f>
        <v>-0.0112765000121433</v>
      </c>
      <c r="AR22" s="49" t="n">
        <f aca="false">IF($A22="","",IFERROR(IF(MIN(SUMIFS(Raw_Q!$O$2:$O$600,Raw_Q!$A$2:$A$600,$A22,Raw_Q!$R$2:$R$600,9),SUMIFS(Raw_Q!$O$2:$O$600,Raw_Q!$A$2:$A$600,$A22,Raw_Q!$R$2:$R$600,13))&lt;=0,"",SUMPRODUCT((Raw_Q!$A$2:$A$600=$A22)*(Raw_Q!$R$2:$R$600&gt;=9)*(Raw_Q!$R$2:$R$600&lt;=12)*Raw_Q!$L$2:$L$600*Raw_Q!$M$2:$M$600)/((SUMIFS(Raw_Q!$O$2:$O$600,Raw_Q!$A$2:$A$600,$A22,Raw_Q!$R$2:$R$600,9)+SUMIFS(Raw_Q!$O$2:$O$600,Raw_Q!$A$2:$A$600,$A22,Raw_Q!$R$2:$R$600,13))/2)),""))</f>
        <v>-0.00497933694198272</v>
      </c>
      <c r="AS22" s="49" t="n">
        <f aca="false">IF($A22="","",IFERROR(IF(MIN(SUMIFS(Raw_Q!$O$2:$O$600,Raw_Q!$A$2:$A$600,$A22,Raw_Q!$R$2:$R$600,13),SUMIFS(Raw_Q!$O$2:$O$600,Raw_Q!$A$2:$A$600,$A22,Raw_Q!$R$2:$R$600,17))&lt;=0,"",SUMPRODUCT((Raw_Q!$A$2:$A$600=$A22)*(Raw_Q!$R$2:$R$600&gt;=13)*(Raw_Q!$R$2:$R$600&lt;=16)*Raw_Q!$L$2:$L$600*Raw_Q!$M$2:$M$600)/((SUMIFS(Raw_Q!$O$2:$O$600,Raw_Q!$A$2:$A$600,$A22,Raw_Q!$R$2:$R$600,13)+SUMIFS(Raw_Q!$O$2:$O$600,Raw_Q!$A$2:$A$600,$A22,Raw_Q!$R$2:$R$600,17))/2)),""))</f>
        <v>0.0384314855348987</v>
      </c>
      <c r="AT22" s="49" t="n">
        <f aca="false">IF($A22="","",IFERROR(IF(MIN(SUMIFS(Raw_Q!$O$2:$O$600,Raw_Q!$A$2:$A$600,$A22,Raw_Q!$R$2:$R$600,17),SUMIFS(Raw_Q!$O$2:$O$600,Raw_Q!$A$2:$A$600,$A22,Raw_Q!$R$2:$R$600,21))&lt;=0,"",SUMPRODUCT((Raw_Q!$A$2:$A$600=$A22)*(Raw_Q!$R$2:$R$600&gt;=17)*(Raw_Q!$R$2:$R$600&lt;=20)*Raw_Q!$L$2:$L$600*Raw_Q!$M$2:$M$600)/((SUMIFS(Raw_Q!$O$2:$O$600,Raw_Q!$A$2:$A$600,$A22,Raw_Q!$R$2:$R$600,17)+SUMIFS(Raw_Q!$O$2:$O$600,Raw_Q!$A$2:$A$600,$A22,Raw_Q!$R$2:$R$600,21))/2)),""))</f>
        <v>0.109773463306814</v>
      </c>
    </row>
    <row r="23" customFormat="false" ht="15" hidden="false" customHeight="false" outlineLevel="0" collapsed="false">
      <c r="A23" s="17" t="str">
        <f aca="false">IF(Tickers!A23="","",Tickers!A23)</f>
        <v>2344</v>
      </c>
      <c r="B23" s="66" t="str">
        <f aca="false">IF($A23="","",IFERROR(INDEX(Tickers!$B$2:$B$100,MATCH($A23,Tickers!$A$2:$A$100,0)),""))</f>
        <v>華邦電</v>
      </c>
      <c r="C23" s="66" t="str">
        <f aca="false">IF($A23="","",IFERROR(INDEX(Tickers!$D$2:$D$100,MATCH($A23,Tickers!$A$2:$A$100,0)),""))</f>
        <v>池子</v>
      </c>
      <c r="D23" s="51" t="n">
        <f aca="false">IF($A23="","",IFERROR(INDEX(Raw_Price!$B$2:$B$100,MATCH($A23,Raw_Price!$A$2:$A$100,0)),""))</f>
        <v>161.5</v>
      </c>
      <c r="E23" s="48" t="n">
        <f aca="false">IF($A23="","",IFERROR(SUMIFS(Raw_Q!$I$2:$I$600,Raw_Q!$A$2:$A$600,$A23,Raw_Q!$R$2:$R$600,"&gt;=1",Raw_Q!$R$2:$R$600,"&lt;=4"),""))</f>
        <v>146491.926</v>
      </c>
      <c r="F23" s="51" t="n">
        <f aca="false">IF($A23="","",IFERROR(SUMIFS(Raw_Q!$L$2:$L$600,Raw_Q!$A$2:$A$600,$A23,Raw_Q!$R$2:$R$600,"&gt;=1",Raw_Q!$R$2:$R$600,"&lt;=4"),""))</f>
        <v>9.06</v>
      </c>
      <c r="G23" s="51" t="n">
        <f aca="false">IF($A23="","",IFERROR(SUMIFS(Raw_Q!$L$2:$L$600,Raw_Q!$A$2:$A$600,$A23,Raw_Q!$R$2:$R$600,"&gt;=0",Raw_Q!$R$2:$R$600,"&lt;=3"),""))</f>
        <v>16.50903</v>
      </c>
      <c r="H23" s="51" t="n">
        <f aca="true">IF($A23="","",IFERROR(INDEX(Raw_Est!$B$2:$B$100,MATCH($A23,Raw_Est!$A$2:$A$100,0))*MIN(1,MAX(0,(INDEX(Raw_Est!$D$2:$D$100,MATCH($A23,Raw_Est!$A$2:$A$100,0))-TODAY())/Config!$B$8))+INDEX(Raw_Est!$C$2:$C$100,MATCH($A23,Raw_Est!$A$2:$A$100,0))*(1-MIN(1,MAX(0,(INDEX(Raw_Est!$D$2:$D$100,MATCH($A23,Raw_Est!$A$2:$A$100,0))-TODAY())/Config!$B$8))),""))</f>
        <v>46.8992591506849</v>
      </c>
      <c r="I23" s="49" t="n">
        <f aca="false">IF($A23="","",IFERROR(SUMIFS(Raw_Q!$L$2:$L$600,Raw_Q!$A$2:$A$600,$A23,Raw_Q!$R$2:$R$600,"&gt;=1",Raw_Q!$R$2:$R$600,"&lt;=4")/SUMIFS(Raw_Q!$L$2:$L$600,Raw_Q!$A$2:$A$600,$A23,Raw_Q!$R$2:$R$600,"&gt;=5",Raw_Q!$R$2:$R$600,"&lt;=8")-1,""))</f>
        <v>-14.3235294117647</v>
      </c>
      <c r="J23" s="52" t="n">
        <f aca="false">IF($A23="","",IFERROR(IF(F23&lt;=0,"N/M",D23/F23),"N/M"))</f>
        <v>17.8256070640177</v>
      </c>
      <c r="K23" s="52" t="n">
        <f aca="false">IF($A23="","",IFERROR(IF(G23&lt;=0,"N/M",D23/G23),"N/M"))</f>
        <v>9.78252507869935</v>
      </c>
      <c r="L23" s="52" t="n">
        <f aca="false">IF($A23="","",IFERROR(IF(H23&lt;=0,"N/M",D23/H23),"N/M"))</f>
        <v>3.44355119728243</v>
      </c>
      <c r="M23" s="49" t="n">
        <f aca="false">IF($A23="","",IFERROR(INDEX(Raw_Est!$C$2:$C$100,MATCH($A23,Raw_Est!$A$2:$A$100,0))/INDEX(Raw_Est!$B$2:$B$100,MATCH($A23,Raw_Est!$A$2:$A$100,0))-1,""))</f>
        <v>1.06736603981431</v>
      </c>
      <c r="N23" s="51" t="str">
        <f aca="false">IF($A23="","",IFERROR(IF(OR(NOT(ISNUMBER(J23)),I23&lt;Config!$B$6),"N/M",J23/(I23*100)),"N/M"))</f>
        <v>N/M</v>
      </c>
      <c r="O23" s="51" t="n">
        <f aca="false">IF($A23="","",IFERROR(IF(OR(NOT(ISNUMBER(L23)),M23&lt;Config!$B$6),"N/M",L23/(M23*100)),"N/M"))</f>
        <v>0.0322621394051615</v>
      </c>
      <c r="P23" s="51" t="n">
        <f aca="false">IF($A23="","",IFERROR(SUMIFS(Raw_Q!$P$2:$P$600,Raw_Q!$A$2:$A$600,$A23,Raw_Q!$R$2:$R$600,"&gt;=1",Raw_Q!$R$2:$R$600,"&lt;=4"),""))</f>
        <v>0.5</v>
      </c>
      <c r="Q23" s="49" t="n">
        <f aca="false">IF($A23="","",IFERROR(IF(P23=0,"不配息",P23/D23),""))</f>
        <v>0.00309597523219814</v>
      </c>
      <c r="R23" s="49" t="str">
        <f aca="false">IF($A23="","",IFERROR(IF(SUMIFS(Raw_Q!$P$2:$P$600,Raw_Q!$A$2:$A$600,$A23,Raw_Q!$R$2:$R$600,"&gt;=5",Raw_Q!$R$2:$R$600,"&lt;=8")=0,"",SUMIFS(Raw_Q!$P$2:$P$600,Raw_Q!$A$2:$A$600,$A23,Raw_Q!$R$2:$R$600,"&gt;=1",Raw_Q!$R$2:$R$600,"&lt;=4")/SUMIFS(Raw_Q!$P$2:$P$600,Raw_Q!$A$2:$A$600,$A23,Raw_Q!$R$2:$R$600,"&gt;=5",Raw_Q!$R$2:$R$600,"&lt;=8")-1),""))</f>
        <v/>
      </c>
      <c r="S23" s="49" t="n">
        <f aca="false">IF($A23="","",IFERROR(SUMIFS(Raw_Q!$I$2:$I$600,Raw_Q!$A$2:$A$600,$A23,Raw_Q!$R$2:$R$600,1)/SUMIFS(Raw_Q!$I$2:$I$600,Raw_Q!$A$2:$A$600,$A23,Raw_Q!$R$2:$R$600,5)-1,""))</f>
        <v>1.84724462039769</v>
      </c>
      <c r="T23" s="49" t="n">
        <f aca="false">IF($A23="","",IFERROR(SUMIFS(Raw_Q!$I$2:$I$600,Raw_Q!$A$2:$A$600,$A23,Raw_Q!$R$2:$R$600,1)/SUMIFS(Raw_Q!$I$2:$I$600,Raw_Q!$A$2:$A$600,$A23,Raw_Q!$R$2:$R$600,2)-1,""))</f>
        <v>0.564404487964677</v>
      </c>
      <c r="U23" s="49" t="n">
        <f aca="false">IF($A23="","",IFERROR(SUMIFS(Raw_Q!$I$2:$I$600,Raw_Q!$A$2:$A$600,$A23,Raw_Q!$R$2:$R$600,2)/SUMIFS(Raw_Q!$I$2:$I$600,Raw_Q!$A$2:$A$600,$A23,Raw_Q!$R$2:$R$600,3)-1,""))</f>
        <v>0.436730804954758</v>
      </c>
      <c r="V23" s="68" t="n">
        <f aca="false">IF($A23="","",IFERROR((T23-U23)*100,""))</f>
        <v>12.7673683009919</v>
      </c>
      <c r="W23" s="49" t="n">
        <f aca="false">IF($A23="","",IFERROR(IF(OR(NOT(ISNUMBER(T23)),NOT(ISNUMBER(U23)),U23&lt;=0,ABS(U23)&lt;Config!$B$9),"N/M",(T23-U23)/ABS(U23)),"N/M"))</f>
        <v>0.292339540882958</v>
      </c>
      <c r="X23" s="66" t="str">
        <f aca="false">IF($A23="","",IFERROR(IF(NOT(ISNUMBER(T23)),"",IF(AND(ISNUMBER(U23),U23&gt;0,T23&lt;=0),"由正轉負",IF(AND(ISNUMBER(U23),U23&lt;=0,T23&gt;0),"由負轉正",IF(T23&gt;0,IF(V23&gt;0,"成長且加速","成長但減速"),IF(V23&gt;0,"衰退但收斂","衰退且惡化"))))),""))</f>
        <v>成長且加速</v>
      </c>
      <c r="Y23" s="68" t="n">
        <f aca="false">IF($A23="","",IFERROR((T23-(SUMIFS(Raw_Q!$I$2:$I$600,Raw_Q!$A$2:$A$600,$A23,Raw_Q!$R$2:$R$600,5)/SUMIFS(Raw_Q!$I$2:$I$600,Raw_Q!$A$2:$A$600,$A23,Raw_Q!$R$2:$R$600,6)-1))*100,""))</f>
        <v>51.3118555762804</v>
      </c>
      <c r="Z23" s="49" t="n">
        <f aca="false">IF($A23="","",IFERROR(SUMIFS(Raw_Q!$L$2:$L$600,Raw_Q!$A$2:$A$600,$A23,Raw_Q!$R$2:$R$600,1)/SUMIFS(Raw_Q!$L$2:$L$600,Raw_Q!$A$2:$A$600,$A23,Raw_Q!$R$2:$R$600,5)-1,""))</f>
        <v>-19.6206896551724</v>
      </c>
      <c r="AA23" s="49" t="n">
        <f aca="false">IF($A23="","",IFERROR(SUMIFS(Raw_Q!$J$2:$J$600,Raw_Q!$A$2:$A$600,$A23,Raw_Q!$R$2:$R$600,"&gt;=1",Raw_Q!$R$2:$R$600,"&lt;=4")/E23,""))</f>
        <v>0.555471063982052</v>
      </c>
      <c r="AB23" s="49" t="n">
        <f aca="false">IF($A23="","",IFERROR(SUMIFS(Raw_Q!$J$2:$J$600,Raw_Q!$A$2:$A$600,$A23,Raw_Q!$R$2:$R$600,"&gt;=1",Raw_Q!$R$2:$R$600,"&lt;="&amp;Config!$B$5)/SUMIFS(Raw_Q!$I$2:$I$600,Raw_Q!$A$2:$A$600,$A23,Raw_Q!$R$2:$R$600,"&gt;=1",Raw_Q!$R$2:$R$600,"&lt;="&amp;Config!$B$5),""))</f>
        <v>0.41598347249709</v>
      </c>
      <c r="AC23" s="50" t="n">
        <f aca="false">IF($A23="","",IFERROR((AA23-AB23)*10000,""))</f>
        <v>1394.87591484962</v>
      </c>
      <c r="AD23" s="50" t="n">
        <f aca="false">IF($A23="","",IFERROR((SUMIFS(Raw_Q!$J$2:$J$600,Raw_Q!$A$2:$A$600,$A23,Raw_Q!$R$2:$R$600,1)/SUMIFS(Raw_Q!$I$2:$I$600,Raw_Q!$A$2:$A$600,$A23,Raw_Q!$R$2:$R$600,1)-SUMIFS(Raw_Q!$J$2:$J$600,Raw_Q!$A$2:$A$600,$A23,Raw_Q!$R$2:$R$600,5)/SUMIFS(Raw_Q!$I$2:$I$600,Raw_Q!$A$2:$A$600,$A23,Raw_Q!$R$2:$R$600,5))*10000,""))</f>
        <v>4358.87768071813</v>
      </c>
      <c r="AE23" s="51" t="n">
        <f aca="false">IF($A23="","",IFERROR(SUMIFS(Raw_Q!$O$2:$O$600,Raw_Q!$A$2:$A$600,$A23,Raw_Q!$R$2:$R$600,1)/SUMIFS(Raw_Q!$M$2:$M$600,Raw_Q!$A$2:$A$600,$A23,Raw_Q!$R$2:$R$600,1),""))</f>
        <v>36.6688045924976</v>
      </c>
      <c r="AF23" s="48" t="n">
        <f aca="false">IF($A23="","",IFERROR(SUMPRODUCT((Raw_Q!$A$2:$A$600=$A23)*(Raw_Q!$R$2:$R$600&gt;=1)*(Raw_Q!$R$2:$R$600&lt;=4)*Raw_Q!$L$2:$L$600*Raw_Q!$M$2:$M$600),""))</f>
        <v>40770.001812</v>
      </c>
      <c r="AG23" s="49" t="n">
        <f aca="false">IF($A23="","",IFERROR(IF(MIN(SUMIFS(Raw_Q!$O$2:$O$600,Raw_Q!$A$2:$A$600,$A23,Raw_Q!$R$2:$R$600,1),SUMIFS(Raw_Q!$O$2:$O$600,Raw_Q!$A$2:$A$600,$A23,Raw_Q!$R$2:$R$600,5))&lt;=0,"N/M",AF23/((SUMIFS(Raw_Q!$O$2:$O$600,Raw_Q!$A$2:$A$600,$A23,Raw_Q!$R$2:$R$600,1)+SUMIFS(Raw_Q!$O$2:$O$600,Raw_Q!$A$2:$A$600,$A23,Raw_Q!$R$2:$R$600,5))/2)),"N/M"))</f>
        <v>0.322710406766239</v>
      </c>
      <c r="AH23" s="49" t="n">
        <f aca="false">IF($A23="","",IFERROR(AVERAGE(AP23:AT23),""))</f>
        <v>0.110509176651133</v>
      </c>
      <c r="AI23" s="49" t="n">
        <f aca="false">IF($A23="","",IFERROR(IF(AE23&lt;=0,"N/M",INDEX(Raw_Est!$B$2:$B$100,MATCH($A23,Raw_Est!$A$2:$A$100,0))/AE23),"N/M"))</f>
        <v>0.693177764655042</v>
      </c>
      <c r="AJ23" s="51" t="n">
        <f aca="false">IF($A23="","",IFERROR(SUMIFS(Raw_Q!$L$2:$L$600,Raw_Q!$A$2:$A$600,$A23,Raw_Q!$R$2:$R$600,0),""))</f>
        <v>8.09903</v>
      </c>
      <c r="AK23" s="66" t="str">
        <f aca="false">IF($A23="","",IFERROR(INDEX(Raw_Q!$B$2:$B$600,MATCH($A23&amp;"|"&amp;0,Raw_Q!$S$2:$S$600,0)),""))</f>
        <v>FY2026Q3E</v>
      </c>
      <c r="AL23" s="66" t="str">
        <f aca="false">IF($A23="","",IFERROR(INDEX(Raw_Q!$G$2:$G$600,MATCH($A23&amp;"|"&amp;0,Raw_Q!$S$2:$S$600,0)),""))</f>
        <v>consensus</v>
      </c>
      <c r="AM23" s="47" t="n">
        <f aca="false">IF($A23="","",IFERROR(INDEX(Raw_Est!$E$2:$E$100,MATCH($A23,Raw_Est!$A$2:$A$100,0)),""))</f>
        <v>5</v>
      </c>
      <c r="AN23" s="67" t="n">
        <f aca="false">IF($A23="","",IFERROR(INDEX(Raw_Price!$D$2:$D$100,MATCH($A23,Raw_Price!$A$2:$A$100,0)),""))</f>
        <v>0</v>
      </c>
      <c r="AO23" s="67" t="n">
        <f aca="false">IF($A23="","",IFERROR(INDEX(Raw_Price!$E$2:$E$100,MATCH($A23,Raw_Price!$A$2:$A$100,0)),""))</f>
        <v>46311</v>
      </c>
      <c r="AP23" s="49" t="n">
        <f aca="false">IF($A23="","",IFERROR(IF(MIN(SUMIFS(Raw_Q!$O$2:$O$600,Raw_Q!$A$2:$A$600,$A23,Raw_Q!$R$2:$R$600,1),SUMIFS(Raw_Q!$O$2:$O$600,Raw_Q!$A$2:$A$600,$A23,Raw_Q!$R$2:$R$600,5))&lt;=0,"",SUMPRODUCT((Raw_Q!$A$2:$A$600=$A23)*(Raw_Q!$R$2:$R$600&gt;=1)*(Raw_Q!$R$2:$R$600&lt;=4)*Raw_Q!$L$2:$L$600*Raw_Q!$M$2:$M$600)/((SUMIFS(Raw_Q!$O$2:$O$600,Raw_Q!$A$2:$A$600,$A23,Raw_Q!$R$2:$R$600,1)+SUMIFS(Raw_Q!$O$2:$O$600,Raw_Q!$A$2:$A$600,$A23,Raw_Q!$R$2:$R$600,5))/2)),""))</f>
        <v>0.322710406766239</v>
      </c>
      <c r="AQ23" s="49" t="n">
        <f aca="false">IF($A23="","",IFERROR(IF(MIN(SUMIFS(Raw_Q!$O$2:$O$600,Raw_Q!$A$2:$A$600,$A23,Raw_Q!$R$2:$R$600,5),SUMIFS(Raw_Q!$O$2:$O$600,Raw_Q!$A$2:$A$600,$A23,Raw_Q!$R$2:$R$600,9))&lt;=0,"",SUMPRODUCT((Raw_Q!$A$2:$A$600=$A23)*(Raw_Q!$R$2:$R$600&gt;=5)*(Raw_Q!$R$2:$R$600&lt;=8)*Raw_Q!$L$2:$L$600*Raw_Q!$M$2:$M$600)/((SUMIFS(Raw_Q!$O$2:$O$600,Raw_Q!$A$2:$A$600,$A23,Raw_Q!$R$2:$R$600,5)+SUMIFS(Raw_Q!$O$2:$O$600,Raw_Q!$A$2:$A$600,$A23,Raw_Q!$R$2:$R$600,9))/2)),""))</f>
        <v>-0.0341372071014513</v>
      </c>
      <c r="AR23" s="49" t="n">
        <f aca="false">IF($A23="","",IFERROR(IF(MIN(SUMIFS(Raw_Q!$O$2:$O$600,Raw_Q!$A$2:$A$600,$A23,Raw_Q!$R$2:$R$600,9),SUMIFS(Raw_Q!$O$2:$O$600,Raw_Q!$A$2:$A$600,$A23,Raw_Q!$R$2:$R$600,13))&lt;=0,"",SUMPRODUCT((Raw_Q!$A$2:$A$600=$A23)*(Raw_Q!$R$2:$R$600&gt;=9)*(Raw_Q!$R$2:$R$600&lt;=12)*Raw_Q!$L$2:$L$600*Raw_Q!$M$2:$M$600)/((SUMIFS(Raw_Q!$O$2:$O$600,Raw_Q!$A$2:$A$600,$A23,Raw_Q!$R$2:$R$600,9)+SUMIFS(Raw_Q!$O$2:$O$600,Raw_Q!$A$2:$A$600,$A23,Raw_Q!$R$2:$R$600,13))/2)),""))</f>
        <v>0.00794764798236194</v>
      </c>
      <c r="AS23" s="49" t="n">
        <f aca="false">IF($A23="","",IFERROR(IF(MIN(SUMIFS(Raw_Q!$O$2:$O$600,Raw_Q!$A$2:$A$600,$A23,Raw_Q!$R$2:$R$600,13),SUMIFS(Raw_Q!$O$2:$O$600,Raw_Q!$A$2:$A$600,$A23,Raw_Q!$R$2:$R$600,17))&lt;=0,"",SUMPRODUCT((Raw_Q!$A$2:$A$600=$A23)*(Raw_Q!$R$2:$R$600&gt;=13)*(Raw_Q!$R$2:$R$600&lt;=16)*Raw_Q!$L$2:$L$600*Raw_Q!$M$2:$M$600)/((SUMIFS(Raw_Q!$O$2:$O$600,Raw_Q!$A$2:$A$600,$A23,Raw_Q!$R$2:$R$600,13)+SUMIFS(Raw_Q!$O$2:$O$600,Raw_Q!$A$2:$A$600,$A23,Raw_Q!$R$2:$R$600,17))/2)),""))</f>
        <v>0.0295249563161631</v>
      </c>
      <c r="AT23" s="49" t="n">
        <f aca="false">IF($A23="","",IFERROR(IF(MIN(SUMIFS(Raw_Q!$O$2:$O$600,Raw_Q!$A$2:$A$600,$A23,Raw_Q!$R$2:$R$600,17),SUMIFS(Raw_Q!$O$2:$O$600,Raw_Q!$A$2:$A$600,$A23,Raw_Q!$R$2:$R$600,21))&lt;=0,"",SUMPRODUCT((Raw_Q!$A$2:$A$600=$A23)*(Raw_Q!$R$2:$R$600&gt;=17)*(Raw_Q!$R$2:$R$600&lt;=20)*Raw_Q!$L$2:$L$600*Raw_Q!$M$2:$M$600)/((SUMIFS(Raw_Q!$O$2:$O$600,Raw_Q!$A$2:$A$600,$A23,Raw_Q!$R$2:$R$600,17)+SUMIFS(Raw_Q!$O$2:$O$600,Raw_Q!$A$2:$A$600,$A23,Raw_Q!$R$2:$R$600,21))/2)),""))</f>
        <v>0.226500079292355</v>
      </c>
    </row>
    <row r="24" customFormat="false" ht="15" hidden="false" customHeight="false" outlineLevel="0" collapsed="false">
      <c r="A24" s="17" t="str">
        <f aca="false">IF(Tickers!A24="","",Tickers!A24)</f>
        <v>↑ 藍字＝手動輸入。新增股票就在第 2~21 列往下打一列，其餘分頁全自動延伸。</v>
      </c>
      <c r="B24" s="66" t="str">
        <f aca="false">IF($A24="","",IFERROR(INDEX(Tickers!$B$2:$B$100,MATCH($A24,Tickers!$A$2:$A$100,0)),""))</f>
        <v/>
      </c>
      <c r="C24" s="66" t="str">
        <f aca="false">IF($A24="","",IFERROR(INDEX(Tickers!$D$2:$D$100,MATCH($A24,Tickers!$A$2:$A$100,0)),""))</f>
        <v/>
      </c>
      <c r="D24" s="51" t="str">
        <f aca="false">IF($A24="","",IFERROR(INDEX(Raw_Price!$B$2:$B$100,MATCH($A24,Raw_Price!$A$2:$A$100,0)),""))</f>
        <v/>
      </c>
      <c r="E24" s="48" t="n">
        <f aca="false">IF($A24="","",IFERROR(SUMIFS(Raw_Q!$I$2:$I$600,Raw_Q!$A$2:$A$600,$A24,Raw_Q!$R$2:$R$600,"&gt;=1",Raw_Q!$R$2:$R$600,"&lt;=4"),""))</f>
        <v>0</v>
      </c>
      <c r="F24" s="51" t="n">
        <f aca="false">IF($A24="","",IFERROR(SUMIFS(Raw_Q!$L$2:$L$600,Raw_Q!$A$2:$A$600,$A24,Raw_Q!$R$2:$R$600,"&gt;=1",Raw_Q!$R$2:$R$600,"&lt;=4"),""))</f>
        <v>0</v>
      </c>
      <c r="G24" s="51" t="n">
        <f aca="false">IF($A24="","",IFERROR(SUMIFS(Raw_Q!$L$2:$L$600,Raw_Q!$A$2:$A$600,$A24,Raw_Q!$R$2:$R$600,"&gt;=0",Raw_Q!$R$2:$R$600,"&lt;=3"),""))</f>
        <v>0</v>
      </c>
      <c r="H24" s="51" t="str">
        <f aca="true">IF($A24="","",IFERROR(INDEX(Raw_Est!$B$2:$B$100,MATCH($A24,Raw_Est!$A$2:$A$100,0))*MIN(1,MAX(0,(INDEX(Raw_Est!$D$2:$D$100,MATCH($A24,Raw_Est!$A$2:$A$100,0))-TODAY())/Config!$B$8))+INDEX(Raw_Est!$C$2:$C$100,MATCH($A24,Raw_Est!$A$2:$A$100,0))*(1-MIN(1,MAX(0,(INDEX(Raw_Est!$D$2:$D$100,MATCH($A24,Raw_Est!$A$2:$A$100,0))-TODAY())/Config!$B$8))),""))</f>
        <v/>
      </c>
      <c r="I24" s="49" t="str">
        <f aca="false">IF($A24="","",IFERROR(SUMIFS(Raw_Q!$L$2:$L$600,Raw_Q!$A$2:$A$600,$A24,Raw_Q!$R$2:$R$600,"&gt;=1",Raw_Q!$R$2:$R$600,"&lt;=4")/SUMIFS(Raw_Q!$L$2:$L$600,Raw_Q!$A$2:$A$600,$A24,Raw_Q!$R$2:$R$600,"&gt;=5",Raw_Q!$R$2:$R$600,"&lt;=8")-1,""))</f>
        <v/>
      </c>
      <c r="J24" s="52" t="str">
        <f aca="false">IF($A24="","",IFERROR(IF(F24&lt;=0,"N/M",D24/F24),"N/M"))</f>
        <v>N/M</v>
      </c>
      <c r="K24" s="52" t="str">
        <f aca="false">IF($A24="","",IFERROR(IF(G24&lt;=0,"N/M",D24/G24),"N/M"))</f>
        <v>N/M</v>
      </c>
      <c r="L24" s="52" t="str">
        <f aca="false">IF($A24="","",IFERROR(IF(H24&lt;=0,"N/M",D24/H24),"N/M"))</f>
        <v>N/M</v>
      </c>
      <c r="M24" s="49" t="str">
        <f aca="false">IF($A24="","",IFERROR(INDEX(Raw_Est!$C$2:$C$100,MATCH($A24,Raw_Est!$A$2:$A$100,0))/INDEX(Raw_Est!$B$2:$B$100,MATCH($A24,Raw_Est!$A$2:$A$100,0))-1,""))</f>
        <v/>
      </c>
      <c r="N24" s="51" t="str">
        <f aca="false">IF($A24="","",IFERROR(IF(OR(NOT(ISNUMBER(J24)),I24&lt;Config!$B$6),"N/M",J24/(I24*100)),"N/M"))</f>
        <v>N/M</v>
      </c>
      <c r="O24" s="51" t="str">
        <f aca="false">IF($A24="","",IFERROR(IF(OR(NOT(ISNUMBER(L24)),M24&lt;Config!$B$6),"N/M",L24/(M24*100)),"N/M"))</f>
        <v>N/M</v>
      </c>
      <c r="P24" s="51" t="n">
        <f aca="false">IF($A24="","",IFERROR(SUMIFS(Raw_Q!$P$2:$P$600,Raw_Q!$A$2:$A$600,$A24,Raw_Q!$R$2:$R$600,"&gt;=1",Raw_Q!$R$2:$R$600,"&lt;=4"),""))</f>
        <v>0</v>
      </c>
      <c r="Q24" s="49" t="str">
        <f aca="false">IF($A24="","",IFERROR(IF(P24=0,"不配息",P24/D24),""))</f>
        <v>不配息</v>
      </c>
      <c r="R24" s="49" t="str">
        <f aca="false">IF($A24="","",IFERROR(IF(SUMIFS(Raw_Q!$P$2:$P$600,Raw_Q!$A$2:$A$600,$A24,Raw_Q!$R$2:$R$600,"&gt;=5",Raw_Q!$R$2:$R$600,"&lt;=8")=0,"",SUMIFS(Raw_Q!$P$2:$P$600,Raw_Q!$A$2:$A$600,$A24,Raw_Q!$R$2:$R$600,"&gt;=1",Raw_Q!$R$2:$R$600,"&lt;=4")/SUMIFS(Raw_Q!$P$2:$P$600,Raw_Q!$A$2:$A$600,$A24,Raw_Q!$R$2:$R$600,"&gt;=5",Raw_Q!$R$2:$R$600,"&lt;=8")-1),""))</f>
        <v/>
      </c>
      <c r="S24" s="49" t="str">
        <f aca="false">IF($A24="","",IFERROR(SUMIFS(Raw_Q!$I$2:$I$600,Raw_Q!$A$2:$A$600,$A24,Raw_Q!$R$2:$R$600,1)/SUMIFS(Raw_Q!$I$2:$I$600,Raw_Q!$A$2:$A$600,$A24,Raw_Q!$R$2:$R$600,5)-1,""))</f>
        <v/>
      </c>
      <c r="T24" s="49" t="str">
        <f aca="false">IF($A24="","",IFERROR(SUMIFS(Raw_Q!$I$2:$I$600,Raw_Q!$A$2:$A$600,$A24,Raw_Q!$R$2:$R$600,1)/SUMIFS(Raw_Q!$I$2:$I$600,Raw_Q!$A$2:$A$600,$A24,Raw_Q!$R$2:$R$600,2)-1,""))</f>
        <v/>
      </c>
      <c r="U24" s="49" t="str">
        <f aca="false">IF($A24="","",IFERROR(SUMIFS(Raw_Q!$I$2:$I$600,Raw_Q!$A$2:$A$600,$A24,Raw_Q!$R$2:$R$600,2)/SUMIFS(Raw_Q!$I$2:$I$600,Raw_Q!$A$2:$A$600,$A24,Raw_Q!$R$2:$R$600,3)-1,""))</f>
        <v/>
      </c>
      <c r="V24" s="68" t="str">
        <f aca="false">IF($A24="","",IFERROR((T24-U24)*100,""))</f>
        <v/>
      </c>
      <c r="W24" s="49" t="str">
        <f aca="false">IF($A24="","",IFERROR(IF(OR(NOT(ISNUMBER(T24)),NOT(ISNUMBER(U24)),U24&lt;=0,ABS(U24)&lt;Config!$B$9),"N/M",(T24-U24)/ABS(U24)),"N/M"))</f>
        <v>N/M</v>
      </c>
      <c r="X24" s="66" t="str">
        <f aca="false">IF($A24="","",IFERROR(IF(NOT(ISNUMBER(T24)),"",IF(AND(ISNUMBER(U24),U24&gt;0,T24&lt;=0),"由正轉負",IF(AND(ISNUMBER(U24),U24&lt;=0,T24&gt;0),"由負轉正",IF(T24&gt;0,IF(V24&gt;0,"成長且加速","成長但減速"),IF(V24&gt;0,"衰退但收斂","衰退且惡化"))))),""))</f>
        <v/>
      </c>
      <c r="Y24" s="68" t="str">
        <f aca="false">IF($A24="","",IFERROR((T24-(SUMIFS(Raw_Q!$I$2:$I$600,Raw_Q!$A$2:$A$600,$A24,Raw_Q!$R$2:$R$600,5)/SUMIFS(Raw_Q!$I$2:$I$600,Raw_Q!$A$2:$A$600,$A24,Raw_Q!$R$2:$R$600,6)-1))*100,""))</f>
        <v/>
      </c>
      <c r="Z24" s="49" t="str">
        <f aca="false">IF($A24="","",IFERROR(SUMIFS(Raw_Q!$L$2:$L$600,Raw_Q!$A$2:$A$600,$A24,Raw_Q!$R$2:$R$600,1)/SUMIFS(Raw_Q!$L$2:$L$600,Raw_Q!$A$2:$A$600,$A24,Raw_Q!$R$2:$R$600,5)-1,""))</f>
        <v/>
      </c>
      <c r="AA24" s="49" t="str">
        <f aca="false">IF($A24="","",IFERROR(SUMIFS(Raw_Q!$J$2:$J$600,Raw_Q!$A$2:$A$600,$A24,Raw_Q!$R$2:$R$600,"&gt;=1",Raw_Q!$R$2:$R$600,"&lt;=4")/E24,""))</f>
        <v/>
      </c>
      <c r="AB24" s="49" t="str">
        <f aca="false">IF($A24="","",IFERROR(SUMIFS(Raw_Q!$J$2:$J$600,Raw_Q!$A$2:$A$600,$A24,Raw_Q!$R$2:$R$600,"&gt;=1",Raw_Q!$R$2:$R$600,"&lt;="&amp;Config!$B$5)/SUMIFS(Raw_Q!$I$2:$I$600,Raw_Q!$A$2:$A$600,$A24,Raw_Q!$R$2:$R$600,"&gt;=1",Raw_Q!$R$2:$R$600,"&lt;="&amp;Config!$B$5),""))</f>
        <v/>
      </c>
      <c r="AC24" s="50" t="str">
        <f aca="false">IF($A24="","",IFERROR((AA24-AB24)*10000,""))</f>
        <v/>
      </c>
      <c r="AD24" s="50" t="str">
        <f aca="false">IF($A24="","",IFERROR((SUMIFS(Raw_Q!$J$2:$J$600,Raw_Q!$A$2:$A$600,$A24,Raw_Q!$R$2:$R$600,1)/SUMIFS(Raw_Q!$I$2:$I$600,Raw_Q!$A$2:$A$600,$A24,Raw_Q!$R$2:$R$600,1)-SUMIFS(Raw_Q!$J$2:$J$600,Raw_Q!$A$2:$A$600,$A24,Raw_Q!$R$2:$R$600,5)/SUMIFS(Raw_Q!$I$2:$I$600,Raw_Q!$A$2:$A$600,$A24,Raw_Q!$R$2:$R$600,5))*10000,""))</f>
        <v/>
      </c>
      <c r="AE24" s="51" t="str">
        <f aca="false">IF($A24="","",IFERROR(SUMIFS(Raw_Q!$O$2:$O$600,Raw_Q!$A$2:$A$600,$A24,Raw_Q!$R$2:$R$600,1)/SUMIFS(Raw_Q!$M$2:$M$600,Raw_Q!$A$2:$A$600,$A24,Raw_Q!$R$2:$R$600,1),""))</f>
        <v/>
      </c>
      <c r="AF24" s="48" t="n">
        <f aca="false">IF($A24="","",IFERROR(SUMPRODUCT((Raw_Q!$A$2:$A$600=$A24)*(Raw_Q!$R$2:$R$600&gt;=1)*(Raw_Q!$R$2:$R$600&lt;=4)*Raw_Q!$L$2:$L$600*Raw_Q!$M$2:$M$600),""))</f>
        <v>0</v>
      </c>
      <c r="AG24" s="49" t="str">
        <f aca="false">IF($A24="","",IFERROR(IF(MIN(SUMIFS(Raw_Q!$O$2:$O$600,Raw_Q!$A$2:$A$600,$A24,Raw_Q!$R$2:$R$600,1),SUMIFS(Raw_Q!$O$2:$O$600,Raw_Q!$A$2:$A$600,$A24,Raw_Q!$R$2:$R$600,5))&lt;=0,"N/M",AF24/((SUMIFS(Raw_Q!$O$2:$O$600,Raw_Q!$A$2:$A$600,$A24,Raw_Q!$R$2:$R$600,1)+SUMIFS(Raw_Q!$O$2:$O$600,Raw_Q!$A$2:$A$600,$A24,Raw_Q!$R$2:$R$600,5))/2)),"N/M"))</f>
        <v>N/M</v>
      </c>
      <c r="AH24" s="49" t="str">
        <f aca="false">IF($A24="","",IFERROR(AVERAGE(AP24:AT24),""))</f>
        <v/>
      </c>
      <c r="AI24" s="49" t="str">
        <f aca="false">IF($A24="","",IFERROR(IF(AE24&lt;=0,"N/M",INDEX(Raw_Est!$B$2:$B$100,MATCH($A24,Raw_Est!$A$2:$A$100,0))/AE24),"N/M"))</f>
        <v>N/M</v>
      </c>
      <c r="AJ24" s="51" t="n">
        <f aca="false">IF($A24="","",IFERROR(SUMIFS(Raw_Q!$L$2:$L$600,Raw_Q!$A$2:$A$600,$A24,Raw_Q!$R$2:$R$600,0),""))</f>
        <v>0</v>
      </c>
      <c r="AK24" s="66" t="str">
        <f aca="false">IF($A24="","",IFERROR(INDEX(Raw_Q!$B$2:$B$600,MATCH($A24&amp;"|"&amp;0,Raw_Q!$S$2:$S$600,0)),""))</f>
        <v/>
      </c>
      <c r="AL24" s="66" t="str">
        <f aca="false">IF($A24="","",IFERROR(INDEX(Raw_Q!$G$2:$G$600,MATCH($A24&amp;"|"&amp;0,Raw_Q!$S$2:$S$600,0)),""))</f>
        <v/>
      </c>
      <c r="AM24" s="47" t="str">
        <f aca="false">IF($A24="","",IFERROR(INDEX(Raw_Est!$E$2:$E$100,MATCH($A24,Raw_Est!$A$2:$A$100,0)),""))</f>
        <v/>
      </c>
      <c r="AN24" s="67" t="str">
        <f aca="false">IF($A24="","",IFERROR(INDEX(Raw_Price!$D$2:$D$100,MATCH($A24,Raw_Price!$A$2:$A$100,0)),""))</f>
        <v/>
      </c>
      <c r="AO24" s="67" t="str">
        <f aca="false">IF($A24="","",IFERROR(INDEX(Raw_Price!$E$2:$E$100,MATCH($A24,Raw_Price!$A$2:$A$100,0)),""))</f>
        <v/>
      </c>
      <c r="AP24" s="49" t="str">
        <f aca="false">IF($A24="","",IFERROR(IF(MIN(SUMIFS(Raw_Q!$O$2:$O$600,Raw_Q!$A$2:$A$600,$A24,Raw_Q!$R$2:$R$600,1),SUMIFS(Raw_Q!$O$2:$O$600,Raw_Q!$A$2:$A$600,$A24,Raw_Q!$R$2:$R$600,5))&lt;=0,"",SUMPRODUCT((Raw_Q!$A$2:$A$600=$A24)*(Raw_Q!$R$2:$R$600&gt;=1)*(Raw_Q!$R$2:$R$600&lt;=4)*Raw_Q!$L$2:$L$600*Raw_Q!$M$2:$M$600)/((SUMIFS(Raw_Q!$O$2:$O$600,Raw_Q!$A$2:$A$600,$A24,Raw_Q!$R$2:$R$600,1)+SUMIFS(Raw_Q!$O$2:$O$600,Raw_Q!$A$2:$A$600,$A24,Raw_Q!$R$2:$R$600,5))/2)),""))</f>
        <v/>
      </c>
      <c r="AQ24" s="49" t="str">
        <f aca="false">IF($A24="","",IFERROR(IF(MIN(SUMIFS(Raw_Q!$O$2:$O$600,Raw_Q!$A$2:$A$600,$A24,Raw_Q!$R$2:$R$600,5),SUMIFS(Raw_Q!$O$2:$O$600,Raw_Q!$A$2:$A$600,$A24,Raw_Q!$R$2:$R$600,9))&lt;=0,"",SUMPRODUCT((Raw_Q!$A$2:$A$600=$A24)*(Raw_Q!$R$2:$R$600&gt;=5)*(Raw_Q!$R$2:$R$600&lt;=8)*Raw_Q!$L$2:$L$600*Raw_Q!$M$2:$M$600)/((SUMIFS(Raw_Q!$O$2:$O$600,Raw_Q!$A$2:$A$600,$A24,Raw_Q!$R$2:$R$600,5)+SUMIFS(Raw_Q!$O$2:$O$600,Raw_Q!$A$2:$A$600,$A24,Raw_Q!$R$2:$R$600,9))/2)),""))</f>
        <v/>
      </c>
      <c r="AR24" s="49" t="str">
        <f aca="false">IF($A24="","",IFERROR(IF(MIN(SUMIFS(Raw_Q!$O$2:$O$600,Raw_Q!$A$2:$A$600,$A24,Raw_Q!$R$2:$R$600,9),SUMIFS(Raw_Q!$O$2:$O$600,Raw_Q!$A$2:$A$600,$A24,Raw_Q!$R$2:$R$600,13))&lt;=0,"",SUMPRODUCT((Raw_Q!$A$2:$A$600=$A24)*(Raw_Q!$R$2:$R$600&gt;=9)*(Raw_Q!$R$2:$R$600&lt;=12)*Raw_Q!$L$2:$L$600*Raw_Q!$M$2:$M$600)/((SUMIFS(Raw_Q!$O$2:$O$600,Raw_Q!$A$2:$A$600,$A24,Raw_Q!$R$2:$R$600,9)+SUMIFS(Raw_Q!$O$2:$O$600,Raw_Q!$A$2:$A$600,$A24,Raw_Q!$R$2:$R$600,13))/2)),""))</f>
        <v/>
      </c>
      <c r="AS24" s="49" t="str">
        <f aca="false">IF($A24="","",IFERROR(IF(MIN(SUMIFS(Raw_Q!$O$2:$O$600,Raw_Q!$A$2:$A$600,$A24,Raw_Q!$R$2:$R$600,13),SUMIFS(Raw_Q!$O$2:$O$600,Raw_Q!$A$2:$A$600,$A24,Raw_Q!$R$2:$R$600,17))&lt;=0,"",SUMPRODUCT((Raw_Q!$A$2:$A$600=$A24)*(Raw_Q!$R$2:$R$600&gt;=13)*(Raw_Q!$R$2:$R$600&lt;=16)*Raw_Q!$L$2:$L$600*Raw_Q!$M$2:$M$600)/((SUMIFS(Raw_Q!$O$2:$O$600,Raw_Q!$A$2:$A$600,$A24,Raw_Q!$R$2:$R$600,13)+SUMIFS(Raw_Q!$O$2:$O$600,Raw_Q!$A$2:$A$600,$A24,Raw_Q!$R$2:$R$600,17))/2)),""))</f>
        <v/>
      </c>
      <c r="AT24" s="49" t="str">
        <f aca="false">IF($A24="","",IFERROR(IF(MIN(SUMIFS(Raw_Q!$O$2:$O$600,Raw_Q!$A$2:$A$600,$A24,Raw_Q!$R$2:$R$600,17),SUMIFS(Raw_Q!$O$2:$O$600,Raw_Q!$A$2:$A$600,$A24,Raw_Q!$R$2:$R$600,21))&lt;=0,"",SUMPRODUCT((Raw_Q!$A$2:$A$600=$A24)*(Raw_Q!$R$2:$R$600&gt;=17)*(Raw_Q!$R$2:$R$600&lt;=20)*Raw_Q!$L$2:$L$600*Raw_Q!$M$2:$M$600)/((SUMIFS(Raw_Q!$O$2:$O$600,Raw_Q!$A$2:$A$600,$A24,Raw_Q!$R$2:$R$600,17)+SUMIFS(Raw_Q!$O$2:$O$600,Raw_Q!$A$2:$A$600,$A24,Raw_Q!$R$2:$R$600,21))/2)),""))</f>
        <v/>
      </c>
    </row>
    <row r="25" customFormat="false" ht="15" hidden="false" customHeight="false" outlineLevel="0" collapsed="false">
      <c r="A25" s="17" t="str">
        <f aca="false">IF(Tickers!A25="","",Tickers!A25)</f>
        <v>3450</v>
      </c>
      <c r="B25" s="66" t="str">
        <f aca="false">IF($A25="","",IFERROR(INDEX(Tickers!$B$2:$B$100,MATCH($A25,Tickers!$A$2:$A$100,0)),""))</f>
        <v>聯鈞</v>
      </c>
      <c r="C25" s="66" t="str">
        <f aca="false">IF($A25="","",IFERROR(INDEX(Tickers!$D$2:$D$100,MATCH($A25,Tickers!$A$2:$A$100,0)),""))</f>
        <v>池子</v>
      </c>
      <c r="D25" s="51" t="n">
        <f aca="false">IF($A25="","",IFERROR(INDEX(Raw_Price!$B$2:$B$100,MATCH($A25,Raw_Price!$A$2:$A$100,0)),""))</f>
        <v>457</v>
      </c>
      <c r="E25" s="48" t="n">
        <f aca="false">IF($A25="","",IFERROR(SUMIFS(Raw_Q!$I$2:$I$600,Raw_Q!$A$2:$A$600,$A25,Raw_Q!$R$2:$R$600,"&gt;=1",Raw_Q!$R$2:$R$600,"&lt;=4"),""))</f>
        <v>9041.213</v>
      </c>
      <c r="F25" s="51" t="n">
        <f aca="false">IF($A25="","",IFERROR(SUMIFS(Raw_Q!$L$2:$L$600,Raw_Q!$A$2:$A$600,$A25,Raw_Q!$R$2:$R$600,"&gt;=1",Raw_Q!$R$2:$R$600,"&lt;=4"),""))</f>
        <v>4.92</v>
      </c>
      <c r="G25" s="51" t="n">
        <f aca="false">IF($A25="","",IFERROR(SUMIFS(Raw_Q!$L$2:$L$600,Raw_Q!$A$2:$A$600,$A25,Raw_Q!$R$2:$R$600,"&gt;=0",Raw_Q!$R$2:$R$600,"&lt;=3"),""))</f>
        <v>4.31</v>
      </c>
      <c r="H25" s="51" t="n">
        <f aca="true">IF($A25="","",IFERROR(INDEX(Raw_Est!$B$2:$B$100,MATCH($A25,Raw_Est!$A$2:$A$100,0))*MIN(1,MAX(0,(INDEX(Raw_Est!$D$2:$D$100,MATCH($A25,Raw_Est!$A$2:$A$100,0))-TODAY())/Config!$B$8))+INDEX(Raw_Est!$C$2:$C$100,MATCH($A25,Raw_Est!$A$2:$A$100,0))*(1-MIN(1,MAX(0,(INDEX(Raw_Est!$D$2:$D$100,MATCH($A25,Raw_Est!$A$2:$A$100,0))-TODAY())/Config!$B$8))),""))</f>
        <v>11.97</v>
      </c>
      <c r="I25" s="49" t="n">
        <f aca="false">IF($A25="","",IFERROR(SUMIFS(Raw_Q!$L$2:$L$600,Raw_Q!$A$2:$A$600,$A25,Raw_Q!$R$2:$R$600,"&gt;=1",Raw_Q!$R$2:$R$600,"&lt;=4")/SUMIFS(Raw_Q!$L$2:$L$600,Raw_Q!$A$2:$A$600,$A25,Raw_Q!$R$2:$R$600,"&gt;=5",Raw_Q!$R$2:$R$600,"&lt;=8")-1,""))</f>
        <v>-0.16751269035533</v>
      </c>
      <c r="J25" s="52" t="n">
        <f aca="false">IF($A25="","",IFERROR(IF(F25&lt;=0,"N/M",D25/F25),"N/M"))</f>
        <v>92.8861788617886</v>
      </c>
      <c r="K25" s="52" t="n">
        <f aca="false">IF($A25="","",IFERROR(IF(G25&lt;=0,"N/M",D25/G25),"N/M"))</f>
        <v>106.032482598608</v>
      </c>
      <c r="L25" s="52" t="n">
        <f aca="false">IF($A25="","",IFERROR(IF(H25&lt;=0,"N/M",D25/H25),"N/M"))</f>
        <v>38.1787802840434</v>
      </c>
      <c r="M25" s="49" t="n">
        <f aca="false">IF($A25="","",IFERROR(INDEX(Raw_Est!$C$2:$C$100,MATCH($A25,Raw_Est!$A$2:$A$100,0))/INDEX(Raw_Est!$B$2:$B$100,MATCH($A25,Raw_Est!$A$2:$A$100,0))-1,""))</f>
        <v>0</v>
      </c>
      <c r="N25" s="51" t="str">
        <f aca="false">IF($A25="","",IFERROR(IF(OR(NOT(ISNUMBER(J25)),I25&lt;Config!$B$6),"N/M",J25/(I25*100)),"N/M"))</f>
        <v>N/M</v>
      </c>
      <c r="O25" s="51" t="str">
        <f aca="false">IF($A25="","",IFERROR(IF(OR(NOT(ISNUMBER(L25)),M25&lt;Config!$B$6),"N/M",L25/(M25*100)),"N/M"))</f>
        <v>N/M</v>
      </c>
      <c r="P25" s="51" t="n">
        <f aca="false">IF($A25="","",IFERROR(SUMIFS(Raw_Q!$P$2:$P$600,Raw_Q!$A$2:$A$600,$A25,Raw_Q!$R$2:$R$600,"&gt;=1",Raw_Q!$R$2:$R$600,"&lt;=4"),""))</f>
        <v>1</v>
      </c>
      <c r="Q25" s="49" t="n">
        <f aca="false">IF($A25="","",IFERROR(IF(P25=0,"不配息",P25/D25),""))</f>
        <v>0.00218818380743983</v>
      </c>
      <c r="R25" s="49" t="n">
        <f aca="false">IF($A25="","",IFERROR(IF(SUMIFS(Raw_Q!$P$2:$P$600,Raw_Q!$A$2:$A$600,$A25,Raw_Q!$R$2:$R$600,"&gt;=5",Raw_Q!$R$2:$R$600,"&lt;=8")=0,"",SUMIFS(Raw_Q!$P$2:$P$600,Raw_Q!$A$2:$A$600,$A25,Raw_Q!$R$2:$R$600,"&gt;=1",Raw_Q!$R$2:$R$600,"&lt;=4")/SUMIFS(Raw_Q!$P$2:$P$600,Raw_Q!$A$2:$A$600,$A25,Raw_Q!$R$2:$R$600,"&gt;=5",Raw_Q!$R$2:$R$600,"&lt;=8")-1),""))</f>
        <v>1</v>
      </c>
      <c r="S25" s="49" t="n">
        <f aca="false">IF($A25="","",IFERROR(SUMIFS(Raw_Q!$I$2:$I$600,Raw_Q!$A$2:$A$600,$A25,Raw_Q!$R$2:$R$600,1)/SUMIFS(Raw_Q!$I$2:$I$600,Raw_Q!$A$2:$A$600,$A25,Raw_Q!$R$2:$R$600,5)-1,""))</f>
        <v>0.609951533370364</v>
      </c>
      <c r="T25" s="49" t="n">
        <f aca="false">IF($A25="","",IFERROR(SUMIFS(Raw_Q!$I$2:$I$600,Raw_Q!$A$2:$A$600,$A25,Raw_Q!$R$2:$R$600,1)/SUMIFS(Raw_Q!$I$2:$I$600,Raw_Q!$A$2:$A$600,$A25,Raw_Q!$R$2:$R$600,2)-1,""))</f>
        <v>0.42635876219104</v>
      </c>
      <c r="U25" s="49" t="n">
        <f aca="false">IF($A25="","",IFERROR(SUMIFS(Raw_Q!$I$2:$I$600,Raw_Q!$A$2:$A$600,$A25,Raw_Q!$R$2:$R$600,2)/SUMIFS(Raw_Q!$I$2:$I$600,Raw_Q!$A$2:$A$600,$A25,Raw_Q!$R$2:$R$600,3)-1,""))</f>
        <v>-0.0165258526599144</v>
      </c>
      <c r="V25" s="68" t="n">
        <f aca="false">IF($A25="","",IFERROR((T25-U25)*100,""))</f>
        <v>44.2884614850955</v>
      </c>
      <c r="W25" s="49" t="str">
        <f aca="false">IF($A25="","",IFERROR(IF(OR(NOT(ISNUMBER(T25)),NOT(ISNUMBER(U25)),U25&lt;=0,ABS(U25)&lt;Config!$B$9),"N/M",(T25-U25)/ABS(U25)),"N/M"))</f>
        <v>N/M</v>
      </c>
      <c r="X25" s="66" t="str">
        <f aca="false">IF($A25="","",IFERROR(IF(NOT(ISNUMBER(T25)),"",IF(AND(ISNUMBER(U25),U25&gt;0,T25&lt;=0),"由正轉負",IF(AND(ISNUMBER(U25),U25&lt;=0,T25&gt;0),"由負轉正",IF(T25&gt;0,IF(V25&gt;0,"成長且加速","成長但減速"),IF(V25&gt;0,"衰退但收斂","衰退且惡化"))))),""))</f>
        <v>由負轉正</v>
      </c>
      <c r="Y25" s="68" t="n">
        <f aca="false">IF($A25="","",IFERROR((T25-(SUMIFS(Raw_Q!$I$2:$I$600,Raw_Q!$A$2:$A$600,$A25,Raw_Q!$R$2:$R$600,5)/SUMIFS(Raw_Q!$I$2:$I$600,Raw_Q!$A$2:$A$600,$A25,Raw_Q!$R$2:$R$600,6)-1))*100,""))</f>
        <v>75.5981800898046</v>
      </c>
      <c r="Z25" s="49" t="n">
        <f aca="false">IF($A25="","",IFERROR(SUMIFS(Raw_Q!$L$2:$L$600,Raw_Q!$A$2:$A$600,$A25,Raw_Q!$R$2:$R$600,1)/SUMIFS(Raw_Q!$L$2:$L$600,Raw_Q!$A$2:$A$600,$A25,Raw_Q!$R$2:$R$600,5)-1,""))</f>
        <v>2.94339622641509</v>
      </c>
      <c r="AA25" s="49" t="n">
        <f aca="false">IF($A25="","",IFERROR(SUMIFS(Raw_Q!$J$2:$J$600,Raw_Q!$A$2:$A$600,$A25,Raw_Q!$R$2:$R$600,"&gt;=1",Raw_Q!$R$2:$R$600,"&lt;=4")/E25,""))</f>
        <v>0.27318745836427</v>
      </c>
      <c r="AB25" s="49" t="n">
        <f aca="false">IF($A25="","",IFERROR(SUMIFS(Raw_Q!$J$2:$J$600,Raw_Q!$A$2:$A$600,$A25,Raw_Q!$R$2:$R$600,"&gt;=1",Raw_Q!$R$2:$R$600,"&lt;="&amp;Config!$B$5)/SUMIFS(Raw_Q!$I$2:$I$600,Raw_Q!$A$2:$A$600,$A25,Raw_Q!$R$2:$R$600,"&gt;=1",Raw_Q!$R$2:$R$600,"&lt;="&amp;Config!$B$5),""))</f>
        <v>0.243785566830673</v>
      </c>
      <c r="AC25" s="50" t="n">
        <f aca="false">IF($A25="","",IFERROR((AA25-AB25)*10000,""))</f>
        <v>294.01891533597</v>
      </c>
      <c r="AD25" s="50" t="n">
        <f aca="false">IF($A25="","",IFERROR((SUMIFS(Raw_Q!$J$2:$J$600,Raw_Q!$A$2:$A$600,$A25,Raw_Q!$R$2:$R$600,1)/SUMIFS(Raw_Q!$I$2:$I$600,Raw_Q!$A$2:$A$600,$A25,Raw_Q!$R$2:$R$600,1)-SUMIFS(Raw_Q!$J$2:$J$600,Raw_Q!$A$2:$A$600,$A25,Raw_Q!$R$2:$R$600,5)/SUMIFS(Raw_Q!$I$2:$I$600,Raw_Q!$A$2:$A$600,$A25,Raw_Q!$R$2:$R$600,5))*10000,""))</f>
        <v>156.546574433089</v>
      </c>
      <c r="AE25" s="51" t="n">
        <f aca="false">IF($A25="","",IFERROR(SUMIFS(Raw_Q!$O$2:$O$600,Raw_Q!$A$2:$A$600,$A25,Raw_Q!$R$2:$R$600,1)/SUMIFS(Raw_Q!$M$2:$M$600,Raw_Q!$A$2:$A$600,$A25,Raw_Q!$R$2:$R$600,1),""))</f>
        <v>38.3357999030762</v>
      </c>
      <c r="AF25" s="48" t="n">
        <f aca="false">IF($A25="","",IFERROR(SUMPRODUCT((Raw_Q!$A$2:$A$600=$A25)*(Raw_Q!$R$2:$R$600&gt;=1)*(Raw_Q!$R$2:$R$600&lt;=4)*Raw_Q!$L$2:$L$600*Raw_Q!$M$2:$M$600),""))</f>
        <v>716.752488</v>
      </c>
      <c r="AG25" s="49" t="n">
        <f aca="false">IF($A25="","",IFERROR(IF(MIN(SUMIFS(Raw_Q!$O$2:$O$600,Raw_Q!$A$2:$A$600,$A25,Raw_Q!$R$2:$R$600,1),SUMIFS(Raw_Q!$O$2:$O$600,Raw_Q!$A$2:$A$600,$A25,Raw_Q!$R$2:$R$600,5))&lt;=0,"N/M",AF25/((SUMIFS(Raw_Q!$O$2:$O$600,Raw_Q!$A$2:$A$600,$A25,Raw_Q!$R$2:$R$600,1)+SUMIFS(Raw_Q!$O$2:$O$600,Raw_Q!$A$2:$A$600,$A25,Raw_Q!$R$2:$R$600,5))/2)),"N/M"))</f>
        <v>0.140180676080204</v>
      </c>
      <c r="AH25" s="49" t="n">
        <f aca="false">IF($A25="","",IFERROR(AVERAGE(AP25:AT25),""))</f>
        <v>0.0882522613134043</v>
      </c>
      <c r="AI25" s="49" t="n">
        <f aca="false">IF($A25="","",IFERROR(IF(AE25&lt;=0,"N/M",INDEX(Raw_Est!$B$2:$B$100,MATCH($A25,Raw_Est!$A$2:$A$100,0))/AE25),"N/M"))</f>
        <v>0.3122407783394</v>
      </c>
      <c r="AJ25" s="51" t="n">
        <f aca="false">IF($A25="","",IFERROR(SUMIFS(Raw_Q!$L$2:$L$600,Raw_Q!$A$2:$A$600,$A25,Raw_Q!$R$2:$R$600,0),""))</f>
        <v>0</v>
      </c>
      <c r="AK25" s="66" t="str">
        <f aca="false">IF($A25="","",IFERROR(INDEX(Raw_Q!$B$2:$B$600,MATCH($A25&amp;"|"&amp;0,Raw_Q!$S$2:$S$600,0)),""))</f>
        <v/>
      </c>
      <c r="AL25" s="66" t="str">
        <f aca="false">IF($A25="","",IFERROR(INDEX(Raw_Q!$G$2:$G$600,MATCH($A25&amp;"|"&amp;0,Raw_Q!$S$2:$S$600,0)),""))</f>
        <v/>
      </c>
      <c r="AM25" s="47" t="n">
        <f aca="false">IF($A25="","",IFERROR(INDEX(Raw_Est!$E$2:$E$100,MATCH($A25,Raw_Est!$A$2:$A$100,0)),""))</f>
        <v>0</v>
      </c>
      <c r="AN25" s="67" t="n">
        <f aca="false">IF($A25="","",IFERROR(INDEX(Raw_Price!$D$2:$D$100,MATCH($A25,Raw_Price!$A$2:$A$100,0)),""))</f>
        <v>0</v>
      </c>
      <c r="AO25" s="67" t="n">
        <f aca="false">IF($A25="","",IFERROR(INDEX(Raw_Price!$E$2:$E$100,MATCH($A25,Raw_Price!$A$2:$A$100,0)),""))</f>
        <v>46311</v>
      </c>
      <c r="AP25" s="49" t="n">
        <f aca="false">IF($A25="","",IFERROR(IF(MIN(SUMIFS(Raw_Q!$O$2:$O$600,Raw_Q!$A$2:$A$600,$A25,Raw_Q!$R$2:$R$600,1),SUMIFS(Raw_Q!$O$2:$O$600,Raw_Q!$A$2:$A$600,$A25,Raw_Q!$R$2:$R$600,5))&lt;=0,"",SUMPRODUCT((Raw_Q!$A$2:$A$600=$A25)*(Raw_Q!$R$2:$R$600&gt;=1)*(Raw_Q!$R$2:$R$600&lt;=4)*Raw_Q!$L$2:$L$600*Raw_Q!$M$2:$M$600)/((SUMIFS(Raw_Q!$O$2:$O$600,Raw_Q!$A$2:$A$600,$A25,Raw_Q!$R$2:$R$600,1)+SUMIFS(Raw_Q!$O$2:$O$600,Raw_Q!$A$2:$A$600,$A25,Raw_Q!$R$2:$R$600,5))/2)),""))</f>
        <v>0.140180676080204</v>
      </c>
      <c r="AQ25" s="49" t="n">
        <f aca="false">IF($A25="","",IFERROR(IF(MIN(SUMIFS(Raw_Q!$O$2:$O$600,Raw_Q!$A$2:$A$600,$A25,Raw_Q!$R$2:$R$600,5),SUMIFS(Raw_Q!$O$2:$O$600,Raw_Q!$A$2:$A$600,$A25,Raw_Q!$R$2:$R$600,9))&lt;=0,"",SUMPRODUCT((Raw_Q!$A$2:$A$600=$A25)*(Raw_Q!$R$2:$R$600&gt;=5)*(Raw_Q!$R$2:$R$600&lt;=8)*Raw_Q!$L$2:$L$600*Raw_Q!$M$2:$M$600)/((SUMIFS(Raw_Q!$O$2:$O$600,Raw_Q!$A$2:$A$600,$A25,Raw_Q!$R$2:$R$600,5)+SUMIFS(Raw_Q!$O$2:$O$600,Raw_Q!$A$2:$A$600,$A25,Raw_Q!$R$2:$R$600,9))/2)),""))</f>
        <v>0.199758815317478</v>
      </c>
      <c r="AR25" s="49" t="n">
        <f aca="false">IF($A25="","",IFERROR(IF(MIN(SUMIFS(Raw_Q!$O$2:$O$600,Raw_Q!$A$2:$A$600,$A25,Raw_Q!$R$2:$R$600,9),SUMIFS(Raw_Q!$O$2:$O$600,Raw_Q!$A$2:$A$600,$A25,Raw_Q!$R$2:$R$600,13))&lt;=0,"",SUMPRODUCT((Raw_Q!$A$2:$A$600=$A25)*(Raw_Q!$R$2:$R$600&gt;=9)*(Raw_Q!$R$2:$R$600&lt;=12)*Raw_Q!$L$2:$L$600*Raw_Q!$M$2:$M$600)/((SUMIFS(Raw_Q!$O$2:$O$600,Raw_Q!$A$2:$A$600,$A25,Raw_Q!$R$2:$R$600,9)+SUMIFS(Raw_Q!$O$2:$O$600,Raw_Q!$A$2:$A$600,$A25,Raw_Q!$R$2:$R$600,13))/2)),""))</f>
        <v>0.0235356506479984</v>
      </c>
      <c r="AS25" s="49" t="n">
        <f aca="false">IF($A25="","",IFERROR(IF(MIN(SUMIFS(Raw_Q!$O$2:$O$600,Raw_Q!$A$2:$A$600,$A25,Raw_Q!$R$2:$R$600,13),SUMIFS(Raw_Q!$O$2:$O$600,Raw_Q!$A$2:$A$600,$A25,Raw_Q!$R$2:$R$600,17))&lt;=0,"",SUMPRODUCT((Raw_Q!$A$2:$A$600=$A25)*(Raw_Q!$R$2:$R$600&gt;=13)*(Raw_Q!$R$2:$R$600&lt;=16)*Raw_Q!$L$2:$L$600*Raw_Q!$M$2:$M$600)/((SUMIFS(Raw_Q!$O$2:$O$600,Raw_Q!$A$2:$A$600,$A25,Raw_Q!$R$2:$R$600,13)+SUMIFS(Raw_Q!$O$2:$O$600,Raw_Q!$A$2:$A$600,$A25,Raw_Q!$R$2:$R$600,17))/2)),""))</f>
        <v>0.000376757678064328</v>
      </c>
      <c r="AT25" s="49" t="n">
        <f aca="false">IF($A25="","",IFERROR(IF(MIN(SUMIFS(Raw_Q!$O$2:$O$600,Raw_Q!$A$2:$A$600,$A25,Raw_Q!$R$2:$R$600,17),SUMIFS(Raw_Q!$O$2:$O$600,Raw_Q!$A$2:$A$600,$A25,Raw_Q!$R$2:$R$600,21))&lt;=0,"",SUMPRODUCT((Raw_Q!$A$2:$A$600=$A25)*(Raw_Q!$R$2:$R$600&gt;=17)*(Raw_Q!$R$2:$R$600&lt;=20)*Raw_Q!$L$2:$L$600*Raw_Q!$M$2:$M$600)/((SUMIFS(Raw_Q!$O$2:$O$600,Raw_Q!$A$2:$A$600,$A25,Raw_Q!$R$2:$R$600,17)+SUMIFS(Raw_Q!$O$2:$O$600,Raw_Q!$A$2:$A$600,$A25,Raw_Q!$R$2:$R$600,21))/2)),""))</f>
        <v>0.0774094068432773</v>
      </c>
    </row>
    <row r="26" customFormat="false" ht="15" hidden="false" customHeight="false" outlineLevel="0" collapsed="false">
      <c r="A26" s="17" t="str">
        <f aca="false">IF(Tickers!A26="","",Tickers!A26)</f>
        <v>6830</v>
      </c>
      <c r="B26" s="66" t="str">
        <f aca="false">IF($A26="","",IFERROR(INDEX(Tickers!$B$2:$B$100,MATCH($A26,Tickers!$A$2:$A$100,0)),""))</f>
        <v>汎銓</v>
      </c>
      <c r="C26" s="66" t="str">
        <f aca="false">IF($A26="","",IFERROR(INDEX(Tickers!$D$2:$D$100,MATCH($A26,Tickers!$A$2:$A$100,0)),""))</f>
        <v>池子</v>
      </c>
      <c r="D26" s="51" t="n">
        <f aca="false">IF($A26="","",IFERROR(INDEX(Raw_Price!$B$2:$B$100,MATCH($A26,Raw_Price!$A$2:$A$100,0)),""))</f>
        <v>486.5</v>
      </c>
      <c r="E26" s="48" t="n">
        <f aca="false">IF($A26="","",IFERROR(SUMIFS(Raw_Q!$I$2:$I$600,Raw_Q!$A$2:$A$600,$A26,Raw_Q!$R$2:$R$600,"&gt;=1",Raw_Q!$R$2:$R$600,"&lt;=4"),""))</f>
        <v>0</v>
      </c>
      <c r="F26" s="51" t="n">
        <f aca="false">IF($A26="","",IFERROR(SUMIFS(Raw_Q!$L$2:$L$600,Raw_Q!$A$2:$A$600,$A26,Raw_Q!$R$2:$R$600,"&gt;=1",Raw_Q!$R$2:$R$600,"&lt;=4"),""))</f>
        <v>0</v>
      </c>
      <c r="G26" s="51" t="n">
        <f aca="false">IF($A26="","",IFERROR(SUMIFS(Raw_Q!$L$2:$L$600,Raw_Q!$A$2:$A$600,$A26,Raw_Q!$R$2:$R$600,"&gt;=0",Raw_Q!$R$2:$R$600,"&lt;=3"),""))</f>
        <v>0</v>
      </c>
      <c r="H26" s="51" t="n">
        <f aca="true">IF($A26="","",IFERROR(INDEX(Raw_Est!$B$2:$B$100,MATCH($A26,Raw_Est!$A$2:$A$100,0))*MIN(1,MAX(0,(INDEX(Raw_Est!$D$2:$D$100,MATCH($A26,Raw_Est!$A$2:$A$100,0))-TODAY())/Config!$B$8))+INDEX(Raw_Est!$C$2:$C$100,MATCH($A26,Raw_Est!$A$2:$A$100,0))*(1-MIN(1,MAX(0,(INDEX(Raw_Est!$D$2:$D$100,MATCH($A26,Raw_Est!$A$2:$A$100,0))-TODAY())/Config!$B$8))),""))</f>
        <v>13.0020821917808</v>
      </c>
      <c r="I26" s="49" t="str">
        <f aca="false">IF($A26="","",IFERROR(SUMIFS(Raw_Q!$L$2:$L$600,Raw_Q!$A$2:$A$600,$A26,Raw_Q!$R$2:$R$600,"&gt;=1",Raw_Q!$R$2:$R$600,"&lt;=4")/SUMIFS(Raw_Q!$L$2:$L$600,Raw_Q!$A$2:$A$600,$A26,Raw_Q!$R$2:$R$600,"&gt;=5",Raw_Q!$R$2:$R$600,"&lt;=8")-1,""))</f>
        <v/>
      </c>
      <c r="J26" s="52" t="str">
        <f aca="false">IF($A26="","",IFERROR(IF(F26&lt;=0,"N/M",D26/F26),"N/M"))</f>
        <v>N/M</v>
      </c>
      <c r="K26" s="52" t="str">
        <f aca="false">IF($A26="","",IFERROR(IF(G26&lt;=0,"N/M",D26/G26),"N/M"))</f>
        <v>N/M</v>
      </c>
      <c r="L26" s="52" t="n">
        <f aca="false">IF($A26="","",IFERROR(IF(H26&lt;=0,"N/M",D26/H26),"N/M"))</f>
        <v>37.4170838811908</v>
      </c>
      <c r="M26" s="49" t="n">
        <f aca="false">IF($A26="","",IFERROR(INDEX(Raw_Est!$C$2:$C$100,MATCH($A26,Raw_Est!$A$2:$A$100,0))/INDEX(Raw_Est!$B$2:$B$100,MATCH($A26,Raw_Est!$A$2:$A$100,0))-1,""))</f>
        <v>2.52073732718894</v>
      </c>
      <c r="N26" s="51" t="str">
        <f aca="false">IF($A26="","",IFERROR(IF(OR(NOT(ISNUMBER(J26)),I26&lt;Config!$B$6),"N/M",J26/(I26*100)),"N/M"))</f>
        <v>N/M</v>
      </c>
      <c r="O26" s="51" t="n">
        <f aca="false">IF($A26="","",IFERROR(IF(OR(NOT(ISNUMBER(L26)),M26&lt;Config!$B$6),"N/M",L26/(M26*100)),"N/M"))</f>
        <v>0.148437060369623</v>
      </c>
      <c r="P26" s="51" t="n">
        <f aca="false">IF($A26="","",IFERROR(SUMIFS(Raw_Q!$P$2:$P$600,Raw_Q!$A$2:$A$600,$A26,Raw_Q!$R$2:$R$600,"&gt;=1",Raw_Q!$R$2:$R$600,"&lt;=4"),""))</f>
        <v>0</v>
      </c>
      <c r="Q26" s="49" t="str">
        <f aca="false">IF($A26="","",IFERROR(IF(P26=0,"不配息",P26/D26),""))</f>
        <v>不配息</v>
      </c>
      <c r="R26" s="49" t="str">
        <f aca="false">IF($A26="","",IFERROR(IF(SUMIFS(Raw_Q!$P$2:$P$600,Raw_Q!$A$2:$A$600,$A26,Raw_Q!$R$2:$R$600,"&gt;=5",Raw_Q!$R$2:$R$600,"&lt;=8")=0,"",SUMIFS(Raw_Q!$P$2:$P$600,Raw_Q!$A$2:$A$600,$A26,Raw_Q!$R$2:$R$600,"&gt;=1",Raw_Q!$R$2:$R$600,"&lt;=4")/SUMIFS(Raw_Q!$P$2:$P$600,Raw_Q!$A$2:$A$600,$A26,Raw_Q!$R$2:$R$600,"&gt;=5",Raw_Q!$R$2:$R$600,"&lt;=8")-1),""))</f>
        <v/>
      </c>
      <c r="S26" s="49" t="str">
        <f aca="false">IF($A26="","",IFERROR(SUMIFS(Raw_Q!$I$2:$I$600,Raw_Q!$A$2:$A$600,$A26,Raw_Q!$R$2:$R$600,1)/SUMIFS(Raw_Q!$I$2:$I$600,Raw_Q!$A$2:$A$600,$A26,Raw_Q!$R$2:$R$600,5)-1,""))</f>
        <v/>
      </c>
      <c r="T26" s="49" t="str">
        <f aca="false">IF($A26="","",IFERROR(SUMIFS(Raw_Q!$I$2:$I$600,Raw_Q!$A$2:$A$600,$A26,Raw_Q!$R$2:$R$600,1)/SUMIFS(Raw_Q!$I$2:$I$600,Raw_Q!$A$2:$A$600,$A26,Raw_Q!$R$2:$R$600,2)-1,""))</f>
        <v/>
      </c>
      <c r="U26" s="49" t="str">
        <f aca="false">IF($A26="","",IFERROR(SUMIFS(Raw_Q!$I$2:$I$600,Raw_Q!$A$2:$A$600,$A26,Raw_Q!$R$2:$R$600,2)/SUMIFS(Raw_Q!$I$2:$I$600,Raw_Q!$A$2:$A$600,$A26,Raw_Q!$R$2:$R$600,3)-1,""))</f>
        <v/>
      </c>
      <c r="V26" s="68" t="str">
        <f aca="false">IF($A26="","",IFERROR((T26-U26)*100,""))</f>
        <v/>
      </c>
      <c r="W26" s="49" t="str">
        <f aca="false">IF($A26="","",IFERROR(IF(OR(NOT(ISNUMBER(T26)),NOT(ISNUMBER(U26)),U26&lt;=0,ABS(U26)&lt;Config!$B$9),"N/M",(T26-U26)/ABS(U26)),"N/M"))</f>
        <v>N/M</v>
      </c>
      <c r="X26" s="66" t="str">
        <f aca="false">IF($A26="","",IFERROR(IF(NOT(ISNUMBER(T26)),"",IF(AND(ISNUMBER(U26),U26&gt;0,T26&lt;=0),"由正轉負",IF(AND(ISNUMBER(U26),U26&lt;=0,T26&gt;0),"由負轉正",IF(T26&gt;0,IF(V26&gt;0,"成長且加速","成長但減速"),IF(V26&gt;0,"衰退但收斂","衰退且惡化"))))),""))</f>
        <v/>
      </c>
      <c r="Y26" s="68" t="str">
        <f aca="false">IF($A26="","",IFERROR((T26-(SUMIFS(Raw_Q!$I$2:$I$600,Raw_Q!$A$2:$A$600,$A26,Raw_Q!$R$2:$R$600,5)/SUMIFS(Raw_Q!$I$2:$I$600,Raw_Q!$A$2:$A$600,$A26,Raw_Q!$R$2:$R$600,6)-1))*100,""))</f>
        <v/>
      </c>
      <c r="Z26" s="49" t="str">
        <f aca="false">IF($A26="","",IFERROR(SUMIFS(Raw_Q!$L$2:$L$600,Raw_Q!$A$2:$A$600,$A26,Raw_Q!$R$2:$R$600,1)/SUMIFS(Raw_Q!$L$2:$L$600,Raw_Q!$A$2:$A$600,$A26,Raw_Q!$R$2:$R$600,5)-1,""))</f>
        <v/>
      </c>
      <c r="AA26" s="49" t="str">
        <f aca="false">IF($A26="","",IFERROR(SUMIFS(Raw_Q!$J$2:$J$600,Raw_Q!$A$2:$A$600,$A26,Raw_Q!$R$2:$R$600,"&gt;=1",Raw_Q!$R$2:$R$600,"&lt;=4")/E26,""))</f>
        <v/>
      </c>
      <c r="AB26" s="49" t="str">
        <f aca="false">IF($A26="","",IFERROR(SUMIFS(Raw_Q!$J$2:$J$600,Raw_Q!$A$2:$A$600,$A26,Raw_Q!$R$2:$R$600,"&gt;=1",Raw_Q!$R$2:$R$600,"&lt;="&amp;Config!$B$5)/SUMIFS(Raw_Q!$I$2:$I$600,Raw_Q!$A$2:$A$600,$A26,Raw_Q!$R$2:$R$600,"&gt;=1",Raw_Q!$R$2:$R$600,"&lt;="&amp;Config!$B$5),""))</f>
        <v/>
      </c>
      <c r="AC26" s="50" t="str">
        <f aca="false">IF($A26="","",IFERROR((AA26-AB26)*10000,""))</f>
        <v/>
      </c>
      <c r="AD26" s="50" t="str">
        <f aca="false">IF($A26="","",IFERROR((SUMIFS(Raw_Q!$J$2:$J$600,Raw_Q!$A$2:$A$600,$A26,Raw_Q!$R$2:$R$600,1)/SUMIFS(Raw_Q!$I$2:$I$600,Raw_Q!$A$2:$A$600,$A26,Raw_Q!$R$2:$R$600,1)-SUMIFS(Raw_Q!$J$2:$J$600,Raw_Q!$A$2:$A$600,$A26,Raw_Q!$R$2:$R$600,5)/SUMIFS(Raw_Q!$I$2:$I$600,Raw_Q!$A$2:$A$600,$A26,Raw_Q!$R$2:$R$600,5))*10000,""))</f>
        <v/>
      </c>
      <c r="AE26" s="51" t="str">
        <f aca="false">IF($A26="","",IFERROR(SUMIFS(Raw_Q!$O$2:$O$600,Raw_Q!$A$2:$A$600,$A26,Raw_Q!$R$2:$R$600,1)/SUMIFS(Raw_Q!$M$2:$M$600,Raw_Q!$A$2:$A$600,$A26,Raw_Q!$R$2:$R$600,1),""))</f>
        <v/>
      </c>
      <c r="AF26" s="48" t="n">
        <f aca="false">IF($A26="","",IFERROR(SUMPRODUCT((Raw_Q!$A$2:$A$600=$A26)*(Raw_Q!$R$2:$R$600&gt;=1)*(Raw_Q!$R$2:$R$600&lt;=4)*Raw_Q!$L$2:$L$600*Raw_Q!$M$2:$M$600),""))</f>
        <v>0</v>
      </c>
      <c r="AG26" s="49" t="str">
        <f aca="false">IF($A26="","",IFERROR(IF(MIN(SUMIFS(Raw_Q!$O$2:$O$600,Raw_Q!$A$2:$A$600,$A26,Raw_Q!$R$2:$R$600,1),SUMIFS(Raw_Q!$O$2:$O$600,Raw_Q!$A$2:$A$600,$A26,Raw_Q!$R$2:$R$600,5))&lt;=0,"N/M",AF26/((SUMIFS(Raw_Q!$O$2:$O$600,Raw_Q!$A$2:$A$600,$A26,Raw_Q!$R$2:$R$600,1)+SUMIFS(Raw_Q!$O$2:$O$600,Raw_Q!$A$2:$A$600,$A26,Raw_Q!$R$2:$R$600,5))/2)),"N/M"))</f>
        <v>N/M</v>
      </c>
      <c r="AH26" s="49" t="str">
        <f aca="false">IF($A26="","",IFERROR(AVERAGE(AP26:AT26),""))</f>
        <v/>
      </c>
      <c r="AI26" s="49" t="str">
        <f aca="false">IF($A26="","",IFERROR(IF(AE26&lt;=0,"N/M",INDEX(Raw_Est!$B$2:$B$100,MATCH($A26,Raw_Est!$A$2:$A$100,0))/AE26),"N/M"))</f>
        <v>N/M</v>
      </c>
      <c r="AJ26" s="51" t="n">
        <f aca="false">IF($A26="","",IFERROR(SUMIFS(Raw_Q!$L$2:$L$600,Raw_Q!$A$2:$A$600,$A26,Raw_Q!$R$2:$R$600,0),""))</f>
        <v>0</v>
      </c>
      <c r="AK26" s="66" t="str">
        <f aca="false">IF($A26="","",IFERROR(INDEX(Raw_Q!$B$2:$B$600,MATCH($A26&amp;"|"&amp;0,Raw_Q!$S$2:$S$600,0)),""))</f>
        <v/>
      </c>
      <c r="AL26" s="66" t="str">
        <f aca="false">IF($A26="","",IFERROR(INDEX(Raw_Q!$G$2:$G$600,MATCH($A26&amp;"|"&amp;0,Raw_Q!$S$2:$S$600,0)),""))</f>
        <v/>
      </c>
      <c r="AM26" s="47" t="n">
        <f aca="false">IF($A26="","",IFERROR(INDEX(Raw_Est!$E$2:$E$100,MATCH($A26,Raw_Est!$A$2:$A$100,0)),""))</f>
        <v>1</v>
      </c>
      <c r="AN26" s="67" t="n">
        <f aca="false">IF($A26="","",IFERROR(INDEX(Raw_Price!$D$2:$D$100,MATCH($A26,Raw_Price!$A$2:$A$100,0)),""))</f>
        <v>0</v>
      </c>
      <c r="AO26" s="67" t="n">
        <f aca="false">IF($A26="","",IFERROR(INDEX(Raw_Price!$E$2:$E$100,MATCH($A26,Raw_Price!$A$2:$A$100,0)),""))</f>
        <v>46311</v>
      </c>
      <c r="AP26" s="49" t="str">
        <f aca="false">IF($A26="","",IFERROR(IF(MIN(SUMIFS(Raw_Q!$O$2:$O$600,Raw_Q!$A$2:$A$600,$A26,Raw_Q!$R$2:$R$600,1),SUMIFS(Raw_Q!$O$2:$O$600,Raw_Q!$A$2:$A$600,$A26,Raw_Q!$R$2:$R$600,5))&lt;=0,"",SUMPRODUCT((Raw_Q!$A$2:$A$600=$A26)*(Raw_Q!$R$2:$R$600&gt;=1)*(Raw_Q!$R$2:$R$600&lt;=4)*Raw_Q!$L$2:$L$600*Raw_Q!$M$2:$M$600)/((SUMIFS(Raw_Q!$O$2:$O$600,Raw_Q!$A$2:$A$600,$A26,Raw_Q!$R$2:$R$600,1)+SUMIFS(Raw_Q!$O$2:$O$600,Raw_Q!$A$2:$A$600,$A26,Raw_Q!$R$2:$R$600,5))/2)),""))</f>
        <v/>
      </c>
      <c r="AQ26" s="49" t="str">
        <f aca="false">IF($A26="","",IFERROR(IF(MIN(SUMIFS(Raw_Q!$O$2:$O$600,Raw_Q!$A$2:$A$600,$A26,Raw_Q!$R$2:$R$600,5),SUMIFS(Raw_Q!$O$2:$O$600,Raw_Q!$A$2:$A$600,$A26,Raw_Q!$R$2:$R$600,9))&lt;=0,"",SUMPRODUCT((Raw_Q!$A$2:$A$600=$A26)*(Raw_Q!$R$2:$R$600&gt;=5)*(Raw_Q!$R$2:$R$600&lt;=8)*Raw_Q!$L$2:$L$600*Raw_Q!$M$2:$M$600)/((SUMIFS(Raw_Q!$O$2:$O$600,Raw_Q!$A$2:$A$600,$A26,Raw_Q!$R$2:$R$600,5)+SUMIFS(Raw_Q!$O$2:$O$600,Raw_Q!$A$2:$A$600,$A26,Raw_Q!$R$2:$R$600,9))/2)),""))</f>
        <v/>
      </c>
      <c r="AR26" s="49" t="str">
        <f aca="false">IF($A26="","",IFERROR(IF(MIN(SUMIFS(Raw_Q!$O$2:$O$600,Raw_Q!$A$2:$A$600,$A26,Raw_Q!$R$2:$R$600,9),SUMIFS(Raw_Q!$O$2:$O$600,Raw_Q!$A$2:$A$600,$A26,Raw_Q!$R$2:$R$600,13))&lt;=0,"",SUMPRODUCT((Raw_Q!$A$2:$A$600=$A26)*(Raw_Q!$R$2:$R$600&gt;=9)*(Raw_Q!$R$2:$R$600&lt;=12)*Raw_Q!$L$2:$L$600*Raw_Q!$M$2:$M$600)/((SUMIFS(Raw_Q!$O$2:$O$600,Raw_Q!$A$2:$A$600,$A26,Raw_Q!$R$2:$R$600,9)+SUMIFS(Raw_Q!$O$2:$O$600,Raw_Q!$A$2:$A$600,$A26,Raw_Q!$R$2:$R$600,13))/2)),""))</f>
        <v/>
      </c>
      <c r="AS26" s="49" t="str">
        <f aca="false">IF($A26="","",IFERROR(IF(MIN(SUMIFS(Raw_Q!$O$2:$O$600,Raw_Q!$A$2:$A$600,$A26,Raw_Q!$R$2:$R$600,13),SUMIFS(Raw_Q!$O$2:$O$600,Raw_Q!$A$2:$A$600,$A26,Raw_Q!$R$2:$R$600,17))&lt;=0,"",SUMPRODUCT((Raw_Q!$A$2:$A$600=$A26)*(Raw_Q!$R$2:$R$600&gt;=13)*(Raw_Q!$R$2:$R$600&lt;=16)*Raw_Q!$L$2:$L$600*Raw_Q!$M$2:$M$600)/((SUMIFS(Raw_Q!$O$2:$O$600,Raw_Q!$A$2:$A$600,$A26,Raw_Q!$R$2:$R$600,13)+SUMIFS(Raw_Q!$O$2:$O$600,Raw_Q!$A$2:$A$600,$A26,Raw_Q!$R$2:$R$600,17))/2)),""))</f>
        <v/>
      </c>
      <c r="AT26" s="49" t="str">
        <f aca="false">IF($A26="","",IFERROR(IF(MIN(SUMIFS(Raw_Q!$O$2:$O$600,Raw_Q!$A$2:$A$600,$A26,Raw_Q!$R$2:$R$600,17),SUMIFS(Raw_Q!$O$2:$O$600,Raw_Q!$A$2:$A$600,$A26,Raw_Q!$R$2:$R$600,21))&lt;=0,"",SUMPRODUCT((Raw_Q!$A$2:$A$600=$A26)*(Raw_Q!$R$2:$R$600&gt;=17)*(Raw_Q!$R$2:$R$600&lt;=20)*Raw_Q!$L$2:$L$600*Raw_Q!$M$2:$M$600)/((SUMIFS(Raw_Q!$O$2:$O$600,Raw_Q!$A$2:$A$600,$A26,Raw_Q!$R$2:$R$600,17)+SUMIFS(Raw_Q!$O$2:$O$600,Raw_Q!$A$2:$A$600,$A26,Raw_Q!$R$2:$R$600,21))/2)),""))</f>
        <v/>
      </c>
    </row>
    <row r="27" customFormat="false" ht="15" hidden="false" customHeight="false" outlineLevel="0" collapsed="false">
      <c r="A27" s="17" t="str">
        <f aca="false">IF(Tickers!A27="","",Tickers!A27)</f>
        <v>3443</v>
      </c>
      <c r="B27" s="66" t="str">
        <f aca="false">IF($A27="","",IFERROR(INDEX(Tickers!$B$2:$B$100,MATCH($A27,Tickers!$A$2:$A$100,0)),""))</f>
        <v>創意</v>
      </c>
      <c r="C27" s="66" t="str">
        <f aca="false">IF($A27="","",IFERROR(INDEX(Tickers!$D$2:$D$100,MATCH($A27,Tickers!$A$2:$A$100,0)),""))</f>
        <v>池子</v>
      </c>
      <c r="D27" s="51" t="n">
        <f aca="false">IF($A27="","",IFERROR(INDEX(Raw_Price!$B$2:$B$100,MATCH($A27,Raw_Price!$A$2:$A$100,0)),""))</f>
        <v>7480</v>
      </c>
      <c r="E27" s="48" t="n">
        <f aca="false">IF($A27="","",IFERROR(SUMIFS(Raw_Q!$I$2:$I$600,Raw_Q!$A$2:$A$600,$A27,Raw_Q!$R$2:$R$600,"&gt;=1",Raw_Q!$R$2:$R$600,"&lt;=4"),""))</f>
        <v>46357.126</v>
      </c>
      <c r="F27" s="51" t="n">
        <f aca="false">IF($A27="","",IFERROR(SUMIFS(Raw_Q!$L$2:$L$600,Raw_Q!$A$2:$A$600,$A27,Raw_Q!$R$2:$R$600,"&gt;=1",Raw_Q!$R$2:$R$600,"&lt;=4"),""))</f>
        <v>39.01</v>
      </c>
      <c r="G27" s="51" t="n">
        <f aca="false">IF($A27="","",IFERROR(SUMIFS(Raw_Q!$L$2:$L$600,Raw_Q!$A$2:$A$600,$A27,Raw_Q!$R$2:$R$600,"&gt;=0",Raw_Q!$R$2:$R$600,"&lt;=3"),""))</f>
        <v>44.89021</v>
      </c>
      <c r="H27" s="51" t="n">
        <f aca="true">IF($A27="","",IFERROR(INDEX(Raw_Est!$B$2:$B$100,MATCH($A27,Raw_Est!$A$2:$A$100,0))*MIN(1,MAX(0,(INDEX(Raw_Est!$D$2:$D$100,MATCH($A27,Raw_Est!$A$2:$A$100,0))-TODAY())/Config!$B$8))+INDEX(Raw_Est!$C$2:$C$100,MATCH($A27,Raw_Est!$A$2:$A$100,0))*(1-MIN(1,MAX(0,(INDEX(Raw_Est!$D$2:$D$100,MATCH($A27,Raw_Est!$A$2:$A$100,0))-TODAY())/Config!$B$8))),""))</f>
        <v>107.040995753425</v>
      </c>
      <c r="I27" s="49" t="n">
        <f aca="false">IF($A27="","",IFERROR(SUMIFS(Raw_Q!$L$2:$L$600,Raw_Q!$A$2:$A$600,$A27,Raw_Q!$R$2:$R$600,"&gt;=1",Raw_Q!$R$2:$R$600,"&lt;=4")/SUMIFS(Raw_Q!$L$2:$L$600,Raw_Q!$A$2:$A$600,$A27,Raw_Q!$R$2:$R$600,"&gt;=5",Raw_Q!$R$2:$R$600,"&lt;=8")-1,""))</f>
        <v>0.442677514792899</v>
      </c>
      <c r="J27" s="52" t="n">
        <f aca="false">IF($A27="","",IFERROR(IF(F27&lt;=0,"N/M",D27/F27),"N/M"))</f>
        <v>191.745706229172</v>
      </c>
      <c r="K27" s="52" t="n">
        <f aca="false">IF($A27="","",IFERROR(IF(G27&lt;=0,"N/M",D27/G27),"N/M"))</f>
        <v>166.628759366463</v>
      </c>
      <c r="L27" s="52" t="n">
        <f aca="false">IF($A27="","",IFERROR(IF(H27&lt;=0,"N/M",D27/H27),"N/M"))</f>
        <v>69.8797684695556</v>
      </c>
      <c r="M27" s="49" t="n">
        <f aca="false">IF($A27="","",IFERROR(INDEX(Raw_Est!$C$2:$C$100,MATCH($A27,Raw_Est!$A$2:$A$100,0))/INDEX(Raw_Est!$B$2:$B$100,MATCH($A27,Raw_Est!$A$2:$A$100,0))-1,""))</f>
        <v>1.26619949607388</v>
      </c>
      <c r="N27" s="51" t="n">
        <f aca="false">IF($A27="","",IFERROR(IF(OR(NOT(ISNUMBER(J27)),I27&lt;Config!$B$6),"N/M",J27/(I27*100)),"N/M"))</f>
        <v>4.33149866034821</v>
      </c>
      <c r="O27" s="51" t="n">
        <f aca="false">IF($A27="","",IFERROR(IF(OR(NOT(ISNUMBER(L27)),M27&lt;Config!$B$6),"N/M",L27/(M27*100)),"N/M"))</f>
        <v>0.551885928609454</v>
      </c>
      <c r="P27" s="51" t="n">
        <f aca="false">IF($A27="","",IFERROR(SUMIFS(Raw_Q!$P$2:$P$600,Raw_Q!$A$2:$A$600,$A27,Raw_Q!$R$2:$R$600,"&gt;=1",Raw_Q!$R$2:$R$600,"&lt;=4"),""))</f>
        <v>20</v>
      </c>
      <c r="Q27" s="49" t="n">
        <f aca="false">IF($A27="","",IFERROR(IF(P27=0,"不配息",P27/D27),""))</f>
        <v>0.00267379679144385</v>
      </c>
      <c r="R27" s="49" t="n">
        <f aca="false">IF($A27="","",IFERROR(IF(SUMIFS(Raw_Q!$P$2:$P$600,Raw_Q!$A$2:$A$600,$A27,Raw_Q!$R$2:$R$600,"&gt;=5",Raw_Q!$R$2:$R$600,"&lt;=8")=0,"",SUMIFS(Raw_Q!$P$2:$P$600,Raw_Q!$A$2:$A$600,$A27,Raw_Q!$R$2:$R$600,"&gt;=1",Raw_Q!$R$2:$R$600,"&lt;=4")/SUMIFS(Raw_Q!$P$2:$P$600,Raw_Q!$A$2:$A$600,$A27,Raw_Q!$R$2:$R$600,"&gt;=5",Raw_Q!$R$2:$R$600,"&lt;=8")-1),""))</f>
        <v>0.25</v>
      </c>
      <c r="S27" s="49" t="n">
        <f aca="false">IF($A27="","",IFERROR(SUMIFS(Raw_Q!$I$2:$I$600,Raw_Q!$A$2:$A$600,$A27,Raw_Q!$R$2:$R$600,1)/SUMIFS(Raw_Q!$I$2:$I$600,Raw_Q!$A$2:$A$600,$A27,Raw_Q!$R$2:$R$600,5)-1,""))</f>
        <v>1.27641603996477</v>
      </c>
      <c r="T27" s="49" t="n">
        <f aca="false">IF($A27="","",IFERROR(SUMIFS(Raw_Q!$I$2:$I$600,Raw_Q!$A$2:$A$600,$A27,Raw_Q!$R$2:$R$600,1)/SUMIFS(Raw_Q!$I$2:$I$600,Raw_Q!$A$2:$A$600,$A27,Raw_Q!$R$2:$R$600,2)-1,""))</f>
        <v>0.213905067623403</v>
      </c>
      <c r="U27" s="49" t="n">
        <f aca="false">IF($A27="","",IFERROR(SUMIFS(Raw_Q!$I$2:$I$600,Raw_Q!$A$2:$A$600,$A27,Raw_Q!$R$2:$R$600,2)/SUMIFS(Raw_Q!$I$2:$I$600,Raw_Q!$A$2:$A$600,$A27,Raw_Q!$R$2:$R$600,3)-1,""))</f>
        <v>-0.0767632212815056</v>
      </c>
      <c r="V27" s="68" t="n">
        <f aca="false">IF($A27="","",IFERROR((T27-U27)*100,""))</f>
        <v>29.0668288904908</v>
      </c>
      <c r="W27" s="49" t="str">
        <f aca="false">IF($A27="","",IFERROR(IF(OR(NOT(ISNUMBER(T27)),NOT(ISNUMBER(U27)),U27&lt;=0,ABS(U27)&lt;Config!$B$9),"N/M",(T27-U27)/ABS(U27)),"N/M"))</f>
        <v>N/M</v>
      </c>
      <c r="X27" s="66" t="str">
        <f aca="false">IF($A27="","",IFERROR(IF(NOT(ISNUMBER(T27)),"",IF(AND(ISNUMBER(U27),U27&gt;0,T27&lt;=0),"由正轉負",IF(AND(ISNUMBER(U27),U27&lt;=0,T27&gt;0),"由負轉正",IF(T27&gt;0,IF(V27&gt;0,"成長且加速","成長但減速"),IF(V27&gt;0,"衰退但收斂","衰退且惡化"))))),""))</f>
        <v>由負轉正</v>
      </c>
      <c r="Y27" s="68" t="n">
        <f aca="false">IF($A27="","",IFERROR((T27-(SUMIFS(Raw_Q!$I$2:$I$600,Raw_Q!$A$2:$A$600,$A27,Raw_Q!$R$2:$R$600,5)/SUMIFS(Raw_Q!$I$2:$I$600,Raw_Q!$A$2:$A$600,$A27,Raw_Q!$R$2:$R$600,6)-1))*100,""))</f>
        <v>34.4758368274746</v>
      </c>
      <c r="Z27" s="49" t="n">
        <f aca="false">IF($A27="","",IFERROR(SUMIFS(Raw_Q!$L$2:$L$600,Raw_Q!$A$2:$A$600,$A27,Raw_Q!$R$2:$R$600,1)/SUMIFS(Raw_Q!$L$2:$L$600,Raw_Q!$A$2:$A$600,$A27,Raw_Q!$R$2:$R$600,5)-1,""))</f>
        <v>0.988013698630137</v>
      </c>
      <c r="AA27" s="49" t="n">
        <f aca="false">IF($A27="","",IFERROR(SUMIFS(Raw_Q!$J$2:$J$600,Raw_Q!$A$2:$A$600,$A27,Raw_Q!$R$2:$R$600,"&gt;=1",Raw_Q!$R$2:$R$600,"&lt;=4")/E27,""))</f>
        <v>0.227680486490901</v>
      </c>
      <c r="AB27" s="49" t="n">
        <f aca="false">IF($A27="","",IFERROR(SUMIFS(Raw_Q!$J$2:$J$600,Raw_Q!$A$2:$A$600,$A27,Raw_Q!$R$2:$R$600,"&gt;=1",Raw_Q!$R$2:$R$600,"&lt;="&amp;Config!$B$5)/SUMIFS(Raw_Q!$I$2:$I$600,Raw_Q!$A$2:$A$600,$A27,Raw_Q!$R$2:$R$600,"&gt;=1",Raw_Q!$R$2:$R$600,"&lt;="&amp;Config!$B$5),""))</f>
        <v>0.293191259294149</v>
      </c>
      <c r="AC27" s="50" t="n">
        <f aca="false">IF($A27="","",IFERROR((AA27-AB27)*10000,""))</f>
        <v>-655.107728032479</v>
      </c>
      <c r="AD27" s="50" t="n">
        <f aca="false">IF($A27="","",IFERROR((SUMIFS(Raw_Q!$J$2:$J$600,Raw_Q!$A$2:$A$600,$A27,Raw_Q!$R$2:$R$600,1)/SUMIFS(Raw_Q!$I$2:$I$600,Raw_Q!$A$2:$A$600,$A27,Raw_Q!$R$2:$R$600,1)-SUMIFS(Raw_Q!$J$2:$J$600,Raw_Q!$A$2:$A$600,$A27,Raw_Q!$R$2:$R$600,5)/SUMIFS(Raw_Q!$I$2:$I$600,Raw_Q!$A$2:$A$600,$A27,Raw_Q!$R$2:$R$600,5))*10000,""))</f>
        <v>-1177.28913656315</v>
      </c>
      <c r="AE27" s="51" t="n">
        <f aca="false">IF($A27="","",IFERROR(SUMIFS(Raw_Q!$O$2:$O$600,Raw_Q!$A$2:$A$600,$A27,Raw_Q!$R$2:$R$600,1)/SUMIFS(Raw_Q!$M$2:$M$600,Raw_Q!$A$2:$A$600,$A27,Raw_Q!$R$2:$R$600,1),""))</f>
        <v>100.478748529049</v>
      </c>
      <c r="AF27" s="48" t="n">
        <f aca="false">IF($A27="","",IFERROR(SUMPRODUCT((Raw_Q!$A$2:$A$600=$A27)*(Raw_Q!$R$2:$R$600&gt;=1)*(Raw_Q!$R$2:$R$600&lt;=4)*Raw_Q!$L$2:$L$600*Raw_Q!$M$2:$M$600),""))</f>
        <v>5227.804219</v>
      </c>
      <c r="AG27" s="49" t="n">
        <f aca="false">IF($A27="","",IFERROR(IF(MIN(SUMIFS(Raw_Q!$O$2:$O$600,Raw_Q!$A$2:$A$600,$A27,Raw_Q!$R$2:$R$600,1),SUMIFS(Raw_Q!$O$2:$O$600,Raw_Q!$A$2:$A$600,$A27,Raw_Q!$R$2:$R$600,5))&lt;=0,"N/M",AF27/((SUMIFS(Raw_Q!$O$2:$O$600,Raw_Q!$A$2:$A$600,$A27,Raw_Q!$R$2:$R$600,1)+SUMIFS(Raw_Q!$O$2:$O$600,Raw_Q!$A$2:$A$600,$A27,Raw_Q!$R$2:$R$600,5))/2)),"N/M"))</f>
        <v>0.430835140586038</v>
      </c>
      <c r="AH27" s="49" t="n">
        <f aca="false">IF($A27="","",IFERROR(AVERAGE(AP27:AT27),""))</f>
        <v>0.447017818679983</v>
      </c>
      <c r="AI27" s="49" t="n">
        <f aca="false">IF($A27="","",IFERROR(IF(AE27&lt;=0,"N/M",INDEX(Raw_Est!$B$2:$B$100,MATCH($A27,Raw_Est!$A$2:$A$100,0))/AE27),"N/M"))</f>
        <v>0.531975972855065</v>
      </c>
      <c r="AJ27" s="51" t="n">
        <f aca="false">IF($A27="","",IFERROR(SUMIFS(Raw_Q!$L$2:$L$600,Raw_Q!$A$2:$A$600,$A27,Raw_Q!$R$2:$R$600,0),""))</f>
        <v>12.35021</v>
      </c>
      <c r="AK27" s="66" t="str">
        <f aca="false">IF($A27="","",IFERROR(INDEX(Raw_Q!$B$2:$B$600,MATCH($A27&amp;"|"&amp;0,Raw_Q!$S$2:$S$600,0)),""))</f>
        <v>FY2026Q3E</v>
      </c>
      <c r="AL27" s="66" t="str">
        <f aca="false">IF($A27="","",IFERROR(INDEX(Raw_Q!$G$2:$G$600,MATCH($A27&amp;"|"&amp;0,Raw_Q!$S$2:$S$600,0)),""))</f>
        <v>consensus</v>
      </c>
      <c r="AM27" s="47" t="n">
        <f aca="false">IF($A27="","",IFERROR(INDEX(Raw_Est!$E$2:$E$100,MATCH($A27,Raw_Est!$A$2:$A$100,0)),""))</f>
        <v>17</v>
      </c>
      <c r="AN27" s="67" t="n">
        <f aca="false">IF($A27="","",IFERROR(INDEX(Raw_Price!$D$2:$D$100,MATCH($A27,Raw_Price!$A$2:$A$100,0)),""))</f>
        <v>0</v>
      </c>
      <c r="AO27" s="67" t="n">
        <f aca="false">IF($A27="","",IFERROR(INDEX(Raw_Price!$E$2:$E$100,MATCH($A27,Raw_Price!$A$2:$A$100,0)),""))</f>
        <v>46311</v>
      </c>
      <c r="AP27" s="49" t="n">
        <f aca="false">IF($A27="","",IFERROR(IF(MIN(SUMIFS(Raw_Q!$O$2:$O$600,Raw_Q!$A$2:$A$600,$A27,Raw_Q!$R$2:$R$600,1),SUMIFS(Raw_Q!$O$2:$O$600,Raw_Q!$A$2:$A$600,$A27,Raw_Q!$R$2:$R$600,5))&lt;=0,"",SUMPRODUCT((Raw_Q!$A$2:$A$600=$A27)*(Raw_Q!$R$2:$R$600&gt;=1)*(Raw_Q!$R$2:$R$600&lt;=4)*Raw_Q!$L$2:$L$600*Raw_Q!$M$2:$M$600)/((SUMIFS(Raw_Q!$O$2:$O$600,Raw_Q!$A$2:$A$600,$A27,Raw_Q!$R$2:$R$600,1)+SUMIFS(Raw_Q!$O$2:$O$600,Raw_Q!$A$2:$A$600,$A27,Raw_Q!$R$2:$R$600,5))/2)),""))</f>
        <v>0.430835140586038</v>
      </c>
      <c r="AQ27" s="49" t="n">
        <f aca="false">IF($A27="","",IFERROR(IF(MIN(SUMIFS(Raw_Q!$O$2:$O$600,Raw_Q!$A$2:$A$600,$A27,Raw_Q!$R$2:$R$600,5),SUMIFS(Raw_Q!$O$2:$O$600,Raw_Q!$A$2:$A$600,$A27,Raw_Q!$R$2:$R$600,9))&lt;=0,"",SUMPRODUCT((Raw_Q!$A$2:$A$600=$A27)*(Raw_Q!$R$2:$R$600&gt;=5)*(Raw_Q!$R$2:$R$600&lt;=8)*Raw_Q!$L$2:$L$600*Raw_Q!$M$2:$M$600)/((SUMIFS(Raw_Q!$O$2:$O$600,Raw_Q!$A$2:$A$600,$A27,Raw_Q!$R$2:$R$600,5)+SUMIFS(Raw_Q!$O$2:$O$600,Raw_Q!$A$2:$A$600,$A27,Raw_Q!$R$2:$R$600,9))/2)),""))</f>
        <v>0.358787212132508</v>
      </c>
      <c r="AR27" s="49" t="n">
        <f aca="false">IF($A27="","",IFERROR(IF(MIN(SUMIFS(Raw_Q!$O$2:$O$600,Raw_Q!$A$2:$A$600,$A27,Raw_Q!$R$2:$R$600,9),SUMIFS(Raw_Q!$O$2:$O$600,Raw_Q!$A$2:$A$600,$A27,Raw_Q!$R$2:$R$600,13))&lt;=0,"",SUMPRODUCT((Raw_Q!$A$2:$A$600=$A27)*(Raw_Q!$R$2:$R$600&gt;=9)*(Raw_Q!$R$2:$R$600&lt;=12)*Raw_Q!$L$2:$L$600*Raw_Q!$M$2:$M$600)/((SUMIFS(Raw_Q!$O$2:$O$600,Raw_Q!$A$2:$A$600,$A27,Raw_Q!$R$2:$R$600,9)+SUMIFS(Raw_Q!$O$2:$O$600,Raw_Q!$A$2:$A$600,$A27,Raw_Q!$R$2:$R$600,13))/2)),""))</f>
        <v>0.381443715372942</v>
      </c>
      <c r="AS27" s="49" t="n">
        <f aca="false">IF($A27="","",IFERROR(IF(MIN(SUMIFS(Raw_Q!$O$2:$O$600,Raw_Q!$A$2:$A$600,$A27,Raw_Q!$R$2:$R$600,13),SUMIFS(Raw_Q!$O$2:$O$600,Raw_Q!$A$2:$A$600,$A27,Raw_Q!$R$2:$R$600,17))&lt;=0,"",SUMPRODUCT((Raw_Q!$A$2:$A$600=$A27)*(Raw_Q!$R$2:$R$600&gt;=13)*(Raw_Q!$R$2:$R$600&lt;=16)*Raw_Q!$L$2:$L$600*Raw_Q!$M$2:$M$600)/((SUMIFS(Raw_Q!$O$2:$O$600,Raw_Q!$A$2:$A$600,$A27,Raw_Q!$R$2:$R$600,13)+SUMIFS(Raw_Q!$O$2:$O$600,Raw_Q!$A$2:$A$600,$A27,Raw_Q!$R$2:$R$600,17))/2)),""))</f>
        <v>0.615283120959458</v>
      </c>
      <c r="AT27" s="49" t="n">
        <f aca="false">IF($A27="","",IFERROR(IF(MIN(SUMIFS(Raw_Q!$O$2:$O$600,Raw_Q!$A$2:$A$600,$A27,Raw_Q!$R$2:$R$600,17),SUMIFS(Raw_Q!$O$2:$O$600,Raw_Q!$A$2:$A$600,$A27,Raw_Q!$R$2:$R$600,21))&lt;=0,"",SUMPRODUCT((Raw_Q!$A$2:$A$600=$A27)*(Raw_Q!$R$2:$R$600&gt;=17)*(Raw_Q!$R$2:$R$600&lt;=20)*Raw_Q!$L$2:$L$600*Raw_Q!$M$2:$M$600)/((SUMIFS(Raw_Q!$O$2:$O$600,Raw_Q!$A$2:$A$600,$A27,Raw_Q!$R$2:$R$600,17)+SUMIFS(Raw_Q!$O$2:$O$600,Raw_Q!$A$2:$A$600,$A27,Raw_Q!$R$2:$R$600,21))/2)),""))</f>
        <v>0.44873990434897</v>
      </c>
    </row>
    <row r="28" customFormat="false" ht="15" hidden="false" customHeight="false" outlineLevel="0" collapsed="false">
      <c r="A28" s="17" t="str">
        <f aca="false">IF(Tickers!A28="","",Tickers!A28)</f>
        <v/>
      </c>
      <c r="B28" s="66" t="str">
        <f aca="false">IF($A28="","",IFERROR(INDEX(Tickers!$B$2:$B$100,MATCH($A28,Tickers!$A$2:$A$100,0)),""))</f>
        <v/>
      </c>
      <c r="C28" s="66" t="str">
        <f aca="false">IF($A28="","",IFERROR(INDEX(Tickers!$D$2:$D$100,MATCH($A28,Tickers!$A$2:$A$100,0)),""))</f>
        <v/>
      </c>
      <c r="D28" s="51" t="str">
        <f aca="false">IF($A28="","",IFERROR(INDEX(Raw_Price!$B$2:$B$100,MATCH($A28,Raw_Price!$A$2:$A$100,0)),""))</f>
        <v/>
      </c>
      <c r="E28" s="48" t="str">
        <f aca="false">IF($A28="","",IFERROR(SUMIFS(Raw_Q!$I$2:$I$600,Raw_Q!$A$2:$A$600,$A28,Raw_Q!$R$2:$R$600,"&gt;=1",Raw_Q!$R$2:$R$600,"&lt;=4"),""))</f>
        <v/>
      </c>
      <c r="F28" s="51" t="str">
        <f aca="false">IF($A28="","",IFERROR(SUMIFS(Raw_Q!$L$2:$L$600,Raw_Q!$A$2:$A$600,$A28,Raw_Q!$R$2:$R$600,"&gt;=1",Raw_Q!$R$2:$R$600,"&lt;=4"),""))</f>
        <v/>
      </c>
      <c r="G28" s="51" t="str">
        <f aca="false">IF($A28="","",IFERROR(SUMIFS(Raw_Q!$L$2:$L$600,Raw_Q!$A$2:$A$600,$A28,Raw_Q!$R$2:$R$600,"&gt;=0",Raw_Q!$R$2:$R$600,"&lt;=3"),""))</f>
        <v/>
      </c>
      <c r="H28" s="51" t="str">
        <f aca="true">IF($A28="","",IFERROR(INDEX(Raw_Est!$B$2:$B$100,MATCH($A28,Raw_Est!$A$2:$A$100,0))*MIN(1,MAX(0,(INDEX(Raw_Est!$D$2:$D$100,MATCH($A28,Raw_Est!$A$2:$A$100,0))-TODAY())/Config!$B$8))+INDEX(Raw_Est!$C$2:$C$100,MATCH($A28,Raw_Est!$A$2:$A$100,0))*(1-MIN(1,MAX(0,(INDEX(Raw_Est!$D$2:$D$100,MATCH($A28,Raw_Est!$A$2:$A$100,0))-TODAY())/Config!$B$8))),""))</f>
        <v/>
      </c>
      <c r="I28" s="49" t="str">
        <f aca="false">IF($A28="","",IFERROR(SUMIFS(Raw_Q!$L$2:$L$600,Raw_Q!$A$2:$A$600,$A28,Raw_Q!$R$2:$R$600,"&gt;=1",Raw_Q!$R$2:$R$600,"&lt;=4")/SUMIFS(Raw_Q!$L$2:$L$600,Raw_Q!$A$2:$A$600,$A28,Raw_Q!$R$2:$R$600,"&gt;=5",Raw_Q!$R$2:$R$600,"&lt;=8")-1,""))</f>
        <v/>
      </c>
      <c r="J28" s="52" t="str">
        <f aca="false">IF($A28="","",IFERROR(IF(F28&lt;=0,"N/M",D28/F28),"N/M"))</f>
        <v/>
      </c>
      <c r="K28" s="52" t="str">
        <f aca="false">IF($A28="","",IFERROR(IF(G28&lt;=0,"N/M",D28/G28),"N/M"))</f>
        <v/>
      </c>
      <c r="L28" s="52" t="str">
        <f aca="false">IF($A28="","",IFERROR(IF(H28&lt;=0,"N/M",D28/H28),"N/M"))</f>
        <v/>
      </c>
      <c r="M28" s="49" t="str">
        <f aca="false">IF($A28="","",IFERROR(INDEX(Raw_Est!$C$2:$C$100,MATCH($A28,Raw_Est!$A$2:$A$100,0))/INDEX(Raw_Est!$B$2:$B$100,MATCH($A28,Raw_Est!$A$2:$A$100,0))-1,""))</f>
        <v/>
      </c>
      <c r="N28" s="51" t="str">
        <f aca="false">IF($A28="","",IFERROR(IF(OR(NOT(ISNUMBER(J28)),I28&lt;Config!$B$6),"N/M",J28/(I28*100)),"N/M"))</f>
        <v/>
      </c>
      <c r="O28" s="51" t="str">
        <f aca="false">IF($A28="","",IFERROR(IF(OR(NOT(ISNUMBER(L28)),M28&lt;Config!$B$6),"N/M",L28/(M28*100)),"N/M"))</f>
        <v/>
      </c>
      <c r="P28" s="51" t="str">
        <f aca="false">IF($A28="","",IFERROR(SUMIFS(Raw_Q!$P$2:$P$600,Raw_Q!$A$2:$A$600,$A28,Raw_Q!$R$2:$R$600,"&gt;=1",Raw_Q!$R$2:$R$600,"&lt;=4"),""))</f>
        <v/>
      </c>
      <c r="Q28" s="49" t="str">
        <f aca="false">IF($A28="","",IFERROR(IF(P28=0,"不配息",P28/D28),""))</f>
        <v/>
      </c>
      <c r="R28" s="49" t="str">
        <f aca="false">IF($A28="","",IFERROR(IF(SUMIFS(Raw_Q!$P$2:$P$600,Raw_Q!$A$2:$A$600,$A28,Raw_Q!$R$2:$R$600,"&gt;=5",Raw_Q!$R$2:$R$600,"&lt;=8")=0,"",SUMIFS(Raw_Q!$P$2:$P$600,Raw_Q!$A$2:$A$600,$A28,Raw_Q!$R$2:$R$600,"&gt;=1",Raw_Q!$R$2:$R$600,"&lt;=4")/SUMIFS(Raw_Q!$P$2:$P$600,Raw_Q!$A$2:$A$600,$A28,Raw_Q!$R$2:$R$600,"&gt;=5",Raw_Q!$R$2:$R$600,"&lt;=8")-1),""))</f>
        <v/>
      </c>
      <c r="S28" s="49" t="str">
        <f aca="false">IF($A28="","",IFERROR(SUMIFS(Raw_Q!$I$2:$I$600,Raw_Q!$A$2:$A$600,$A28,Raw_Q!$R$2:$R$600,1)/SUMIFS(Raw_Q!$I$2:$I$600,Raw_Q!$A$2:$A$600,$A28,Raw_Q!$R$2:$R$600,5)-1,""))</f>
        <v/>
      </c>
      <c r="T28" s="49" t="str">
        <f aca="false">IF($A28="","",IFERROR(SUMIFS(Raw_Q!$I$2:$I$600,Raw_Q!$A$2:$A$600,$A28,Raw_Q!$R$2:$R$600,1)/SUMIFS(Raw_Q!$I$2:$I$600,Raw_Q!$A$2:$A$600,$A28,Raw_Q!$R$2:$R$600,2)-1,""))</f>
        <v/>
      </c>
      <c r="U28" s="49" t="str">
        <f aca="false">IF($A28="","",IFERROR(SUMIFS(Raw_Q!$I$2:$I$600,Raw_Q!$A$2:$A$600,$A28,Raw_Q!$R$2:$R$600,2)/SUMIFS(Raw_Q!$I$2:$I$600,Raw_Q!$A$2:$A$600,$A28,Raw_Q!$R$2:$R$600,3)-1,""))</f>
        <v/>
      </c>
      <c r="V28" s="68" t="str">
        <f aca="false">IF($A28="","",IFERROR((T28-U28)*100,""))</f>
        <v/>
      </c>
      <c r="W28" s="49" t="str">
        <f aca="false">IF($A28="","",IFERROR(IF(OR(NOT(ISNUMBER(T28)),NOT(ISNUMBER(U28)),U28&lt;=0,ABS(U28)&lt;Config!$B$9),"N/M",(T28-U28)/ABS(U28)),"N/M"))</f>
        <v/>
      </c>
      <c r="X28" s="66" t="str">
        <f aca="false">IF($A28="","",IFERROR(IF(NOT(ISNUMBER(T28)),"",IF(AND(ISNUMBER(U28),U28&gt;0,T28&lt;=0),"由正轉負",IF(AND(ISNUMBER(U28),U28&lt;=0,T28&gt;0),"由負轉正",IF(T28&gt;0,IF(V28&gt;0,"成長且加速","成長但減速"),IF(V28&gt;0,"衰退但收斂","衰退且惡化"))))),""))</f>
        <v/>
      </c>
      <c r="Y28" s="68" t="str">
        <f aca="false">IF($A28="","",IFERROR((T28-(SUMIFS(Raw_Q!$I$2:$I$600,Raw_Q!$A$2:$A$600,$A28,Raw_Q!$R$2:$R$600,5)/SUMIFS(Raw_Q!$I$2:$I$600,Raw_Q!$A$2:$A$600,$A28,Raw_Q!$R$2:$R$600,6)-1))*100,""))</f>
        <v/>
      </c>
      <c r="Z28" s="49" t="str">
        <f aca="false">IF($A28="","",IFERROR(SUMIFS(Raw_Q!$L$2:$L$600,Raw_Q!$A$2:$A$600,$A28,Raw_Q!$R$2:$R$600,1)/SUMIFS(Raw_Q!$L$2:$L$600,Raw_Q!$A$2:$A$600,$A28,Raw_Q!$R$2:$R$600,5)-1,""))</f>
        <v/>
      </c>
      <c r="AA28" s="49" t="str">
        <f aca="false">IF($A28="","",IFERROR(SUMIFS(Raw_Q!$J$2:$J$600,Raw_Q!$A$2:$A$600,$A28,Raw_Q!$R$2:$R$600,"&gt;=1",Raw_Q!$R$2:$R$600,"&lt;=4")/E28,""))</f>
        <v/>
      </c>
      <c r="AB28" s="49" t="str">
        <f aca="false">IF($A28="","",IFERROR(SUMIFS(Raw_Q!$J$2:$J$600,Raw_Q!$A$2:$A$600,$A28,Raw_Q!$R$2:$R$600,"&gt;=1",Raw_Q!$R$2:$R$600,"&lt;="&amp;Config!$B$5)/SUMIFS(Raw_Q!$I$2:$I$600,Raw_Q!$A$2:$A$600,$A28,Raw_Q!$R$2:$R$600,"&gt;=1",Raw_Q!$R$2:$R$600,"&lt;="&amp;Config!$B$5),""))</f>
        <v/>
      </c>
      <c r="AC28" s="50" t="str">
        <f aca="false">IF($A28="","",IFERROR((AA28-AB28)*10000,""))</f>
        <v/>
      </c>
      <c r="AD28" s="50" t="str">
        <f aca="false">IF($A28="","",IFERROR((SUMIFS(Raw_Q!$J$2:$J$600,Raw_Q!$A$2:$A$600,$A28,Raw_Q!$R$2:$R$600,1)/SUMIFS(Raw_Q!$I$2:$I$600,Raw_Q!$A$2:$A$600,$A28,Raw_Q!$R$2:$R$600,1)-SUMIFS(Raw_Q!$J$2:$J$600,Raw_Q!$A$2:$A$600,$A28,Raw_Q!$R$2:$R$600,5)/SUMIFS(Raw_Q!$I$2:$I$600,Raw_Q!$A$2:$A$600,$A28,Raw_Q!$R$2:$R$600,5))*10000,""))</f>
        <v/>
      </c>
      <c r="AE28" s="51" t="str">
        <f aca="false">IF($A28="","",IFERROR(SUMIFS(Raw_Q!$O$2:$O$600,Raw_Q!$A$2:$A$600,$A28,Raw_Q!$R$2:$R$600,1)/SUMIFS(Raw_Q!$M$2:$M$600,Raw_Q!$A$2:$A$600,$A28,Raw_Q!$R$2:$R$600,1),""))</f>
        <v/>
      </c>
      <c r="AF28" s="48" t="str">
        <f aca="false">IF($A28="","",IFERROR(SUMPRODUCT((Raw_Q!$A$2:$A$600=$A28)*(Raw_Q!$R$2:$R$600&gt;=1)*(Raw_Q!$R$2:$R$600&lt;=4)*Raw_Q!$L$2:$L$600*Raw_Q!$M$2:$M$600),""))</f>
        <v/>
      </c>
      <c r="AG28" s="49" t="str">
        <f aca="false">IF($A28="","",IFERROR(IF(MIN(SUMIFS(Raw_Q!$O$2:$O$600,Raw_Q!$A$2:$A$600,$A28,Raw_Q!$R$2:$R$600,1),SUMIFS(Raw_Q!$O$2:$O$600,Raw_Q!$A$2:$A$600,$A28,Raw_Q!$R$2:$R$600,5))&lt;=0,"N/M",AF28/((SUMIFS(Raw_Q!$O$2:$O$600,Raw_Q!$A$2:$A$600,$A28,Raw_Q!$R$2:$R$600,1)+SUMIFS(Raw_Q!$O$2:$O$600,Raw_Q!$A$2:$A$600,$A28,Raw_Q!$R$2:$R$600,5))/2)),"N/M"))</f>
        <v/>
      </c>
      <c r="AH28" s="49" t="str">
        <f aca="false">IF($A28="","",IFERROR(AVERAGE(AP28:AT28),""))</f>
        <v/>
      </c>
      <c r="AI28" s="49" t="str">
        <f aca="false">IF($A28="","",IFERROR(IF(AE28&lt;=0,"N/M",INDEX(Raw_Est!$B$2:$B$100,MATCH($A28,Raw_Est!$A$2:$A$100,0))/AE28),"N/M"))</f>
        <v/>
      </c>
      <c r="AJ28" s="51" t="str">
        <f aca="false">IF($A28="","",IFERROR(SUMIFS(Raw_Q!$L$2:$L$600,Raw_Q!$A$2:$A$600,$A28,Raw_Q!$R$2:$R$600,0),""))</f>
        <v/>
      </c>
      <c r="AK28" s="66" t="str">
        <f aca="false">IF($A28="","",IFERROR(INDEX(Raw_Q!$B$2:$B$600,MATCH($A28&amp;"|"&amp;0,Raw_Q!$S$2:$S$600,0)),""))</f>
        <v/>
      </c>
      <c r="AL28" s="66" t="str">
        <f aca="false">IF($A28="","",IFERROR(INDEX(Raw_Q!$G$2:$G$600,MATCH($A28&amp;"|"&amp;0,Raw_Q!$S$2:$S$600,0)),""))</f>
        <v/>
      </c>
      <c r="AM28" s="47" t="str">
        <f aca="false">IF($A28="","",IFERROR(INDEX(Raw_Est!$E$2:$E$100,MATCH($A28,Raw_Est!$A$2:$A$100,0)),""))</f>
        <v/>
      </c>
      <c r="AN28" s="67" t="str">
        <f aca="false">IF($A28="","",IFERROR(INDEX(Raw_Price!$D$2:$D$100,MATCH($A28,Raw_Price!$A$2:$A$100,0)),""))</f>
        <v/>
      </c>
      <c r="AO28" s="67" t="str">
        <f aca="false">IF($A28="","",IFERROR(INDEX(Raw_Price!$E$2:$E$100,MATCH($A28,Raw_Price!$A$2:$A$100,0)),""))</f>
        <v/>
      </c>
      <c r="AP28" s="49" t="str">
        <f aca="false">IF($A28="","",IFERROR(IF(MIN(SUMIFS(Raw_Q!$O$2:$O$600,Raw_Q!$A$2:$A$600,$A28,Raw_Q!$R$2:$R$600,1),SUMIFS(Raw_Q!$O$2:$O$600,Raw_Q!$A$2:$A$600,$A28,Raw_Q!$R$2:$R$600,5))&lt;=0,"",SUMPRODUCT((Raw_Q!$A$2:$A$600=$A28)*(Raw_Q!$R$2:$R$600&gt;=1)*(Raw_Q!$R$2:$R$600&lt;=4)*Raw_Q!$L$2:$L$600*Raw_Q!$M$2:$M$600)/((SUMIFS(Raw_Q!$O$2:$O$600,Raw_Q!$A$2:$A$600,$A28,Raw_Q!$R$2:$R$600,1)+SUMIFS(Raw_Q!$O$2:$O$600,Raw_Q!$A$2:$A$600,$A28,Raw_Q!$R$2:$R$600,5))/2)),""))</f>
        <v/>
      </c>
      <c r="AQ28" s="49" t="str">
        <f aca="false">IF($A28="","",IFERROR(IF(MIN(SUMIFS(Raw_Q!$O$2:$O$600,Raw_Q!$A$2:$A$600,$A28,Raw_Q!$R$2:$R$600,5),SUMIFS(Raw_Q!$O$2:$O$600,Raw_Q!$A$2:$A$600,$A28,Raw_Q!$R$2:$R$600,9))&lt;=0,"",SUMPRODUCT((Raw_Q!$A$2:$A$600=$A28)*(Raw_Q!$R$2:$R$600&gt;=5)*(Raw_Q!$R$2:$R$600&lt;=8)*Raw_Q!$L$2:$L$600*Raw_Q!$M$2:$M$600)/((SUMIFS(Raw_Q!$O$2:$O$600,Raw_Q!$A$2:$A$600,$A28,Raw_Q!$R$2:$R$600,5)+SUMIFS(Raw_Q!$O$2:$O$600,Raw_Q!$A$2:$A$600,$A28,Raw_Q!$R$2:$R$600,9))/2)),""))</f>
        <v/>
      </c>
      <c r="AR28" s="49" t="str">
        <f aca="false">IF($A28="","",IFERROR(IF(MIN(SUMIFS(Raw_Q!$O$2:$O$600,Raw_Q!$A$2:$A$600,$A28,Raw_Q!$R$2:$R$600,9),SUMIFS(Raw_Q!$O$2:$O$600,Raw_Q!$A$2:$A$600,$A28,Raw_Q!$R$2:$R$600,13))&lt;=0,"",SUMPRODUCT((Raw_Q!$A$2:$A$600=$A28)*(Raw_Q!$R$2:$R$600&gt;=9)*(Raw_Q!$R$2:$R$600&lt;=12)*Raw_Q!$L$2:$L$600*Raw_Q!$M$2:$M$600)/((SUMIFS(Raw_Q!$O$2:$O$600,Raw_Q!$A$2:$A$600,$A28,Raw_Q!$R$2:$R$600,9)+SUMIFS(Raw_Q!$O$2:$O$600,Raw_Q!$A$2:$A$600,$A28,Raw_Q!$R$2:$R$600,13))/2)),""))</f>
        <v/>
      </c>
      <c r="AS28" s="49" t="str">
        <f aca="false">IF($A28="","",IFERROR(IF(MIN(SUMIFS(Raw_Q!$O$2:$O$600,Raw_Q!$A$2:$A$600,$A28,Raw_Q!$R$2:$R$600,13),SUMIFS(Raw_Q!$O$2:$O$600,Raw_Q!$A$2:$A$600,$A28,Raw_Q!$R$2:$R$600,17))&lt;=0,"",SUMPRODUCT((Raw_Q!$A$2:$A$600=$A28)*(Raw_Q!$R$2:$R$600&gt;=13)*(Raw_Q!$R$2:$R$600&lt;=16)*Raw_Q!$L$2:$L$600*Raw_Q!$M$2:$M$600)/((SUMIFS(Raw_Q!$O$2:$O$600,Raw_Q!$A$2:$A$600,$A28,Raw_Q!$R$2:$R$600,13)+SUMIFS(Raw_Q!$O$2:$O$600,Raw_Q!$A$2:$A$600,$A28,Raw_Q!$R$2:$R$600,17))/2)),""))</f>
        <v/>
      </c>
      <c r="AT28" s="49" t="str">
        <f aca="false">IF($A28="","",IFERROR(IF(MIN(SUMIFS(Raw_Q!$O$2:$O$600,Raw_Q!$A$2:$A$600,$A28,Raw_Q!$R$2:$R$600,17),SUMIFS(Raw_Q!$O$2:$O$600,Raw_Q!$A$2:$A$600,$A28,Raw_Q!$R$2:$R$600,21))&lt;=0,"",SUMPRODUCT((Raw_Q!$A$2:$A$600=$A28)*(Raw_Q!$R$2:$R$600&gt;=17)*(Raw_Q!$R$2:$R$600&lt;=20)*Raw_Q!$L$2:$L$600*Raw_Q!$M$2:$M$600)/((SUMIFS(Raw_Q!$O$2:$O$600,Raw_Q!$A$2:$A$600,$A28,Raw_Q!$R$2:$R$600,17)+SUMIFS(Raw_Q!$O$2:$O$600,Raw_Q!$A$2:$A$600,$A28,Raw_Q!$R$2:$R$600,21))/2)),""))</f>
        <v/>
      </c>
    </row>
    <row r="29" customFormat="false" ht="15" hidden="false" customHeight="false" outlineLevel="0" collapsed="false">
      <c r="A29" s="17" t="str">
        <f aca="false">IF(Tickers!A29="","",Tickers!A29)</f>
        <v/>
      </c>
      <c r="B29" s="66" t="str">
        <f aca="false">IF($A29="","",IFERROR(INDEX(Tickers!$B$2:$B$100,MATCH($A29,Tickers!$A$2:$A$100,0)),""))</f>
        <v/>
      </c>
      <c r="C29" s="66" t="str">
        <f aca="false">IF($A29="","",IFERROR(INDEX(Tickers!$D$2:$D$100,MATCH($A29,Tickers!$A$2:$A$100,0)),""))</f>
        <v/>
      </c>
      <c r="D29" s="51" t="str">
        <f aca="false">IF($A29="","",IFERROR(INDEX(Raw_Price!$B$2:$B$100,MATCH($A29,Raw_Price!$A$2:$A$100,0)),""))</f>
        <v/>
      </c>
      <c r="E29" s="48" t="str">
        <f aca="false">IF($A29="","",IFERROR(SUMIFS(Raw_Q!$I$2:$I$600,Raw_Q!$A$2:$A$600,$A29,Raw_Q!$R$2:$R$600,"&gt;=1",Raw_Q!$R$2:$R$600,"&lt;=4"),""))</f>
        <v/>
      </c>
      <c r="F29" s="51" t="str">
        <f aca="false">IF($A29="","",IFERROR(SUMIFS(Raw_Q!$L$2:$L$600,Raw_Q!$A$2:$A$600,$A29,Raw_Q!$R$2:$R$600,"&gt;=1",Raw_Q!$R$2:$R$600,"&lt;=4"),""))</f>
        <v/>
      </c>
      <c r="G29" s="51" t="str">
        <f aca="false">IF($A29="","",IFERROR(SUMIFS(Raw_Q!$L$2:$L$600,Raw_Q!$A$2:$A$600,$A29,Raw_Q!$R$2:$R$600,"&gt;=0",Raw_Q!$R$2:$R$600,"&lt;=3"),""))</f>
        <v/>
      </c>
      <c r="H29" s="51" t="str">
        <f aca="true">IF($A29="","",IFERROR(INDEX(Raw_Est!$B$2:$B$100,MATCH($A29,Raw_Est!$A$2:$A$100,0))*MIN(1,MAX(0,(INDEX(Raw_Est!$D$2:$D$100,MATCH($A29,Raw_Est!$A$2:$A$100,0))-TODAY())/Config!$B$8))+INDEX(Raw_Est!$C$2:$C$100,MATCH($A29,Raw_Est!$A$2:$A$100,0))*(1-MIN(1,MAX(0,(INDEX(Raw_Est!$D$2:$D$100,MATCH($A29,Raw_Est!$A$2:$A$100,0))-TODAY())/Config!$B$8))),""))</f>
        <v/>
      </c>
      <c r="I29" s="49" t="str">
        <f aca="false">IF($A29="","",IFERROR(SUMIFS(Raw_Q!$L$2:$L$600,Raw_Q!$A$2:$A$600,$A29,Raw_Q!$R$2:$R$600,"&gt;=1",Raw_Q!$R$2:$R$600,"&lt;=4")/SUMIFS(Raw_Q!$L$2:$L$600,Raw_Q!$A$2:$A$600,$A29,Raw_Q!$R$2:$R$600,"&gt;=5",Raw_Q!$R$2:$R$600,"&lt;=8")-1,""))</f>
        <v/>
      </c>
      <c r="J29" s="52" t="str">
        <f aca="false">IF($A29="","",IFERROR(IF(F29&lt;=0,"N/M",D29/F29),"N/M"))</f>
        <v/>
      </c>
      <c r="K29" s="52" t="str">
        <f aca="false">IF($A29="","",IFERROR(IF(G29&lt;=0,"N/M",D29/G29),"N/M"))</f>
        <v/>
      </c>
      <c r="L29" s="52" t="str">
        <f aca="false">IF($A29="","",IFERROR(IF(H29&lt;=0,"N/M",D29/H29),"N/M"))</f>
        <v/>
      </c>
      <c r="M29" s="49" t="str">
        <f aca="false">IF($A29="","",IFERROR(INDEX(Raw_Est!$C$2:$C$100,MATCH($A29,Raw_Est!$A$2:$A$100,0))/INDEX(Raw_Est!$B$2:$B$100,MATCH($A29,Raw_Est!$A$2:$A$100,0))-1,""))</f>
        <v/>
      </c>
      <c r="N29" s="51" t="str">
        <f aca="false">IF($A29="","",IFERROR(IF(OR(NOT(ISNUMBER(J29)),I29&lt;Config!$B$6),"N/M",J29/(I29*100)),"N/M"))</f>
        <v/>
      </c>
      <c r="O29" s="51" t="str">
        <f aca="false">IF($A29="","",IFERROR(IF(OR(NOT(ISNUMBER(L29)),M29&lt;Config!$B$6),"N/M",L29/(M29*100)),"N/M"))</f>
        <v/>
      </c>
      <c r="P29" s="51" t="str">
        <f aca="false">IF($A29="","",IFERROR(SUMIFS(Raw_Q!$P$2:$P$600,Raw_Q!$A$2:$A$600,$A29,Raw_Q!$R$2:$R$600,"&gt;=1",Raw_Q!$R$2:$R$600,"&lt;=4"),""))</f>
        <v/>
      </c>
      <c r="Q29" s="49" t="str">
        <f aca="false">IF($A29="","",IFERROR(IF(P29=0,"不配息",P29/D29),""))</f>
        <v/>
      </c>
      <c r="R29" s="49" t="str">
        <f aca="false">IF($A29="","",IFERROR(IF(SUMIFS(Raw_Q!$P$2:$P$600,Raw_Q!$A$2:$A$600,$A29,Raw_Q!$R$2:$R$600,"&gt;=5",Raw_Q!$R$2:$R$600,"&lt;=8")=0,"",SUMIFS(Raw_Q!$P$2:$P$600,Raw_Q!$A$2:$A$600,$A29,Raw_Q!$R$2:$R$600,"&gt;=1",Raw_Q!$R$2:$R$600,"&lt;=4")/SUMIFS(Raw_Q!$P$2:$P$600,Raw_Q!$A$2:$A$600,$A29,Raw_Q!$R$2:$R$600,"&gt;=5",Raw_Q!$R$2:$R$600,"&lt;=8")-1),""))</f>
        <v/>
      </c>
      <c r="S29" s="49" t="str">
        <f aca="false">IF($A29="","",IFERROR(SUMIFS(Raw_Q!$I$2:$I$600,Raw_Q!$A$2:$A$600,$A29,Raw_Q!$R$2:$R$600,1)/SUMIFS(Raw_Q!$I$2:$I$600,Raw_Q!$A$2:$A$600,$A29,Raw_Q!$R$2:$R$600,5)-1,""))</f>
        <v/>
      </c>
      <c r="T29" s="49" t="str">
        <f aca="false">IF($A29="","",IFERROR(SUMIFS(Raw_Q!$I$2:$I$600,Raw_Q!$A$2:$A$600,$A29,Raw_Q!$R$2:$R$600,1)/SUMIFS(Raw_Q!$I$2:$I$600,Raw_Q!$A$2:$A$600,$A29,Raw_Q!$R$2:$R$600,2)-1,""))</f>
        <v/>
      </c>
      <c r="U29" s="49" t="str">
        <f aca="false">IF($A29="","",IFERROR(SUMIFS(Raw_Q!$I$2:$I$600,Raw_Q!$A$2:$A$600,$A29,Raw_Q!$R$2:$R$600,2)/SUMIFS(Raw_Q!$I$2:$I$600,Raw_Q!$A$2:$A$600,$A29,Raw_Q!$R$2:$R$600,3)-1,""))</f>
        <v/>
      </c>
      <c r="V29" s="68" t="str">
        <f aca="false">IF($A29="","",IFERROR((T29-U29)*100,""))</f>
        <v/>
      </c>
      <c r="W29" s="49" t="str">
        <f aca="false">IF($A29="","",IFERROR(IF(OR(NOT(ISNUMBER(T29)),NOT(ISNUMBER(U29)),U29&lt;=0,ABS(U29)&lt;Config!$B$9),"N/M",(T29-U29)/ABS(U29)),"N/M"))</f>
        <v/>
      </c>
      <c r="X29" s="66" t="str">
        <f aca="false">IF($A29="","",IFERROR(IF(NOT(ISNUMBER(T29)),"",IF(AND(ISNUMBER(U29),U29&gt;0,T29&lt;=0),"由正轉負",IF(AND(ISNUMBER(U29),U29&lt;=0,T29&gt;0),"由負轉正",IF(T29&gt;0,IF(V29&gt;0,"成長且加速","成長但減速"),IF(V29&gt;0,"衰退但收斂","衰退且惡化"))))),""))</f>
        <v/>
      </c>
      <c r="Y29" s="68" t="str">
        <f aca="false">IF($A29="","",IFERROR((T29-(SUMIFS(Raw_Q!$I$2:$I$600,Raw_Q!$A$2:$A$600,$A29,Raw_Q!$R$2:$R$600,5)/SUMIFS(Raw_Q!$I$2:$I$600,Raw_Q!$A$2:$A$600,$A29,Raw_Q!$R$2:$R$600,6)-1))*100,""))</f>
        <v/>
      </c>
      <c r="Z29" s="49" t="str">
        <f aca="false">IF($A29="","",IFERROR(SUMIFS(Raw_Q!$L$2:$L$600,Raw_Q!$A$2:$A$600,$A29,Raw_Q!$R$2:$R$600,1)/SUMIFS(Raw_Q!$L$2:$L$600,Raw_Q!$A$2:$A$600,$A29,Raw_Q!$R$2:$R$600,5)-1,""))</f>
        <v/>
      </c>
      <c r="AA29" s="49" t="str">
        <f aca="false">IF($A29="","",IFERROR(SUMIFS(Raw_Q!$J$2:$J$600,Raw_Q!$A$2:$A$600,$A29,Raw_Q!$R$2:$R$600,"&gt;=1",Raw_Q!$R$2:$R$600,"&lt;=4")/E29,""))</f>
        <v/>
      </c>
      <c r="AB29" s="49" t="str">
        <f aca="false">IF($A29="","",IFERROR(SUMIFS(Raw_Q!$J$2:$J$600,Raw_Q!$A$2:$A$600,$A29,Raw_Q!$R$2:$R$600,"&gt;=1",Raw_Q!$R$2:$R$600,"&lt;="&amp;Config!$B$5)/SUMIFS(Raw_Q!$I$2:$I$600,Raw_Q!$A$2:$A$600,$A29,Raw_Q!$R$2:$R$600,"&gt;=1",Raw_Q!$R$2:$R$600,"&lt;="&amp;Config!$B$5),""))</f>
        <v/>
      </c>
      <c r="AC29" s="50" t="str">
        <f aca="false">IF($A29="","",IFERROR((AA29-AB29)*10000,""))</f>
        <v/>
      </c>
      <c r="AD29" s="50" t="str">
        <f aca="false">IF($A29="","",IFERROR((SUMIFS(Raw_Q!$J$2:$J$600,Raw_Q!$A$2:$A$600,$A29,Raw_Q!$R$2:$R$600,1)/SUMIFS(Raw_Q!$I$2:$I$600,Raw_Q!$A$2:$A$600,$A29,Raw_Q!$R$2:$R$600,1)-SUMIFS(Raw_Q!$J$2:$J$600,Raw_Q!$A$2:$A$600,$A29,Raw_Q!$R$2:$R$600,5)/SUMIFS(Raw_Q!$I$2:$I$600,Raw_Q!$A$2:$A$600,$A29,Raw_Q!$R$2:$R$600,5))*10000,""))</f>
        <v/>
      </c>
      <c r="AE29" s="51" t="str">
        <f aca="false">IF($A29="","",IFERROR(SUMIFS(Raw_Q!$O$2:$O$600,Raw_Q!$A$2:$A$600,$A29,Raw_Q!$R$2:$R$600,1)/SUMIFS(Raw_Q!$M$2:$M$600,Raw_Q!$A$2:$A$600,$A29,Raw_Q!$R$2:$R$600,1),""))</f>
        <v/>
      </c>
      <c r="AF29" s="48" t="str">
        <f aca="false">IF($A29="","",IFERROR(SUMPRODUCT((Raw_Q!$A$2:$A$600=$A29)*(Raw_Q!$R$2:$R$600&gt;=1)*(Raw_Q!$R$2:$R$600&lt;=4)*Raw_Q!$L$2:$L$600*Raw_Q!$M$2:$M$600),""))</f>
        <v/>
      </c>
      <c r="AG29" s="49" t="str">
        <f aca="false">IF($A29="","",IFERROR(IF(MIN(SUMIFS(Raw_Q!$O$2:$O$600,Raw_Q!$A$2:$A$600,$A29,Raw_Q!$R$2:$R$600,1),SUMIFS(Raw_Q!$O$2:$O$600,Raw_Q!$A$2:$A$600,$A29,Raw_Q!$R$2:$R$600,5))&lt;=0,"N/M",AF29/((SUMIFS(Raw_Q!$O$2:$O$600,Raw_Q!$A$2:$A$600,$A29,Raw_Q!$R$2:$R$600,1)+SUMIFS(Raw_Q!$O$2:$O$600,Raw_Q!$A$2:$A$600,$A29,Raw_Q!$R$2:$R$600,5))/2)),"N/M"))</f>
        <v/>
      </c>
      <c r="AH29" s="49" t="str">
        <f aca="false">IF($A29="","",IFERROR(AVERAGE(AP29:AT29),""))</f>
        <v/>
      </c>
      <c r="AI29" s="49" t="str">
        <f aca="false">IF($A29="","",IFERROR(IF(AE29&lt;=0,"N/M",INDEX(Raw_Est!$B$2:$B$100,MATCH($A29,Raw_Est!$A$2:$A$100,0))/AE29),"N/M"))</f>
        <v/>
      </c>
      <c r="AJ29" s="51" t="str">
        <f aca="false">IF($A29="","",IFERROR(SUMIFS(Raw_Q!$L$2:$L$600,Raw_Q!$A$2:$A$600,$A29,Raw_Q!$R$2:$R$600,0),""))</f>
        <v/>
      </c>
      <c r="AK29" s="66" t="str">
        <f aca="false">IF($A29="","",IFERROR(INDEX(Raw_Q!$B$2:$B$600,MATCH($A29&amp;"|"&amp;0,Raw_Q!$S$2:$S$600,0)),""))</f>
        <v/>
      </c>
      <c r="AL29" s="66" t="str">
        <f aca="false">IF($A29="","",IFERROR(INDEX(Raw_Q!$G$2:$G$600,MATCH($A29&amp;"|"&amp;0,Raw_Q!$S$2:$S$600,0)),""))</f>
        <v/>
      </c>
      <c r="AM29" s="47" t="str">
        <f aca="false">IF($A29="","",IFERROR(INDEX(Raw_Est!$E$2:$E$100,MATCH($A29,Raw_Est!$A$2:$A$100,0)),""))</f>
        <v/>
      </c>
      <c r="AN29" s="67" t="str">
        <f aca="false">IF($A29="","",IFERROR(INDEX(Raw_Price!$D$2:$D$100,MATCH($A29,Raw_Price!$A$2:$A$100,0)),""))</f>
        <v/>
      </c>
      <c r="AO29" s="67" t="str">
        <f aca="false">IF($A29="","",IFERROR(INDEX(Raw_Price!$E$2:$E$100,MATCH($A29,Raw_Price!$A$2:$A$100,0)),""))</f>
        <v/>
      </c>
      <c r="AP29" s="49" t="str">
        <f aca="false">IF($A29="","",IFERROR(IF(MIN(SUMIFS(Raw_Q!$O$2:$O$600,Raw_Q!$A$2:$A$600,$A29,Raw_Q!$R$2:$R$600,1),SUMIFS(Raw_Q!$O$2:$O$600,Raw_Q!$A$2:$A$600,$A29,Raw_Q!$R$2:$R$600,5))&lt;=0,"",SUMPRODUCT((Raw_Q!$A$2:$A$600=$A29)*(Raw_Q!$R$2:$R$600&gt;=1)*(Raw_Q!$R$2:$R$600&lt;=4)*Raw_Q!$L$2:$L$600*Raw_Q!$M$2:$M$600)/((SUMIFS(Raw_Q!$O$2:$O$600,Raw_Q!$A$2:$A$600,$A29,Raw_Q!$R$2:$R$600,1)+SUMIFS(Raw_Q!$O$2:$O$600,Raw_Q!$A$2:$A$600,$A29,Raw_Q!$R$2:$R$600,5))/2)),""))</f>
        <v/>
      </c>
      <c r="AQ29" s="49" t="str">
        <f aca="false">IF($A29="","",IFERROR(IF(MIN(SUMIFS(Raw_Q!$O$2:$O$600,Raw_Q!$A$2:$A$600,$A29,Raw_Q!$R$2:$R$600,5),SUMIFS(Raw_Q!$O$2:$O$600,Raw_Q!$A$2:$A$600,$A29,Raw_Q!$R$2:$R$600,9))&lt;=0,"",SUMPRODUCT((Raw_Q!$A$2:$A$600=$A29)*(Raw_Q!$R$2:$R$600&gt;=5)*(Raw_Q!$R$2:$R$600&lt;=8)*Raw_Q!$L$2:$L$600*Raw_Q!$M$2:$M$600)/((SUMIFS(Raw_Q!$O$2:$O$600,Raw_Q!$A$2:$A$600,$A29,Raw_Q!$R$2:$R$600,5)+SUMIFS(Raw_Q!$O$2:$O$600,Raw_Q!$A$2:$A$600,$A29,Raw_Q!$R$2:$R$600,9))/2)),""))</f>
        <v/>
      </c>
      <c r="AR29" s="49" t="str">
        <f aca="false">IF($A29="","",IFERROR(IF(MIN(SUMIFS(Raw_Q!$O$2:$O$600,Raw_Q!$A$2:$A$600,$A29,Raw_Q!$R$2:$R$600,9),SUMIFS(Raw_Q!$O$2:$O$600,Raw_Q!$A$2:$A$600,$A29,Raw_Q!$R$2:$R$600,13))&lt;=0,"",SUMPRODUCT((Raw_Q!$A$2:$A$600=$A29)*(Raw_Q!$R$2:$R$600&gt;=9)*(Raw_Q!$R$2:$R$600&lt;=12)*Raw_Q!$L$2:$L$600*Raw_Q!$M$2:$M$600)/((SUMIFS(Raw_Q!$O$2:$O$600,Raw_Q!$A$2:$A$600,$A29,Raw_Q!$R$2:$R$600,9)+SUMIFS(Raw_Q!$O$2:$O$600,Raw_Q!$A$2:$A$600,$A29,Raw_Q!$R$2:$R$600,13))/2)),""))</f>
        <v/>
      </c>
      <c r="AS29" s="49" t="str">
        <f aca="false">IF($A29="","",IFERROR(IF(MIN(SUMIFS(Raw_Q!$O$2:$O$600,Raw_Q!$A$2:$A$600,$A29,Raw_Q!$R$2:$R$600,13),SUMIFS(Raw_Q!$O$2:$O$600,Raw_Q!$A$2:$A$600,$A29,Raw_Q!$R$2:$R$600,17))&lt;=0,"",SUMPRODUCT((Raw_Q!$A$2:$A$600=$A29)*(Raw_Q!$R$2:$R$600&gt;=13)*(Raw_Q!$R$2:$R$600&lt;=16)*Raw_Q!$L$2:$L$600*Raw_Q!$M$2:$M$600)/((SUMIFS(Raw_Q!$O$2:$O$600,Raw_Q!$A$2:$A$600,$A29,Raw_Q!$R$2:$R$600,13)+SUMIFS(Raw_Q!$O$2:$O$600,Raw_Q!$A$2:$A$600,$A29,Raw_Q!$R$2:$R$600,17))/2)),""))</f>
        <v/>
      </c>
      <c r="AT29" s="49" t="str">
        <f aca="false">IF($A29="","",IFERROR(IF(MIN(SUMIFS(Raw_Q!$O$2:$O$600,Raw_Q!$A$2:$A$600,$A29,Raw_Q!$R$2:$R$600,17),SUMIFS(Raw_Q!$O$2:$O$600,Raw_Q!$A$2:$A$600,$A29,Raw_Q!$R$2:$R$600,21))&lt;=0,"",SUMPRODUCT((Raw_Q!$A$2:$A$600=$A29)*(Raw_Q!$R$2:$R$600&gt;=17)*(Raw_Q!$R$2:$R$600&lt;=20)*Raw_Q!$L$2:$L$600*Raw_Q!$M$2:$M$600)/((SUMIFS(Raw_Q!$O$2:$O$600,Raw_Q!$A$2:$A$600,$A29,Raw_Q!$R$2:$R$600,17)+SUMIFS(Raw_Q!$O$2:$O$600,Raw_Q!$A$2:$A$600,$A29,Raw_Q!$R$2:$R$600,21))/2)),""))</f>
        <v/>
      </c>
    </row>
    <row r="30" customFormat="false" ht="15" hidden="false" customHeight="false" outlineLevel="0" collapsed="false">
      <c r="A30" s="17" t="str">
        <f aca="false">IF(Tickers!A30="","",Tickers!A30)</f>
        <v/>
      </c>
      <c r="B30" s="66" t="str">
        <f aca="false">IF($A30="","",IFERROR(INDEX(Tickers!$B$2:$B$100,MATCH($A30,Tickers!$A$2:$A$100,0)),""))</f>
        <v/>
      </c>
      <c r="C30" s="66" t="str">
        <f aca="false">IF($A30="","",IFERROR(INDEX(Tickers!$D$2:$D$100,MATCH($A30,Tickers!$A$2:$A$100,0)),""))</f>
        <v/>
      </c>
      <c r="D30" s="51" t="str">
        <f aca="false">IF($A30="","",IFERROR(INDEX(Raw_Price!$B$2:$B$100,MATCH($A30,Raw_Price!$A$2:$A$100,0)),""))</f>
        <v/>
      </c>
      <c r="E30" s="48" t="str">
        <f aca="false">IF($A30="","",IFERROR(SUMIFS(Raw_Q!$I$2:$I$600,Raw_Q!$A$2:$A$600,$A30,Raw_Q!$R$2:$R$600,"&gt;=1",Raw_Q!$R$2:$R$600,"&lt;=4"),""))</f>
        <v/>
      </c>
      <c r="F30" s="51" t="str">
        <f aca="false">IF($A30="","",IFERROR(SUMIFS(Raw_Q!$L$2:$L$600,Raw_Q!$A$2:$A$600,$A30,Raw_Q!$R$2:$R$600,"&gt;=1",Raw_Q!$R$2:$R$600,"&lt;=4"),""))</f>
        <v/>
      </c>
      <c r="G30" s="51" t="str">
        <f aca="false">IF($A30="","",IFERROR(SUMIFS(Raw_Q!$L$2:$L$600,Raw_Q!$A$2:$A$600,$A30,Raw_Q!$R$2:$R$600,"&gt;=0",Raw_Q!$R$2:$R$600,"&lt;=3"),""))</f>
        <v/>
      </c>
      <c r="H30" s="51" t="str">
        <f aca="true">IF($A30="","",IFERROR(INDEX(Raw_Est!$B$2:$B$100,MATCH($A30,Raw_Est!$A$2:$A$100,0))*MIN(1,MAX(0,(INDEX(Raw_Est!$D$2:$D$100,MATCH($A30,Raw_Est!$A$2:$A$100,0))-TODAY())/Config!$B$8))+INDEX(Raw_Est!$C$2:$C$100,MATCH($A30,Raw_Est!$A$2:$A$100,0))*(1-MIN(1,MAX(0,(INDEX(Raw_Est!$D$2:$D$100,MATCH($A30,Raw_Est!$A$2:$A$100,0))-TODAY())/Config!$B$8))),""))</f>
        <v/>
      </c>
      <c r="I30" s="49" t="str">
        <f aca="false">IF($A30="","",IFERROR(SUMIFS(Raw_Q!$L$2:$L$600,Raw_Q!$A$2:$A$600,$A30,Raw_Q!$R$2:$R$600,"&gt;=1",Raw_Q!$R$2:$R$600,"&lt;=4")/SUMIFS(Raw_Q!$L$2:$L$600,Raw_Q!$A$2:$A$600,$A30,Raw_Q!$R$2:$R$600,"&gt;=5",Raw_Q!$R$2:$R$600,"&lt;=8")-1,""))</f>
        <v/>
      </c>
      <c r="J30" s="52" t="str">
        <f aca="false">IF($A30="","",IFERROR(IF(F30&lt;=0,"N/M",D30/F30),"N/M"))</f>
        <v/>
      </c>
      <c r="K30" s="52" t="str">
        <f aca="false">IF($A30="","",IFERROR(IF(G30&lt;=0,"N/M",D30/G30),"N/M"))</f>
        <v/>
      </c>
      <c r="L30" s="52" t="str">
        <f aca="false">IF($A30="","",IFERROR(IF(H30&lt;=0,"N/M",D30/H30),"N/M"))</f>
        <v/>
      </c>
      <c r="M30" s="49" t="str">
        <f aca="false">IF($A30="","",IFERROR(INDEX(Raw_Est!$C$2:$C$100,MATCH($A30,Raw_Est!$A$2:$A$100,0))/INDEX(Raw_Est!$B$2:$B$100,MATCH($A30,Raw_Est!$A$2:$A$100,0))-1,""))</f>
        <v/>
      </c>
      <c r="N30" s="51" t="str">
        <f aca="false">IF($A30="","",IFERROR(IF(OR(NOT(ISNUMBER(J30)),I30&lt;Config!$B$6),"N/M",J30/(I30*100)),"N/M"))</f>
        <v/>
      </c>
      <c r="O30" s="51" t="str">
        <f aca="false">IF($A30="","",IFERROR(IF(OR(NOT(ISNUMBER(L30)),M30&lt;Config!$B$6),"N/M",L30/(M30*100)),"N/M"))</f>
        <v/>
      </c>
      <c r="P30" s="51" t="str">
        <f aca="false">IF($A30="","",IFERROR(SUMIFS(Raw_Q!$P$2:$P$600,Raw_Q!$A$2:$A$600,$A30,Raw_Q!$R$2:$R$600,"&gt;=1",Raw_Q!$R$2:$R$600,"&lt;=4"),""))</f>
        <v/>
      </c>
      <c r="Q30" s="49" t="str">
        <f aca="false">IF($A30="","",IFERROR(IF(P30=0,"不配息",P30/D30),""))</f>
        <v/>
      </c>
      <c r="R30" s="49" t="str">
        <f aca="false">IF($A30="","",IFERROR(IF(SUMIFS(Raw_Q!$P$2:$P$600,Raw_Q!$A$2:$A$600,$A30,Raw_Q!$R$2:$R$600,"&gt;=5",Raw_Q!$R$2:$R$600,"&lt;=8")=0,"",SUMIFS(Raw_Q!$P$2:$P$600,Raw_Q!$A$2:$A$600,$A30,Raw_Q!$R$2:$R$600,"&gt;=1",Raw_Q!$R$2:$R$600,"&lt;=4")/SUMIFS(Raw_Q!$P$2:$P$600,Raw_Q!$A$2:$A$600,$A30,Raw_Q!$R$2:$R$600,"&gt;=5",Raw_Q!$R$2:$R$600,"&lt;=8")-1),""))</f>
        <v/>
      </c>
      <c r="S30" s="49" t="str">
        <f aca="false">IF($A30="","",IFERROR(SUMIFS(Raw_Q!$I$2:$I$600,Raw_Q!$A$2:$A$600,$A30,Raw_Q!$R$2:$R$600,1)/SUMIFS(Raw_Q!$I$2:$I$600,Raw_Q!$A$2:$A$600,$A30,Raw_Q!$R$2:$R$600,5)-1,""))</f>
        <v/>
      </c>
      <c r="T30" s="49" t="str">
        <f aca="false">IF($A30="","",IFERROR(SUMIFS(Raw_Q!$I$2:$I$600,Raw_Q!$A$2:$A$600,$A30,Raw_Q!$R$2:$R$600,1)/SUMIFS(Raw_Q!$I$2:$I$600,Raw_Q!$A$2:$A$600,$A30,Raw_Q!$R$2:$R$600,2)-1,""))</f>
        <v/>
      </c>
      <c r="U30" s="49" t="str">
        <f aca="false">IF($A30="","",IFERROR(SUMIFS(Raw_Q!$I$2:$I$600,Raw_Q!$A$2:$A$600,$A30,Raw_Q!$R$2:$R$600,2)/SUMIFS(Raw_Q!$I$2:$I$600,Raw_Q!$A$2:$A$600,$A30,Raw_Q!$R$2:$R$600,3)-1,""))</f>
        <v/>
      </c>
      <c r="V30" s="68" t="str">
        <f aca="false">IF($A30="","",IFERROR((T30-U30)*100,""))</f>
        <v/>
      </c>
      <c r="W30" s="49" t="str">
        <f aca="false">IF($A30="","",IFERROR(IF(OR(NOT(ISNUMBER(T30)),NOT(ISNUMBER(U30)),U30&lt;=0,ABS(U30)&lt;Config!$B$9),"N/M",(T30-U30)/ABS(U30)),"N/M"))</f>
        <v/>
      </c>
      <c r="X30" s="66" t="str">
        <f aca="false">IF($A30="","",IFERROR(IF(NOT(ISNUMBER(T30)),"",IF(AND(ISNUMBER(U30),U30&gt;0,T30&lt;=0),"由正轉負",IF(AND(ISNUMBER(U30),U30&lt;=0,T30&gt;0),"由負轉正",IF(T30&gt;0,IF(V30&gt;0,"成長且加速","成長但減速"),IF(V30&gt;0,"衰退但收斂","衰退且惡化"))))),""))</f>
        <v/>
      </c>
      <c r="Y30" s="68" t="str">
        <f aca="false">IF($A30="","",IFERROR((T30-(SUMIFS(Raw_Q!$I$2:$I$600,Raw_Q!$A$2:$A$600,$A30,Raw_Q!$R$2:$R$600,5)/SUMIFS(Raw_Q!$I$2:$I$600,Raw_Q!$A$2:$A$600,$A30,Raw_Q!$R$2:$R$600,6)-1))*100,""))</f>
        <v/>
      </c>
      <c r="Z30" s="49" t="str">
        <f aca="false">IF($A30="","",IFERROR(SUMIFS(Raw_Q!$L$2:$L$600,Raw_Q!$A$2:$A$600,$A30,Raw_Q!$R$2:$R$600,1)/SUMIFS(Raw_Q!$L$2:$L$600,Raw_Q!$A$2:$A$600,$A30,Raw_Q!$R$2:$R$600,5)-1,""))</f>
        <v/>
      </c>
      <c r="AA30" s="49" t="str">
        <f aca="false">IF($A30="","",IFERROR(SUMIFS(Raw_Q!$J$2:$J$600,Raw_Q!$A$2:$A$600,$A30,Raw_Q!$R$2:$R$600,"&gt;=1",Raw_Q!$R$2:$R$600,"&lt;=4")/E30,""))</f>
        <v/>
      </c>
      <c r="AB30" s="49" t="str">
        <f aca="false">IF($A30="","",IFERROR(SUMIFS(Raw_Q!$J$2:$J$600,Raw_Q!$A$2:$A$600,$A30,Raw_Q!$R$2:$R$600,"&gt;=1",Raw_Q!$R$2:$R$600,"&lt;="&amp;Config!$B$5)/SUMIFS(Raw_Q!$I$2:$I$600,Raw_Q!$A$2:$A$600,$A30,Raw_Q!$R$2:$R$600,"&gt;=1",Raw_Q!$R$2:$R$600,"&lt;="&amp;Config!$B$5),""))</f>
        <v/>
      </c>
      <c r="AC30" s="50" t="str">
        <f aca="false">IF($A30="","",IFERROR((AA30-AB30)*10000,""))</f>
        <v/>
      </c>
      <c r="AD30" s="50" t="str">
        <f aca="false">IF($A30="","",IFERROR((SUMIFS(Raw_Q!$J$2:$J$600,Raw_Q!$A$2:$A$600,$A30,Raw_Q!$R$2:$R$600,1)/SUMIFS(Raw_Q!$I$2:$I$600,Raw_Q!$A$2:$A$600,$A30,Raw_Q!$R$2:$R$600,1)-SUMIFS(Raw_Q!$J$2:$J$600,Raw_Q!$A$2:$A$600,$A30,Raw_Q!$R$2:$R$600,5)/SUMIFS(Raw_Q!$I$2:$I$600,Raw_Q!$A$2:$A$600,$A30,Raw_Q!$R$2:$R$600,5))*10000,""))</f>
        <v/>
      </c>
      <c r="AE30" s="51" t="str">
        <f aca="false">IF($A30="","",IFERROR(SUMIFS(Raw_Q!$O$2:$O$600,Raw_Q!$A$2:$A$600,$A30,Raw_Q!$R$2:$R$600,1)/SUMIFS(Raw_Q!$M$2:$M$600,Raw_Q!$A$2:$A$600,$A30,Raw_Q!$R$2:$R$600,1),""))</f>
        <v/>
      </c>
      <c r="AF30" s="48" t="str">
        <f aca="false">IF($A30="","",IFERROR(SUMPRODUCT((Raw_Q!$A$2:$A$600=$A30)*(Raw_Q!$R$2:$R$600&gt;=1)*(Raw_Q!$R$2:$R$600&lt;=4)*Raw_Q!$L$2:$L$600*Raw_Q!$M$2:$M$600),""))</f>
        <v/>
      </c>
      <c r="AG30" s="49" t="str">
        <f aca="false">IF($A30="","",IFERROR(IF(MIN(SUMIFS(Raw_Q!$O$2:$O$600,Raw_Q!$A$2:$A$600,$A30,Raw_Q!$R$2:$R$600,1),SUMIFS(Raw_Q!$O$2:$O$600,Raw_Q!$A$2:$A$600,$A30,Raw_Q!$R$2:$R$600,5))&lt;=0,"N/M",AF30/((SUMIFS(Raw_Q!$O$2:$O$600,Raw_Q!$A$2:$A$600,$A30,Raw_Q!$R$2:$R$600,1)+SUMIFS(Raw_Q!$O$2:$O$600,Raw_Q!$A$2:$A$600,$A30,Raw_Q!$R$2:$R$600,5))/2)),"N/M"))</f>
        <v/>
      </c>
      <c r="AH30" s="49" t="str">
        <f aca="false">IF($A30="","",IFERROR(AVERAGE(AP30:AT30),""))</f>
        <v/>
      </c>
      <c r="AI30" s="49" t="str">
        <f aca="false">IF($A30="","",IFERROR(IF(AE30&lt;=0,"N/M",INDEX(Raw_Est!$B$2:$B$100,MATCH($A30,Raw_Est!$A$2:$A$100,0))/AE30),"N/M"))</f>
        <v/>
      </c>
      <c r="AJ30" s="51" t="str">
        <f aca="false">IF($A30="","",IFERROR(SUMIFS(Raw_Q!$L$2:$L$600,Raw_Q!$A$2:$A$600,$A30,Raw_Q!$R$2:$R$600,0),""))</f>
        <v/>
      </c>
      <c r="AK30" s="66" t="str">
        <f aca="false">IF($A30="","",IFERROR(INDEX(Raw_Q!$B$2:$B$600,MATCH($A30&amp;"|"&amp;0,Raw_Q!$S$2:$S$600,0)),""))</f>
        <v/>
      </c>
      <c r="AL30" s="66" t="str">
        <f aca="false">IF($A30="","",IFERROR(INDEX(Raw_Q!$G$2:$G$600,MATCH($A30&amp;"|"&amp;0,Raw_Q!$S$2:$S$600,0)),""))</f>
        <v/>
      </c>
      <c r="AM30" s="47" t="str">
        <f aca="false">IF($A30="","",IFERROR(INDEX(Raw_Est!$E$2:$E$100,MATCH($A30,Raw_Est!$A$2:$A$100,0)),""))</f>
        <v/>
      </c>
      <c r="AN30" s="67" t="str">
        <f aca="false">IF($A30="","",IFERROR(INDEX(Raw_Price!$D$2:$D$100,MATCH($A30,Raw_Price!$A$2:$A$100,0)),""))</f>
        <v/>
      </c>
      <c r="AO30" s="67" t="str">
        <f aca="false">IF($A30="","",IFERROR(INDEX(Raw_Price!$E$2:$E$100,MATCH($A30,Raw_Price!$A$2:$A$100,0)),""))</f>
        <v/>
      </c>
      <c r="AP30" s="49" t="str">
        <f aca="false">IF($A30="","",IFERROR(IF(MIN(SUMIFS(Raw_Q!$O$2:$O$600,Raw_Q!$A$2:$A$600,$A30,Raw_Q!$R$2:$R$600,1),SUMIFS(Raw_Q!$O$2:$O$600,Raw_Q!$A$2:$A$600,$A30,Raw_Q!$R$2:$R$600,5))&lt;=0,"",SUMPRODUCT((Raw_Q!$A$2:$A$600=$A30)*(Raw_Q!$R$2:$R$600&gt;=1)*(Raw_Q!$R$2:$R$600&lt;=4)*Raw_Q!$L$2:$L$600*Raw_Q!$M$2:$M$600)/((SUMIFS(Raw_Q!$O$2:$O$600,Raw_Q!$A$2:$A$600,$A30,Raw_Q!$R$2:$R$600,1)+SUMIFS(Raw_Q!$O$2:$O$600,Raw_Q!$A$2:$A$600,$A30,Raw_Q!$R$2:$R$600,5))/2)),""))</f>
        <v/>
      </c>
      <c r="AQ30" s="49" t="str">
        <f aca="false">IF($A30="","",IFERROR(IF(MIN(SUMIFS(Raw_Q!$O$2:$O$600,Raw_Q!$A$2:$A$600,$A30,Raw_Q!$R$2:$R$600,5),SUMIFS(Raw_Q!$O$2:$O$600,Raw_Q!$A$2:$A$600,$A30,Raw_Q!$R$2:$R$600,9))&lt;=0,"",SUMPRODUCT((Raw_Q!$A$2:$A$600=$A30)*(Raw_Q!$R$2:$R$600&gt;=5)*(Raw_Q!$R$2:$R$600&lt;=8)*Raw_Q!$L$2:$L$600*Raw_Q!$M$2:$M$600)/((SUMIFS(Raw_Q!$O$2:$O$600,Raw_Q!$A$2:$A$600,$A30,Raw_Q!$R$2:$R$600,5)+SUMIFS(Raw_Q!$O$2:$O$600,Raw_Q!$A$2:$A$600,$A30,Raw_Q!$R$2:$R$600,9))/2)),""))</f>
        <v/>
      </c>
      <c r="AR30" s="49" t="str">
        <f aca="false">IF($A30="","",IFERROR(IF(MIN(SUMIFS(Raw_Q!$O$2:$O$600,Raw_Q!$A$2:$A$600,$A30,Raw_Q!$R$2:$R$600,9),SUMIFS(Raw_Q!$O$2:$O$600,Raw_Q!$A$2:$A$600,$A30,Raw_Q!$R$2:$R$600,13))&lt;=0,"",SUMPRODUCT((Raw_Q!$A$2:$A$600=$A30)*(Raw_Q!$R$2:$R$600&gt;=9)*(Raw_Q!$R$2:$R$600&lt;=12)*Raw_Q!$L$2:$L$600*Raw_Q!$M$2:$M$600)/((SUMIFS(Raw_Q!$O$2:$O$600,Raw_Q!$A$2:$A$600,$A30,Raw_Q!$R$2:$R$600,9)+SUMIFS(Raw_Q!$O$2:$O$600,Raw_Q!$A$2:$A$600,$A30,Raw_Q!$R$2:$R$600,13))/2)),""))</f>
        <v/>
      </c>
      <c r="AS30" s="49" t="str">
        <f aca="false">IF($A30="","",IFERROR(IF(MIN(SUMIFS(Raw_Q!$O$2:$O$600,Raw_Q!$A$2:$A$600,$A30,Raw_Q!$R$2:$R$600,13),SUMIFS(Raw_Q!$O$2:$O$600,Raw_Q!$A$2:$A$600,$A30,Raw_Q!$R$2:$R$600,17))&lt;=0,"",SUMPRODUCT((Raw_Q!$A$2:$A$600=$A30)*(Raw_Q!$R$2:$R$600&gt;=13)*(Raw_Q!$R$2:$R$600&lt;=16)*Raw_Q!$L$2:$L$600*Raw_Q!$M$2:$M$600)/((SUMIFS(Raw_Q!$O$2:$O$600,Raw_Q!$A$2:$A$600,$A30,Raw_Q!$R$2:$R$600,13)+SUMIFS(Raw_Q!$O$2:$O$600,Raw_Q!$A$2:$A$600,$A30,Raw_Q!$R$2:$R$600,17))/2)),""))</f>
        <v/>
      </c>
      <c r="AT30" s="49" t="str">
        <f aca="false">IF($A30="","",IFERROR(IF(MIN(SUMIFS(Raw_Q!$O$2:$O$600,Raw_Q!$A$2:$A$600,$A30,Raw_Q!$R$2:$R$600,17),SUMIFS(Raw_Q!$O$2:$O$600,Raw_Q!$A$2:$A$600,$A30,Raw_Q!$R$2:$R$600,21))&lt;=0,"",SUMPRODUCT((Raw_Q!$A$2:$A$600=$A30)*(Raw_Q!$R$2:$R$600&gt;=17)*(Raw_Q!$R$2:$R$600&lt;=20)*Raw_Q!$L$2:$L$600*Raw_Q!$M$2:$M$600)/((SUMIFS(Raw_Q!$O$2:$O$600,Raw_Q!$A$2:$A$600,$A30,Raw_Q!$R$2:$R$600,17)+SUMIFS(Raw_Q!$O$2:$O$600,Raw_Q!$A$2:$A$600,$A30,Raw_Q!$R$2:$R$600,21))/2)),""))</f>
        <v/>
      </c>
    </row>
    <row r="31" customFormat="false" ht="15" hidden="false" customHeight="false" outlineLevel="0" collapsed="false">
      <c r="A31" s="17" t="str">
        <f aca="false">IF(Tickers!A31="","",Tickers!A31)</f>
        <v/>
      </c>
      <c r="B31" s="66" t="str">
        <f aca="false">IF($A31="","",IFERROR(INDEX(Tickers!$B$2:$B$100,MATCH($A31,Tickers!$A$2:$A$100,0)),""))</f>
        <v/>
      </c>
      <c r="C31" s="66" t="str">
        <f aca="false">IF($A31="","",IFERROR(INDEX(Tickers!$D$2:$D$100,MATCH($A31,Tickers!$A$2:$A$100,0)),""))</f>
        <v/>
      </c>
      <c r="D31" s="51" t="str">
        <f aca="false">IF($A31="","",IFERROR(INDEX(Raw_Price!$B$2:$B$100,MATCH($A31,Raw_Price!$A$2:$A$100,0)),""))</f>
        <v/>
      </c>
      <c r="E31" s="48" t="str">
        <f aca="false">IF($A31="","",IFERROR(SUMIFS(Raw_Q!$I$2:$I$600,Raw_Q!$A$2:$A$600,$A31,Raw_Q!$R$2:$R$600,"&gt;=1",Raw_Q!$R$2:$R$600,"&lt;=4"),""))</f>
        <v/>
      </c>
      <c r="F31" s="51" t="str">
        <f aca="false">IF($A31="","",IFERROR(SUMIFS(Raw_Q!$L$2:$L$600,Raw_Q!$A$2:$A$600,$A31,Raw_Q!$R$2:$R$600,"&gt;=1",Raw_Q!$R$2:$R$600,"&lt;=4"),""))</f>
        <v/>
      </c>
      <c r="G31" s="51" t="str">
        <f aca="false">IF($A31="","",IFERROR(SUMIFS(Raw_Q!$L$2:$L$600,Raw_Q!$A$2:$A$600,$A31,Raw_Q!$R$2:$R$600,"&gt;=0",Raw_Q!$R$2:$R$600,"&lt;=3"),""))</f>
        <v/>
      </c>
      <c r="H31" s="51" t="str">
        <f aca="true">IF($A31="","",IFERROR(INDEX(Raw_Est!$B$2:$B$100,MATCH($A31,Raw_Est!$A$2:$A$100,0))*MIN(1,MAX(0,(INDEX(Raw_Est!$D$2:$D$100,MATCH($A31,Raw_Est!$A$2:$A$100,0))-TODAY())/Config!$B$8))+INDEX(Raw_Est!$C$2:$C$100,MATCH($A31,Raw_Est!$A$2:$A$100,0))*(1-MIN(1,MAX(0,(INDEX(Raw_Est!$D$2:$D$100,MATCH($A31,Raw_Est!$A$2:$A$100,0))-TODAY())/Config!$B$8))),""))</f>
        <v/>
      </c>
      <c r="I31" s="49" t="str">
        <f aca="false">IF($A31="","",IFERROR(SUMIFS(Raw_Q!$L$2:$L$600,Raw_Q!$A$2:$A$600,$A31,Raw_Q!$R$2:$R$600,"&gt;=1",Raw_Q!$R$2:$R$600,"&lt;=4")/SUMIFS(Raw_Q!$L$2:$L$600,Raw_Q!$A$2:$A$600,$A31,Raw_Q!$R$2:$R$600,"&gt;=5",Raw_Q!$R$2:$R$600,"&lt;=8")-1,""))</f>
        <v/>
      </c>
      <c r="J31" s="52" t="str">
        <f aca="false">IF($A31="","",IFERROR(IF(F31&lt;=0,"N/M",D31/F31),"N/M"))</f>
        <v/>
      </c>
      <c r="K31" s="52" t="str">
        <f aca="false">IF($A31="","",IFERROR(IF(G31&lt;=0,"N/M",D31/G31),"N/M"))</f>
        <v/>
      </c>
      <c r="L31" s="52" t="str">
        <f aca="false">IF($A31="","",IFERROR(IF(H31&lt;=0,"N/M",D31/H31),"N/M"))</f>
        <v/>
      </c>
      <c r="M31" s="49" t="str">
        <f aca="false">IF($A31="","",IFERROR(INDEX(Raw_Est!$C$2:$C$100,MATCH($A31,Raw_Est!$A$2:$A$100,0))/INDEX(Raw_Est!$B$2:$B$100,MATCH($A31,Raw_Est!$A$2:$A$100,0))-1,""))</f>
        <v/>
      </c>
      <c r="N31" s="51" t="str">
        <f aca="false">IF($A31="","",IFERROR(IF(OR(NOT(ISNUMBER(J31)),I31&lt;Config!$B$6),"N/M",J31/(I31*100)),"N/M"))</f>
        <v/>
      </c>
      <c r="O31" s="51" t="str">
        <f aca="false">IF($A31="","",IFERROR(IF(OR(NOT(ISNUMBER(L31)),M31&lt;Config!$B$6),"N/M",L31/(M31*100)),"N/M"))</f>
        <v/>
      </c>
      <c r="P31" s="51" t="str">
        <f aca="false">IF($A31="","",IFERROR(SUMIFS(Raw_Q!$P$2:$P$600,Raw_Q!$A$2:$A$600,$A31,Raw_Q!$R$2:$R$600,"&gt;=1",Raw_Q!$R$2:$R$600,"&lt;=4"),""))</f>
        <v/>
      </c>
      <c r="Q31" s="49" t="str">
        <f aca="false">IF($A31="","",IFERROR(IF(P31=0,"不配息",P31/D31),""))</f>
        <v/>
      </c>
      <c r="R31" s="49" t="str">
        <f aca="false">IF($A31="","",IFERROR(IF(SUMIFS(Raw_Q!$P$2:$P$600,Raw_Q!$A$2:$A$600,$A31,Raw_Q!$R$2:$R$600,"&gt;=5",Raw_Q!$R$2:$R$600,"&lt;=8")=0,"",SUMIFS(Raw_Q!$P$2:$P$600,Raw_Q!$A$2:$A$600,$A31,Raw_Q!$R$2:$R$600,"&gt;=1",Raw_Q!$R$2:$R$600,"&lt;=4")/SUMIFS(Raw_Q!$P$2:$P$600,Raw_Q!$A$2:$A$600,$A31,Raw_Q!$R$2:$R$600,"&gt;=5",Raw_Q!$R$2:$R$600,"&lt;=8")-1),""))</f>
        <v/>
      </c>
      <c r="S31" s="49" t="str">
        <f aca="false">IF($A31="","",IFERROR(SUMIFS(Raw_Q!$I$2:$I$600,Raw_Q!$A$2:$A$600,$A31,Raw_Q!$R$2:$R$600,1)/SUMIFS(Raw_Q!$I$2:$I$600,Raw_Q!$A$2:$A$600,$A31,Raw_Q!$R$2:$R$600,5)-1,""))</f>
        <v/>
      </c>
      <c r="T31" s="49" t="str">
        <f aca="false">IF($A31="","",IFERROR(SUMIFS(Raw_Q!$I$2:$I$600,Raw_Q!$A$2:$A$600,$A31,Raw_Q!$R$2:$R$600,1)/SUMIFS(Raw_Q!$I$2:$I$600,Raw_Q!$A$2:$A$600,$A31,Raw_Q!$R$2:$R$600,2)-1,""))</f>
        <v/>
      </c>
      <c r="U31" s="49" t="str">
        <f aca="false">IF($A31="","",IFERROR(SUMIFS(Raw_Q!$I$2:$I$600,Raw_Q!$A$2:$A$600,$A31,Raw_Q!$R$2:$R$600,2)/SUMIFS(Raw_Q!$I$2:$I$600,Raw_Q!$A$2:$A$600,$A31,Raw_Q!$R$2:$R$600,3)-1,""))</f>
        <v/>
      </c>
      <c r="V31" s="68" t="str">
        <f aca="false">IF($A31="","",IFERROR((T31-U31)*100,""))</f>
        <v/>
      </c>
      <c r="W31" s="49" t="str">
        <f aca="false">IF($A31="","",IFERROR(IF(OR(NOT(ISNUMBER(T31)),NOT(ISNUMBER(U31)),U31&lt;=0,ABS(U31)&lt;Config!$B$9),"N/M",(T31-U31)/ABS(U31)),"N/M"))</f>
        <v/>
      </c>
      <c r="X31" s="66" t="str">
        <f aca="false">IF($A31="","",IFERROR(IF(NOT(ISNUMBER(T31)),"",IF(AND(ISNUMBER(U31),U31&gt;0,T31&lt;=0),"由正轉負",IF(AND(ISNUMBER(U31),U31&lt;=0,T31&gt;0),"由負轉正",IF(T31&gt;0,IF(V31&gt;0,"成長且加速","成長但減速"),IF(V31&gt;0,"衰退但收斂","衰退且惡化"))))),""))</f>
        <v/>
      </c>
      <c r="Y31" s="68" t="str">
        <f aca="false">IF($A31="","",IFERROR((T31-(SUMIFS(Raw_Q!$I$2:$I$600,Raw_Q!$A$2:$A$600,$A31,Raw_Q!$R$2:$R$600,5)/SUMIFS(Raw_Q!$I$2:$I$600,Raw_Q!$A$2:$A$600,$A31,Raw_Q!$R$2:$R$600,6)-1))*100,""))</f>
        <v/>
      </c>
      <c r="Z31" s="49" t="str">
        <f aca="false">IF($A31="","",IFERROR(SUMIFS(Raw_Q!$L$2:$L$600,Raw_Q!$A$2:$A$600,$A31,Raw_Q!$R$2:$R$600,1)/SUMIFS(Raw_Q!$L$2:$L$600,Raw_Q!$A$2:$A$600,$A31,Raw_Q!$R$2:$R$600,5)-1,""))</f>
        <v/>
      </c>
      <c r="AA31" s="49" t="str">
        <f aca="false">IF($A31="","",IFERROR(SUMIFS(Raw_Q!$J$2:$J$600,Raw_Q!$A$2:$A$600,$A31,Raw_Q!$R$2:$R$600,"&gt;=1",Raw_Q!$R$2:$R$600,"&lt;=4")/E31,""))</f>
        <v/>
      </c>
      <c r="AB31" s="49" t="str">
        <f aca="false">IF($A31="","",IFERROR(SUMIFS(Raw_Q!$J$2:$J$600,Raw_Q!$A$2:$A$600,$A31,Raw_Q!$R$2:$R$600,"&gt;=1",Raw_Q!$R$2:$R$600,"&lt;="&amp;Config!$B$5)/SUMIFS(Raw_Q!$I$2:$I$600,Raw_Q!$A$2:$A$600,$A31,Raw_Q!$R$2:$R$600,"&gt;=1",Raw_Q!$R$2:$R$600,"&lt;="&amp;Config!$B$5),""))</f>
        <v/>
      </c>
      <c r="AC31" s="50" t="str">
        <f aca="false">IF($A31="","",IFERROR((AA31-AB31)*10000,""))</f>
        <v/>
      </c>
      <c r="AD31" s="50" t="str">
        <f aca="false">IF($A31="","",IFERROR((SUMIFS(Raw_Q!$J$2:$J$600,Raw_Q!$A$2:$A$600,$A31,Raw_Q!$R$2:$R$600,1)/SUMIFS(Raw_Q!$I$2:$I$600,Raw_Q!$A$2:$A$600,$A31,Raw_Q!$R$2:$R$600,1)-SUMIFS(Raw_Q!$J$2:$J$600,Raw_Q!$A$2:$A$600,$A31,Raw_Q!$R$2:$R$600,5)/SUMIFS(Raw_Q!$I$2:$I$600,Raw_Q!$A$2:$A$600,$A31,Raw_Q!$R$2:$R$600,5))*10000,""))</f>
        <v/>
      </c>
      <c r="AE31" s="51" t="str">
        <f aca="false">IF($A31="","",IFERROR(SUMIFS(Raw_Q!$O$2:$O$600,Raw_Q!$A$2:$A$600,$A31,Raw_Q!$R$2:$R$600,1)/SUMIFS(Raw_Q!$M$2:$M$600,Raw_Q!$A$2:$A$600,$A31,Raw_Q!$R$2:$R$600,1),""))</f>
        <v/>
      </c>
      <c r="AF31" s="48" t="str">
        <f aca="false">IF($A31="","",IFERROR(SUMPRODUCT((Raw_Q!$A$2:$A$600=$A31)*(Raw_Q!$R$2:$R$600&gt;=1)*(Raw_Q!$R$2:$R$600&lt;=4)*Raw_Q!$L$2:$L$600*Raw_Q!$M$2:$M$600),""))</f>
        <v/>
      </c>
      <c r="AG31" s="49" t="str">
        <f aca="false">IF($A31="","",IFERROR(IF(MIN(SUMIFS(Raw_Q!$O$2:$O$600,Raw_Q!$A$2:$A$600,$A31,Raw_Q!$R$2:$R$600,1),SUMIFS(Raw_Q!$O$2:$O$600,Raw_Q!$A$2:$A$600,$A31,Raw_Q!$R$2:$R$600,5))&lt;=0,"N/M",AF31/((SUMIFS(Raw_Q!$O$2:$O$600,Raw_Q!$A$2:$A$600,$A31,Raw_Q!$R$2:$R$600,1)+SUMIFS(Raw_Q!$O$2:$O$600,Raw_Q!$A$2:$A$600,$A31,Raw_Q!$R$2:$R$600,5))/2)),"N/M"))</f>
        <v/>
      </c>
      <c r="AH31" s="49" t="str">
        <f aca="false">IF($A31="","",IFERROR(AVERAGE(AP31:AT31),""))</f>
        <v/>
      </c>
      <c r="AI31" s="49" t="str">
        <f aca="false">IF($A31="","",IFERROR(IF(AE31&lt;=0,"N/M",INDEX(Raw_Est!$B$2:$B$100,MATCH($A31,Raw_Est!$A$2:$A$100,0))/AE31),"N/M"))</f>
        <v/>
      </c>
      <c r="AJ31" s="51" t="str">
        <f aca="false">IF($A31="","",IFERROR(SUMIFS(Raw_Q!$L$2:$L$600,Raw_Q!$A$2:$A$600,$A31,Raw_Q!$R$2:$R$600,0),""))</f>
        <v/>
      </c>
      <c r="AK31" s="66" t="str">
        <f aca="false">IF($A31="","",IFERROR(INDEX(Raw_Q!$B$2:$B$600,MATCH($A31&amp;"|"&amp;0,Raw_Q!$S$2:$S$600,0)),""))</f>
        <v/>
      </c>
      <c r="AL31" s="66" t="str">
        <f aca="false">IF($A31="","",IFERROR(INDEX(Raw_Q!$G$2:$G$600,MATCH($A31&amp;"|"&amp;0,Raw_Q!$S$2:$S$600,0)),""))</f>
        <v/>
      </c>
      <c r="AM31" s="47" t="str">
        <f aca="false">IF($A31="","",IFERROR(INDEX(Raw_Est!$E$2:$E$100,MATCH($A31,Raw_Est!$A$2:$A$100,0)),""))</f>
        <v/>
      </c>
      <c r="AN31" s="67" t="str">
        <f aca="false">IF($A31="","",IFERROR(INDEX(Raw_Price!$D$2:$D$100,MATCH($A31,Raw_Price!$A$2:$A$100,0)),""))</f>
        <v/>
      </c>
      <c r="AO31" s="67" t="str">
        <f aca="false">IF($A31="","",IFERROR(INDEX(Raw_Price!$E$2:$E$100,MATCH($A31,Raw_Price!$A$2:$A$100,0)),""))</f>
        <v/>
      </c>
      <c r="AP31" s="49" t="str">
        <f aca="false">IF($A31="","",IFERROR(IF(MIN(SUMIFS(Raw_Q!$O$2:$O$600,Raw_Q!$A$2:$A$600,$A31,Raw_Q!$R$2:$R$600,1),SUMIFS(Raw_Q!$O$2:$O$600,Raw_Q!$A$2:$A$600,$A31,Raw_Q!$R$2:$R$600,5))&lt;=0,"",SUMPRODUCT((Raw_Q!$A$2:$A$600=$A31)*(Raw_Q!$R$2:$R$600&gt;=1)*(Raw_Q!$R$2:$R$600&lt;=4)*Raw_Q!$L$2:$L$600*Raw_Q!$M$2:$M$600)/((SUMIFS(Raw_Q!$O$2:$O$600,Raw_Q!$A$2:$A$600,$A31,Raw_Q!$R$2:$R$600,1)+SUMIFS(Raw_Q!$O$2:$O$600,Raw_Q!$A$2:$A$600,$A31,Raw_Q!$R$2:$R$600,5))/2)),""))</f>
        <v/>
      </c>
      <c r="AQ31" s="49" t="str">
        <f aca="false">IF($A31="","",IFERROR(IF(MIN(SUMIFS(Raw_Q!$O$2:$O$600,Raw_Q!$A$2:$A$600,$A31,Raw_Q!$R$2:$R$600,5),SUMIFS(Raw_Q!$O$2:$O$600,Raw_Q!$A$2:$A$600,$A31,Raw_Q!$R$2:$R$600,9))&lt;=0,"",SUMPRODUCT((Raw_Q!$A$2:$A$600=$A31)*(Raw_Q!$R$2:$R$600&gt;=5)*(Raw_Q!$R$2:$R$600&lt;=8)*Raw_Q!$L$2:$L$600*Raw_Q!$M$2:$M$600)/((SUMIFS(Raw_Q!$O$2:$O$600,Raw_Q!$A$2:$A$600,$A31,Raw_Q!$R$2:$R$600,5)+SUMIFS(Raw_Q!$O$2:$O$600,Raw_Q!$A$2:$A$600,$A31,Raw_Q!$R$2:$R$600,9))/2)),""))</f>
        <v/>
      </c>
      <c r="AR31" s="49" t="str">
        <f aca="false">IF($A31="","",IFERROR(IF(MIN(SUMIFS(Raw_Q!$O$2:$O$600,Raw_Q!$A$2:$A$600,$A31,Raw_Q!$R$2:$R$600,9),SUMIFS(Raw_Q!$O$2:$O$600,Raw_Q!$A$2:$A$600,$A31,Raw_Q!$R$2:$R$600,13))&lt;=0,"",SUMPRODUCT((Raw_Q!$A$2:$A$600=$A31)*(Raw_Q!$R$2:$R$600&gt;=9)*(Raw_Q!$R$2:$R$600&lt;=12)*Raw_Q!$L$2:$L$600*Raw_Q!$M$2:$M$600)/((SUMIFS(Raw_Q!$O$2:$O$600,Raw_Q!$A$2:$A$600,$A31,Raw_Q!$R$2:$R$600,9)+SUMIFS(Raw_Q!$O$2:$O$600,Raw_Q!$A$2:$A$600,$A31,Raw_Q!$R$2:$R$600,13))/2)),""))</f>
        <v/>
      </c>
      <c r="AS31" s="49" t="str">
        <f aca="false">IF($A31="","",IFERROR(IF(MIN(SUMIFS(Raw_Q!$O$2:$O$600,Raw_Q!$A$2:$A$600,$A31,Raw_Q!$R$2:$R$600,13),SUMIFS(Raw_Q!$O$2:$O$600,Raw_Q!$A$2:$A$600,$A31,Raw_Q!$R$2:$R$600,17))&lt;=0,"",SUMPRODUCT((Raw_Q!$A$2:$A$600=$A31)*(Raw_Q!$R$2:$R$600&gt;=13)*(Raw_Q!$R$2:$R$600&lt;=16)*Raw_Q!$L$2:$L$600*Raw_Q!$M$2:$M$600)/((SUMIFS(Raw_Q!$O$2:$O$600,Raw_Q!$A$2:$A$600,$A31,Raw_Q!$R$2:$R$600,13)+SUMIFS(Raw_Q!$O$2:$O$600,Raw_Q!$A$2:$A$600,$A31,Raw_Q!$R$2:$R$600,17))/2)),""))</f>
        <v/>
      </c>
      <c r="AT31" s="49" t="str">
        <f aca="false">IF($A31="","",IFERROR(IF(MIN(SUMIFS(Raw_Q!$O$2:$O$600,Raw_Q!$A$2:$A$600,$A31,Raw_Q!$R$2:$R$600,17),SUMIFS(Raw_Q!$O$2:$O$600,Raw_Q!$A$2:$A$600,$A31,Raw_Q!$R$2:$R$600,21))&lt;=0,"",SUMPRODUCT((Raw_Q!$A$2:$A$600=$A31)*(Raw_Q!$R$2:$R$600&gt;=17)*(Raw_Q!$R$2:$R$600&lt;=20)*Raw_Q!$L$2:$L$600*Raw_Q!$M$2:$M$600)/((SUMIFS(Raw_Q!$O$2:$O$600,Raw_Q!$A$2:$A$600,$A31,Raw_Q!$R$2:$R$600,17)+SUMIFS(Raw_Q!$O$2:$O$600,Raw_Q!$A$2:$A$600,$A31,Raw_Q!$R$2:$R$600,21))/2)),""))</f>
        <v/>
      </c>
    </row>
    <row r="32" customFormat="false" ht="15" hidden="false" customHeight="false" outlineLevel="0" collapsed="false">
      <c r="A32" s="17" t="str">
        <f aca="false">IF(Tickers!A32="","",Tickers!A32)</f>
        <v/>
      </c>
      <c r="B32" s="66" t="str">
        <f aca="false">IF($A32="","",IFERROR(INDEX(Tickers!$B$2:$B$100,MATCH($A32,Tickers!$A$2:$A$100,0)),""))</f>
        <v/>
      </c>
      <c r="C32" s="66" t="str">
        <f aca="false">IF($A32="","",IFERROR(INDEX(Tickers!$D$2:$D$100,MATCH($A32,Tickers!$A$2:$A$100,0)),""))</f>
        <v/>
      </c>
      <c r="D32" s="51" t="str">
        <f aca="false">IF($A32="","",IFERROR(INDEX(Raw_Price!$B$2:$B$100,MATCH($A32,Raw_Price!$A$2:$A$100,0)),""))</f>
        <v/>
      </c>
      <c r="E32" s="48" t="str">
        <f aca="false">IF($A32="","",IFERROR(SUMIFS(Raw_Q!$I$2:$I$600,Raw_Q!$A$2:$A$600,$A32,Raw_Q!$R$2:$R$600,"&gt;=1",Raw_Q!$R$2:$R$600,"&lt;=4"),""))</f>
        <v/>
      </c>
      <c r="F32" s="51" t="str">
        <f aca="false">IF($A32="","",IFERROR(SUMIFS(Raw_Q!$L$2:$L$600,Raw_Q!$A$2:$A$600,$A32,Raw_Q!$R$2:$R$600,"&gt;=1",Raw_Q!$R$2:$R$600,"&lt;=4"),""))</f>
        <v/>
      </c>
      <c r="G32" s="51" t="str">
        <f aca="false">IF($A32="","",IFERROR(SUMIFS(Raw_Q!$L$2:$L$600,Raw_Q!$A$2:$A$600,$A32,Raw_Q!$R$2:$R$600,"&gt;=0",Raw_Q!$R$2:$R$600,"&lt;=3"),""))</f>
        <v/>
      </c>
      <c r="H32" s="51" t="str">
        <f aca="true">IF($A32="","",IFERROR(INDEX(Raw_Est!$B$2:$B$100,MATCH($A32,Raw_Est!$A$2:$A$100,0))*MIN(1,MAX(0,(INDEX(Raw_Est!$D$2:$D$100,MATCH($A32,Raw_Est!$A$2:$A$100,0))-TODAY())/Config!$B$8))+INDEX(Raw_Est!$C$2:$C$100,MATCH($A32,Raw_Est!$A$2:$A$100,0))*(1-MIN(1,MAX(0,(INDEX(Raw_Est!$D$2:$D$100,MATCH($A32,Raw_Est!$A$2:$A$100,0))-TODAY())/Config!$B$8))),""))</f>
        <v/>
      </c>
      <c r="I32" s="49" t="str">
        <f aca="false">IF($A32="","",IFERROR(SUMIFS(Raw_Q!$L$2:$L$600,Raw_Q!$A$2:$A$600,$A32,Raw_Q!$R$2:$R$600,"&gt;=1",Raw_Q!$R$2:$R$600,"&lt;=4")/SUMIFS(Raw_Q!$L$2:$L$600,Raw_Q!$A$2:$A$600,$A32,Raw_Q!$R$2:$R$600,"&gt;=5",Raw_Q!$R$2:$R$600,"&lt;=8")-1,""))</f>
        <v/>
      </c>
      <c r="J32" s="52" t="str">
        <f aca="false">IF($A32="","",IFERROR(IF(F32&lt;=0,"N/M",D32/F32),"N/M"))</f>
        <v/>
      </c>
      <c r="K32" s="52" t="str">
        <f aca="false">IF($A32="","",IFERROR(IF(G32&lt;=0,"N/M",D32/G32),"N/M"))</f>
        <v/>
      </c>
      <c r="L32" s="52" t="str">
        <f aca="false">IF($A32="","",IFERROR(IF(H32&lt;=0,"N/M",D32/H32),"N/M"))</f>
        <v/>
      </c>
      <c r="M32" s="49" t="str">
        <f aca="false">IF($A32="","",IFERROR(INDEX(Raw_Est!$C$2:$C$100,MATCH($A32,Raw_Est!$A$2:$A$100,0))/INDEX(Raw_Est!$B$2:$B$100,MATCH($A32,Raw_Est!$A$2:$A$100,0))-1,""))</f>
        <v/>
      </c>
      <c r="N32" s="51" t="str">
        <f aca="false">IF($A32="","",IFERROR(IF(OR(NOT(ISNUMBER(J32)),I32&lt;Config!$B$6),"N/M",J32/(I32*100)),"N/M"))</f>
        <v/>
      </c>
      <c r="O32" s="51" t="str">
        <f aca="false">IF($A32="","",IFERROR(IF(OR(NOT(ISNUMBER(L32)),M32&lt;Config!$B$6),"N/M",L32/(M32*100)),"N/M"))</f>
        <v/>
      </c>
      <c r="P32" s="51" t="str">
        <f aca="false">IF($A32="","",IFERROR(SUMIFS(Raw_Q!$P$2:$P$600,Raw_Q!$A$2:$A$600,$A32,Raw_Q!$R$2:$R$600,"&gt;=1",Raw_Q!$R$2:$R$600,"&lt;=4"),""))</f>
        <v/>
      </c>
      <c r="Q32" s="49" t="str">
        <f aca="false">IF($A32="","",IFERROR(IF(P32=0,"不配息",P32/D32),""))</f>
        <v/>
      </c>
      <c r="R32" s="49" t="str">
        <f aca="false">IF($A32="","",IFERROR(IF(SUMIFS(Raw_Q!$P$2:$P$600,Raw_Q!$A$2:$A$600,$A32,Raw_Q!$R$2:$R$600,"&gt;=5",Raw_Q!$R$2:$R$600,"&lt;=8")=0,"",SUMIFS(Raw_Q!$P$2:$P$600,Raw_Q!$A$2:$A$600,$A32,Raw_Q!$R$2:$R$600,"&gt;=1",Raw_Q!$R$2:$R$600,"&lt;=4")/SUMIFS(Raw_Q!$P$2:$P$600,Raw_Q!$A$2:$A$600,$A32,Raw_Q!$R$2:$R$600,"&gt;=5",Raw_Q!$R$2:$R$600,"&lt;=8")-1),""))</f>
        <v/>
      </c>
      <c r="S32" s="49" t="str">
        <f aca="false">IF($A32="","",IFERROR(SUMIFS(Raw_Q!$I$2:$I$600,Raw_Q!$A$2:$A$600,$A32,Raw_Q!$R$2:$R$600,1)/SUMIFS(Raw_Q!$I$2:$I$600,Raw_Q!$A$2:$A$600,$A32,Raw_Q!$R$2:$R$600,5)-1,""))</f>
        <v/>
      </c>
      <c r="T32" s="49" t="str">
        <f aca="false">IF($A32="","",IFERROR(SUMIFS(Raw_Q!$I$2:$I$600,Raw_Q!$A$2:$A$600,$A32,Raw_Q!$R$2:$R$600,1)/SUMIFS(Raw_Q!$I$2:$I$600,Raw_Q!$A$2:$A$600,$A32,Raw_Q!$R$2:$R$600,2)-1,""))</f>
        <v/>
      </c>
      <c r="U32" s="49" t="str">
        <f aca="false">IF($A32="","",IFERROR(SUMIFS(Raw_Q!$I$2:$I$600,Raw_Q!$A$2:$A$600,$A32,Raw_Q!$R$2:$R$600,2)/SUMIFS(Raw_Q!$I$2:$I$600,Raw_Q!$A$2:$A$600,$A32,Raw_Q!$R$2:$R$600,3)-1,""))</f>
        <v/>
      </c>
      <c r="V32" s="68" t="str">
        <f aca="false">IF($A32="","",IFERROR((T32-U32)*100,""))</f>
        <v/>
      </c>
      <c r="W32" s="49" t="str">
        <f aca="false">IF($A32="","",IFERROR(IF(OR(NOT(ISNUMBER(T32)),NOT(ISNUMBER(U32)),U32&lt;=0,ABS(U32)&lt;Config!$B$9),"N/M",(T32-U32)/ABS(U32)),"N/M"))</f>
        <v/>
      </c>
      <c r="X32" s="66" t="str">
        <f aca="false">IF($A32="","",IFERROR(IF(NOT(ISNUMBER(T32)),"",IF(AND(ISNUMBER(U32),U32&gt;0,T32&lt;=0),"由正轉負",IF(AND(ISNUMBER(U32),U32&lt;=0,T32&gt;0),"由負轉正",IF(T32&gt;0,IF(V32&gt;0,"成長且加速","成長但減速"),IF(V32&gt;0,"衰退但收斂","衰退且惡化"))))),""))</f>
        <v/>
      </c>
      <c r="Y32" s="68" t="str">
        <f aca="false">IF($A32="","",IFERROR((T32-(SUMIFS(Raw_Q!$I$2:$I$600,Raw_Q!$A$2:$A$600,$A32,Raw_Q!$R$2:$R$600,5)/SUMIFS(Raw_Q!$I$2:$I$600,Raw_Q!$A$2:$A$600,$A32,Raw_Q!$R$2:$R$600,6)-1))*100,""))</f>
        <v/>
      </c>
      <c r="Z32" s="49" t="str">
        <f aca="false">IF($A32="","",IFERROR(SUMIFS(Raw_Q!$L$2:$L$600,Raw_Q!$A$2:$A$600,$A32,Raw_Q!$R$2:$R$600,1)/SUMIFS(Raw_Q!$L$2:$L$600,Raw_Q!$A$2:$A$600,$A32,Raw_Q!$R$2:$R$600,5)-1,""))</f>
        <v/>
      </c>
      <c r="AA32" s="49" t="str">
        <f aca="false">IF($A32="","",IFERROR(SUMIFS(Raw_Q!$J$2:$J$600,Raw_Q!$A$2:$A$600,$A32,Raw_Q!$R$2:$R$600,"&gt;=1",Raw_Q!$R$2:$R$600,"&lt;=4")/E32,""))</f>
        <v/>
      </c>
      <c r="AB32" s="49" t="str">
        <f aca="false">IF($A32="","",IFERROR(SUMIFS(Raw_Q!$J$2:$J$600,Raw_Q!$A$2:$A$600,$A32,Raw_Q!$R$2:$R$600,"&gt;=1",Raw_Q!$R$2:$R$600,"&lt;="&amp;Config!$B$5)/SUMIFS(Raw_Q!$I$2:$I$600,Raw_Q!$A$2:$A$600,$A32,Raw_Q!$R$2:$R$600,"&gt;=1",Raw_Q!$R$2:$R$600,"&lt;="&amp;Config!$B$5),""))</f>
        <v/>
      </c>
      <c r="AC32" s="50" t="str">
        <f aca="false">IF($A32="","",IFERROR((AA32-AB32)*10000,""))</f>
        <v/>
      </c>
      <c r="AD32" s="50" t="str">
        <f aca="false">IF($A32="","",IFERROR((SUMIFS(Raw_Q!$J$2:$J$600,Raw_Q!$A$2:$A$600,$A32,Raw_Q!$R$2:$R$600,1)/SUMIFS(Raw_Q!$I$2:$I$600,Raw_Q!$A$2:$A$600,$A32,Raw_Q!$R$2:$R$600,1)-SUMIFS(Raw_Q!$J$2:$J$600,Raw_Q!$A$2:$A$600,$A32,Raw_Q!$R$2:$R$600,5)/SUMIFS(Raw_Q!$I$2:$I$600,Raw_Q!$A$2:$A$600,$A32,Raw_Q!$R$2:$R$600,5))*10000,""))</f>
        <v/>
      </c>
      <c r="AE32" s="51" t="str">
        <f aca="false">IF($A32="","",IFERROR(SUMIFS(Raw_Q!$O$2:$O$600,Raw_Q!$A$2:$A$600,$A32,Raw_Q!$R$2:$R$600,1)/SUMIFS(Raw_Q!$M$2:$M$600,Raw_Q!$A$2:$A$600,$A32,Raw_Q!$R$2:$R$600,1),""))</f>
        <v/>
      </c>
      <c r="AF32" s="48" t="str">
        <f aca="false">IF($A32="","",IFERROR(SUMPRODUCT((Raw_Q!$A$2:$A$600=$A32)*(Raw_Q!$R$2:$R$600&gt;=1)*(Raw_Q!$R$2:$R$600&lt;=4)*Raw_Q!$L$2:$L$600*Raw_Q!$M$2:$M$600),""))</f>
        <v/>
      </c>
      <c r="AG32" s="49" t="str">
        <f aca="false">IF($A32="","",IFERROR(IF(MIN(SUMIFS(Raw_Q!$O$2:$O$600,Raw_Q!$A$2:$A$600,$A32,Raw_Q!$R$2:$R$600,1),SUMIFS(Raw_Q!$O$2:$O$600,Raw_Q!$A$2:$A$600,$A32,Raw_Q!$R$2:$R$600,5))&lt;=0,"N/M",AF32/((SUMIFS(Raw_Q!$O$2:$O$600,Raw_Q!$A$2:$A$600,$A32,Raw_Q!$R$2:$R$600,1)+SUMIFS(Raw_Q!$O$2:$O$600,Raw_Q!$A$2:$A$600,$A32,Raw_Q!$R$2:$R$600,5))/2)),"N/M"))</f>
        <v/>
      </c>
      <c r="AH32" s="49" t="str">
        <f aca="false">IF($A32="","",IFERROR(AVERAGE(AP32:AT32),""))</f>
        <v/>
      </c>
      <c r="AI32" s="49" t="str">
        <f aca="false">IF($A32="","",IFERROR(IF(AE32&lt;=0,"N/M",INDEX(Raw_Est!$B$2:$B$100,MATCH($A32,Raw_Est!$A$2:$A$100,0))/AE32),"N/M"))</f>
        <v/>
      </c>
      <c r="AJ32" s="51" t="str">
        <f aca="false">IF($A32="","",IFERROR(SUMIFS(Raw_Q!$L$2:$L$600,Raw_Q!$A$2:$A$600,$A32,Raw_Q!$R$2:$R$600,0),""))</f>
        <v/>
      </c>
      <c r="AK32" s="66" t="str">
        <f aca="false">IF($A32="","",IFERROR(INDEX(Raw_Q!$B$2:$B$600,MATCH($A32&amp;"|"&amp;0,Raw_Q!$S$2:$S$600,0)),""))</f>
        <v/>
      </c>
      <c r="AL32" s="66" t="str">
        <f aca="false">IF($A32="","",IFERROR(INDEX(Raw_Q!$G$2:$G$600,MATCH($A32&amp;"|"&amp;0,Raw_Q!$S$2:$S$600,0)),""))</f>
        <v/>
      </c>
      <c r="AM32" s="47" t="str">
        <f aca="false">IF($A32="","",IFERROR(INDEX(Raw_Est!$E$2:$E$100,MATCH($A32,Raw_Est!$A$2:$A$100,0)),""))</f>
        <v/>
      </c>
      <c r="AN32" s="67" t="str">
        <f aca="false">IF($A32="","",IFERROR(INDEX(Raw_Price!$D$2:$D$100,MATCH($A32,Raw_Price!$A$2:$A$100,0)),""))</f>
        <v/>
      </c>
      <c r="AO32" s="67" t="str">
        <f aca="false">IF($A32="","",IFERROR(INDEX(Raw_Price!$E$2:$E$100,MATCH($A32,Raw_Price!$A$2:$A$100,0)),""))</f>
        <v/>
      </c>
      <c r="AP32" s="49" t="str">
        <f aca="false">IF($A32="","",IFERROR(IF(MIN(SUMIFS(Raw_Q!$O$2:$O$600,Raw_Q!$A$2:$A$600,$A32,Raw_Q!$R$2:$R$600,1),SUMIFS(Raw_Q!$O$2:$O$600,Raw_Q!$A$2:$A$600,$A32,Raw_Q!$R$2:$R$600,5))&lt;=0,"",SUMPRODUCT((Raw_Q!$A$2:$A$600=$A32)*(Raw_Q!$R$2:$R$600&gt;=1)*(Raw_Q!$R$2:$R$600&lt;=4)*Raw_Q!$L$2:$L$600*Raw_Q!$M$2:$M$600)/((SUMIFS(Raw_Q!$O$2:$O$600,Raw_Q!$A$2:$A$600,$A32,Raw_Q!$R$2:$R$600,1)+SUMIFS(Raw_Q!$O$2:$O$600,Raw_Q!$A$2:$A$600,$A32,Raw_Q!$R$2:$R$600,5))/2)),""))</f>
        <v/>
      </c>
      <c r="AQ32" s="49" t="str">
        <f aca="false">IF($A32="","",IFERROR(IF(MIN(SUMIFS(Raw_Q!$O$2:$O$600,Raw_Q!$A$2:$A$600,$A32,Raw_Q!$R$2:$R$600,5),SUMIFS(Raw_Q!$O$2:$O$600,Raw_Q!$A$2:$A$600,$A32,Raw_Q!$R$2:$R$600,9))&lt;=0,"",SUMPRODUCT((Raw_Q!$A$2:$A$600=$A32)*(Raw_Q!$R$2:$R$600&gt;=5)*(Raw_Q!$R$2:$R$600&lt;=8)*Raw_Q!$L$2:$L$600*Raw_Q!$M$2:$M$600)/((SUMIFS(Raw_Q!$O$2:$O$600,Raw_Q!$A$2:$A$600,$A32,Raw_Q!$R$2:$R$600,5)+SUMIFS(Raw_Q!$O$2:$O$600,Raw_Q!$A$2:$A$600,$A32,Raw_Q!$R$2:$R$600,9))/2)),""))</f>
        <v/>
      </c>
      <c r="AR32" s="49" t="str">
        <f aca="false">IF($A32="","",IFERROR(IF(MIN(SUMIFS(Raw_Q!$O$2:$O$600,Raw_Q!$A$2:$A$600,$A32,Raw_Q!$R$2:$R$600,9),SUMIFS(Raw_Q!$O$2:$O$600,Raw_Q!$A$2:$A$600,$A32,Raw_Q!$R$2:$R$600,13))&lt;=0,"",SUMPRODUCT((Raw_Q!$A$2:$A$600=$A32)*(Raw_Q!$R$2:$R$600&gt;=9)*(Raw_Q!$R$2:$R$600&lt;=12)*Raw_Q!$L$2:$L$600*Raw_Q!$M$2:$M$600)/((SUMIFS(Raw_Q!$O$2:$O$600,Raw_Q!$A$2:$A$600,$A32,Raw_Q!$R$2:$R$600,9)+SUMIFS(Raw_Q!$O$2:$O$600,Raw_Q!$A$2:$A$600,$A32,Raw_Q!$R$2:$R$600,13))/2)),""))</f>
        <v/>
      </c>
      <c r="AS32" s="49" t="str">
        <f aca="false">IF($A32="","",IFERROR(IF(MIN(SUMIFS(Raw_Q!$O$2:$O$600,Raw_Q!$A$2:$A$600,$A32,Raw_Q!$R$2:$R$600,13),SUMIFS(Raw_Q!$O$2:$O$600,Raw_Q!$A$2:$A$600,$A32,Raw_Q!$R$2:$R$600,17))&lt;=0,"",SUMPRODUCT((Raw_Q!$A$2:$A$600=$A32)*(Raw_Q!$R$2:$R$600&gt;=13)*(Raw_Q!$R$2:$R$600&lt;=16)*Raw_Q!$L$2:$L$600*Raw_Q!$M$2:$M$600)/((SUMIFS(Raw_Q!$O$2:$O$600,Raw_Q!$A$2:$A$600,$A32,Raw_Q!$R$2:$R$600,13)+SUMIFS(Raw_Q!$O$2:$O$600,Raw_Q!$A$2:$A$600,$A32,Raw_Q!$R$2:$R$600,17))/2)),""))</f>
        <v/>
      </c>
      <c r="AT32" s="49" t="str">
        <f aca="false">IF($A32="","",IFERROR(IF(MIN(SUMIFS(Raw_Q!$O$2:$O$600,Raw_Q!$A$2:$A$600,$A32,Raw_Q!$R$2:$R$600,17),SUMIFS(Raw_Q!$O$2:$O$600,Raw_Q!$A$2:$A$600,$A32,Raw_Q!$R$2:$R$600,21))&lt;=0,"",SUMPRODUCT((Raw_Q!$A$2:$A$600=$A32)*(Raw_Q!$R$2:$R$600&gt;=17)*(Raw_Q!$R$2:$R$600&lt;=20)*Raw_Q!$L$2:$L$600*Raw_Q!$M$2:$M$600)/((SUMIFS(Raw_Q!$O$2:$O$600,Raw_Q!$A$2:$A$600,$A32,Raw_Q!$R$2:$R$600,17)+SUMIFS(Raw_Q!$O$2:$O$600,Raw_Q!$A$2:$A$600,$A32,Raw_Q!$R$2:$R$600,21))/2)),""))</f>
        <v/>
      </c>
    </row>
    <row r="34" customFormat="false" ht="15" hidden="false" customHeight="false" outlineLevel="0" collapsed="false">
      <c r="A34" s="25" t="s">
        <v>1516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0"/>
    <col collapsed="false" customWidth="true" hidden="false" outlineLevel="0" max="3" min="3" style="0" width="66"/>
  </cols>
  <sheetData>
    <row r="1" customFormat="false" ht="17.35" hidden="false" customHeight="false" outlineLevel="0" collapsed="false">
      <c r="A1" s="1" t="s">
        <v>1517</v>
      </c>
    </row>
    <row r="3" customFormat="false" ht="31.5" hidden="false" customHeight="true" outlineLevel="0" collapsed="false">
      <c r="A3" s="16" t="s">
        <v>1518</v>
      </c>
      <c r="B3" s="16" t="s">
        <v>1519</v>
      </c>
      <c r="C3" s="16" t="s">
        <v>1520</v>
      </c>
    </row>
    <row r="4" customFormat="false" ht="15" hidden="false" customHeight="false" outlineLevel="0" collapsed="false">
      <c r="A4" s="5" t="s">
        <v>1521</v>
      </c>
      <c r="B4" s="86" t="n">
        <v>24</v>
      </c>
      <c r="C4" s="25" t="s">
        <v>1522</v>
      </c>
    </row>
    <row r="5" customFormat="false" ht="15" hidden="false" customHeight="false" outlineLevel="0" collapsed="false">
      <c r="A5" s="5" t="s">
        <v>1523</v>
      </c>
      <c r="B5" s="86" t="n">
        <v>20</v>
      </c>
      <c r="C5" s="25" t="s">
        <v>1524</v>
      </c>
    </row>
    <row r="6" customFormat="false" ht="15" hidden="false" customHeight="false" outlineLevel="0" collapsed="false">
      <c r="A6" s="2" t="s">
        <v>1525</v>
      </c>
      <c r="B6" s="87" t="n">
        <v>0.05</v>
      </c>
      <c r="C6" s="24" t="s">
        <v>1526</v>
      </c>
    </row>
    <row r="7" customFormat="false" ht="15" hidden="false" customHeight="false" outlineLevel="0" collapsed="false">
      <c r="A7" s="5" t="s">
        <v>1527</v>
      </c>
      <c r="B7" s="86" t="n">
        <v>5</v>
      </c>
      <c r="C7" s="24" t="s">
        <v>1528</v>
      </c>
    </row>
    <row r="8" customFormat="false" ht="15" hidden="false" customHeight="false" outlineLevel="0" collapsed="false">
      <c r="A8" s="2" t="s">
        <v>1529</v>
      </c>
      <c r="B8" s="86" t="n">
        <v>365</v>
      </c>
      <c r="C8" s="25" t="s">
        <v>1530</v>
      </c>
    </row>
    <row r="9" customFormat="false" ht="15" hidden="false" customHeight="false" outlineLevel="0" collapsed="false">
      <c r="A9" s="5" t="s">
        <v>1531</v>
      </c>
      <c r="B9" s="87" t="n">
        <v>0.02</v>
      </c>
      <c r="C9" s="24" t="s">
        <v>1532</v>
      </c>
    </row>
    <row r="11" customFormat="false" ht="15" hidden="false" customHeight="false" outlineLevel="0" collapsed="false">
      <c r="A11" s="24" t="s">
        <v>1533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2026-10-16T11:48:13Z</dcterms:created>
  <dc:creator>openpyxl</dc:creator>
  <dc:description/>
  <dc:language>en-US</dc:language>
  <cp:lastModifiedBy/>
  <dcterms:modified xsi:type="dcterms:W3CDTF">2026-10-16T11:48:14Z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