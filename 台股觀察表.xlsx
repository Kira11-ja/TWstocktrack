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<sst xmlns="http://schemas.openxmlformats.org/spreadsheetml/2006/main" count="8221" uniqueCount="1534">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</sst>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8CE9A"/>
          <bgColor rgb="FF000000"/>
        </patternFill>
      </fill>
    </dxf>
    <dxf>
      <fill>
        <patternFill patternType="solid">
          <fgColor rgb="FFADDDBA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2540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0.436107285096209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29.4390356977283</v>
      </c>
      <c r="P3" s="22" t="n">
        <f aca="false">IF(Calc!$A$2="","",Calc!L$2)</f>
        <v>18.6037219776873</v>
      </c>
      <c r="Q3" s="18" t="n">
        <f aca="false">IF(Calc!$A$2="","",Calc!N$2)</f>
        <v>0.553123823870231</v>
      </c>
      <c r="R3" s="18" t="n">
        <f aca="false">IF(Calc!$A$2="","",Calc!O$2)</f>
        <v>0.554174519257801</v>
      </c>
      <c r="S3" s="19" t="n">
        <f aca="false">IF(Calc!$A$2="","",Calc!Q$2)</f>
        <v>0.00866145676377953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527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0.800763417809778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19.4106813996317</v>
      </c>
      <c r="P4" s="22" t="n">
        <f aca="false">IF(Calc!$A$3="","",Calc!L$3)</f>
        <v>5.00312484948424</v>
      </c>
      <c r="Q4" s="18" t="str">
        <f aca="false">IF(Calc!$A$3="","",Calc!N$3)</f>
        <v>N/M</v>
      </c>
      <c r="R4" s="18" t="n">
        <f aca="false">IF(Calc!$A$3="","",Calc!O$3)</f>
        <v>0.0959804701977906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1260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5.48924010499526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564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0.27902443098403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136.893203883495</v>
      </c>
      <c r="P6" s="22" t="n">
        <f aca="false">IF(Calc!$A$5="","",Calc!L$5)</f>
        <v>65.5457116703812</v>
      </c>
      <c r="Q6" s="18" t="n">
        <f aca="false">IF(Calc!$A$5="","",Calc!N$5)</f>
        <v>2.22342464906314</v>
      </c>
      <c r="R6" s="18" t="n">
        <f aca="false">IF(Calc!$A$5="","",Calc!O$5)</f>
        <v>0.940775948457461</v>
      </c>
      <c r="S6" s="19" t="n">
        <f aca="false">IF(Calc!$A$5="","",Calc!Q$5)</f>
        <v>0.00464637682624113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529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18.4513428671085</v>
      </c>
      <c r="P7" s="22" t="n">
        <f aca="false">IF(Calc!$A$6="","",Calc!L$6)</f>
        <v>15.1276247268193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0.052930056710775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2355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0.273562150990253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43.187236383642</v>
      </c>
      <c r="P8" s="22" t="n">
        <f aca="false">IF(Calc!$A$7="","",Calc!L$7)</f>
        <v>20.3974949050044</v>
      </c>
      <c r="Q8" s="18" t="n">
        <f aca="false">IF(Calc!$A$7="","",Calc!N$7)</f>
        <v>0.751544721590715</v>
      </c>
      <c r="R8" s="18" t="n">
        <f aca="false">IF(Calc!$A$7="","",Calc!O$7)</f>
        <v>0.24089202111847</v>
      </c>
      <c r="S8" s="19" t="n">
        <f aca="false">IF(Calc!$A$7="","",Calc!Q$7)</f>
        <v>0.00446092674734607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593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17.6677536660722</v>
      </c>
      <c r="Q9" s="18" t="str">
        <f aca="false">IF(Calc!$A$8="","",Calc!N$8)</f>
        <v>N/M</v>
      </c>
      <c r="R9" s="18" t="n">
        <f aca="false">IF(Calc!$A$8="","",Calc!O$8)</f>
        <v>1.39831573704276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356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0.337122302004036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13.3283414451516</v>
      </c>
      <c r="P10" s="22" t="n">
        <f aca="false">IF(Calc!$A$9="","",Calc!L$9)</f>
        <v>9.82689546266735</v>
      </c>
      <c r="Q10" s="18" t="n">
        <f aca="false">IF(Calc!$A$9="","",Calc!N$9)</f>
        <v>0.21268354376034</v>
      </c>
      <c r="R10" s="18" t="n">
        <f aca="false">IF(Calc!$A$9="","",Calc!O$9)</f>
        <v>0.93389234210587</v>
      </c>
      <c r="S10" s="19" t="n">
        <f aca="false">IF(Calc!$A$9="","",Calc!Q$9)</f>
        <v>0.0280898876404494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10580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58.3273609350019</v>
      </c>
      <c r="P11" s="22" t="n">
        <f aca="false">IF(Calc!$A$10="","",Calc!L$10)</f>
        <v>22.7739569478917</v>
      </c>
      <c r="Q11" s="18" t="n">
        <f aca="false">IF(Calc!$A$10="","",Calc!N$10)</f>
        <v>0.34610095143705</v>
      </c>
      <c r="R11" s="18" t="n">
        <f aca="false">IF(Calc!$A$10="","",Calc!O$10)</f>
        <v>0.547468863306048</v>
      </c>
      <c r="S11" s="19" t="n">
        <f aca="false">IF(Calc!$A$10="","",Calc!Q$10)</f>
        <v>0.00304347826086957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3025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269.848349687779</v>
      </c>
      <c r="P12" s="22" t="n">
        <f aca="false">IF(Calc!$A$11="","",Calc!L$11)</f>
        <v>86.2860154487623</v>
      </c>
      <c r="Q12" s="18" t="n">
        <f aca="false">IF(Calc!$A$11="","",Calc!N$11)</f>
        <v>0.479037511525574</v>
      </c>
      <c r="R12" s="18" t="n">
        <f aca="false">IF(Calc!$A$11="","",Calc!O$11)</f>
        <v>0.855345102242536</v>
      </c>
      <c r="S12" s="19" t="n">
        <f aca="false">IF(Calc!$A$11="","",Calc!Q$11)</f>
        <v>0.000165296578512397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689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71.4730290456432</v>
      </c>
      <c r="P13" s="22" t="str">
        <f aca="false">IF(Calc!$A$12="","",Calc!L$12)</f>
        <v>N/M</v>
      </c>
      <c r="Q13" s="18" t="n">
        <f aca="false">IF(Calc!$A$12="","",Calc!N$12)</f>
        <v>0.268151307261115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1060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0.133110401237564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179.661016949153</v>
      </c>
      <c r="P14" s="22" t="n">
        <f aca="false">IF(Calc!$A$13="","",Calc!L$13)</f>
        <v>43.5762924695684</v>
      </c>
      <c r="Q14" s="18" t="n">
        <f aca="false">IF(Calc!$A$13="","",Calc!N$13)</f>
        <v>0.463517762278198</v>
      </c>
      <c r="R14" s="18" t="n">
        <f aca="false">IF(Calc!$A$13="","",Calc!O$13)</f>
        <v>0.291953391185534</v>
      </c>
      <c r="S14" s="19" t="n">
        <f aca="false">IF(Calc!$A$13="","",Calc!Q$13)</f>
        <v>0.000943558424528302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1725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14.9872175726242</v>
      </c>
      <c r="Q15" s="18" t="str">
        <f aca="false">IF(Calc!$A$14="","",Calc!N$14)</f>
        <v>N/M</v>
      </c>
      <c r="R15" s="18" t="n">
        <f aca="false">IF(Calc!$A$14="","",Calc!O$14)</f>
        <v>0.136690301761792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145.5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0.198871620624717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21.7814371257485</v>
      </c>
      <c r="P16" s="22" t="n">
        <f aca="false">IF(Calc!$A$15="","",Calc!L$15)</f>
        <v>20.1102777463849</v>
      </c>
      <c r="Q16" s="18" t="n">
        <f aca="false">IF(Calc!$A$15="","",Calc!N$15)</f>
        <v>0.19671554327243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4625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0.258028698312981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76.2069533695831</v>
      </c>
      <c r="P17" s="22" t="n">
        <f aca="false">IF(Calc!$A$16="","",Calc!L$16)</f>
        <v>35.6168116541225</v>
      </c>
      <c r="Q17" s="18" t="str">
        <f aca="false">IF(Calc!$A$16="","",Calc!N$16)</f>
        <v>N/M</v>
      </c>
      <c r="R17" s="18" t="n">
        <f aca="false">IF(Calc!$A$16="","",Calc!O$16)</f>
        <v>0.308029616565318</v>
      </c>
      <c r="S17" s="19" t="n">
        <f aca="false">IF(Calc!$A$16="","",Calc!Q$16)</f>
        <v>0.0116757226962162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83.9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31.0740740740741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98.6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16.6554054054054</v>
      </c>
      <c r="P19" s="22" t="n">
        <f aca="false">IF(Calc!$A$18="","",Calc!L$18)</f>
        <v>14.3413349699141</v>
      </c>
      <c r="Q19" s="18" t="n">
        <f aca="false">IF(Calc!$A$18="","",Calc!N$18)</f>
        <v>0.676180988680989</v>
      </c>
      <c r="R19" s="18" t="n">
        <f aca="false">IF(Calc!$A$18="","",Calc!O$18)</f>
        <v>0.51632132351045</v>
      </c>
      <c r="S19" s="19" t="n">
        <f aca="false">IF(Calc!$A$18="","",Calc!Q$18)</f>
        <v>0.0406636596348884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2055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7.14697848170006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580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0.0744417042015389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68.1551116333725</v>
      </c>
      <c r="P21" s="22" t="n">
        <f aca="false">IF(Calc!$A$20="","",Calc!L$20)</f>
        <v>60.6158079326995</v>
      </c>
      <c r="Q21" s="18" t="str">
        <f aca="false">IF(Calc!$A$20="","",Calc!N$20)</f>
        <v>N/M</v>
      </c>
      <c r="R21" s="18" t="n">
        <f aca="false">IF(Calc!$A$20="","",Calc!O$20)</f>
        <v>1.94129262603476</v>
      </c>
      <c r="S21" s="19" t="n">
        <f aca="false">IF(Calc!$A$20="","",Calc!Q$20)</f>
        <v>0.00344827586206897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582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94.6341463414634</v>
      </c>
      <c r="P22" s="22" t="n">
        <f aca="false">IF(Calc!$A$21="","",Calc!L$21)</f>
        <v>45.9979429437558</v>
      </c>
      <c r="Q22" s="18" t="n">
        <f aca="false">IF(Calc!$A$21="","",Calc!N$21)</f>
        <v>2.11681643132221</v>
      </c>
      <c r="R22" s="18" t="n">
        <f aca="false">IF(Calc!$A$21="","",Calc!O$21)</f>
        <v>0.504339463433761</v>
      </c>
      <c r="S22" s="19" t="n">
        <f aca="false">IF(Calc!$A$21="","",Calc!Q$21)</f>
        <v>0.00265400829896907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602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-0.0105348813535131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60.1020098478072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174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19.205298013245</v>
      </c>
      <c r="P24" s="22" t="n">
        <f aca="false">IF(Calc!$A$23="","",Calc!L$23)</f>
        <v>3.73375008513888</v>
      </c>
      <c r="Q24" s="18" t="str">
        <f aca="false">IF(Calc!$A$23="","",Calc!N$23)</f>
        <v>N/M</v>
      </c>
      <c r="R24" s="18" t="n">
        <f aca="false">IF(Calc!$A$23="","",Calc!O$23)</f>
        <v>0.0349809713431435</v>
      </c>
      <c r="S24" s="19" t="n">
        <f aca="false">IF(Calc!$A$23="","",Calc!Q$23)</f>
        <v>0.0028735632183908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519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105.487804878049</v>
      </c>
      <c r="P26" s="22" t="n">
        <f aca="false">IF(Calc!$A$25="","",Calc!L$25)</f>
        <v>43.3583959899749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0.00192678227360308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540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41.845356885058</v>
      </c>
      <c r="Q27" s="18" t="str">
        <f aca="false">IF(Calc!$A$26="","",Calc!N$26)</f>
        <v>N/M</v>
      </c>
      <c r="R27" s="18" t="n">
        <f aca="false">IF(Calc!$A$26="","",Calc!O$26)</f>
        <v>0.163280430676723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8100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0.531975972855065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207.639066905922</v>
      </c>
      <c r="P28" s="22" t="n">
        <f aca="false">IF(Calc!$A$27="","",Calc!L$27)</f>
        <v>76.1999492286427</v>
      </c>
      <c r="Q28" s="18" t="n">
        <f aca="false">IF(Calc!$A$27="","",Calc!N$27)</f>
        <v>4.69052662417387</v>
      </c>
      <c r="R28" s="18" t="n">
        <f aca="false">IF(Calc!$A$27="","",Calc!O$27)</f>
        <v>0.601800501934464</v>
      </c>
      <c r="S28" s="19" t="n">
        <f aca="false">IF(Calc!$A$27="","",Calc!Q$27)</f>
        <v>0.00246913580246914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5">
      <formula>"N/M"</formula>
    </cfRule>
  </conditionalFormatting>
  <conditionalFormatting sqref="Q3:Q33">
    <cfRule type="cellIs" priority="8" operator="lessThan" aboveAverage="0" equalAverage="0" bottom="0" percent="0" rank="0" text="" dxfId="66">
      <formula>1.5</formula>
    </cfRule>
  </conditionalFormatting>
  <conditionalFormatting sqref="R3:R33">
    <cfRule type="cellIs" priority="9" operator="lessThan" aboveAverage="0" equalAverage="0" bottom="0" percent="0" rank="0" text="" dxfId="66">
      <formula>1.5</formula>
    </cfRule>
  </conditionalFormatting>
  <conditionalFormatting sqref="L3:L33">
    <cfRule type="cellIs" priority="10" operator="equal" aboveAverage="0" equalAverage="0" bottom="0" percent="0" rank="0" text="" dxfId="66">
      <formula>"成長且加速"</formula>
    </cfRule>
    <cfRule type="cellIs" priority="11" operator="equal" aboveAverage="0" equalAverage="0" bottom="0" percent="0" rank="0" text="" dxfId="67">
      <formula>"成長但減速"</formula>
    </cfRule>
    <cfRule type="cellIs" priority="12" operator="equal" aboveAverage="0" equalAverage="0" bottom="0" percent="0" rank="0" text="" dxfId="67">
      <formula>"衰退但收斂"</formula>
    </cfRule>
    <cfRule type="cellIs" priority="13" operator="equal" aboveAverage="0" equalAverage="0" bottom="0" percent="0" rank="0" text="" dxfId="68">
      <formula>"衰退且惡化"</formula>
    </cfRule>
  </conditionalFormatting>
  <conditionalFormatting sqref="A3:W33">
    <cfRule type="expression" priority="14" aboveAverage="0" equalAverage="0" bottom="0" percent="0" rank="0" text="" dxfId="6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2540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46307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29.4390356977283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18.6037219776873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0.553123823870231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0.554174519257801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136.53181890411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0.00866145676377953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0.436107285096209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0.335701504331216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2540</v>
      </c>
      <c r="L12" s="55" t="n">
        <f aca="false">IF(Stock_Card!$B$2="","",IFERROR(INDEX(Calc!$Q$2:$Q$100,MATCH(Stock_Card!$B$2,Calc!$A$2:$A$100,0)),""))</f>
        <v>0.00866145676377953</v>
      </c>
      <c r="M12" s="58" t="n">
        <f aca="false">IF(Stock_Card!$B$2="","",IFERROR(INDEX(Calc!$J$2:$J$100,MATCH(Stock_Card!$B$2,Calc!$A$2:$A$100,0)),""))</f>
        <v>29.4390356977283</v>
      </c>
      <c r="N12" s="57" t="n">
        <f aca="false">IF(Stock_Card!$B$2="","",IFERROR(INDEX(Calc!$N$2:$N$100,MATCH(Stock_Card!$B$2,Calc!$A$2:$A$100,0)),""))</f>
        <v>0.553123823870231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136.53181890411</v>
      </c>
      <c r="H13" s="55" t="n">
        <f aca="false">IF(Stock_Card!$B$2="","",IFERROR(INDEX(Calc!$M$2:$M$100,MATCH(Stock_Card!$B$2,Calc!$A$2:$A$100,0)),""))</f>
        <v>0.335701504331216</v>
      </c>
      <c r="I13" s="55" t="n">
        <f aca="false">IF(Stock_Card!$B$2="","",IFERROR(INDEX(Calc!$AI$2:$AI$100,MATCH(Stock_Card!$B$2,Calc!$A$2:$A$100,0)),""))</f>
        <v>0.436107285096209</v>
      </c>
      <c r="J13" s="59"/>
      <c r="K13" s="59"/>
      <c r="L13" s="59"/>
      <c r="M13" s="58" t="n">
        <f aca="false">IF(Stock_Card!$B$2="","",IFERROR(INDEX(Calc!$L$2:$L$100,MATCH(Stock_Card!$B$2,Calc!$A$2:$A$100,0)),""))</f>
        <v>18.6037219776873</v>
      </c>
      <c r="N13" s="57" t="n">
        <f aca="false">IF(Stock_Card!$B$2="","",IFERROR(INDEX(Calc!$O$2:$O$100,MATCH(Stock_Card!$B$2,Calc!$A$2:$A$100,0)),""))</f>
        <v>0.554174519257801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{6681DA18-3777-4640-9ABB-2FC9E246D075}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6">
      <formula>"成長且加速"</formula>
    </cfRule>
    <cfRule type="cellIs" priority="5" operator="equal" aboveAverage="0" equalAverage="0" bottom="0" percent="0" rank="0" text="" dxfId="67">
      <formula>"成長但減速"</formula>
    </cfRule>
    <cfRule type="cellIs" priority="6" operator="equal" aboveAverage="0" equalAverage="0" bottom="0" percent="0" rank="0" text="" dxfId="67">
      <formula>"衰退但收斂"</formula>
    </cfRule>
    <cfRule type="cellIs" priority="7" operator="equal" aboveAverage="0" equalAverage="0" bottom="0" percent="0" rank="0" text="" dxfId="6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0">
      <formula>$O5="預估"</formula>
    </cfRule>
  </conditionalFormatting>
  <conditionalFormatting sqref="B24:B28">
    <cfRule type="expression" priority="12" aboveAverage="0" equalAverage="0" bottom="0" percent="0" rank="0" text="" dxfId="7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81DA18-3777-4640-9ABB-2FC9E246D07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-46307</v>
      </c>
      <c r="I4" s="67" t="n">
        <f aca="false">IF($A4="","",IFERROR(INDEX(Raw_Price!$E$2:$E$100,MATCH($A4,Raw_Price!$A$2:$A$100,0)),""))</f>
        <v>46307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-46307</v>
      </c>
      <c r="I5" s="67" t="n">
        <f aca="false">IF($A5="","",IFERROR(INDEX(Raw_Price!$E$2:$E$100,MATCH($A5,Raw_Price!$A$2:$A$100,0)),""))</f>
        <v>46307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-46307</v>
      </c>
      <c r="I6" s="67" t="n">
        <f aca="false">IF($A6="","",IFERROR(INDEX(Raw_Price!$E$2:$E$100,MATCH($A6,Raw_Price!$A$2:$A$100,0)),""))</f>
        <v>46307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-46307</v>
      </c>
      <c r="I7" s="67" t="n">
        <f aca="false">IF($A7="","",IFERROR(INDEX(Raw_Price!$E$2:$E$100,MATCH($A7,Raw_Price!$A$2:$A$100,0)),""))</f>
        <v>46307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-46307</v>
      </c>
      <c r="I8" s="67" t="n">
        <f aca="false">IF($A8="","",IFERROR(INDEX(Raw_Price!$E$2:$E$100,MATCH($A8,Raw_Price!$A$2:$A$100,0)),""))</f>
        <v>46307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-46307</v>
      </c>
      <c r="I9" s="67" t="n">
        <f aca="false">IF($A9="","",IFERROR(INDEX(Raw_Price!$E$2:$E$100,MATCH($A9,Raw_Price!$A$2:$A$100,0)),""))</f>
        <v>46307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-46307</v>
      </c>
      <c r="I10" s="67" t="n">
        <f aca="false">IF($A10="","",IFERROR(INDEX(Raw_Price!$E$2:$E$100,MATCH($A10,Raw_Price!$A$2:$A$100,0)),""))</f>
        <v>46307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-46307</v>
      </c>
      <c r="I11" s="67" t="n">
        <f aca="false">IF($A11="","",IFERROR(INDEX(Raw_Price!$E$2:$E$100,MATCH($A11,Raw_Price!$A$2:$A$100,0)),""))</f>
        <v>46307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-46307</v>
      </c>
      <c r="I12" s="67" t="n">
        <f aca="false">IF($A12="","",IFERROR(INDEX(Raw_Price!$E$2:$E$100,MATCH($A12,Raw_Price!$A$2:$A$100,0)),""))</f>
        <v>46307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-46307</v>
      </c>
      <c r="I13" s="67" t="n">
        <f aca="false">IF($A13="","",IFERROR(INDEX(Raw_Price!$E$2:$E$100,MATCH($A13,Raw_Price!$A$2:$A$100,0)),""))</f>
        <v>46307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-46307</v>
      </c>
      <c r="I14" s="67" t="n">
        <f aca="false">IF($A14="","",IFERROR(INDEX(Raw_Price!$E$2:$E$100,MATCH($A14,Raw_Price!$A$2:$A$100,0)),""))</f>
        <v>46307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-46307</v>
      </c>
      <c r="I15" s="67" t="n">
        <f aca="false">IF($A15="","",IFERROR(INDEX(Raw_Price!$E$2:$E$100,MATCH($A15,Raw_Price!$A$2:$A$100,0)),""))</f>
        <v>46307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-46307</v>
      </c>
      <c r="I16" s="67" t="n">
        <f aca="false">IF($A16="","",IFERROR(INDEX(Raw_Price!$E$2:$E$100,MATCH($A16,Raw_Price!$A$2:$A$100,0)),""))</f>
        <v>46307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-46307</v>
      </c>
      <c r="I17" s="67" t="n">
        <f aca="false">IF($A17="","",IFERROR(INDEX(Raw_Price!$E$2:$E$100,MATCH($A17,Raw_Price!$A$2:$A$100,0)),""))</f>
        <v>46307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-46307</v>
      </c>
      <c r="I18" s="67" t="n">
        <f aca="false">IF($A18="","",IFERROR(INDEX(Raw_Price!$E$2:$E$100,MATCH($A18,Raw_Price!$A$2:$A$100,0)),""))</f>
        <v>46307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-46307</v>
      </c>
      <c r="I19" s="67" t="n">
        <f aca="false">IF($A19="","",IFERROR(INDEX(Raw_Price!$E$2:$E$100,MATCH($A19,Raw_Price!$A$2:$A$100,0)),""))</f>
        <v>46307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-46307</v>
      </c>
      <c r="I20" s="67" t="n">
        <f aca="false">IF($A20="","",IFERROR(INDEX(Raw_Price!$E$2:$E$100,MATCH($A20,Raw_Price!$A$2:$A$100,0)),""))</f>
        <v>46307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-46307</v>
      </c>
      <c r="I21" s="67" t="n">
        <f aca="false">IF($A21="","",IFERROR(INDEX(Raw_Price!$E$2:$E$100,MATCH($A21,Raw_Price!$A$2:$A$100,0)),""))</f>
        <v>46307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-46307</v>
      </c>
      <c r="I22" s="67" t="n">
        <f aca="false">IF($A22="","",IFERROR(INDEX(Raw_Price!$E$2:$E$100,MATCH($A22,Raw_Price!$A$2:$A$100,0)),""))</f>
        <v>46307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-46307</v>
      </c>
      <c r="I23" s="67" t="n">
        <f aca="false">IF($A23="","",IFERROR(INDEX(Raw_Price!$E$2:$E$100,MATCH($A23,Raw_Price!$A$2:$A$100,0)),""))</f>
        <v>46307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-46307</v>
      </c>
      <c r="I24" s="67" t="n">
        <f aca="false">IF($A24="","",IFERROR(INDEX(Raw_Price!$E$2:$E$100,MATCH($A24,Raw_Price!$A$2:$A$100,0)),""))</f>
        <v>46307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-46307</v>
      </c>
      <c r="I25" s="67" t="n">
        <f aca="false">IF($A25="","",IFERROR(INDEX(Raw_Price!$E$2:$E$100,MATCH($A25,Raw_Price!$A$2:$A$100,0)),""))</f>
        <v>46307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-46307</v>
      </c>
      <c r="I27" s="67" t="n">
        <f aca="false">IF($A27="","",IFERROR(INDEX(Raw_Price!$E$2:$E$100,MATCH($A27,Raw_Price!$A$2:$A$100,0)),""))</f>
        <v>46307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-46307</v>
      </c>
      <c r="I28" s="67" t="n">
        <f aca="false">IF($A28="","",IFERROR(INDEX(Raw_Price!$E$2:$E$100,MATCH($A28,Raw_Price!$A$2:$A$100,0)),""))</f>
        <v>46307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-46307</v>
      </c>
      <c r="I29" s="67" t="n">
        <f aca="false">IF($A29="","",IFERROR(INDEX(Raw_Price!$E$2:$E$100,MATCH($A29,Raw_Price!$A$2:$A$100,0)),""))</f>
        <v>46307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1">
      <formula>"OK"</formula>
    </cfRule>
    <cfRule type="cellIs" priority="3" operator="equal" aboveAverage="0" equalAverage="0" bottom="0" percent="0" rank="0" text="" dxfId="72">
      <formula>"待更新財報"</formula>
    </cfRule>
    <cfRule type="expression" priority="4" aboveAverage="0" equalAverage="0" bottom="0" percent="0" rank="0" text="" dxfId="73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46307</v>
      </c>
    </row>
    <row r="3" customFormat="false" ht="15" hidden="false" customHeight="false" outlineLevel="0" collapsed="false">
      <c r="A3" s="79" t="s">
        <v>220</v>
      </c>
      <c r="B3" s="83" t="n">
        <v>7.01942</v>
      </c>
      <c r="C3" s="83" t="n">
        <v>7.29565</v>
      </c>
      <c r="D3" s="81" t="n">
        <v>46387</v>
      </c>
      <c r="E3" s="80" t="n">
        <v>13</v>
      </c>
      <c r="F3" s="81" t="n">
        <v>46307</v>
      </c>
    </row>
    <row r="4" customFormat="false" ht="15" hidden="false" customHeight="false" outlineLevel="0" collapsed="false">
      <c r="A4" s="79" t="s">
        <v>345</v>
      </c>
      <c r="B4" s="83" t="n">
        <v>20.09058</v>
      </c>
      <c r="C4" s="83" t="n">
        <v>31.30648</v>
      </c>
      <c r="D4" s="81" t="n">
        <v>46387</v>
      </c>
      <c r="E4" s="80" t="n">
        <v>3</v>
      </c>
      <c r="F4" s="81" t="n">
        <v>46307</v>
      </c>
    </row>
    <row r="5" customFormat="false" ht="15" hidden="false" customHeight="false" outlineLevel="0" collapsed="false">
      <c r="A5" s="79" t="s">
        <v>79</v>
      </c>
      <c r="B5" s="83" t="n">
        <v>108.17631</v>
      </c>
      <c r="C5" s="83" t="n">
        <v>144.49126</v>
      </c>
      <c r="D5" s="81" t="n">
        <v>46387</v>
      </c>
      <c r="E5" s="80" t="n">
        <v>23</v>
      </c>
      <c r="F5" s="81" t="n">
        <v>46307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46307</v>
      </c>
    </row>
    <row r="7" customFormat="false" ht="15" hidden="false" customHeight="false" outlineLevel="0" collapsed="false">
      <c r="A7" s="79" t="s">
        <v>205</v>
      </c>
      <c r="B7" s="83" t="n">
        <v>33.4766</v>
      </c>
      <c r="C7" s="83" t="n">
        <v>36.99918</v>
      </c>
      <c r="D7" s="81" t="n">
        <v>46387</v>
      </c>
      <c r="E7" s="80" t="n">
        <v>8</v>
      </c>
      <c r="F7" s="81" t="n">
        <v>46307</v>
      </c>
    </row>
    <row r="8" customFormat="false" ht="15" hidden="false" customHeight="false" outlineLevel="0" collapsed="false">
      <c r="A8" s="79" t="s">
        <v>182</v>
      </c>
      <c r="B8" s="83" t="n">
        <v>74.86357</v>
      </c>
      <c r="C8" s="83" t="n">
        <v>113.88732</v>
      </c>
      <c r="D8" s="81" t="n">
        <v>46387</v>
      </c>
      <c r="E8" s="80" t="n">
        <v>7</v>
      </c>
      <c r="F8" s="81" t="n">
        <v>46307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68.24214</v>
      </c>
      <c r="C10" s="83" t="n">
        <v>147.14908</v>
      </c>
      <c r="D10" s="81" t="n">
        <v>46387</v>
      </c>
      <c r="E10" s="80" t="n">
        <v>15</v>
      </c>
      <c r="F10" s="81" t="n">
        <v>46307</v>
      </c>
    </row>
    <row r="11" customFormat="false" ht="15" hidden="false" customHeight="false" outlineLevel="0" collapsed="false">
      <c r="A11" s="79" t="s">
        <v>190</v>
      </c>
      <c r="B11" s="83" t="n">
        <v>5.57293</v>
      </c>
      <c r="C11" s="83" t="n">
        <v>9.4557</v>
      </c>
      <c r="D11" s="81" t="n">
        <v>46387</v>
      </c>
      <c r="E11" s="80" t="n">
        <v>9</v>
      </c>
      <c r="F11" s="81" t="n">
        <v>46307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46307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46307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46307</v>
      </c>
    </row>
    <row r="15" customFormat="false" ht="15" hidden="false" customHeight="false" outlineLevel="0" collapsed="false">
      <c r="A15" s="79" t="s">
        <v>230</v>
      </c>
      <c r="B15" s="83" t="n">
        <v>7.69288</v>
      </c>
      <c r="C15" s="83" t="n">
        <v>10.09494</v>
      </c>
      <c r="D15" s="81" t="n">
        <v>46387</v>
      </c>
      <c r="E15" s="80" t="n">
        <v>9</v>
      </c>
      <c r="F15" s="81" t="n">
        <v>46307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46307</v>
      </c>
    </row>
    <row r="17" customFormat="false" ht="15" hidden="false" customHeight="false" outlineLevel="0" collapsed="false">
      <c r="A17" s="79" t="s">
        <v>216</v>
      </c>
      <c r="B17" s="83" t="n">
        <v>11.23337</v>
      </c>
      <c r="C17" s="83" t="n">
        <v>28.00004</v>
      </c>
      <c r="D17" s="81" t="n">
        <v>46387</v>
      </c>
      <c r="E17" s="80" t="n">
        <v>9</v>
      </c>
      <c r="F17" s="81" t="n">
        <v>46307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-0.53</v>
      </c>
      <c r="C19" s="83" t="n">
        <v>12.97667</v>
      </c>
      <c r="D19" s="81" t="n">
        <v>46387</v>
      </c>
      <c r="E19" s="80" t="n">
        <v>1</v>
      </c>
      <c r="F19" s="81" t="n">
        <v>46307</v>
      </c>
    </row>
    <row r="20" customFormat="false" ht="15" hidden="false" customHeight="false" outlineLevel="0" collapsed="false">
      <c r="A20" s="79" t="s">
        <v>245</v>
      </c>
      <c r="B20" s="83" t="n">
        <v>53.45228</v>
      </c>
      <c r="C20" s="83" t="n">
        <v>121.13353</v>
      </c>
      <c r="D20" s="81" t="n">
        <v>46387</v>
      </c>
      <c r="E20" s="80" t="n">
        <v>17</v>
      </c>
      <c r="F20" s="81" t="n">
        <v>46307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46307</v>
      </c>
    </row>
    <row r="22" customFormat="false" ht="15" hidden="false" customHeight="false" outlineLevel="0" collapsed="false">
      <c r="A22" s="79" t="s">
        <v>197</v>
      </c>
      <c r="B22" s="83" t="n">
        <v>69.50286</v>
      </c>
      <c r="C22" s="83" t="n">
        <v>128.3543</v>
      </c>
      <c r="D22" s="81" t="n">
        <v>46387</v>
      </c>
      <c r="E22" s="80" t="n">
        <v>9</v>
      </c>
      <c r="F22" s="81" t="n">
        <v>46307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46307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46307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46307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46307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46307</v>
      </c>
    </row>
    <row r="29" customFormat="false" ht="15" hidden="false" customHeight="false" outlineLevel="0" collapsed="false">
      <c r="A29" s="79" t="s">
        <v>243</v>
      </c>
      <c r="B29" s="83" t="n">
        <v>4.3</v>
      </c>
      <c r="C29" s="83" t="n">
        <v>15.32</v>
      </c>
      <c r="D29" s="81" t="n">
        <v>46387</v>
      </c>
      <c r="E29" s="80"/>
      <c r="F29" s="81" t="n">
        <v>46307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46307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10580</v>
      </c>
      <c r="C2" s="81" t="n">
        <v>46307</v>
      </c>
      <c r="D2" s="81"/>
      <c r="E2" s="81" t="n">
        <v>46307</v>
      </c>
    </row>
    <row r="3" customFormat="false" ht="15" hidden="false" customHeight="false" outlineLevel="0" collapsed="false">
      <c r="A3" s="79" t="s">
        <v>220</v>
      </c>
      <c r="B3" s="83" t="n">
        <v>145.5</v>
      </c>
      <c r="C3" s="81" t="n">
        <v>46307</v>
      </c>
      <c r="D3" s="81"/>
      <c r="E3" s="81" t="n">
        <v>46307</v>
      </c>
    </row>
    <row r="4" customFormat="false" ht="15" hidden="false" customHeight="false" outlineLevel="0" collapsed="false">
      <c r="A4" s="79" t="s">
        <v>345</v>
      </c>
      <c r="B4" s="83" t="n">
        <v>636</v>
      </c>
      <c r="C4" s="81" t="n">
        <v>46307</v>
      </c>
      <c r="D4" s="81"/>
      <c r="E4" s="81" t="n">
        <v>46307</v>
      </c>
    </row>
    <row r="5" customFormat="false" ht="15" hidden="false" customHeight="false" outlineLevel="0" collapsed="false">
      <c r="A5" s="79" t="s">
        <v>79</v>
      </c>
      <c r="B5" s="83" t="n">
        <v>2540</v>
      </c>
      <c r="C5" s="81" t="n">
        <v>46307</v>
      </c>
      <c r="D5" s="81"/>
      <c r="E5" s="81" t="n">
        <v>46307</v>
      </c>
    </row>
    <row r="6" customFormat="false" ht="15" hidden="false" customHeight="false" outlineLevel="0" collapsed="false">
      <c r="A6" s="79" t="s">
        <v>236</v>
      </c>
      <c r="B6" s="83" t="n">
        <v>174</v>
      </c>
      <c r="C6" s="81" t="n">
        <v>46307</v>
      </c>
      <c r="D6" s="81"/>
      <c r="E6" s="81" t="n">
        <v>46307</v>
      </c>
    </row>
    <row r="7" customFormat="false" ht="15" hidden="false" customHeight="false" outlineLevel="0" collapsed="false">
      <c r="A7" s="79" t="s">
        <v>205</v>
      </c>
      <c r="B7" s="83" t="n">
        <v>356</v>
      </c>
      <c r="C7" s="81" t="n">
        <v>46307</v>
      </c>
      <c r="D7" s="81"/>
      <c r="E7" s="81" t="n">
        <v>46307</v>
      </c>
    </row>
    <row r="8" customFormat="false" ht="15" hidden="false" customHeight="false" outlineLevel="0" collapsed="false">
      <c r="A8" s="79" t="s">
        <v>182</v>
      </c>
      <c r="B8" s="83" t="n">
        <v>527</v>
      </c>
      <c r="C8" s="81" t="n">
        <v>46307</v>
      </c>
      <c r="D8" s="81"/>
      <c r="E8" s="81" t="n">
        <v>46307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4625</v>
      </c>
      <c r="C10" s="81" t="n">
        <v>46307</v>
      </c>
      <c r="D10" s="81"/>
      <c r="E10" s="81" t="n">
        <v>46307</v>
      </c>
    </row>
    <row r="11" customFormat="false" ht="15" hidden="false" customHeight="false" outlineLevel="0" collapsed="false">
      <c r="A11" s="79" t="s">
        <v>190</v>
      </c>
      <c r="B11" s="83" t="n">
        <v>564</v>
      </c>
      <c r="C11" s="81" t="n">
        <v>46307</v>
      </c>
      <c r="D11" s="81"/>
      <c r="E11" s="81" t="n">
        <v>46307</v>
      </c>
    </row>
    <row r="12" customFormat="false" ht="15" hidden="false" customHeight="false" outlineLevel="0" collapsed="false">
      <c r="A12" s="79" t="s">
        <v>224</v>
      </c>
      <c r="B12" s="83" t="n">
        <v>83.9</v>
      </c>
      <c r="C12" s="81" t="n">
        <v>46307</v>
      </c>
      <c r="D12" s="81"/>
      <c r="E12" s="81" t="n">
        <v>46307</v>
      </c>
    </row>
    <row r="13" customFormat="false" ht="15" hidden="false" customHeight="false" outlineLevel="0" collapsed="false">
      <c r="A13" s="79" t="s">
        <v>195</v>
      </c>
      <c r="B13" s="83" t="n">
        <v>529</v>
      </c>
      <c r="C13" s="81" t="n">
        <v>46307</v>
      </c>
      <c r="D13" s="81"/>
      <c r="E13" s="81" t="n">
        <v>46307</v>
      </c>
    </row>
    <row r="14" customFormat="false" ht="15" hidden="false" customHeight="false" outlineLevel="0" collapsed="false">
      <c r="A14" s="79" t="s">
        <v>210</v>
      </c>
      <c r="B14" s="83" t="n">
        <v>3025</v>
      </c>
      <c r="C14" s="81" t="n">
        <v>46307</v>
      </c>
      <c r="D14" s="81"/>
      <c r="E14" s="81" t="n">
        <v>46307</v>
      </c>
    </row>
    <row r="15" customFormat="false" ht="15" hidden="false" customHeight="false" outlineLevel="0" collapsed="false">
      <c r="A15" s="79" t="s">
        <v>230</v>
      </c>
      <c r="B15" s="83" t="n">
        <v>580</v>
      </c>
      <c r="C15" s="81" t="n">
        <v>46307</v>
      </c>
      <c r="D15" s="81"/>
      <c r="E15" s="81" t="n">
        <v>46307</v>
      </c>
    </row>
    <row r="16" customFormat="false" ht="15" hidden="false" customHeight="false" outlineLevel="0" collapsed="false">
      <c r="A16" s="79" t="s">
        <v>212</v>
      </c>
      <c r="B16" s="83" t="n">
        <v>689</v>
      </c>
      <c r="C16" s="81" t="n">
        <v>46307</v>
      </c>
      <c r="D16" s="81"/>
      <c r="E16" s="81" t="n">
        <v>46307</v>
      </c>
    </row>
    <row r="17" customFormat="false" ht="15" hidden="false" customHeight="false" outlineLevel="0" collapsed="false">
      <c r="A17" s="79" t="s">
        <v>216</v>
      </c>
      <c r="B17" s="83" t="n">
        <v>1060</v>
      </c>
      <c r="C17" s="81" t="n">
        <v>46307</v>
      </c>
      <c r="D17" s="81"/>
      <c r="E17" s="81" t="n">
        <v>46307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602</v>
      </c>
      <c r="C19" s="81" t="n">
        <v>46307</v>
      </c>
      <c r="D19" s="81"/>
      <c r="E19" s="81" t="n">
        <v>46307</v>
      </c>
    </row>
    <row r="20" customFormat="false" ht="15" hidden="false" customHeight="false" outlineLevel="0" collapsed="false">
      <c r="A20" s="79" t="s">
        <v>245</v>
      </c>
      <c r="B20" s="83" t="n">
        <v>8100</v>
      </c>
      <c r="C20" s="81" t="n">
        <v>46307</v>
      </c>
      <c r="D20" s="81"/>
      <c r="E20" s="81" t="n">
        <v>46307</v>
      </c>
    </row>
    <row r="21" customFormat="false" ht="15" hidden="false" customHeight="false" outlineLevel="0" collapsed="false">
      <c r="A21" s="79" t="s">
        <v>241</v>
      </c>
      <c r="B21" s="83" t="n">
        <v>519</v>
      </c>
      <c r="C21" s="81" t="n">
        <v>46307</v>
      </c>
      <c r="D21" s="81"/>
      <c r="E21" s="81" t="n">
        <v>46307</v>
      </c>
    </row>
    <row r="22" customFormat="false" ht="15" hidden="false" customHeight="false" outlineLevel="0" collapsed="false">
      <c r="A22" s="79" t="s">
        <v>197</v>
      </c>
      <c r="B22" s="83" t="n">
        <v>2355</v>
      </c>
      <c r="C22" s="81" t="n">
        <v>46307</v>
      </c>
      <c r="D22" s="81"/>
      <c r="E22" s="81" t="n">
        <v>46307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98.6</v>
      </c>
      <c r="C24" s="81" t="n">
        <v>46307</v>
      </c>
      <c r="D24" s="81"/>
      <c r="E24" s="81" t="n">
        <v>46307</v>
      </c>
    </row>
    <row r="25" customFormat="false" ht="15" hidden="false" customHeight="false" outlineLevel="0" collapsed="false">
      <c r="A25" s="79" t="s">
        <v>232</v>
      </c>
      <c r="B25" s="83" t="n">
        <v>582</v>
      </c>
      <c r="C25" s="81" t="n">
        <v>46307</v>
      </c>
      <c r="D25" s="81"/>
      <c r="E25" s="81" t="n">
        <v>46307</v>
      </c>
    </row>
    <row r="26" customFormat="false" ht="15" hidden="false" customHeight="false" outlineLevel="0" collapsed="false">
      <c r="A26" s="79" t="s">
        <v>186</v>
      </c>
      <c r="B26" s="83" t="n">
        <v>1260</v>
      </c>
      <c r="C26" s="81" t="n">
        <v>46307</v>
      </c>
      <c r="D26" s="81"/>
      <c r="E26" s="81" t="n">
        <v>46307</v>
      </c>
    </row>
    <row r="27" customFormat="false" ht="15" hidden="false" customHeight="false" outlineLevel="0" collapsed="false">
      <c r="A27" s="79" t="s">
        <v>201</v>
      </c>
      <c r="B27" s="83" t="n">
        <v>593</v>
      </c>
      <c r="C27" s="81" t="n">
        <v>46307</v>
      </c>
      <c r="D27" s="81"/>
      <c r="E27" s="81" t="n">
        <v>46307</v>
      </c>
    </row>
    <row r="28" customFormat="false" ht="15" hidden="false" customHeight="false" outlineLevel="0" collapsed="false">
      <c r="A28" s="79" t="s">
        <v>218</v>
      </c>
      <c r="B28" s="83" t="n">
        <v>1725</v>
      </c>
      <c r="C28" s="81" t="n">
        <v>46307</v>
      </c>
      <c r="D28" s="81"/>
      <c r="E28" s="81" t="n">
        <v>46307</v>
      </c>
    </row>
    <row r="29" customFormat="false" ht="15" hidden="false" customHeight="false" outlineLevel="0" collapsed="false">
      <c r="A29" s="79" t="s">
        <v>243</v>
      </c>
      <c r="B29" s="83" t="n">
        <v>540</v>
      </c>
      <c r="C29" s="81" t="n">
        <v>46307</v>
      </c>
      <c r="D29" s="81"/>
      <c r="E29" s="81" t="n">
        <v>46307</v>
      </c>
    </row>
    <row r="30" customFormat="false" ht="15" hidden="false" customHeight="false" outlineLevel="0" collapsed="false">
      <c r="A30" s="79" t="s">
        <v>228</v>
      </c>
      <c r="B30" s="83" t="n">
        <v>2055</v>
      </c>
      <c r="C30" s="81" t="n">
        <v>46307</v>
      </c>
      <c r="D30" s="81"/>
      <c r="E30" s="81" t="n">
        <v>46307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2540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136.53181890411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29.4390356977283</v>
      </c>
      <c r="K2" s="52" t="n">
        <f aca="false">IF($A2="","",IFERROR(IF(G2&lt;=0,"N/M",D2/G2),"N/M"))</f>
        <v>26.1770743038315</v>
      </c>
      <c r="L2" s="52" t="n">
        <f aca="false">IF($A2="","",IFERROR(IF(H2&lt;=0,"N/M",D2/H2),"N/M"))</f>
        <v>18.6037219776873</v>
      </c>
      <c r="M2" s="49" t="n">
        <f aca="false">IF($A2="","",IFERROR(INDEX(Raw_Est!$C$2:$C$100,MATCH($A2,Raw_Est!$A$2:$A$100,0))/INDEX(Raw_Est!$B$2:$B$100,MATCH($A2,Raw_Est!$A$2:$A$100,0))-1,""))</f>
        <v>0.335701504331216</v>
      </c>
      <c r="N2" s="51" t="n">
        <f aca="false">IF($A2="","",IFERROR(IF(OR(NOT(ISNUMBER(J2)),I2&lt;Config!$B$6),"N/M",J2/(I2*100)),"N/M"))</f>
        <v>0.553123823870231</v>
      </c>
      <c r="O2" s="51" t="n">
        <f aca="false">IF($A2="","",IFERROR(IF(OR(NOT(ISNUMBER(L2)),M2&lt;Config!$B$6),"N/M",L2/(M2*100)),"N/M"))</f>
        <v>0.554174519257801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0.00866145676377953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0.436107285096209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46307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105.334169315069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19.4106813996317</v>
      </c>
      <c r="K3" s="52" t="n">
        <f aca="false">IF($A3="","",IFERROR(IF(G3&lt;=0,"N/M",D3/G3),"N/M"))</f>
        <v>11.0952390476622</v>
      </c>
      <c r="L3" s="52" t="n">
        <f aca="false">IF($A3="","",IFERROR(IF(H3&lt;=0,"N/M",D3/H3),"N/M"))</f>
        <v>5.00312484948424</v>
      </c>
      <c r="M3" s="49" t="n">
        <f aca="false">IF($A3="","",IFERROR(INDEX(Raw_Est!$C$2:$C$100,MATCH($A3,Raw_Est!$A$2:$A$100,0))/INDEX(Raw_Est!$B$2:$B$100,MATCH($A3,Raw_Est!$A$2:$A$100,0))-1,""))</f>
        <v>0.521264882238451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0.0959804701977906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0.800763417809778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7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46307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1260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229.539968356164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5.48924010499526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46307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564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8.60468191780822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136.893203883495</v>
      </c>
      <c r="K5" s="52" t="n">
        <f aca="false">IF($A5="","",IFERROR(IF(G5&lt;=0,"N/M",D5/G5),"N/M"))</f>
        <v>120.145964565461</v>
      </c>
      <c r="L5" s="52" t="n">
        <f aca="false">IF($A5="","",IFERROR(IF(H5&lt;=0,"N/M",D5/H5),"N/M"))</f>
        <v>65.5457116703812</v>
      </c>
      <c r="M5" s="49" t="n">
        <f aca="false">IF($A5="","",IFERROR(INDEX(Raw_Est!$C$2:$C$100,MATCH($A5,Raw_Est!$A$2:$A$100,0))/INDEX(Raw_Est!$B$2:$B$100,MATCH($A5,Raw_Est!$A$2:$A$100,0))-1,""))</f>
        <v>0.696719678876282</v>
      </c>
      <c r="N5" s="51" t="n">
        <f aca="false">IF($A5="","",IFERROR(IF(OR(NOT(ISNUMBER(J5)),I5&lt;Config!$B$6),"N/M",J5/(I5*100)),"N/M"))</f>
        <v>2.22342464906314</v>
      </c>
      <c r="O5" s="51" t="n">
        <f aca="false">IF($A5="","",IFERROR(IF(OR(NOT(ISNUMBER(L5)),M5&lt;Config!$B$6),"N/M",L5/(M5*100)),"N/M"))</f>
        <v>0.940775948457461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0.00464637682624113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0.27902443098403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46307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529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34.9691382191781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18.4513428671085</v>
      </c>
      <c r="K6" s="52" t="n">
        <f aca="false">IF($A6="","",IFERROR(IF(G6&lt;=0,"N/M",D6/G6),"N/M"))</f>
        <v>16.4118894055825</v>
      </c>
      <c r="L6" s="52" t="n">
        <f aca="false">IF($A6="","",IFERROR(IF(H6&lt;=0,"N/M",D6/H6),"N/M"))</f>
        <v>15.1276247268193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0.052930056710775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46307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2355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115.455354246575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43.187236383642</v>
      </c>
      <c r="K7" s="52" t="n">
        <f aca="false">IF($A7="","",IFERROR(IF(G7&lt;=0,"N/M",D7/G7),"N/M"))</f>
        <v>39.4051578088724</v>
      </c>
      <c r="L7" s="52" t="n">
        <f aca="false">IF($A7="","",IFERROR(IF(H7&lt;=0,"N/M",D7/H7),"N/M"))</f>
        <v>20.3974949050044</v>
      </c>
      <c r="M7" s="49" t="n">
        <f aca="false">IF($A7="","",IFERROR(INDEX(Raw_Est!$C$2:$C$100,MATCH($A7,Raw_Est!$A$2:$A$100,0))/INDEX(Raw_Est!$B$2:$B$100,MATCH($A7,Raw_Est!$A$2:$A$100,0))-1,""))</f>
        <v>0.846748464739437</v>
      </c>
      <c r="N7" s="51" t="n">
        <f aca="false">IF($A7="","",IFERROR(IF(OR(NOT(ISNUMBER(J7)),I7&lt;Config!$B$6),"N/M",J7/(I7*100)),"N/M"))</f>
        <v>0.751544721590715</v>
      </c>
      <c r="O7" s="51" t="n">
        <f aca="false">IF($A7="","",IFERROR(IF(OR(NOT(ISNUMBER(L7)),M7&lt;Config!$B$6),"N/M",L7/(M7*100)),"N/M"))</f>
        <v>0.24089202111847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0.00446092674734607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0.273562150990253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46307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593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33.5639726027397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17.6677536660722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1.39831573704276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46307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356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36.2271076712329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13.3283414451516</v>
      </c>
      <c r="K9" s="52" t="n">
        <f aca="false">IF($A9="","",IFERROR(IF(G9&lt;=0,"N/M",D9/G9),"N/M"))</f>
        <v>11.7233834738493</v>
      </c>
      <c r="L9" s="52" t="n">
        <f aca="false">IF($A9="","",IFERROR(IF(H9&lt;=0,"N/M",D9/H9),"N/M"))</f>
        <v>9.82689546266735</v>
      </c>
      <c r="M9" s="49" t="n">
        <f aca="false">IF($A9="","",IFERROR(INDEX(Raw_Est!$C$2:$C$100,MATCH($A9,Raw_Est!$A$2:$A$100,0))/INDEX(Raw_Est!$B$2:$B$100,MATCH($A9,Raw_Est!$A$2:$A$100,0))-1,""))</f>
        <v>0.10522514233823</v>
      </c>
      <c r="N9" s="51" t="n">
        <f aca="false">IF($A9="","",IFERROR(IF(OR(NOT(ISNUMBER(J9)),I9&lt;Config!$B$6),"N/M",J9/(I9*100)),"N/M"))</f>
        <v>0.21268354376034</v>
      </c>
      <c r="O9" s="51" t="n">
        <f aca="false">IF($A9="","",IFERROR(IF(OR(NOT(ISNUMBER(L9)),M9&lt;Config!$B$6),"N/M",L9/(M9*100)),"N/M"))</f>
        <v>0.93389234210587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0.0280898876404494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0.337122302004036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46307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10580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464.565732876712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58.3273609350019</v>
      </c>
      <c r="K10" s="52" t="n">
        <f aca="false">IF($A10="","",IFERROR(IF(G10&lt;=0,"N/M",D10/G10),"N/M"))</f>
        <v>39.7384697872133</v>
      </c>
      <c r="L10" s="52" t="n">
        <f aca="false">IF($A10="","",IFERROR(IF(H10&lt;=0,"N/M",D10/H10),"N/M"))</f>
        <v>22.7739569478917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0.34610095143705</v>
      </c>
      <c r="O10" s="51" t="n">
        <f aca="false">IF($A10="","",IFERROR(IF(OR(NOT(ISNUMBER(L10)),M10&lt;Config!$B$6),"N/M",L10/(M10*100)),"N/M"))</f>
        <v>0.547468863306048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0.00304347826086957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46307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3025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35.0578246575342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269.848349687779</v>
      </c>
      <c r="K11" s="52" t="n">
        <f aca="false">IF($A11="","",IFERROR(IF(G11&lt;=0,"N/M",D11/G11),"N/M"))</f>
        <v>190.01256281407</v>
      </c>
      <c r="L11" s="52" t="n">
        <f aca="false">IF($A11="","",IFERROR(IF(H11&lt;=0,"N/M",D11/H11),"N/M"))</f>
        <v>86.2860154487623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0.479037511525574</v>
      </c>
      <c r="O11" s="51" t="n">
        <f aca="false">IF($A11="","",IFERROR(IF(OR(NOT(ISNUMBER(L11)),M11&lt;Config!$B$6),"N/M",L11/(M11*100)),"N/M"))</f>
        <v>0.855345102242536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0.000165296578512397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46307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689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71.4730290456432</v>
      </c>
      <c r="K12" s="52" t="n">
        <f aca="false">IF($A12="","",IFERROR(IF(G12&lt;=0,"N/M",D12/G12),"N/M"))</f>
        <v>100.437317784257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0.268151307261115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46307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1060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24.3251534246575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179.661016949153</v>
      </c>
      <c r="K13" s="52" t="n">
        <f aca="false">IF($A13="","",IFERROR(IF(G13&lt;=0,"N/M",D13/G13),"N/M"))</f>
        <v>127.186009538951</v>
      </c>
      <c r="L13" s="52" t="n">
        <f aca="false">IF($A13="","",IFERROR(IF(H13&lt;=0,"N/M",D13/H13),"N/M"))</f>
        <v>43.5762924695684</v>
      </c>
      <c r="M13" s="49" t="n">
        <f aca="false">IF($A13="","",IFERROR(INDEX(Raw_Est!$C$2:$C$100,MATCH($A13,Raw_Est!$A$2:$A$100,0))/INDEX(Raw_Est!$B$2:$B$100,MATCH($A13,Raw_Est!$A$2:$A$100,0))-1,""))</f>
        <v>1.49257702719665</v>
      </c>
      <c r="N13" s="51" t="n">
        <f aca="false">IF($A13="","",IFERROR(IF(OR(NOT(ISNUMBER(J13)),I13&lt;Config!$B$6),"N/M",J13/(I13*100)),"N/M"))</f>
        <v>0.463517762278198</v>
      </c>
      <c r="O13" s="51" t="n">
        <f aca="false">IF($A13="","",IFERROR(IF(OR(NOT(ISNUMBER(L13)),M13&lt;Config!$B$6),"N/M",L13/(M13*100)),"N/M"))</f>
        <v>0.291953391185534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0.000943558424528302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0.133110401237564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46307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1725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115.098082191781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14.9872175726242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0.136690301761792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46307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145.5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7.23510643835617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21.7814371257485</v>
      </c>
      <c r="K15" s="52" t="n">
        <f aca="false">IF($A15="","",IFERROR(IF(G15&lt;=0,"N/M",D15/G15),"N/M"))</f>
        <v>21.1132716138956</v>
      </c>
      <c r="L15" s="52" t="n">
        <f aca="false">IF($A15="","",IFERROR(IF(H15&lt;=0,"N/M",D15/H15),"N/M"))</f>
        <v>20.1102777463849</v>
      </c>
      <c r="M15" s="49" t="n">
        <f aca="false">IF($A15="","",IFERROR(INDEX(Raw_Est!$C$2:$C$100,MATCH($A15,Raw_Est!$A$2:$A$100,0))/INDEX(Raw_Est!$B$2:$B$100,MATCH($A15,Raw_Est!$A$2:$A$100,0))-1,""))</f>
        <v>0.0393522541748463</v>
      </c>
      <c r="N15" s="51" t="n">
        <f aca="false">IF($A15="","",IFERROR(IF(OR(NOT(ISNUMBER(J15)),I15&lt;Config!$B$6),"N/M",J15/(I15*100)),"N/M"))</f>
        <v>0.19671554327243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0.198871620624717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46307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129.854408219178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35.6168116541225</v>
      </c>
      <c r="M16" s="49" t="n">
        <f aca="false">IF($A16="","",IFERROR(INDEX(Raw_Est!$C$2:$C$100,MATCH($A16,Raw_Est!$A$2:$A$100,0))/INDEX(Raw_Est!$B$2:$B$100,MATCH($A16,Raw_Est!$A$2:$A$100,0))-1,""))</f>
        <v>1.15627880368347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0.308029616565318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0.258028698312981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46307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83.9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31.0740740740741</v>
      </c>
      <c r="K17" s="52" t="n">
        <f aca="false">IF($A17="","",IFERROR(IF(G17&lt;=0,"N/M",D17/G17),"N/M"))</f>
        <v>26.8051118210863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46307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98.6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6.87523164383562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16.6554054054054</v>
      </c>
      <c r="K18" s="52" t="n">
        <f aca="false">IF($A18="","",IFERROR(IF(G18&lt;=0,"N/M",D18/G18),"N/M"))</f>
        <v>17.2965159624388</v>
      </c>
      <c r="L18" s="52" t="n">
        <f aca="false">IF($A18="","",IFERROR(IF(H18&lt;=0,"N/M",D18/H18),"N/M"))</f>
        <v>14.3413349699141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0.676180988680989</v>
      </c>
      <c r="O18" s="51" t="n">
        <f aca="false">IF($A18="","",IFERROR(IF(OR(NOT(ISNUMBER(L18)),M18&lt;Config!$B$6),"N/M",L18/(M18*100)),"N/M"))</f>
        <v>0.51632132351045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0.0406636596348884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46307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2055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287.534096438356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7.14697848170006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46307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580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9.56846109589041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68.1551116333725</v>
      </c>
      <c r="K20" s="52" t="n">
        <f aca="false">IF($A20="","",IFERROR(IF(G20&lt;=0,"N/M",D20/G20),"N/M"))</f>
        <v>71.536581094115</v>
      </c>
      <c r="L20" s="52" t="n">
        <f aca="false">IF($A20="","",IFERROR(IF(H20&lt;=0,"N/M",D20/H20),"N/M"))</f>
        <v>60.6158079326995</v>
      </c>
      <c r="M20" s="49" t="n">
        <f aca="false">IF($A20="","",IFERROR(INDEX(Raw_Est!$C$2:$C$100,MATCH($A20,Raw_Est!$A$2:$A$100,0))/INDEX(Raw_Est!$B$2:$B$100,MATCH($A20,Raw_Est!$A$2:$A$100,0))-1,""))</f>
        <v>0.312244569004066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1.94129262603476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0.00344827586206897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0.0744417042015389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46307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582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12.6527397260274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94.6341463414634</v>
      </c>
      <c r="K21" s="52" t="n">
        <f aca="false">IF($A21="","",IFERROR(IF(G21&lt;=0,"N/M",D21/G21),"N/M"))</f>
        <v>85.7142857142857</v>
      </c>
      <c r="L21" s="52" t="n">
        <f aca="false">IF($A21="","",IFERROR(IF(H21&lt;=0,"N/M",D21/H21),"N/M"))</f>
        <v>45.9979429437558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2.11681643132221</v>
      </c>
      <c r="O21" s="51" t="n">
        <f aca="false">IF($A21="","",IFERROR(IF(OR(NOT(ISNUMBER(L21)),M21&lt;Config!$B$6),"N/M",L21/(M21*100)),"N/M"))</f>
        <v>0.504339463433761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0.00265400829896907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46307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602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10.0163039726027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60.1020098478072</v>
      </c>
      <c r="M22" s="49" t="n">
        <f aca="false">IF($A22="","",IFERROR(INDEX(Raw_Est!$C$2:$C$100,MATCH($A22,Raw_Est!$A$2:$A$100,0))/INDEX(Raw_Est!$B$2:$B$100,MATCH($A22,Raw_Est!$A$2:$A$100,0))-1,""))</f>
        <v>-25.4842830188679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-0.0105348813535131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1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46307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174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46.6019406849315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19.205298013245</v>
      </c>
      <c r="K23" s="52" t="n">
        <f aca="false">IF($A23="","",IFERROR(IF(G23&lt;=0,"N/M",D23/G23),"N/M"))</f>
        <v>10.5396864624996</v>
      </c>
      <c r="L23" s="52" t="n">
        <f aca="false">IF($A23="","",IFERROR(IF(H23&lt;=0,"N/M",D23/H23),"N/M"))</f>
        <v>3.73375008513888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0.0349809713431435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0.0028735632183908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46307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519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105.487804878049</v>
      </c>
      <c r="K25" s="52" t="n">
        <f aca="false">IF($A25="","",IFERROR(IF(G25&lt;=0,"N/M",D25/G25),"N/M"))</f>
        <v>120.417633410673</v>
      </c>
      <c r="L25" s="52" t="n">
        <f aca="false">IF($A25="","",IFERROR(IF(H25&lt;=0,"N/M",D25/H25),"N/M"))</f>
        <v>43.3583959899749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0.00192678227360308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46307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540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12.9046575342466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41.845356885058</v>
      </c>
      <c r="M26" s="49" t="n">
        <f aca="false">IF($A26="","",IFERROR(INDEX(Raw_Est!$C$2:$C$100,MATCH($A26,Raw_Est!$A$2:$A$100,0))/INDEX(Raw_Est!$B$2:$B$100,MATCH($A26,Raw_Est!$A$2:$A$100,0))-1,""))</f>
        <v>2.56279069767442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0.163280430676723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0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46307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8100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106.299283424658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207.639066905922</v>
      </c>
      <c r="K27" s="52" t="n">
        <f aca="false">IF($A27="","",IFERROR(IF(G27&lt;=0,"N/M",D27/G27),"N/M"))</f>
        <v>180.440234073309</v>
      </c>
      <c r="L27" s="52" t="n">
        <f aca="false">IF($A27="","",IFERROR(IF(H27&lt;=0,"N/M",D27/H27),"N/M"))</f>
        <v>76.1999492286427</v>
      </c>
      <c r="M27" s="49" t="n">
        <f aca="false">IF($A27="","",IFERROR(INDEX(Raw_Est!$C$2:$C$100,MATCH($A27,Raw_Est!$A$2:$A$100,0))/INDEX(Raw_Est!$B$2:$B$100,MATCH($A27,Raw_Est!$A$2:$A$100,0))-1,""))</f>
        <v>1.26619949607388</v>
      </c>
      <c r="N27" s="51" t="n">
        <f aca="false">IF($A27="","",IFERROR(IF(OR(NOT(ISNUMBER(J27)),I27&lt;Config!$B$6),"N/M",J27/(I27*100)),"N/M"))</f>
        <v>4.69052662417387</v>
      </c>
      <c r="O27" s="51" t="n">
        <f aca="false">IF($A27="","",IFERROR(IF(OR(NOT(ISNUMBER(L27)),M27&lt;Config!$B$6),"N/M",L27/(M27*100)),"N/M"))</f>
        <v>0.601800501934464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0.00246913580246914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0.531975972855065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46307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2026-10-12T15:56:29Z</dcterms:created>
  <dc:creator>openpyxl</dc:creator>
  <dc:description/>
  <dc:language>en-US</dc:language>
  <cp:lastModifiedBy/>
  <dcterms:modified xsi:type="dcterms:W3CDTF">2026-10-12T15:56:29Z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