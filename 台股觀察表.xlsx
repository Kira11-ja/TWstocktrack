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<sst xmlns="http://schemas.openxmlformats.org/spreadsheetml/2006/main" count="8221" uniqueCount="1534">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</sst>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83CB96"/>
          <bgColor rgb="FF000000"/>
        </patternFill>
      </fill>
    </dxf>
    <dxf>
      <fill>
        <patternFill patternType="solid">
          <fgColor rgb="FFA8DBB6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8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2490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0.437688500053166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28.8595271210014</v>
      </c>
      <c r="P3" s="22" t="n">
        <f aca="false">IF(Calc!$A$2="","",Calc!L$2)</f>
        <v>18.0679301571452</v>
      </c>
      <c r="Q3" s="18" t="n">
        <f aca="false">IF(Calc!$A$2="","",Calc!N$2)</f>
        <v>0.542235559620817</v>
      </c>
      <c r="R3" s="18" t="n">
        <f aca="false">IF(Calc!$A$2="","",Calc!O$2)</f>
        <v>0.527416934027174</v>
      </c>
      <c r="S3" s="19" t="n">
        <f aca="false">IF(Calc!$A$2="","",Calc!Q$2)</f>
        <v>0.00883538159839357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480.5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0.819853537373964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17.6979742173112</v>
      </c>
      <c r="P4" s="22" t="n">
        <f aca="false">IF(Calc!$A$3="","",Calc!L$3)</f>
        <v>4.34450898583749</v>
      </c>
      <c r="Q4" s="18" t="str">
        <f aca="false">IF(Calc!$A$3="","",Calc!N$3)</f>
        <v>N/M</v>
      </c>
      <c r="R4" s="18" t="n">
        <f aca="false">IF(Calc!$A$3="","",Calc!O$3)</f>
        <v>0.0771221006587487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1170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5.11649709830294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523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0.281671516389037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126.941747572816</v>
      </c>
      <c r="P6" s="22" t="n">
        <f aca="false">IF(Calc!$A$5="","",Calc!L$5)</f>
        <v>60.551640848122</v>
      </c>
      <c r="Q6" s="18" t="n">
        <f aca="false">IF(Calc!$A$5="","",Calc!N$5)</f>
        <v>2.06179271535465</v>
      </c>
      <c r="R6" s="18" t="n">
        <f aca="false">IF(Calc!$A$5="","",Calc!O$5)</f>
        <v>0.889452521171218</v>
      </c>
      <c r="S6" s="19" t="n">
        <f aca="false">IF(Calc!$A$5="","",Calc!Q$5)</f>
        <v>0.00501062434034417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560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0.299427087809628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19.5326124869201</v>
      </c>
      <c r="P7" s="22" t="n">
        <f aca="false">IF(Calc!$A$6="","",Calc!L$6)</f>
        <v>15.9563102610666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2235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0.273562150990253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40.9866128736475</v>
      </c>
      <c r="P8" s="22" t="n">
        <f aca="false">IF(Calc!$A$7="","",Calc!L$7)</f>
        <v>19.3042142932197</v>
      </c>
      <c r="Q8" s="18" t="n">
        <f aca="false">IF(Calc!$A$7="","",Calc!N$7)</f>
        <v>0.713249449152972</v>
      </c>
      <c r="R8" s="18" t="n">
        <f aca="false">IF(Calc!$A$7="","",Calc!O$7)</f>
        <v>0.227980505393181</v>
      </c>
      <c r="S8" s="19" t="n">
        <f aca="false">IF(Calc!$A$7="","",Calc!Q$7)</f>
        <v>0.00470043959284116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596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17.7459524234882</v>
      </c>
      <c r="Q9" s="18" t="str">
        <f aca="false">IF(Calc!$A$8="","",Calc!N$8)</f>
        <v>N/M</v>
      </c>
      <c r="R9" s="18" t="n">
        <f aca="false">IF(Calc!$A$8="","",Calc!O$8)</f>
        <v>1.40450478377608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356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0.337122302004036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13.3283414451516</v>
      </c>
      <c r="P10" s="22" t="n">
        <f aca="false">IF(Calc!$A$9="","",Calc!L$9)</f>
        <v>9.82166247947442</v>
      </c>
      <c r="Q10" s="18" t="n">
        <f aca="false">IF(Calc!$A$9="","",Calc!N$9)</f>
        <v>0.21268354376034</v>
      </c>
      <c r="R10" s="18" t="n">
        <f aca="false">IF(Calc!$A$9="","",Calc!O$9)</f>
        <v>0.933395029099049</v>
      </c>
      <c r="S10" s="19" t="n">
        <f aca="false">IF(Calc!$A$9="","",Calc!Q$9)</f>
        <v>0.0280898876404494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10005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55.1573956667953</v>
      </c>
      <c r="P11" s="22" t="n">
        <f aca="false">IF(Calc!$A$10="","",Calc!L$10)</f>
        <v>21.4992517934222</v>
      </c>
      <c r="Q11" s="18" t="n">
        <f aca="false">IF(Calc!$A$10="","",Calc!N$10)</f>
        <v>0.327291117119819</v>
      </c>
      <c r="R11" s="18" t="n">
        <f aca="false">IF(Calc!$A$10="","",Calc!O$10)</f>
        <v>0.516825906372189</v>
      </c>
      <c r="S11" s="19" t="n">
        <f aca="false">IF(Calc!$A$10="","",Calc!Q$10)</f>
        <v>0.0032183908045977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2880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256.913470115968</v>
      </c>
      <c r="P12" s="22" t="n">
        <f aca="false">IF(Calc!$A$11="","",Calc!L$11)</f>
        <v>81.8967630626938</v>
      </c>
      <c r="Q12" s="18" t="n">
        <f aca="false">IF(Calc!$A$11="","",Calc!N$11)</f>
        <v>0.456075382873935</v>
      </c>
      <c r="R12" s="18" t="n">
        <f aca="false">IF(Calc!$A$11="","",Calc!O$11)</f>
        <v>0.811834858880338</v>
      </c>
      <c r="S12" s="19" t="n">
        <f aca="false">IF(Calc!$A$11="","",Calc!Q$11)</f>
        <v>0.000173618802083333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653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67.7385892116183</v>
      </c>
      <c r="P13" s="22" t="str">
        <f aca="false">IF(Calc!$A$12="","",Calc!L$12)</f>
        <v>N/M</v>
      </c>
      <c r="Q13" s="18" t="n">
        <f aca="false">IF(Calc!$A$12="","",Calc!N$12)</f>
        <v>0.254140498754003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1050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0.13347169407611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177.966101694915</v>
      </c>
      <c r="P14" s="22" t="n">
        <f aca="false">IF(Calc!$A$13="","",Calc!L$13)</f>
        <v>42.8388962418717</v>
      </c>
      <c r="Q14" s="18" t="n">
        <f aca="false">IF(Calc!$A$13="","",Calc!N$13)</f>
        <v>0.459144953200101</v>
      </c>
      <c r="R14" s="18" t="n">
        <f aca="false">IF(Calc!$A$13="","",Calc!O$13)</f>
        <v>0.286425006825061</v>
      </c>
      <c r="S14" s="19" t="n">
        <f aca="false">IF(Calc!$A$13="","",Calc!Q$13)</f>
        <v>0.000952544695238095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1640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14.2027457376341</v>
      </c>
      <c r="Q15" s="18" t="str">
        <f aca="false">IF(Calc!$A$14="","",Calc!N$14)</f>
        <v>N/M</v>
      </c>
      <c r="R15" s="18" t="n">
        <f aca="false">IF(Calc!$A$14="","",Calc!O$14)</f>
        <v>0.129535558639607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142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0.198871620624717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21.2574850299401</v>
      </c>
      <c r="P16" s="22" t="n">
        <f aca="false">IF(Calc!$A$15="","",Calc!L$15)</f>
        <v>19.6224203374503</v>
      </c>
      <c r="Q16" s="18" t="n">
        <f aca="false">IF(Calc!$A$15="","",Calc!N$15)</f>
        <v>0.191983554259003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4475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0.258640249499171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73.7353765035426</v>
      </c>
      <c r="P17" s="22" t="n">
        <f aca="false">IF(Calc!$A$16="","",Calc!L$16)</f>
        <v>34.0230037702656</v>
      </c>
      <c r="Q17" s="18" t="str">
        <f aca="false">IF(Calc!$A$16="","",Calc!N$16)</f>
        <v>N/M</v>
      </c>
      <c r="R17" s="18" t="n">
        <f aca="false">IF(Calc!$A$16="","",Calc!O$16)</f>
        <v>0.289896227426786</v>
      </c>
      <c r="S17" s="19" t="n">
        <f aca="false">IF(Calc!$A$16="","",Calc!Q$16)</f>
        <v>0.0120670877027933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85.5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31.6666666666667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100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0.0748730420535528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16.8918918918919</v>
      </c>
      <c r="P19" s="22" t="n">
        <f aca="false">IF(Calc!$A$18="","",Calc!L$18)</f>
        <v>14.1108710935701</v>
      </c>
      <c r="Q19" s="18" t="n">
        <f aca="false">IF(Calc!$A$18="","",Calc!N$18)</f>
        <v>0.685781935781936</v>
      </c>
      <c r="R19" s="18" t="n">
        <f aca="false">IF(Calc!$A$18="","",Calc!O$18)</f>
        <v>0.495360182908245</v>
      </c>
      <c r="S19" s="19" t="n">
        <f aca="false">IF(Calc!$A$18="","",Calc!Q$18)</f>
        <v>0.0400943684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1965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6.34918949247915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557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0.0754540807228892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65.4524089306698</v>
      </c>
      <c r="P21" s="22" t="n">
        <f aca="false">IF(Calc!$A$20="","",Calc!L$20)</f>
        <v>57.3760574432363</v>
      </c>
      <c r="Q21" s="18" t="str">
        <f aca="false">IF(Calc!$A$20="","",Calc!N$20)</f>
        <v>N/M</v>
      </c>
      <c r="R21" s="18" t="n">
        <f aca="false">IF(Calc!$A$20="","",Calc!O$20)</f>
        <v>1.84142859224078</v>
      </c>
      <c r="S21" s="19" t="n">
        <f aca="false">IF(Calc!$A$20="","",Calc!Q$20)</f>
        <v>0.00359066427289049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588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95.609756097561</v>
      </c>
      <c r="P22" s="22" t="n">
        <f aca="false">IF(Calc!$A$21="","",Calc!L$21)</f>
        <v>46.3368978761715</v>
      </c>
      <c r="Q22" s="18" t="n">
        <f aca="false">IF(Calc!$A$21="","",Calc!N$21)</f>
        <v>2.13863928112965</v>
      </c>
      <c r="R22" s="18" t="n">
        <f aca="false">IF(Calc!$A$21="","",Calc!O$21)</f>
        <v>0.508055898078498</v>
      </c>
      <c r="S22" s="19" t="n">
        <f aca="false">IF(Calc!$A$21="","",Calc!Q$21)</f>
        <v>0.00262692658163265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559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-0.00864655356373243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65.6129510044634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165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18.2119205298013</v>
      </c>
      <c r="P24" s="22" t="n">
        <f aca="false">IF(Calc!$A$23="","",Calc!L$23)</f>
        <v>3.52936647422889</v>
      </c>
      <c r="Q24" s="18" t="str">
        <f aca="false">IF(Calc!$A$23="","",Calc!N$23)</f>
        <v>N/M</v>
      </c>
      <c r="R24" s="18" t="n">
        <f aca="false">IF(Calc!$A$23="","",Calc!O$23)</f>
        <v>0.0330661304798765</v>
      </c>
      <c r="S24" s="19" t="n">
        <f aca="false">IF(Calc!$A$23="","",Calc!Q$23)</f>
        <v>0.00303030303030303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500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101.626016260163</v>
      </c>
      <c r="P26" s="22" t="n">
        <f aca="false">IF(Calc!$A$25="","",Calc!L$25)</f>
        <v>41.7710944026734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0.002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518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39.9535949148818</v>
      </c>
      <c r="Q27" s="18" t="str">
        <f aca="false">IF(Calc!$A$26="","",Calc!N$26)</f>
        <v>N/M</v>
      </c>
      <c r="R27" s="18" t="n">
        <f aca="false">IF(Calc!$A$26="","",Calc!O$26)</f>
        <v>0.155898782335745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8245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0.531975972855065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211.356062548065</v>
      </c>
      <c r="P28" s="22" t="n">
        <f aca="false">IF(Calc!$A$27="","",Calc!L$27)</f>
        <v>77.2943584002497</v>
      </c>
      <c r="Q28" s="18" t="n">
        <f aca="false">IF(Calc!$A$27="","",Calc!N$27)</f>
        <v>4.77449284152019</v>
      </c>
      <c r="R28" s="18" t="n">
        <f aca="false">IF(Calc!$A$27="","",Calc!O$27)</f>
        <v>0.610443762139514</v>
      </c>
      <c r="S28" s="19" t="n">
        <f aca="false">IF(Calc!$A$27="","",Calc!Q$27)</f>
        <v>0.00242571255306246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6">
      <formula>"N/M"</formula>
    </cfRule>
  </conditionalFormatting>
  <conditionalFormatting sqref="Q3:Q33">
    <cfRule type="cellIs" priority="8" operator="lessThan" aboveAverage="0" equalAverage="0" bottom="0" percent="0" rank="0" text="" dxfId="67">
      <formula>1.5</formula>
    </cfRule>
  </conditionalFormatting>
  <conditionalFormatting sqref="R3:R33">
    <cfRule type="cellIs" priority="9" operator="lessThan" aboveAverage="0" equalAverage="0" bottom="0" percent="0" rank="0" text="" dxfId="67">
      <formula>1.5</formula>
    </cfRule>
  </conditionalFormatting>
  <conditionalFormatting sqref="L3:L33">
    <cfRule type="cellIs" priority="10" operator="equal" aboveAverage="0" equalAverage="0" bottom="0" percent="0" rank="0" text="" dxfId="67">
      <formula>"成長且加速"</formula>
    </cfRule>
    <cfRule type="cellIs" priority="11" operator="equal" aboveAverage="0" equalAverage="0" bottom="0" percent="0" rank="0" text="" dxfId="68">
      <formula>"成長但減速"</formula>
    </cfRule>
    <cfRule type="cellIs" priority="12" operator="equal" aboveAverage="0" equalAverage="0" bottom="0" percent="0" rank="0" text="" dxfId="68">
      <formula>"衰退但收斂"</formula>
    </cfRule>
    <cfRule type="cellIs" priority="13" operator="equal" aboveAverage="0" equalAverage="0" bottom="0" percent="0" rank="0" text="" dxfId="69">
      <formula>"衰退且惡化"</formula>
    </cfRule>
  </conditionalFormatting>
  <conditionalFormatting sqref="A3:W33">
    <cfRule type="expression" priority="14" aboveAverage="0" equalAverage="0" bottom="0" percent="0" rank="0" text="" dxfId="70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2490</v>
      </c>
      <c r="D4" s="30" t="s">
        <v>81</v>
      </c>
      <c r="E4" s="32" t="n">
        <f aca="false">IF($B$2="","",IFERROR(INDEX(Calc!$AM$2:$AM$100,MATCH($B$2,Calc!$A$2:$A$100,0)),""))</f>
        <v>24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46309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28.8595271210014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18.0679301571452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0.542235559620817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0.527416934027174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137.813240273973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0.00883538159839357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0.437688500053166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0.342573948454492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2490</v>
      </c>
      <c r="L12" s="55" t="n">
        <f aca="false">IF(Stock_Card!$B$2="","",IFERROR(INDEX(Calc!$Q$2:$Q$100,MATCH(Stock_Card!$B$2,Calc!$A$2:$A$100,0)),""))</f>
        <v>0.00883538159839357</v>
      </c>
      <c r="M12" s="58" t="n">
        <f aca="false">IF(Stock_Card!$B$2="","",IFERROR(INDEX(Calc!$J$2:$J$100,MATCH(Stock_Card!$B$2,Calc!$A$2:$A$100,0)),""))</f>
        <v>28.8595271210014</v>
      </c>
      <c r="N12" s="57" t="n">
        <f aca="false">IF(Stock_Card!$B$2="","",IFERROR(INDEX(Calc!$N$2:$N$100,MATCH(Stock_Card!$B$2,Calc!$A$2:$A$100,0)),""))</f>
        <v>0.542235559620817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137.813240273973</v>
      </c>
      <c r="H13" s="55" t="n">
        <f aca="false">IF(Stock_Card!$B$2="","",IFERROR(INDEX(Calc!$M$2:$M$100,MATCH(Stock_Card!$B$2,Calc!$A$2:$A$100,0)),""))</f>
        <v>0.342573948454492</v>
      </c>
      <c r="I13" s="55" t="n">
        <f aca="false">IF(Stock_Card!$B$2="","",IFERROR(INDEX(Calc!$AI$2:$AI$100,MATCH(Stock_Card!$B$2,Calc!$A$2:$A$100,0)),""))</f>
        <v>0.437688500053166</v>
      </c>
      <c r="J13" s="59"/>
      <c r="K13" s="59"/>
      <c r="L13" s="59"/>
      <c r="M13" s="58" t="n">
        <f aca="false">IF(Stock_Card!$B$2="","",IFERROR(INDEX(Calc!$L$2:$L$100,MATCH(Stock_Card!$B$2,Calc!$A$2:$A$100,0)),""))</f>
        <v>18.0679301571452</v>
      </c>
      <c r="N13" s="57" t="n">
        <f aca="false">IF(Stock_Card!$B$2="","",IFERROR(INDEX(Calc!$O$2:$O$100,MATCH(Stock_Card!$B$2,Calc!$A$2:$A$100,0)),""))</f>
        <v>0.527416934027174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{7C4DD849-D541-4981-B099-643754383571}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7">
      <formula>"成長且加速"</formula>
    </cfRule>
    <cfRule type="cellIs" priority="5" operator="equal" aboveAverage="0" equalAverage="0" bottom="0" percent="0" rank="0" text="" dxfId="68">
      <formula>"成長但減速"</formula>
    </cfRule>
    <cfRule type="cellIs" priority="6" operator="equal" aboveAverage="0" equalAverage="0" bottom="0" percent="0" rank="0" text="" dxfId="68">
      <formula>"衰退但收斂"</formula>
    </cfRule>
    <cfRule type="cellIs" priority="7" operator="equal" aboveAverage="0" equalAverage="0" bottom="0" percent="0" rank="0" text="" dxfId="69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1">
      <formula>$O5="預估"</formula>
    </cfRule>
  </conditionalFormatting>
  <conditionalFormatting sqref="B24:B28">
    <cfRule type="expression" priority="12" aboveAverage="0" equalAverage="0" bottom="0" percent="0" rank="0" text="" dxfId="71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1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1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1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1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1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1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1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4DD849-D541-4981-B099-643754383571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-46309</v>
      </c>
      <c r="I4" s="67" t="n">
        <f aca="false">IF($A4="","",IFERROR(INDEX(Raw_Price!$E$2:$E$100,MATCH($A4,Raw_Price!$A$2:$A$100,0)),""))</f>
        <v>46309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-46309</v>
      </c>
      <c r="I5" s="67" t="n">
        <f aca="false">IF($A5="","",IFERROR(INDEX(Raw_Price!$E$2:$E$100,MATCH($A5,Raw_Price!$A$2:$A$100,0)),""))</f>
        <v>46309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-46309</v>
      </c>
      <c r="I6" s="67" t="n">
        <f aca="false">IF($A6="","",IFERROR(INDEX(Raw_Price!$E$2:$E$100,MATCH($A6,Raw_Price!$A$2:$A$100,0)),""))</f>
        <v>46309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-46309</v>
      </c>
      <c r="I7" s="67" t="n">
        <f aca="false">IF($A7="","",IFERROR(INDEX(Raw_Price!$E$2:$E$100,MATCH($A7,Raw_Price!$A$2:$A$100,0)),""))</f>
        <v>46309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-46309</v>
      </c>
      <c r="I8" s="67" t="n">
        <f aca="false">IF($A8="","",IFERROR(INDEX(Raw_Price!$E$2:$E$100,MATCH($A8,Raw_Price!$A$2:$A$100,0)),""))</f>
        <v>46309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-46309</v>
      </c>
      <c r="I9" s="67" t="n">
        <f aca="false">IF($A9="","",IFERROR(INDEX(Raw_Price!$E$2:$E$100,MATCH($A9,Raw_Price!$A$2:$A$100,0)),""))</f>
        <v>46309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-46309</v>
      </c>
      <c r="I10" s="67" t="n">
        <f aca="false">IF($A10="","",IFERROR(INDEX(Raw_Price!$E$2:$E$100,MATCH($A10,Raw_Price!$A$2:$A$100,0)),""))</f>
        <v>46309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-46309</v>
      </c>
      <c r="I11" s="67" t="n">
        <f aca="false">IF($A11="","",IFERROR(INDEX(Raw_Price!$E$2:$E$100,MATCH($A11,Raw_Price!$A$2:$A$100,0)),""))</f>
        <v>46309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-46309</v>
      </c>
      <c r="I12" s="67" t="n">
        <f aca="false">IF($A12="","",IFERROR(INDEX(Raw_Price!$E$2:$E$100,MATCH($A12,Raw_Price!$A$2:$A$100,0)),""))</f>
        <v>46309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-46309</v>
      </c>
      <c r="I13" s="67" t="n">
        <f aca="false">IF($A13="","",IFERROR(INDEX(Raw_Price!$E$2:$E$100,MATCH($A13,Raw_Price!$A$2:$A$100,0)),""))</f>
        <v>46309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-46309</v>
      </c>
      <c r="I14" s="67" t="n">
        <f aca="false">IF($A14="","",IFERROR(INDEX(Raw_Price!$E$2:$E$100,MATCH($A14,Raw_Price!$A$2:$A$100,0)),""))</f>
        <v>46309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-46309</v>
      </c>
      <c r="I15" s="67" t="n">
        <f aca="false">IF($A15="","",IFERROR(INDEX(Raw_Price!$E$2:$E$100,MATCH($A15,Raw_Price!$A$2:$A$100,0)),""))</f>
        <v>46309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-46309</v>
      </c>
      <c r="I16" s="67" t="n">
        <f aca="false">IF($A16="","",IFERROR(INDEX(Raw_Price!$E$2:$E$100,MATCH($A16,Raw_Price!$A$2:$A$100,0)),""))</f>
        <v>46309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-46309</v>
      </c>
      <c r="I17" s="67" t="n">
        <f aca="false">IF($A17="","",IFERROR(INDEX(Raw_Price!$E$2:$E$100,MATCH($A17,Raw_Price!$A$2:$A$100,0)),""))</f>
        <v>46309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-46309</v>
      </c>
      <c r="I18" s="67" t="n">
        <f aca="false">IF($A18="","",IFERROR(INDEX(Raw_Price!$E$2:$E$100,MATCH($A18,Raw_Price!$A$2:$A$100,0)),""))</f>
        <v>46309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-46309</v>
      </c>
      <c r="I19" s="67" t="n">
        <f aca="false">IF($A19="","",IFERROR(INDEX(Raw_Price!$E$2:$E$100,MATCH($A19,Raw_Price!$A$2:$A$100,0)),""))</f>
        <v>46309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-46309</v>
      </c>
      <c r="I20" s="67" t="n">
        <f aca="false">IF($A20="","",IFERROR(INDEX(Raw_Price!$E$2:$E$100,MATCH($A20,Raw_Price!$A$2:$A$100,0)),""))</f>
        <v>46309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-46309</v>
      </c>
      <c r="I21" s="67" t="n">
        <f aca="false">IF($A21="","",IFERROR(INDEX(Raw_Price!$E$2:$E$100,MATCH($A21,Raw_Price!$A$2:$A$100,0)),""))</f>
        <v>46309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-46309</v>
      </c>
      <c r="I22" s="67" t="n">
        <f aca="false">IF($A22="","",IFERROR(INDEX(Raw_Price!$E$2:$E$100,MATCH($A22,Raw_Price!$A$2:$A$100,0)),""))</f>
        <v>46309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-46309</v>
      </c>
      <c r="I23" s="67" t="n">
        <f aca="false">IF($A23="","",IFERROR(INDEX(Raw_Price!$E$2:$E$100,MATCH($A23,Raw_Price!$A$2:$A$100,0)),""))</f>
        <v>46309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-46309</v>
      </c>
      <c r="I24" s="67" t="n">
        <f aca="false">IF($A24="","",IFERROR(INDEX(Raw_Price!$E$2:$E$100,MATCH($A24,Raw_Price!$A$2:$A$100,0)),""))</f>
        <v>46309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-46309</v>
      </c>
      <c r="I25" s="67" t="n">
        <f aca="false">IF($A25="","",IFERROR(INDEX(Raw_Price!$E$2:$E$100,MATCH($A25,Raw_Price!$A$2:$A$100,0)),""))</f>
        <v>46309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-46309</v>
      </c>
      <c r="I27" s="67" t="n">
        <f aca="false">IF($A27="","",IFERROR(INDEX(Raw_Price!$E$2:$E$100,MATCH($A27,Raw_Price!$A$2:$A$100,0)),""))</f>
        <v>46309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-46309</v>
      </c>
      <c r="I28" s="67" t="n">
        <f aca="false">IF($A28="","",IFERROR(INDEX(Raw_Price!$E$2:$E$100,MATCH($A28,Raw_Price!$A$2:$A$100,0)),""))</f>
        <v>46309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-46309</v>
      </c>
      <c r="I29" s="67" t="n">
        <f aca="false">IF($A29="","",IFERROR(INDEX(Raw_Price!$E$2:$E$100,MATCH($A29,Raw_Price!$A$2:$A$100,0)),""))</f>
        <v>46309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72">
      <formula>"OK"</formula>
    </cfRule>
    <cfRule type="cellIs" priority="3" operator="equal" aboveAverage="0" equalAverage="0" bottom="0" percent="0" rank="0" text="" dxfId="73">
      <formula>"待更新財報"</formula>
    </cfRule>
    <cfRule type="expression" priority="4" aboveAverage="0" equalAverage="0" bottom="0" percent="0" rank="0" text="" dxfId="74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5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4.14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202610</v>
      </c>
      <c r="D290" s="81" t="n">
        <v>46296</v>
      </c>
      <c r="E290" s="82" t="n">
        <v>55399.497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202609</v>
      </c>
      <c r="D291" s="81" t="n">
        <v>46266</v>
      </c>
      <c r="E291" s="82" t="n">
        <v>64183.361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202608</v>
      </c>
      <c r="D292" s="81" t="n">
        <v>46235</v>
      </c>
      <c r="E292" s="82" t="n">
        <v>48474.93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202607</v>
      </c>
      <c r="D293" s="81" t="n">
        <v>46204</v>
      </c>
      <c r="E293" s="82" t="n">
        <v>58011.756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202606</v>
      </c>
      <c r="D294" s="81" t="n">
        <v>46174</v>
      </c>
      <c r="E294" s="82" t="n">
        <v>47434.191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202605</v>
      </c>
      <c r="D295" s="81" t="n">
        <v>46143</v>
      </c>
      <c r="E295" s="82" t="n">
        <v>46736.664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202604</v>
      </c>
      <c r="D296" s="81" t="n">
        <v>46113</v>
      </c>
      <c r="E296" s="82" t="n">
        <v>63219.184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202603</v>
      </c>
      <c r="D297" s="81" t="n">
        <v>46082</v>
      </c>
      <c r="E297" s="82" t="n">
        <v>38954.271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202602</v>
      </c>
      <c r="D298" s="81" t="n">
        <v>46054</v>
      </c>
      <c r="E298" s="82" t="n">
        <v>46977.055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202601</v>
      </c>
      <c r="D299" s="81" t="n">
        <v>46023</v>
      </c>
      <c r="E299" s="82" t="n">
        <v>51266.079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202512</v>
      </c>
      <c r="D300" s="81" t="n">
        <v>45992</v>
      </c>
      <c r="E300" s="82" t="n">
        <v>46895.68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202511</v>
      </c>
      <c r="D301" s="81" t="n">
        <v>45962</v>
      </c>
      <c r="E301" s="82" t="n">
        <v>52026.251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202510</v>
      </c>
      <c r="D302" s="81" t="n">
        <v>45931</v>
      </c>
      <c r="E302" s="82" t="n">
        <v>54330.057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202509</v>
      </c>
      <c r="D303" s="81" t="n">
        <v>45901</v>
      </c>
      <c r="E303" s="82" t="n">
        <v>44546.643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202508</v>
      </c>
      <c r="D304" s="81" t="n">
        <v>45870</v>
      </c>
      <c r="E304" s="82" t="n">
        <v>43220.164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202507</v>
      </c>
      <c r="D305" s="81" t="n">
        <v>45839</v>
      </c>
      <c r="E305" s="82" t="n">
        <v>56433.621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202506</v>
      </c>
      <c r="D306" s="81" t="n">
        <v>45809</v>
      </c>
      <c r="E306" s="82" t="n">
        <v>45180.526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202505</v>
      </c>
      <c r="D307" s="81" t="n">
        <v>45778</v>
      </c>
      <c r="E307" s="82" t="n">
        <v>48754.424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202504</v>
      </c>
      <c r="D308" s="81" t="n">
        <v>45748</v>
      </c>
      <c r="E308" s="82" t="n">
        <v>55996.226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202503</v>
      </c>
      <c r="D309" s="81" t="n">
        <v>45717</v>
      </c>
      <c r="E309" s="82" t="n">
        <v>46171.723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202502</v>
      </c>
      <c r="D310" s="81" t="n">
        <v>45689</v>
      </c>
      <c r="E310" s="82" t="n">
        <v>51144.288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202501</v>
      </c>
      <c r="D311" s="81" t="n">
        <v>45658</v>
      </c>
      <c r="E311" s="82" t="n">
        <v>41683.43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202412</v>
      </c>
      <c r="D312" s="81" t="n">
        <v>45627</v>
      </c>
      <c r="E312" s="82" t="n">
        <v>45242.346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202411</v>
      </c>
      <c r="D313" s="81" t="n">
        <v>45597</v>
      </c>
      <c r="E313" s="82" t="n">
        <v>51117.348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202410</v>
      </c>
      <c r="D314" s="81" t="n">
        <v>45566</v>
      </c>
      <c r="E314" s="82" t="n">
        <v>44675.936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202409</v>
      </c>
      <c r="D315" s="81" t="n">
        <v>45536</v>
      </c>
      <c r="E315" s="82" t="n">
        <v>41527.835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202408</v>
      </c>
      <c r="D316" s="81" t="n">
        <v>45505</v>
      </c>
      <c r="E316" s="82" t="n">
        <v>45609.723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202407</v>
      </c>
      <c r="D317" s="81" t="n">
        <v>45474</v>
      </c>
      <c r="E317" s="82" t="n">
        <v>43092.056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202406</v>
      </c>
      <c r="D318" s="81" t="n">
        <v>45444</v>
      </c>
      <c r="E318" s="82" t="n">
        <v>42151.178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202405</v>
      </c>
      <c r="D319" s="81" t="n">
        <v>45413</v>
      </c>
      <c r="E319" s="82" t="n">
        <v>42027.887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202404</v>
      </c>
      <c r="D320" s="81" t="n">
        <v>45383</v>
      </c>
      <c r="E320" s="82" t="n">
        <v>50479.987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202403</v>
      </c>
      <c r="D321" s="81" t="n">
        <v>45352</v>
      </c>
      <c r="E321" s="82" t="n">
        <v>38481.87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202402</v>
      </c>
      <c r="D322" s="81" t="n">
        <v>45323</v>
      </c>
      <c r="E322" s="82" t="n">
        <v>44496.29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202401</v>
      </c>
      <c r="D323" s="81" t="n">
        <v>45292</v>
      </c>
      <c r="E323" s="82" t="n">
        <v>43679.986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202312</v>
      </c>
      <c r="D324" s="81" t="n">
        <v>45261</v>
      </c>
      <c r="E324" s="82" t="n">
        <v>43071.172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202311</v>
      </c>
      <c r="D325" s="81" t="n">
        <v>45231</v>
      </c>
      <c r="E325" s="82" t="n">
        <v>42810.847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202610</v>
      </c>
      <c r="D362" s="81" t="n">
        <v>46296</v>
      </c>
      <c r="E362" s="82" t="n">
        <v>1063.596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202609</v>
      </c>
      <c r="D363" s="81" t="n">
        <v>46266</v>
      </c>
      <c r="E363" s="82" t="n">
        <v>1180.621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202608</v>
      </c>
      <c r="D364" s="81" t="n">
        <v>46235</v>
      </c>
      <c r="E364" s="82" t="n">
        <v>1070.629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202607</v>
      </c>
      <c r="D365" s="81" t="n">
        <v>46204</v>
      </c>
      <c r="E365" s="82" t="n">
        <v>937.969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202606</v>
      </c>
      <c r="D366" s="81" t="n">
        <v>46174</v>
      </c>
      <c r="E366" s="82" t="n">
        <v>704.375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202605</v>
      </c>
      <c r="D367" s="81" t="n">
        <v>46143</v>
      </c>
      <c r="E367" s="82" t="n">
        <v>863.341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202604</v>
      </c>
      <c r="D368" s="81" t="n">
        <v>46113</v>
      </c>
      <c r="E368" s="82" t="n">
        <v>624.91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202603</v>
      </c>
      <c r="D369" s="81" t="n">
        <v>46082</v>
      </c>
      <c r="E369" s="82" t="n">
        <v>477.648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202602</v>
      </c>
      <c r="D370" s="81" t="n">
        <v>46054</v>
      </c>
      <c r="E370" s="82" t="n">
        <v>466.63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202601</v>
      </c>
      <c r="D371" s="81" t="n">
        <v>46023</v>
      </c>
      <c r="E371" s="82" t="n">
        <v>360.721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202512</v>
      </c>
      <c r="D372" s="81" t="n">
        <v>45992</v>
      </c>
      <c r="E372" s="82" t="n">
        <v>307.434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202511</v>
      </c>
      <c r="D373" s="81" t="n">
        <v>45962</v>
      </c>
      <c r="E373" s="82" t="n">
        <v>259.818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202510</v>
      </c>
      <c r="D374" s="81" t="n">
        <v>45931</v>
      </c>
      <c r="E374" s="82" t="n">
        <v>1426.276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202509</v>
      </c>
      <c r="D375" s="81" t="n">
        <v>45901</v>
      </c>
      <c r="E375" s="82" t="n">
        <v>244.302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202508</v>
      </c>
      <c r="D376" s="81" t="n">
        <v>45870</v>
      </c>
      <c r="E376" s="82" t="n">
        <v>281.096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202507</v>
      </c>
      <c r="D377" s="81" t="n">
        <v>45839</v>
      </c>
      <c r="E377" s="82" t="n">
        <v>145.673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202506</v>
      </c>
      <c r="D378" s="81" t="n">
        <v>45809</v>
      </c>
      <c r="E378" s="82" t="n">
        <v>299.296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202505</v>
      </c>
      <c r="D379" s="81" t="n">
        <v>45778</v>
      </c>
      <c r="E379" s="82" t="n">
        <v>313.034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202504</v>
      </c>
      <c r="D380" s="81" t="n">
        <v>45748</v>
      </c>
      <c r="E380" s="82" t="n">
        <v>341.205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202503</v>
      </c>
      <c r="D381" s="81" t="n">
        <v>45717</v>
      </c>
      <c r="E381" s="82" t="n">
        <v>210.023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202502</v>
      </c>
      <c r="D382" s="81" t="n">
        <v>45689</v>
      </c>
      <c r="E382" s="82" t="n">
        <v>269.109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202501</v>
      </c>
      <c r="D383" s="81" t="n">
        <v>45658</v>
      </c>
      <c r="E383" s="82" t="n">
        <v>938.899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202412</v>
      </c>
      <c r="D384" s="81" t="n">
        <v>45627</v>
      </c>
      <c r="E384" s="82" t="n">
        <v>340.838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202411</v>
      </c>
      <c r="D385" s="81" t="n">
        <v>45597</v>
      </c>
      <c r="E385" s="82" t="n">
        <v>348.625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202410</v>
      </c>
      <c r="D386" s="81" t="n">
        <v>45566</v>
      </c>
      <c r="E386" s="82" t="n">
        <v>325.865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202409</v>
      </c>
      <c r="D387" s="81" t="n">
        <v>45536</v>
      </c>
      <c r="E387" s="82" t="n">
        <v>427.36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202408</v>
      </c>
      <c r="D388" s="81" t="n">
        <v>45505</v>
      </c>
      <c r="E388" s="82" t="n">
        <v>255.025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202407</v>
      </c>
      <c r="D389" s="81" t="n">
        <v>45474</v>
      </c>
      <c r="E389" s="82" t="n">
        <v>211.274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202406</v>
      </c>
      <c r="D390" s="81" t="n">
        <v>45444</v>
      </c>
      <c r="E390" s="82" t="n">
        <v>260.814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202405</v>
      </c>
      <c r="D391" s="81" t="n">
        <v>45413</v>
      </c>
      <c r="E391" s="82" t="n">
        <v>247.293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202404</v>
      </c>
      <c r="D392" s="81" t="n">
        <v>45383</v>
      </c>
      <c r="E392" s="82" t="n">
        <v>383.428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202403</v>
      </c>
      <c r="D393" s="81" t="n">
        <v>45352</v>
      </c>
      <c r="E393" s="82" t="n">
        <v>223.093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202402</v>
      </c>
      <c r="D394" s="81" t="n">
        <v>45323</v>
      </c>
      <c r="E394" s="82" t="n">
        <v>333.294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202401</v>
      </c>
      <c r="D395" s="81" t="n">
        <v>45292</v>
      </c>
      <c r="E395" s="82" t="n">
        <v>591.964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202312</v>
      </c>
      <c r="D396" s="81" t="n">
        <v>45261</v>
      </c>
      <c r="E396" s="82" t="n">
        <v>710.103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202311</v>
      </c>
      <c r="D397" s="81" t="n">
        <v>45231</v>
      </c>
      <c r="E397" s="82" t="n">
        <v>419.757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202610</v>
      </c>
      <c r="D506" s="81" t="n">
        <v>46296</v>
      </c>
      <c r="E506" s="82" t="n">
        <v>242.257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202609</v>
      </c>
      <c r="D507" s="81" t="n">
        <v>46266</v>
      </c>
      <c r="E507" s="82" t="n">
        <v>205.091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202608</v>
      </c>
      <c r="D508" s="81" t="n">
        <v>46235</v>
      </c>
      <c r="E508" s="82" t="n">
        <v>210.064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202607</v>
      </c>
      <c r="D509" s="81" t="n">
        <v>46204</v>
      </c>
      <c r="E509" s="82" t="n">
        <v>181.188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202606</v>
      </c>
      <c r="D510" s="81" t="n">
        <v>46174</v>
      </c>
      <c r="E510" s="82" t="n">
        <v>211.521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202605</v>
      </c>
      <c r="D511" s="81" t="n">
        <v>46143</v>
      </c>
      <c r="E511" s="82" t="n">
        <v>199.142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202604</v>
      </c>
      <c r="D512" s="81" t="n">
        <v>46113</v>
      </c>
      <c r="E512" s="82" t="n">
        <v>247.473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202603</v>
      </c>
      <c r="D513" s="81" t="n">
        <v>46082</v>
      </c>
      <c r="E513" s="82" t="n">
        <v>173.919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202602</v>
      </c>
      <c r="D514" s="81" t="n">
        <v>46054</v>
      </c>
      <c r="E514" s="82" t="n">
        <v>234.703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202601</v>
      </c>
      <c r="D515" s="81" t="n">
        <v>46023</v>
      </c>
      <c r="E515" s="82" t="n">
        <v>223.394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202512</v>
      </c>
      <c r="D516" s="81" t="n">
        <v>45992</v>
      </c>
      <c r="E516" s="82" t="n">
        <v>213.422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202511</v>
      </c>
      <c r="D517" s="81" t="n">
        <v>45962</v>
      </c>
      <c r="E517" s="82" t="n">
        <v>186.088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202510</v>
      </c>
      <c r="D518" s="81" t="n">
        <v>45931</v>
      </c>
      <c r="E518" s="82" t="n">
        <v>190.099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202509</v>
      </c>
      <c r="D519" s="81" t="n">
        <v>45901</v>
      </c>
      <c r="E519" s="82" t="n">
        <v>186.973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202508</v>
      </c>
      <c r="D520" s="81" t="n">
        <v>45870</v>
      </c>
      <c r="E520" s="82" t="n">
        <v>163.28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202507</v>
      </c>
      <c r="D521" s="81" t="n">
        <v>45839</v>
      </c>
      <c r="E521" s="82" t="n">
        <v>204.803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202506</v>
      </c>
      <c r="D522" s="81" t="n">
        <v>45809</v>
      </c>
      <c r="E522" s="82" t="n">
        <v>162.745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202505</v>
      </c>
      <c r="D523" s="81" t="n">
        <v>45778</v>
      </c>
      <c r="E523" s="82" t="n">
        <v>170.936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202504</v>
      </c>
      <c r="D524" s="81" t="n">
        <v>45748</v>
      </c>
      <c r="E524" s="82" t="n">
        <v>200.11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202503</v>
      </c>
      <c r="D525" s="81" t="n">
        <v>45717</v>
      </c>
      <c r="E525" s="82" t="n">
        <v>165.097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202502</v>
      </c>
      <c r="D526" s="81" t="n">
        <v>45689</v>
      </c>
      <c r="E526" s="82" t="n">
        <v>158.704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202501</v>
      </c>
      <c r="D527" s="81" t="n">
        <v>45658</v>
      </c>
      <c r="E527" s="82" t="n">
        <v>166.142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202412</v>
      </c>
      <c r="D528" s="81" t="n">
        <v>45627</v>
      </c>
      <c r="E528" s="82" t="n">
        <v>152.549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202411</v>
      </c>
      <c r="D529" s="81" t="n">
        <v>45597</v>
      </c>
      <c r="E529" s="82" t="n">
        <v>157.909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202410</v>
      </c>
      <c r="D530" s="81" t="n">
        <v>45566</v>
      </c>
      <c r="E530" s="82" t="n">
        <v>168.434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202409</v>
      </c>
      <c r="D531" s="81" t="n">
        <v>45536</v>
      </c>
      <c r="E531" s="82" t="n">
        <v>140.363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202408</v>
      </c>
      <c r="D532" s="81" t="n">
        <v>45505</v>
      </c>
      <c r="E532" s="82" t="n">
        <v>147.626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202407</v>
      </c>
      <c r="D533" s="81" t="n">
        <v>45474</v>
      </c>
      <c r="E533" s="82" t="n">
        <v>176.791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202406</v>
      </c>
      <c r="D534" s="81" t="n">
        <v>45444</v>
      </c>
      <c r="E534" s="82" t="n">
        <v>130.878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202405</v>
      </c>
      <c r="D535" s="81" t="n">
        <v>45413</v>
      </c>
      <c r="E535" s="82" t="n">
        <v>151.778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202404</v>
      </c>
      <c r="D536" s="81" t="n">
        <v>45383</v>
      </c>
      <c r="E536" s="82" t="n">
        <v>156.182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202403</v>
      </c>
      <c r="D537" s="81" t="n">
        <v>45352</v>
      </c>
      <c r="E537" s="82" t="n">
        <v>155.064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202402</v>
      </c>
      <c r="D538" s="81" t="n">
        <v>45323</v>
      </c>
      <c r="E538" s="82" t="n">
        <v>237.554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202401</v>
      </c>
      <c r="D539" s="81" t="n">
        <v>45292</v>
      </c>
      <c r="E539" s="82" t="n">
        <v>268.317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202312</v>
      </c>
      <c r="D540" s="81" t="n">
        <v>45261</v>
      </c>
      <c r="E540" s="82" t="n">
        <v>274.338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202311</v>
      </c>
      <c r="D541" s="81" t="n">
        <v>45231</v>
      </c>
      <c r="E541" s="82" t="n">
        <v>262.123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202610</v>
      </c>
      <c r="D830" s="81" t="n">
        <v>46296</v>
      </c>
      <c r="E830" s="82" t="n">
        <v>574.774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202609</v>
      </c>
      <c r="D831" s="81" t="n">
        <v>46266</v>
      </c>
      <c r="E831" s="82" t="n">
        <v>545.866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202608</v>
      </c>
      <c r="D832" s="81" t="n">
        <v>46235</v>
      </c>
      <c r="E832" s="82" t="n">
        <v>508.777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202607</v>
      </c>
      <c r="D833" s="81" t="n">
        <v>46204</v>
      </c>
      <c r="E833" s="82" t="n">
        <v>455.083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202606</v>
      </c>
      <c r="D834" s="81" t="n">
        <v>46174</v>
      </c>
      <c r="E834" s="82" t="n">
        <v>421.247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202605</v>
      </c>
      <c r="D835" s="81" t="n">
        <v>46143</v>
      </c>
      <c r="E835" s="82" t="n">
        <v>412.778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202604</v>
      </c>
      <c r="D836" s="81" t="n">
        <v>46113</v>
      </c>
      <c r="E836" s="82" t="n">
        <v>451.568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202603</v>
      </c>
      <c r="D837" s="81" t="n">
        <v>46082</v>
      </c>
      <c r="E837" s="82" t="n">
        <v>329.586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202602</v>
      </c>
      <c r="D838" s="81" t="n">
        <v>46054</v>
      </c>
      <c r="E838" s="82" t="n">
        <v>412.324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202601</v>
      </c>
      <c r="D839" s="81" t="n">
        <v>46023</v>
      </c>
      <c r="E839" s="82" t="n">
        <v>421.117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202512</v>
      </c>
      <c r="D840" s="81" t="n">
        <v>45992</v>
      </c>
      <c r="E840" s="82" t="n">
        <v>414.874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202511</v>
      </c>
      <c r="D841" s="81" t="n">
        <v>45962</v>
      </c>
      <c r="E841" s="82" t="n">
        <v>318.369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202510</v>
      </c>
      <c r="D842" s="81" t="n">
        <v>45931</v>
      </c>
      <c r="E842" s="82" t="n">
        <v>290.607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202509</v>
      </c>
      <c r="D843" s="81" t="n">
        <v>45901</v>
      </c>
      <c r="E843" s="82" t="n">
        <v>397.141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202508</v>
      </c>
      <c r="D844" s="81" t="n">
        <v>45870</v>
      </c>
      <c r="E844" s="82" t="n">
        <v>388.346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202507</v>
      </c>
      <c r="D845" s="81" t="n">
        <v>45839</v>
      </c>
      <c r="E845" s="82" t="n">
        <v>356.414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202506</v>
      </c>
      <c r="D846" s="81" t="n">
        <v>45809</v>
      </c>
      <c r="E846" s="82" t="n">
        <v>347.922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202505</v>
      </c>
      <c r="D847" s="81" t="n">
        <v>45778</v>
      </c>
      <c r="E847" s="82" t="n">
        <v>383.15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202504</v>
      </c>
      <c r="D848" s="81" t="n">
        <v>45748</v>
      </c>
      <c r="E848" s="82" t="n">
        <v>375.732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202503</v>
      </c>
      <c r="D849" s="81" t="n">
        <v>45717</v>
      </c>
      <c r="E849" s="82" t="n">
        <v>366.068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202502</v>
      </c>
      <c r="D850" s="81" t="n">
        <v>45689</v>
      </c>
      <c r="E850" s="82" t="n">
        <v>325.106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202501</v>
      </c>
      <c r="D851" s="81" t="n">
        <v>45658</v>
      </c>
      <c r="E851" s="82" t="n">
        <v>351.851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202412</v>
      </c>
      <c r="D852" s="81" t="n">
        <v>45627</v>
      </c>
      <c r="E852" s="82" t="n">
        <v>366.735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202411</v>
      </c>
      <c r="D853" s="81" t="n">
        <v>45597</v>
      </c>
      <c r="E853" s="82" t="n">
        <v>329.524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202410</v>
      </c>
      <c r="D854" s="81" t="n">
        <v>45566</v>
      </c>
      <c r="E854" s="82" t="n">
        <v>324.554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202409</v>
      </c>
      <c r="D855" s="81" t="n">
        <v>45536</v>
      </c>
      <c r="E855" s="82" t="n">
        <v>319.033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202408</v>
      </c>
      <c r="D856" s="81" t="n">
        <v>45505</v>
      </c>
      <c r="E856" s="82" t="n">
        <v>302.044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202407</v>
      </c>
      <c r="D857" s="81" t="n">
        <v>45474</v>
      </c>
      <c r="E857" s="82" t="n">
        <v>267.703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202406</v>
      </c>
      <c r="D858" s="81" t="n">
        <v>45444</v>
      </c>
      <c r="E858" s="82" t="n">
        <v>264.096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202405</v>
      </c>
      <c r="D859" s="81" t="n">
        <v>45413</v>
      </c>
      <c r="E859" s="82" t="n">
        <v>269.469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202404</v>
      </c>
      <c r="D860" s="81" t="n">
        <v>45383</v>
      </c>
      <c r="E860" s="82" t="n">
        <v>263.114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202403</v>
      </c>
      <c r="D861" s="81" t="n">
        <v>45352</v>
      </c>
      <c r="E861" s="82" t="n">
        <v>178.135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202402</v>
      </c>
      <c r="D862" s="81" t="n">
        <v>45323</v>
      </c>
      <c r="E862" s="82" t="n">
        <v>214.785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202401</v>
      </c>
      <c r="D863" s="81" t="n">
        <v>45292</v>
      </c>
      <c r="E863" s="82" t="n">
        <v>293.695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202312</v>
      </c>
      <c r="D864" s="81" t="n">
        <v>45261</v>
      </c>
      <c r="E864" s="82" t="n">
        <v>390.314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202311</v>
      </c>
      <c r="D865" s="81" t="n">
        <v>45231</v>
      </c>
      <c r="E865" s="82" t="n">
        <v>327.755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202610</v>
      </c>
      <c r="D938" s="81" t="n">
        <v>46296</v>
      </c>
      <c r="E938" s="82" t="n">
        <v>7701.235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202609</v>
      </c>
      <c r="D939" s="81" t="n">
        <v>46266</v>
      </c>
      <c r="E939" s="82" t="n">
        <v>7791.761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202608</v>
      </c>
      <c r="D940" s="81" t="n">
        <v>46235</v>
      </c>
      <c r="E940" s="82" t="n">
        <v>8173.773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202607</v>
      </c>
      <c r="D941" s="81" t="n">
        <v>46204</v>
      </c>
      <c r="E941" s="82" t="n">
        <v>7507.318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202606</v>
      </c>
      <c r="D942" s="81" t="n">
        <v>46174</v>
      </c>
      <c r="E942" s="82" t="n">
        <v>6542.058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202605</v>
      </c>
      <c r="D943" s="81" t="n">
        <v>46143</v>
      </c>
      <c r="E943" s="82" t="n">
        <v>6776.034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202604</v>
      </c>
      <c r="D944" s="81" t="n">
        <v>46113</v>
      </c>
      <c r="E944" s="82" t="n">
        <v>7014.545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202603</v>
      </c>
      <c r="D945" s="81" t="n">
        <v>46082</v>
      </c>
      <c r="E945" s="82" t="n">
        <v>5517.727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202602</v>
      </c>
      <c r="D946" s="81" t="n">
        <v>46054</v>
      </c>
      <c r="E946" s="82" t="n">
        <v>6004.421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202601</v>
      </c>
      <c r="D947" s="81" t="n">
        <v>46023</v>
      </c>
      <c r="E947" s="82" t="n">
        <v>6479.605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202512</v>
      </c>
      <c r="D948" s="81" t="n">
        <v>45992</v>
      </c>
      <c r="E948" s="82" t="n">
        <v>5740.079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202511</v>
      </c>
      <c r="D949" s="81" t="n">
        <v>45962</v>
      </c>
      <c r="E949" s="82" t="n">
        <v>5078.957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202510</v>
      </c>
      <c r="D950" s="81" t="n">
        <v>45931</v>
      </c>
      <c r="E950" s="82" t="n">
        <v>6092.008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202509</v>
      </c>
      <c r="D951" s="81" t="n">
        <v>45901</v>
      </c>
      <c r="E951" s="82" t="n">
        <v>5715.135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202508</v>
      </c>
      <c r="D952" s="81" t="n">
        <v>45870</v>
      </c>
      <c r="E952" s="82" t="n">
        <v>5731.436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202507</v>
      </c>
      <c r="D953" s="81" t="n">
        <v>45839</v>
      </c>
      <c r="E953" s="82" t="n">
        <v>5650.654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202506</v>
      </c>
      <c r="D954" s="81" t="n">
        <v>45809</v>
      </c>
      <c r="E954" s="82" t="n">
        <v>5515.648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202505</v>
      </c>
      <c r="D955" s="81" t="n">
        <v>45778</v>
      </c>
      <c r="E955" s="82" t="n">
        <v>5820.548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202504</v>
      </c>
      <c r="D956" s="81" t="n">
        <v>45748</v>
      </c>
      <c r="E956" s="82" t="n">
        <v>5369.196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202503</v>
      </c>
      <c r="D957" s="81" t="n">
        <v>45717</v>
      </c>
      <c r="E957" s="82" t="n">
        <v>4843.533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202502</v>
      </c>
      <c r="D958" s="81" t="n">
        <v>45689</v>
      </c>
      <c r="E958" s="82" t="n">
        <v>5546.732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202501</v>
      </c>
      <c r="D959" s="81" t="n">
        <v>45658</v>
      </c>
      <c r="E959" s="82" t="n">
        <v>5450.18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202412</v>
      </c>
      <c r="D960" s="81" t="n">
        <v>45627</v>
      </c>
      <c r="E960" s="82" t="n">
        <v>5218.606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202411</v>
      </c>
      <c r="D961" s="81" t="n">
        <v>45597</v>
      </c>
      <c r="E961" s="82" t="n">
        <v>5238.146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202410</v>
      </c>
      <c r="D962" s="81" t="n">
        <v>45566</v>
      </c>
      <c r="E962" s="82" t="n">
        <v>5314.01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202409</v>
      </c>
      <c r="D963" s="81" t="n">
        <v>45536</v>
      </c>
      <c r="E963" s="82" t="n">
        <v>5304.489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202408</v>
      </c>
      <c r="D964" s="81" t="n">
        <v>45505</v>
      </c>
      <c r="E964" s="82" t="n">
        <v>4748.025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202407</v>
      </c>
      <c r="D965" s="81" t="n">
        <v>45474</v>
      </c>
      <c r="E965" s="82" t="n">
        <v>4530.736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202406</v>
      </c>
      <c r="D966" s="81" t="n">
        <v>45444</v>
      </c>
      <c r="E966" s="82" t="n">
        <v>4581.022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202405</v>
      </c>
      <c r="D967" s="81" t="n">
        <v>45413</v>
      </c>
      <c r="E967" s="82" t="n">
        <v>4679.738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202404</v>
      </c>
      <c r="D968" s="81" t="n">
        <v>45383</v>
      </c>
      <c r="E968" s="82" t="n">
        <v>4138.871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202403</v>
      </c>
      <c r="D969" s="81" t="n">
        <v>45352</v>
      </c>
      <c r="E969" s="82" t="n">
        <v>3744.48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202402</v>
      </c>
      <c r="D970" s="81" t="n">
        <v>45323</v>
      </c>
      <c r="E970" s="82" t="n">
        <v>4048.51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202401</v>
      </c>
      <c r="D971" s="81" t="n">
        <v>45292</v>
      </c>
      <c r="E971" s="82" t="n">
        <v>3927.48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202312</v>
      </c>
      <c r="D972" s="81" t="n">
        <v>45261</v>
      </c>
      <c r="E972" s="82" t="n">
        <v>3961.991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202311</v>
      </c>
      <c r="D973" s="81" t="n">
        <v>45231</v>
      </c>
      <c r="E973" s="82" t="n">
        <v>4343.215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46309</v>
      </c>
    </row>
    <row r="3" customFormat="false" ht="15" hidden="false" customHeight="false" outlineLevel="0" collapsed="false">
      <c r="A3" s="79" t="s">
        <v>220</v>
      </c>
      <c r="B3" s="83" t="n">
        <v>7.01942</v>
      </c>
      <c r="C3" s="83" t="n">
        <v>7.29565</v>
      </c>
      <c r="D3" s="81" t="n">
        <v>46387</v>
      </c>
      <c r="E3" s="80" t="n">
        <v>13</v>
      </c>
      <c r="F3" s="81" t="n">
        <v>46309</v>
      </c>
    </row>
    <row r="4" customFormat="false" ht="15" hidden="false" customHeight="false" outlineLevel="0" collapsed="false">
      <c r="A4" s="79" t="s">
        <v>345</v>
      </c>
      <c r="B4" s="83" t="n">
        <v>20.11068</v>
      </c>
      <c r="C4" s="83" t="n">
        <v>31.56477</v>
      </c>
      <c r="D4" s="81" t="n">
        <v>46387</v>
      </c>
      <c r="E4" s="80" t="n">
        <v>3</v>
      </c>
      <c r="F4" s="81" t="n">
        <v>46309</v>
      </c>
    </row>
    <row r="5" customFormat="false" ht="15" hidden="false" customHeight="false" outlineLevel="0" collapsed="false">
      <c r="A5" s="79" t="s">
        <v>79</v>
      </c>
      <c r="B5" s="83" t="n">
        <v>108.56853</v>
      </c>
      <c r="C5" s="83" t="n">
        <v>145.76128</v>
      </c>
      <c r="D5" s="81" t="n">
        <v>46387</v>
      </c>
      <c r="E5" s="80" t="n">
        <v>24</v>
      </c>
      <c r="F5" s="81" t="n">
        <v>46309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46309</v>
      </c>
    </row>
    <row r="7" customFormat="false" ht="15" hidden="false" customHeight="false" outlineLevel="0" collapsed="false">
      <c r="A7" s="79" t="s">
        <v>205</v>
      </c>
      <c r="B7" s="83" t="n">
        <v>33.4766</v>
      </c>
      <c r="C7" s="83" t="n">
        <v>36.99918</v>
      </c>
      <c r="D7" s="81" t="n">
        <v>46387</v>
      </c>
      <c r="E7" s="80" t="n">
        <v>8</v>
      </c>
      <c r="F7" s="81" t="n">
        <v>46309</v>
      </c>
    </row>
    <row r="8" customFormat="false" ht="15" hidden="false" customHeight="false" outlineLevel="0" collapsed="false">
      <c r="A8" s="79" t="s">
        <v>182</v>
      </c>
      <c r="B8" s="83" t="n">
        <v>76.64831</v>
      </c>
      <c r="C8" s="83" t="n">
        <v>119.8265</v>
      </c>
      <c r="D8" s="81" t="n">
        <v>46387</v>
      </c>
      <c r="E8" s="80" t="n">
        <v>4</v>
      </c>
      <c r="F8" s="81" t="n">
        <v>46309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68.40388</v>
      </c>
      <c r="C10" s="83" t="n">
        <v>148.68452</v>
      </c>
      <c r="D10" s="81" t="n">
        <v>46387</v>
      </c>
      <c r="E10" s="80" t="n">
        <v>15</v>
      </c>
      <c r="F10" s="81" t="n">
        <v>46309</v>
      </c>
    </row>
    <row r="11" customFormat="false" ht="15" hidden="false" customHeight="false" outlineLevel="0" collapsed="false">
      <c r="A11" s="79" t="s">
        <v>190</v>
      </c>
      <c r="B11" s="83" t="n">
        <v>5.6258</v>
      </c>
      <c r="C11" s="83" t="n">
        <v>9.4557</v>
      </c>
      <c r="D11" s="81" t="n">
        <v>46387</v>
      </c>
      <c r="E11" s="80" t="n">
        <v>8</v>
      </c>
      <c r="F11" s="81" t="n">
        <v>46309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46309</v>
      </c>
    </row>
    <row r="13" customFormat="false" ht="15" hidden="false" customHeight="false" outlineLevel="0" collapsed="false">
      <c r="A13" s="79" t="s">
        <v>195</v>
      </c>
      <c r="B13" s="83" t="n">
        <v>33.93331</v>
      </c>
      <c r="C13" s="83" t="n">
        <v>35.41178</v>
      </c>
      <c r="D13" s="81" t="n">
        <v>46387</v>
      </c>
      <c r="E13" s="80" t="n">
        <v>15</v>
      </c>
      <c r="F13" s="81" t="n">
        <v>46309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46309</v>
      </c>
    </row>
    <row r="15" customFormat="false" ht="15" hidden="false" customHeight="false" outlineLevel="0" collapsed="false">
      <c r="A15" s="79" t="s">
        <v>230</v>
      </c>
      <c r="B15" s="83" t="n">
        <v>7.7975</v>
      </c>
      <c r="C15" s="83" t="n">
        <v>10.22708</v>
      </c>
      <c r="D15" s="81" t="n">
        <v>46387</v>
      </c>
      <c r="E15" s="80" t="n">
        <v>10</v>
      </c>
      <c r="F15" s="81" t="n">
        <v>46309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46309</v>
      </c>
    </row>
    <row r="17" customFormat="false" ht="15" hidden="false" customHeight="false" outlineLevel="0" collapsed="false">
      <c r="A17" s="79" t="s">
        <v>216</v>
      </c>
      <c r="B17" s="83" t="n">
        <v>11.26386</v>
      </c>
      <c r="C17" s="83" t="n">
        <v>28.11055</v>
      </c>
      <c r="D17" s="81" t="n">
        <v>46387</v>
      </c>
      <c r="E17" s="80" t="n">
        <v>6</v>
      </c>
      <c r="F17" s="81" t="n">
        <v>46309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-0.435</v>
      </c>
      <c r="C19" s="83" t="n">
        <v>10.95333</v>
      </c>
      <c r="D19" s="81" t="n">
        <v>46387</v>
      </c>
      <c r="E19" s="80" t="n">
        <v>3</v>
      </c>
      <c r="F19" s="81" t="n">
        <v>46309</v>
      </c>
    </row>
    <row r="20" customFormat="false" ht="15" hidden="false" customHeight="false" outlineLevel="0" collapsed="false">
      <c r="A20" s="79" t="s">
        <v>245</v>
      </c>
      <c r="B20" s="83" t="n">
        <v>53.45228</v>
      </c>
      <c r="C20" s="83" t="n">
        <v>121.13353</v>
      </c>
      <c r="D20" s="81" t="n">
        <v>46387</v>
      </c>
      <c r="E20" s="80" t="n">
        <v>17</v>
      </c>
      <c r="F20" s="81" t="n">
        <v>46309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46309</v>
      </c>
    </row>
    <row r="22" customFormat="false" ht="15" hidden="false" customHeight="false" outlineLevel="0" collapsed="false">
      <c r="A22" s="79" t="s">
        <v>197</v>
      </c>
      <c r="B22" s="83" t="n">
        <v>69.50286</v>
      </c>
      <c r="C22" s="83" t="n">
        <v>128.3543</v>
      </c>
      <c r="D22" s="81" t="n">
        <v>46387</v>
      </c>
      <c r="E22" s="80" t="n">
        <v>9</v>
      </c>
      <c r="F22" s="81" t="n">
        <v>46309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5.78988</v>
      </c>
      <c r="C24" s="83" t="n">
        <v>7.43919</v>
      </c>
      <c r="D24" s="81" t="n">
        <v>46387</v>
      </c>
      <c r="E24" s="80" t="n">
        <v>6</v>
      </c>
      <c r="F24" s="81" t="n">
        <v>46309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46309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46309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46309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46309</v>
      </c>
    </row>
    <row r="29" customFormat="false" ht="15" hidden="false" customHeight="false" outlineLevel="0" collapsed="false">
      <c r="A29" s="79" t="s">
        <v>243</v>
      </c>
      <c r="B29" s="83" t="n">
        <v>4.3</v>
      </c>
      <c r="C29" s="83" t="n">
        <v>15.32</v>
      </c>
      <c r="D29" s="81" t="n">
        <v>46387</v>
      </c>
      <c r="E29" s="80"/>
      <c r="F29" s="81" t="n">
        <v>46309</v>
      </c>
    </row>
    <row r="30" customFormat="false" ht="15" hidden="false" customHeight="false" outlineLevel="0" collapsed="false">
      <c r="A30" s="79" t="s">
        <v>228</v>
      </c>
      <c r="B30" s="83" t="n">
        <v>412.3421</v>
      </c>
      <c r="C30" s="83" t="n">
        <v>281.53503</v>
      </c>
      <c r="D30" s="81" t="n">
        <v>46387</v>
      </c>
      <c r="E30" s="80" t="n">
        <v>7</v>
      </c>
      <c r="F30" s="81" t="n">
        <v>46309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10005</v>
      </c>
      <c r="C2" s="81" t="n">
        <v>46309</v>
      </c>
      <c r="D2" s="81"/>
      <c r="E2" s="81" t="n">
        <v>46309</v>
      </c>
    </row>
    <row r="3" customFormat="false" ht="15" hidden="false" customHeight="false" outlineLevel="0" collapsed="false">
      <c r="A3" s="79" t="s">
        <v>220</v>
      </c>
      <c r="B3" s="83" t="n">
        <v>142</v>
      </c>
      <c r="C3" s="81" t="n">
        <v>46309</v>
      </c>
      <c r="D3" s="81"/>
      <c r="E3" s="81" t="n">
        <v>46309</v>
      </c>
    </row>
    <row r="4" customFormat="false" ht="15" hidden="false" customHeight="false" outlineLevel="0" collapsed="false">
      <c r="A4" s="79" t="s">
        <v>345</v>
      </c>
      <c r="B4" s="83" t="n">
        <v>627</v>
      </c>
      <c r="C4" s="81" t="n">
        <v>46309</v>
      </c>
      <c r="D4" s="81"/>
      <c r="E4" s="81" t="n">
        <v>46309</v>
      </c>
    </row>
    <row r="5" customFormat="false" ht="15" hidden="false" customHeight="false" outlineLevel="0" collapsed="false">
      <c r="A5" s="79" t="s">
        <v>79</v>
      </c>
      <c r="B5" s="83" t="n">
        <v>2490</v>
      </c>
      <c r="C5" s="81" t="n">
        <v>46309</v>
      </c>
      <c r="D5" s="81"/>
      <c r="E5" s="81" t="n">
        <v>46309</v>
      </c>
    </row>
    <row r="6" customFormat="false" ht="15" hidden="false" customHeight="false" outlineLevel="0" collapsed="false">
      <c r="A6" s="79" t="s">
        <v>236</v>
      </c>
      <c r="B6" s="83" t="n">
        <v>165</v>
      </c>
      <c r="C6" s="81" t="n">
        <v>46309</v>
      </c>
      <c r="D6" s="81"/>
      <c r="E6" s="81" t="n">
        <v>46309</v>
      </c>
    </row>
    <row r="7" customFormat="false" ht="15" hidden="false" customHeight="false" outlineLevel="0" collapsed="false">
      <c r="A7" s="79" t="s">
        <v>205</v>
      </c>
      <c r="B7" s="83" t="n">
        <v>356</v>
      </c>
      <c r="C7" s="81" t="n">
        <v>46309</v>
      </c>
      <c r="D7" s="81"/>
      <c r="E7" s="81" t="n">
        <v>46309</v>
      </c>
    </row>
    <row r="8" customFormat="false" ht="15" hidden="false" customHeight="false" outlineLevel="0" collapsed="false">
      <c r="A8" s="79" t="s">
        <v>182</v>
      </c>
      <c r="B8" s="83" t="n">
        <v>480.5</v>
      </c>
      <c r="C8" s="81" t="n">
        <v>46309</v>
      </c>
      <c r="D8" s="81"/>
      <c r="E8" s="81" t="n">
        <v>46309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4475</v>
      </c>
      <c r="C10" s="81" t="n">
        <v>46309</v>
      </c>
      <c r="D10" s="81"/>
      <c r="E10" s="81" t="n">
        <v>46309</v>
      </c>
    </row>
    <row r="11" customFormat="false" ht="15" hidden="false" customHeight="false" outlineLevel="0" collapsed="false">
      <c r="A11" s="79" t="s">
        <v>190</v>
      </c>
      <c r="B11" s="83" t="n">
        <v>523</v>
      </c>
      <c r="C11" s="81" t="n">
        <v>46309</v>
      </c>
      <c r="D11" s="81"/>
      <c r="E11" s="81" t="n">
        <v>46309</v>
      </c>
    </row>
    <row r="12" customFormat="false" ht="15" hidden="false" customHeight="false" outlineLevel="0" collapsed="false">
      <c r="A12" s="79" t="s">
        <v>224</v>
      </c>
      <c r="B12" s="83" t="n">
        <v>85.5</v>
      </c>
      <c r="C12" s="81" t="n">
        <v>46309</v>
      </c>
      <c r="D12" s="81"/>
      <c r="E12" s="81" t="n">
        <v>46309</v>
      </c>
    </row>
    <row r="13" customFormat="false" ht="15" hidden="false" customHeight="false" outlineLevel="0" collapsed="false">
      <c r="A13" s="79" t="s">
        <v>195</v>
      </c>
      <c r="B13" s="83" t="n">
        <v>560</v>
      </c>
      <c r="C13" s="81" t="n">
        <v>46309</v>
      </c>
      <c r="D13" s="81"/>
      <c r="E13" s="81" t="n">
        <v>46309</v>
      </c>
    </row>
    <row r="14" customFormat="false" ht="15" hidden="false" customHeight="false" outlineLevel="0" collapsed="false">
      <c r="A14" s="79" t="s">
        <v>210</v>
      </c>
      <c r="B14" s="83" t="n">
        <v>2880</v>
      </c>
      <c r="C14" s="81" t="n">
        <v>46309</v>
      </c>
      <c r="D14" s="81"/>
      <c r="E14" s="81" t="n">
        <v>46309</v>
      </c>
    </row>
    <row r="15" customFormat="false" ht="15" hidden="false" customHeight="false" outlineLevel="0" collapsed="false">
      <c r="A15" s="79" t="s">
        <v>230</v>
      </c>
      <c r="B15" s="83" t="n">
        <v>557</v>
      </c>
      <c r="C15" s="81" t="n">
        <v>46309</v>
      </c>
      <c r="D15" s="81"/>
      <c r="E15" s="81" t="n">
        <v>46309</v>
      </c>
    </row>
    <row r="16" customFormat="false" ht="15" hidden="false" customHeight="false" outlineLevel="0" collapsed="false">
      <c r="A16" s="79" t="s">
        <v>212</v>
      </c>
      <c r="B16" s="83" t="n">
        <v>653</v>
      </c>
      <c r="C16" s="81" t="n">
        <v>46309</v>
      </c>
      <c r="D16" s="81"/>
      <c r="E16" s="81" t="n">
        <v>46309</v>
      </c>
    </row>
    <row r="17" customFormat="false" ht="15" hidden="false" customHeight="false" outlineLevel="0" collapsed="false">
      <c r="A17" s="79" t="s">
        <v>216</v>
      </c>
      <c r="B17" s="83" t="n">
        <v>1050</v>
      </c>
      <c r="C17" s="81" t="n">
        <v>46309</v>
      </c>
      <c r="D17" s="81"/>
      <c r="E17" s="81" t="n">
        <v>46309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559</v>
      </c>
      <c r="C19" s="81" t="n">
        <v>46309</v>
      </c>
      <c r="D19" s="81"/>
      <c r="E19" s="81" t="n">
        <v>46309</v>
      </c>
    </row>
    <row r="20" customFormat="false" ht="15" hidden="false" customHeight="false" outlineLevel="0" collapsed="false">
      <c r="A20" s="79" t="s">
        <v>245</v>
      </c>
      <c r="B20" s="83" t="n">
        <v>8245</v>
      </c>
      <c r="C20" s="81" t="n">
        <v>46309</v>
      </c>
      <c r="D20" s="81"/>
      <c r="E20" s="81" t="n">
        <v>46309</v>
      </c>
    </row>
    <row r="21" customFormat="false" ht="15" hidden="false" customHeight="false" outlineLevel="0" collapsed="false">
      <c r="A21" s="79" t="s">
        <v>241</v>
      </c>
      <c r="B21" s="83" t="n">
        <v>500</v>
      </c>
      <c r="C21" s="81" t="n">
        <v>46309</v>
      </c>
      <c r="D21" s="81"/>
      <c r="E21" s="81" t="n">
        <v>46309</v>
      </c>
    </row>
    <row r="22" customFormat="false" ht="15" hidden="false" customHeight="false" outlineLevel="0" collapsed="false">
      <c r="A22" s="79" t="s">
        <v>197</v>
      </c>
      <c r="B22" s="83" t="n">
        <v>2235</v>
      </c>
      <c r="C22" s="81" t="n">
        <v>46309</v>
      </c>
      <c r="D22" s="81"/>
      <c r="E22" s="81" t="n">
        <v>46309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100</v>
      </c>
      <c r="C24" s="81" t="n">
        <v>46309</v>
      </c>
      <c r="D24" s="81"/>
      <c r="E24" s="81" t="n">
        <v>46309</v>
      </c>
    </row>
    <row r="25" customFormat="false" ht="15" hidden="false" customHeight="false" outlineLevel="0" collapsed="false">
      <c r="A25" s="79" t="s">
        <v>232</v>
      </c>
      <c r="B25" s="83" t="n">
        <v>588</v>
      </c>
      <c r="C25" s="81" t="n">
        <v>46309</v>
      </c>
      <c r="D25" s="81"/>
      <c r="E25" s="81" t="n">
        <v>46309</v>
      </c>
    </row>
    <row r="26" customFormat="false" ht="15" hidden="false" customHeight="false" outlineLevel="0" collapsed="false">
      <c r="A26" s="79" t="s">
        <v>186</v>
      </c>
      <c r="B26" s="83" t="n">
        <v>1170</v>
      </c>
      <c r="C26" s="81" t="n">
        <v>46309</v>
      </c>
      <c r="D26" s="81"/>
      <c r="E26" s="81" t="n">
        <v>46309</v>
      </c>
    </row>
    <row r="27" customFormat="false" ht="15" hidden="false" customHeight="false" outlineLevel="0" collapsed="false">
      <c r="A27" s="79" t="s">
        <v>201</v>
      </c>
      <c r="B27" s="83" t="n">
        <v>596</v>
      </c>
      <c r="C27" s="81" t="n">
        <v>46309</v>
      </c>
      <c r="D27" s="81"/>
      <c r="E27" s="81" t="n">
        <v>46309</v>
      </c>
    </row>
    <row r="28" customFormat="false" ht="15" hidden="false" customHeight="false" outlineLevel="0" collapsed="false">
      <c r="A28" s="79" t="s">
        <v>218</v>
      </c>
      <c r="B28" s="83" t="n">
        <v>1640</v>
      </c>
      <c r="C28" s="81" t="n">
        <v>46309</v>
      </c>
      <c r="D28" s="81"/>
      <c r="E28" s="81" t="n">
        <v>46309</v>
      </c>
    </row>
    <row r="29" customFormat="false" ht="15" hidden="false" customHeight="false" outlineLevel="0" collapsed="false">
      <c r="A29" s="79" t="s">
        <v>243</v>
      </c>
      <c r="B29" s="83" t="n">
        <v>518</v>
      </c>
      <c r="C29" s="81" t="n">
        <v>46309</v>
      </c>
      <c r="D29" s="81"/>
      <c r="E29" s="81" t="n">
        <v>46309</v>
      </c>
    </row>
    <row r="30" customFormat="false" ht="15" hidden="false" customHeight="false" outlineLevel="0" collapsed="false">
      <c r="A30" s="79" t="s">
        <v>228</v>
      </c>
      <c r="B30" s="83" t="n">
        <v>1965</v>
      </c>
      <c r="C30" s="81" t="n">
        <v>46309</v>
      </c>
      <c r="D30" s="81"/>
      <c r="E30" s="81" t="n">
        <v>46309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2490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137.813240273973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28.8595271210014</v>
      </c>
      <c r="K2" s="52" t="n">
        <f aca="false">IF($A2="","",IFERROR(IF(G2&lt;=0,"N/M",D2/G2),"N/M"))</f>
        <v>25.6617775655671</v>
      </c>
      <c r="L2" s="52" t="n">
        <f aca="false">IF($A2="","",IFERROR(IF(H2&lt;=0,"N/M",D2/H2),"N/M"))</f>
        <v>18.0679301571452</v>
      </c>
      <c r="M2" s="49" t="n">
        <f aca="false">IF($A2="","",IFERROR(INDEX(Raw_Est!$C$2:$C$100,MATCH($A2,Raw_Est!$A$2:$A$100,0))/INDEX(Raw_Est!$B$2:$B$100,MATCH($A2,Raw_Est!$A$2:$A$100,0))-1,""))</f>
        <v>0.342573948454492</v>
      </c>
      <c r="N2" s="51" t="n">
        <f aca="false">IF($A2="","",IFERROR(IF(OR(NOT(ISNUMBER(J2)),I2&lt;Config!$B$6),"N/M",J2/(I2*100)),"N/M"))</f>
        <v>0.542235559620817</v>
      </c>
      <c r="O2" s="51" t="n">
        <f aca="false">IF($A2="","",IFERROR(IF(OR(NOT(ISNUMBER(L2)),M2&lt;Config!$B$6),"N/M",L2/(M2*100)),"N/M"))</f>
        <v>0.527416934027174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0.00883538159839357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0.437688500053166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24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46309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480.5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110.599379945205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17.6979742173112</v>
      </c>
      <c r="K3" s="52" t="n">
        <f aca="false">IF($A3="","",IFERROR(IF(G3&lt;=0,"N/M",D3/G3),"N/M"))</f>
        <v>10.1162473669861</v>
      </c>
      <c r="L3" s="52" t="n">
        <f aca="false">IF($A3="","",IFERROR(IF(H3&lt;=0,"N/M",D3/H3),"N/M"))</f>
        <v>4.34450898583749</v>
      </c>
      <c r="M3" s="49" t="n">
        <f aca="false">IF($A3="","",IFERROR(INDEX(Raw_Est!$C$2:$C$100,MATCH($A3,Raw_Est!$A$2:$A$100,0))/INDEX(Raw_Est!$B$2:$B$100,MATCH($A3,Raw_Est!$A$2:$A$100,0))-1,""))</f>
        <v>0.563328663084679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0.0771221006587487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0.819853537373964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4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46309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1170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228.67207339726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5.11649709830294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46309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523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8.63725561643836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126.941747572816</v>
      </c>
      <c r="K5" s="52" t="n">
        <f aca="false">IF($A5="","",IFERROR(IF(G5&lt;=0,"N/M",D5/G5),"N/M"))</f>
        <v>111.41194941088</v>
      </c>
      <c r="L5" s="52" t="n">
        <f aca="false">IF($A5="","",IFERROR(IF(H5&lt;=0,"N/M",D5/H5),"N/M"))</f>
        <v>60.551640848122</v>
      </c>
      <c r="M5" s="49" t="n">
        <f aca="false">IF($A5="","",IFERROR(INDEX(Raw_Est!$C$2:$C$100,MATCH($A5,Raw_Est!$A$2:$A$100,0))/INDEX(Raw_Est!$B$2:$B$100,MATCH($A5,Raw_Est!$A$2:$A$100,0))-1,""))</f>
        <v>0.680774289878773</v>
      </c>
      <c r="N5" s="51" t="n">
        <f aca="false">IF($A5="","",IFERROR(IF(OR(NOT(ISNUMBER(J5)),I5&lt;Config!$B$6),"N/M",J5/(I5*100)),"N/M"))</f>
        <v>2.06179271535465</v>
      </c>
      <c r="O5" s="51" t="n">
        <f aca="false">IF($A5="","",IFERROR(IF(OR(NOT(ISNUMBER(L5)),M5&lt;Config!$B$6),"N/M",L5/(M5*100)),"N/M"))</f>
        <v>0.889452521171218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0.00501062434034417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0.281671516389037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8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46309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560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35.0958329863014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19.5326124869201</v>
      </c>
      <c r="K6" s="52" t="n">
        <f aca="false">IF($A6="","",IFERROR(IF(G6&lt;=0,"N/M",D6/G6),"N/M"))</f>
        <v>17.373644739369</v>
      </c>
      <c r="L6" s="52" t="n">
        <f aca="false">IF($A6="","",IFERROR(IF(H6&lt;=0,"N/M",D6/H6),"N/M"))</f>
        <v>15.9563102610666</v>
      </c>
      <c r="M6" s="49" t="n">
        <f aca="false">IF($A6="","",IFERROR(INDEX(Raw_Est!$C$2:$C$100,MATCH($A6,Raw_Est!$A$2:$A$100,0))/INDEX(Raw_Est!$B$2:$B$100,MATCH($A6,Raw_Est!$A$2:$A$100,0))-1,""))</f>
        <v>0.0435698727887142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0.299427087809628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15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46309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2235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115.777827890411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40.9866128736475</v>
      </c>
      <c r="K7" s="52" t="n">
        <f aca="false">IF($A7="","",IFERROR(IF(G7&lt;=0,"N/M",D7/G7),"N/M"))</f>
        <v>37.397251678484</v>
      </c>
      <c r="L7" s="52" t="n">
        <f aca="false">IF($A7="","",IFERROR(IF(H7&lt;=0,"N/M",D7/H7),"N/M"))</f>
        <v>19.3042142932197</v>
      </c>
      <c r="M7" s="49" t="n">
        <f aca="false">IF($A7="","",IFERROR(INDEX(Raw_Est!$C$2:$C$100,MATCH($A7,Raw_Est!$A$2:$A$100,0))/INDEX(Raw_Est!$B$2:$B$100,MATCH($A7,Raw_Est!$A$2:$A$100,0))-1,""))</f>
        <v>0.846748464739437</v>
      </c>
      <c r="N7" s="51" t="n">
        <f aca="false">IF($A7="","",IFERROR(IF(OR(NOT(ISNUMBER(J7)),I7&lt;Config!$B$6),"N/M",J7/(I7*100)),"N/M"))</f>
        <v>0.713249449152972</v>
      </c>
      <c r="O7" s="51" t="n">
        <f aca="false">IF($A7="","",IFERROR(IF(OR(NOT(ISNUMBER(L7)),M7&lt;Config!$B$6),"N/M",L7/(M7*100)),"N/M"))</f>
        <v>0.227980505393181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0.00470043959284116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0.273562150990253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46309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596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33.5851232876712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17.7459524234882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1.40450478377608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46309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356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36.2464094794521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13.3283414451516</v>
      </c>
      <c r="K9" s="52" t="n">
        <f aca="false">IF($A9="","",IFERROR(IF(G9&lt;=0,"N/M",D9/G9),"N/M"))</f>
        <v>11.7233834738493</v>
      </c>
      <c r="L9" s="52" t="n">
        <f aca="false">IF($A9="","",IFERROR(IF(H9&lt;=0,"N/M",D9/H9),"N/M"))</f>
        <v>9.82166247947442</v>
      </c>
      <c r="M9" s="49" t="n">
        <f aca="false">IF($A9="","",IFERROR(INDEX(Raw_Est!$C$2:$C$100,MATCH($A9,Raw_Est!$A$2:$A$100,0))/INDEX(Raw_Est!$B$2:$B$100,MATCH($A9,Raw_Est!$A$2:$A$100,0))-1,""))</f>
        <v>0.10522514233823</v>
      </c>
      <c r="N9" s="51" t="n">
        <f aca="false">IF($A9="","",IFERROR(IF(OR(NOT(ISNUMBER(J9)),I9&lt;Config!$B$6),"N/M",J9/(I9*100)),"N/M"))</f>
        <v>0.21268354376034</v>
      </c>
      <c r="O9" s="51" t="n">
        <f aca="false">IF($A9="","",IFERROR(IF(OR(NOT(ISNUMBER(L9)),M9&lt;Config!$B$6),"N/M",L9/(M9*100)),"N/M"))</f>
        <v>0.933395029099049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0.0280898876404494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0.337122302004036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46309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10005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465.365032054795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55.1573956667953</v>
      </c>
      <c r="K10" s="52" t="n">
        <f aca="false">IF($A10="","",IFERROR(IF(G10&lt;=0,"N/M",D10/G10),"N/M"))</f>
        <v>37.578770342256</v>
      </c>
      <c r="L10" s="52" t="n">
        <f aca="false">IF($A10="","",IFERROR(IF(H10&lt;=0,"N/M",D10/H10),"N/M"))</f>
        <v>21.4992517934222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0.327291117119819</v>
      </c>
      <c r="O10" s="51" t="n">
        <f aca="false">IF($A10="","",IFERROR(IF(OR(NOT(ISNUMBER(L10)),M10&lt;Config!$B$6),"N/M",L10/(M10*100)),"N/M"))</f>
        <v>0.516825906372189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0.0032183908045977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46309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2880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35.1662250410959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256.913470115968</v>
      </c>
      <c r="K11" s="52" t="n">
        <f aca="false">IF($A11="","",IFERROR(IF(G11&lt;=0,"N/M",D11/G11),"N/M"))</f>
        <v>180.904522613065</v>
      </c>
      <c r="L11" s="52" t="n">
        <f aca="false">IF($A11="","",IFERROR(IF(H11&lt;=0,"N/M",D11/H11),"N/M"))</f>
        <v>81.8967630626938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0.456075382873935</v>
      </c>
      <c r="O11" s="51" t="n">
        <f aca="false">IF($A11="","",IFERROR(IF(OR(NOT(ISNUMBER(L11)),M11&lt;Config!$B$6),"N/M",L11/(M11*100)),"N/M"))</f>
        <v>0.811834858880338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0.000173618802083333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46309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653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67.7385892116183</v>
      </c>
      <c r="K12" s="52" t="n">
        <f aca="false">IF($A12="","",IFERROR(IF(G12&lt;=0,"N/M",D12/G12),"N/M"))</f>
        <v>95.1895043731779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0.254140498754003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46309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1050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24.5104354246575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177.966101694915</v>
      </c>
      <c r="K13" s="52" t="n">
        <f aca="false">IF($A13="","",IFERROR(IF(G13&lt;=0,"N/M",D13/G13),"N/M"))</f>
        <v>125.986141524432</v>
      </c>
      <c r="L13" s="52" t="n">
        <f aca="false">IF($A13="","",IFERROR(IF(H13&lt;=0,"N/M",D13/H13),"N/M"))</f>
        <v>42.8388962418717</v>
      </c>
      <c r="M13" s="49" t="n">
        <f aca="false">IF($A13="","",IFERROR(INDEX(Raw_Est!$C$2:$C$100,MATCH($A13,Raw_Est!$A$2:$A$100,0))/INDEX(Raw_Est!$B$2:$B$100,MATCH($A13,Raw_Est!$A$2:$A$100,0))-1,""))</f>
        <v>1.4956409259348</v>
      </c>
      <c r="N13" s="51" t="n">
        <f aca="false">IF($A13="","",IFERROR(IF(OR(NOT(ISNUMBER(J13)),I13&lt;Config!$B$6),"N/M",J13/(I13*100)),"N/M"))</f>
        <v>0.459144953200101</v>
      </c>
      <c r="O13" s="51" t="n">
        <f aca="false">IF($A13="","",IFERROR(IF(OR(NOT(ISNUMBER(L13)),M13&lt;Config!$B$6),"N/M",L13/(M13*100)),"N/M"))</f>
        <v>0.286425006825061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0.000952544695238095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0.13347169407611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6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46309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1640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115.470630136986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14.2027457376341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0.129535558639607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46309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142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7.23662002739726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21.2574850299401</v>
      </c>
      <c r="K15" s="52" t="n">
        <f aca="false">IF($A15="","",IFERROR(IF(G15&lt;=0,"N/M",D15/G15),"N/M"))</f>
        <v>20.6053922279943</v>
      </c>
      <c r="L15" s="52" t="n">
        <f aca="false">IF($A15="","",IFERROR(IF(H15&lt;=0,"N/M",D15/H15),"N/M"))</f>
        <v>19.6224203374503</v>
      </c>
      <c r="M15" s="49" t="n">
        <f aca="false">IF($A15="","",IFERROR(INDEX(Raw_Est!$C$2:$C$100,MATCH($A15,Raw_Est!$A$2:$A$100,0))/INDEX(Raw_Est!$B$2:$B$100,MATCH($A15,Raw_Est!$A$2:$A$100,0))-1,""))</f>
        <v>0.0393522541748463</v>
      </c>
      <c r="N15" s="51" t="n">
        <f aca="false">IF($A15="","",IFERROR(IF(OR(NOT(ISNUMBER(J15)),I15&lt;Config!$B$6),"N/M",J15/(I15*100)),"N/M"))</f>
        <v>0.191983554259003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0.198871620624717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46309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4475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131.528657205479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73.7353765035426</v>
      </c>
      <c r="K16" s="52" t="n">
        <f aca="false">IF($A16="","",IFERROR(IF(G16&lt;=0,"N/M",D16/G16),"N/M"))</f>
        <v>74.231550017799</v>
      </c>
      <c r="L16" s="52" t="n">
        <f aca="false">IF($A16="","",IFERROR(IF(H16&lt;=0,"N/M",D16/H16),"N/M"))</f>
        <v>34.0230037702656</v>
      </c>
      <c r="M16" s="49" t="n">
        <f aca="false">IF($A16="","",IFERROR(INDEX(Raw_Est!$C$2:$C$100,MATCH($A16,Raw_Est!$A$2:$A$100,0))/INDEX(Raw_Est!$B$2:$B$100,MATCH($A16,Raw_Est!$A$2:$A$100,0))-1,""))</f>
        <v>1.1736269930887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0.289896227426786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0.0120670877027933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0.258640249499171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46309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85.5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31.6666666666667</v>
      </c>
      <c r="K17" s="52" t="n">
        <f aca="false">IF($A17="","",IFERROR(IF(G17&lt;=0,"N/M",D17/G17),"N/M"))</f>
        <v>27.3162939297125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46309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100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7.08673471232877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16.8918918918919</v>
      </c>
      <c r="K18" s="52" t="n">
        <f aca="false">IF($A18="","",IFERROR(IF(G18&lt;=0,"N/M",D18/G18),"N/M"))</f>
        <v>17.542105438579</v>
      </c>
      <c r="L18" s="52" t="n">
        <f aca="false">IF($A18="","",IFERROR(IF(H18&lt;=0,"N/M",D18/H18),"N/M"))</f>
        <v>14.1108710935701</v>
      </c>
      <c r="M18" s="49" t="n">
        <f aca="false">IF($A18="","",IFERROR(INDEX(Raw_Est!$C$2:$C$100,MATCH($A18,Raw_Est!$A$2:$A$100,0))/INDEX(Raw_Est!$B$2:$B$100,MATCH($A18,Raw_Est!$A$2:$A$100,0))-1,""))</f>
        <v>0.284860826131111</v>
      </c>
      <c r="N18" s="51" t="n">
        <f aca="false">IF($A18="","",IFERROR(IF(OR(NOT(ISNUMBER(J18)),I18&lt;Config!$B$6),"N/M",J18/(I18*100)),"N/M"))</f>
        <v>0.685781935781936</v>
      </c>
      <c r="O18" s="51" t="n">
        <f aca="false">IF($A18="","",IFERROR(IF(OR(NOT(ISNUMBER(L18)),M18&lt;Config!$B$6),"N/M",L18/(M18*100)),"N/M"))</f>
        <v>0.495360182908245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0.0400943684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0.0748730420535528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46309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1965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309.488321671233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6.34918949247915</v>
      </c>
      <c r="M19" s="49" t="n">
        <f aca="false">IF($A19="","",IFERROR(INDEX(Raw_Est!$C$2:$C$100,MATCH($A19,Raw_Est!$A$2:$A$100,0))/INDEX(Raw_Est!$B$2:$B$100,MATCH($A19,Raw_Est!$A$2:$A$100,0))-1,""))</f>
        <v>-0.317229480084619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46309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557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9.70788208219178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65.4524089306698</v>
      </c>
      <c r="K20" s="52" t="n">
        <f aca="false">IF($A20="","",IFERROR(IF(G20&lt;=0,"N/M",D20/G20),"N/M"))</f>
        <v>68.6997856369346</v>
      </c>
      <c r="L20" s="52" t="n">
        <f aca="false">IF($A20="","",IFERROR(IF(H20&lt;=0,"N/M",D20/H20),"N/M"))</f>
        <v>57.3760574432363</v>
      </c>
      <c r="M20" s="49" t="n">
        <f aca="false">IF($A20="","",IFERROR(INDEX(Raw_Est!$C$2:$C$100,MATCH($A20,Raw_Est!$A$2:$A$100,0))/INDEX(Raw_Est!$B$2:$B$100,MATCH($A20,Raw_Est!$A$2:$A$100,0))-1,""))</f>
        <v>0.311584482205835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1.84142859224078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0.00359066427289049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0.0754540807228892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10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46309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588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12.6896712328767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95.609756097561</v>
      </c>
      <c r="K21" s="52" t="n">
        <f aca="false">IF($A21="","",IFERROR(IF(G21&lt;=0,"N/M",D21/G21),"N/M"))</f>
        <v>86.5979381443299</v>
      </c>
      <c r="L21" s="52" t="n">
        <f aca="false">IF($A21="","",IFERROR(IF(H21&lt;=0,"N/M",D21/H21),"N/M"))</f>
        <v>46.3368978761715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2.13863928112965</v>
      </c>
      <c r="O21" s="51" t="n">
        <f aca="false">IF($A21="","",IFERROR(IF(OR(NOT(ISNUMBER(L21)),M21&lt;Config!$B$6),"N/M",L21/(M21*100)),"N/M"))</f>
        <v>0.508055898078498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0.00262692658163265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46309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559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8.51965947945205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65.6129510044634</v>
      </c>
      <c r="M22" s="49" t="n">
        <f aca="false">IF($A22="","",IFERROR(INDEX(Raw_Est!$C$2:$C$100,MATCH($A22,Raw_Est!$A$2:$A$100,0))/INDEX(Raw_Est!$B$2:$B$100,MATCH($A22,Raw_Est!$A$2:$A$100,0))-1,""))</f>
        <v>-26.1800689655172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-0.00864655356373243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3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46309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165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46.7505999178082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18.2119205298013</v>
      </c>
      <c r="K23" s="52" t="n">
        <f aca="false">IF($A23="","",IFERROR(IF(G23&lt;=0,"N/M",D23/G23),"N/M"))</f>
        <v>9.99453026616343</v>
      </c>
      <c r="L23" s="52" t="n">
        <f aca="false">IF($A23="","",IFERROR(IF(H23&lt;=0,"N/M",D23/H23),"N/M"))</f>
        <v>3.52936647422889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0.0330661304798765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0.00303030303030303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46309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500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101.626016260163</v>
      </c>
      <c r="K25" s="52" t="n">
        <f aca="false">IF($A25="","",IFERROR(IF(G25&lt;=0,"N/M",D25/G25),"N/M"))</f>
        <v>116.009280742459</v>
      </c>
      <c r="L25" s="52" t="n">
        <f aca="false">IF($A25="","",IFERROR(IF(H25&lt;=0,"N/M",D25/H25),"N/M"))</f>
        <v>41.7710944026734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0.002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46309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518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12.9650410958904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39.9535949148818</v>
      </c>
      <c r="M26" s="49" t="n">
        <f aca="false">IF($A26="","",IFERROR(INDEX(Raw_Est!$C$2:$C$100,MATCH($A26,Raw_Est!$A$2:$A$100,0))/INDEX(Raw_Est!$B$2:$B$100,MATCH($A26,Raw_Est!$A$2:$A$100,0))-1,""))</f>
        <v>2.56279069767442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0.155898782335745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0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46309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8245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106.670139589041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211.356062548065</v>
      </c>
      <c r="K27" s="52" t="n">
        <f aca="false">IF($A27="","",IFERROR(IF(G27&lt;=0,"N/M",D27/G27),"N/M"))</f>
        <v>183.670337028942</v>
      </c>
      <c r="L27" s="52" t="n">
        <f aca="false">IF($A27="","",IFERROR(IF(H27&lt;=0,"N/M",D27/H27),"N/M"))</f>
        <v>77.2943584002497</v>
      </c>
      <c r="M27" s="49" t="n">
        <f aca="false">IF($A27="","",IFERROR(INDEX(Raw_Est!$C$2:$C$100,MATCH($A27,Raw_Est!$A$2:$A$100,0))/INDEX(Raw_Est!$B$2:$B$100,MATCH($A27,Raw_Est!$A$2:$A$100,0))-1,""))</f>
        <v>1.26619949607388</v>
      </c>
      <c r="N27" s="51" t="n">
        <f aca="false">IF($A27="","",IFERROR(IF(OR(NOT(ISNUMBER(J27)),I27&lt;Config!$B$6),"N/M",J27/(I27*100)),"N/M"))</f>
        <v>4.77449284152019</v>
      </c>
      <c r="O27" s="51" t="n">
        <f aca="false">IF($A27="","",IFERROR(IF(OR(NOT(ISNUMBER(L27)),M27&lt;Config!$B$6),"N/M",L27/(M27*100)),"N/M"))</f>
        <v>0.610443762139514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0.00242571255306246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0.531975972855065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46309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2026-10-14T12:16:31Z</dcterms:created>
  <dc:creator>openpyxl</dc:creator>
  <dc:description/>
  <dc:language>en-US</dc:language>
  <cp:lastModifiedBy/>
  <dcterms:modified xsi:type="dcterms:W3CDTF">2026-10-14T12:16:32Z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