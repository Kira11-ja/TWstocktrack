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<sst xmlns="http://schemas.openxmlformats.org/spreadsheetml/2006/main" count="8221" uniqueCount="1534">
  <si>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</si>
  <si>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</si>
  <si>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</si>
  <si>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</si>
  <si>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</si>
  <si>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</si>
  <si>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</si>
  <si>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</si>
  <si>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</si>
  <si>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</si>
  <si>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</si>
  <si>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</si>
  <si>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</si>
  <si>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</si>
  <si>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</si>
  <si>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</si>
  <si>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</si>
  <si>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</si>
  <si>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</si>
  <si>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</si>
  <si>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</si>
  <si>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</si>
  <si>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</si>
  <si>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</si>
  <si>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</si>
  <si>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</si>
  <si>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</si>
  <si>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</si>
  <si>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</si>
  <si>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</si>
  <si>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</si>
  <si>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</si>
  <si>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</si>
  <si>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</si>
  <si>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</si>
  <si>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</si>
  <si>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</si>
  <si>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</si>
  <si>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</si>
  <si>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</si>
  <si>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</si>
  <si>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</si>
  <si>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</si>
  <si>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</si>
  <si>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</si>
  <si>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</si>
  <si>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</si>
  <si>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</si>
  <si>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</si>
  <si>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</si>
  <si>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</si>
  <si>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</si>
  <si>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</si>
  <si>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</si>
  <si>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</si>
  <si>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</si>
  <si>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</si>
  <si>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</si>
  <si>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</si>
  <si>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</si>
  <si>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</si>
  <si>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</si>
  <si>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</si>
  <si>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</si>
  <si>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</si>
  <si>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</si>
  <si>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</si>
  <si>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</si>
  <si>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</si>
  <si>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</si>
  <si>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</si>
  <si>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</si>
  <si>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</si>
  <si>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</si>
  <si>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</si>
  <si>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</si>
  <si>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</si>
  <si>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</si>
  <si>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</si>
  <si>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</si>
  <si>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</si>
  <si>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</si>
  <si>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</si>
  <si>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</si>
  <si>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</si>
  <si>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</si>
  <si>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</si>
  <si>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</si>
  <si>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</si>
  <si>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</si>
  <si>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</si>
  <si>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</si>
  <si>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</si>
  <si>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</si>
  <si>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</si>
  <si>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</si>
  <si>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</si>
  <si>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</si>
  <si>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</si>
  <si>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</si>
  <si>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</si>
  <si>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</si>
  <si>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</si>
  <si>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</si>
  <si>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</si>
  <si>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</si>
  <si>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</si>
  <si>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</si>
  <si>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</si>
  <si>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</si>
  <si>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</si>
  <si>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</si>
  <si>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</si>
  <si>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</si>
  <si>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</si>
  <si>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</si>
  <si>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</si>
  <si>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</si>
  <si>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</si>
  <si>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</si>
  <si>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</si>
  <si>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</si>
  <si>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</si>
  <si>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</si>
  <si>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</si>
  <si>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</si>
  <si>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</si>
  <si>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</si>
  <si>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</si>
  <si>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</si>
  <si>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</si>
  <si>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</si>
  <si>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</si>
  <si>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</si>
  <si>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</si>
  <si>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</si>
  <si>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</si>
  <si>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</si>
  <si>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</si>
  <si>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</si>
  <si>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</si>
  <si>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</si>
  <si>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</si>
  <si>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</si>
  <si>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</si>
  <si>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</si>
  <si>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</si>
  <si>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</si>
  <si>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</si>
  <si>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</si>
  <si>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</si>
  <si>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</si>
  <si>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</si>
  <si>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</si>
  <si>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</si>
  <si>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</si>
  <si>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</si>
  <si>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</si>
  <si>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</si>
  <si>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</si>
  <si>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</si>
  <si>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</si>
  <si>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</si>
  <si>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</si>
  <si>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</si>
  <si>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</si>
  <si>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</si>
  <si>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</si>
  <si>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</si>
  <si>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</si>
  <si>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</si>
  <si>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</si>
  <si>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</si>
  <si>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</si>
  <si>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</si>
  <si>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</si>
  <si>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</si>
  <si>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</si>
  <si>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</si>
  <si>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</si>
  <si>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</si>
  <si>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</si>
  <si>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</si>
  <si>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</si>
  <si>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</si>
  <si>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</si>
  <si>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</si>
  <si>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</si>
  <si>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</si>
  <si>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</si>
  <si>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</si>
  <si>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</si>
  <si>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</si>
  <si>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</si>
  <si>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</si>
  <si>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</si>
  <si>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</si>
  <si>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</si>
  <si>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</si>
  <si>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</si>
  <si>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</si>
  <si>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</si>
  <si>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</si>
  <si>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</si>
  <si>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</si>
  <si>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</si>
  <si>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</si>
  <si>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</si>
  <si>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</si>
  <si>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</si>
  <si>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</si>
  <si>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</si>
  <si>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</si>
  <si>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</si>
  <si>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</si>
  <si>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</si>
  <si>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</si>
  <si>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</si>
  <si>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</si>
  <si>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</si>
  <si>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</si>
  <si>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</si>
  <si>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</si>
  <si>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</si>
  <si>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</si>
  <si>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</si>
  <si>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</si>
  <si>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</si>
  <si>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</si>
  <si>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</si>
  <si>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</si>
  <si>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</si>
  <si>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</si>
  <si>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</si>
  <si>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</si>
  <si>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</si>
  <si>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</si>
  <si>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</si>
  <si>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</si>
  <si>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</si>
  <si>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</si>
  <si>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</si>
  <si>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</si>
  <si>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</si>
  <si>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</si>
  <si>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</si>
  <si>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</si>
  <si>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</si>
  <si>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</si>
  <si>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</si>
  <si>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</si>
  <si>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</si>
  <si>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</si>
  <si>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</si>
  <si>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</si>
  <si>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</si>
  <si>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</si>
  <si>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</si>
  <si>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</si>
  <si>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</si>
  <si>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</si>
  <si>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</si>
  <si>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</si>
  <si>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</si>
  <si>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</si>
  <si>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</si>
  <si>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</si>
  <si>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</si>
  <si>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</si>
  <si>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</si>
  <si>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</si>
  <si>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</si>
  <si>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</si>
  <si>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</si>
  <si>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</si>
  <si>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</si>
  <si>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</si>
  <si>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</si>
  <si>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</si>
  <si>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</si>
  <si>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</si>
  <si>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</si>
  <si>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</si>
  <si>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</si>
  <si>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</si>
  <si>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</si>
  <si>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</si>
  <si>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</si>
  <si>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</si>
  <si>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</si>
  <si>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</si>
  <si>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</si>
  <si>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</si>
  <si>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</si>
  <si>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</si>
  <si>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</si>
  <si>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</si>
  <si>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</si>
  <si>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</si>
  <si>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</si>
  <si>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</si>
  <si>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</si>
  <si>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</si>
  <si>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</si>
  <si>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</si>
  <si>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</si>
  <si>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</si>
  <si>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</si>
  <si>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</si>
  <si>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</si>
  <si>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</si>
  <si>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</si>
  <si>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</si>
  <si>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</si>
  <si>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</si>
  <si>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</si>
  <si>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</si>
  <si>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</si>
  <si>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</si>
  <si>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</si>
  <si>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</si>
  <si>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</si>
  <si>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</si>
  <si>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</si>
  <si>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</si>
  <si>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</si>
  <si>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</si>
  <si>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</si>
  <si>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</si>
  <si>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</si>
  <si>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</si>
  <si>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</si>
  <si>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</si>
  <si>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</si>
  <si>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</si>
  <si>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</si>
  <si>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</si>
  <si>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</si>
  <si>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</si>
  <si>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</si>
  <si>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</si>
  <si>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</si>
  <si>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</si>
  <si>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</si>
  <si>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</si>
  <si>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</si>
  <si>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</si>
  <si>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</si>
  <si>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</si>
  <si>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</si>
  <si>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</si>
  <si>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</si>
  <si>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</si>
  <si>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</si>
  <si>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</si>
  <si>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</si>
  <si>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</si>
  <si>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</si>
  <si>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</si>
  <si>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</si>
  <si>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</si>
  <si>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</si>
  <si>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</si>
  <si>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</si>
  <si>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</si>
  <si>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</si>
  <si>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</si>
  <si>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</si>
  <si>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</si>
  <si>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</si>
  <si>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</si>
  <si>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</si>
  <si>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</si>
  <si>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</si>
  <si>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</si>
  <si>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</si>
  <si>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</si>
  <si>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</si>
  <si>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</si>
  <si>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</si>
  <si>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</si>
  <si>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</si>
  <si>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</si>
  <si>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</si>
  <si>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</si>
  <si>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</si>
  <si>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</si>
  <si>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</si>
  <si>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</si>
  <si>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</si>
  <si>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</si>
  <si>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</si>
  <si>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</si>
  <si>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</si>
  <si>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</si>
  <si>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</si>
  <si>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</si>
  <si>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</si>
  <si>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</si>
  <si>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</si>
  <si>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</si>
  <si>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</si>
  <si>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</si>
  <si>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</si>
  <si>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</si>
  <si>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</si>
  <si>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</si>
  <si>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</si>
  <si>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</si>
  <si>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</si>
  <si>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</si>
  <si>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</si>
  <si>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</si>
  <si>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</si>
  <si>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</si>
  <si>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</si>
  <si>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</si>
  <si>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</si>
  <si>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</si>
  <si>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</si>
  <si>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</si>
  <si>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</si>
  <si>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</si>
  <si>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</si>
  <si>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</si>
  <si>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</si>
  <si>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</si>
  <si>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</si>
  <si>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</si>
  <si>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</si>
  <si>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</si>
  <si>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</si>
  <si>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</si>
  <si>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</si>
  <si>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</si>
  <si>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</si>
  <si>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</si>
  <si>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</si>
  <si>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</si>
  <si>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</si>
  <si>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</si>
  <si>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</si>
  <si>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</si>
  <si>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</si>
  <si>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</si>
  <si>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</si>
  <si>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</si>
  <si>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</si>
  <si>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</si>
  <si>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</si>
  <si>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</si>
  <si>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</si>
  <si>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</si>
  <si>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</si>
  <si>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</si>
  <si>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</si>
  <si>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</si>
  <si>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</si>
  <si>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</si>
  <si>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</si>
  <si>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</si>
  <si>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</si>
  <si>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</si>
  <si>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</si>
  <si>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</si>
  <si>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</si>
  <si>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</si>
  <si>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</si>
  <si>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</si>
  <si>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</si>
  <si>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</si>
  <si>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</si>
  <si>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</si>
  <si>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</si>
  <si>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</si>
  <si>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</si>
  <si>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</si>
  <si>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</si>
  <si>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</si>
  <si>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</si>
  <si>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</si>
  <si>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</si>
  <si>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</si>
  <si>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</si>
  <si>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</si>
  <si>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</si>
  <si>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</si>
  <si>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</si>
  <si>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</si>
  <si>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</si>
  <si>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</si>
  <si>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</si>
  <si>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</si>
  <si>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</si>
  <si>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</si>
  <si>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</si>
  <si>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</si>
  <si>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</si>
  <si>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</si>
  <si>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</si>
  <si>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</si>
  <si>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</si>
  <si>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</si>
  <si>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</si>
  <si>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</si>
  <si>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</si>
  <si>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</si>
  <si>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</si>
  <si>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</si>
  <si>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</si>
  <si>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</si>
  <si>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</si>
  <si>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</si>
  <si>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</si>
  <si>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</si>
  <si>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</si>
  <si>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</si>
  <si>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</si>
  <si>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</si>
  <si>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</si>
  <si>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</si>
  <si>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</si>
  <si>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</si>
  <si>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</si>
  <si>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</si>
  <si>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</si>
  <si>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</si>
  <si>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</si>
  <si>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</si>
  <si>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</si>
  <si>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</si>
  <si>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</si>
  <si>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</si>
  <si>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</si>
  <si>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</si>
  <si>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</si>
  <si>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</si>
  <si>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</si>
  <si>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</si>
  <si>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</si>
  <si>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</si>
  <si>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</si>
  <si>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</si>
  <si>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</si>
  <si>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</si>
  <si>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</si>
  <si>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</si>
  <si>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</si>
  <si>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</si>
  <si>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</si>
  <si>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</si>
  <si>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</si>
  <si>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</si>
  <si>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</si>
  <si>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</si>
  <si>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</si>
  <si>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</si>
  <si>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</si>
  <si>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</si>
  <si>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</si>
  <si>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</si>
  <si>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</si>
  <si>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</si>
  <si>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</si>
  <si>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</si>
  <si>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</si>
  <si>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</si>
  <si>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</si>
  <si>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</si>
  <si>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</si>
  <si>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</si>
  <si>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</si>
  <si>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</si>
  <si>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</si>
  <si>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</si>
  <si>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</si>
  <si>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</si>
  <si>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</si>
  <si>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</si>
  <si>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</si>
  <si>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</si>
  <si>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</si>
  <si>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</si>
  <si>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</si>
  <si>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</si>
  <si>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</si>
  <si>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</si>
  <si>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</si>
  <si>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</si>
  <si>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</si>
  <si>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</si>
  <si>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</si>
  <si>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</si>
  <si>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</si>
  <si>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</si>
  <si>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</si>
  <si>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</si>
  <si>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</si>
  <si>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</si>
  <si>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</si>
  <si>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</si>
  <si>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</si>
  <si>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</si>
  <si>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</si>
  <si>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</si>
  <si>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</si>
  <si>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</si>
  <si>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</si>
  <si>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</si>
  <si>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</si>
  <si>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</si>
  <si>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</si>
  <si>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</si>
  <si>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</si>
  <si>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</si>
  <si>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</si>
  <si>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</si>
  <si>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</si>
  <si>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</si>
  <si>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</si>
  <si>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</si>
  <si>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</si>
  <si>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</si>
  <si>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</si>
  <si>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</si>
  <si>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</si>
  <si>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</si>
  <si>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</si>
  <si>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</si>
  <si>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</si>
  <si>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</si>
  <si>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</si>
  <si>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</si>
  <si>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</si>
  <si>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</si>
  <si>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</si>
  <si>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</si>
  <si>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</si>
  <si>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</si>
  <si>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</si>
  <si>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</si>
  <si>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</si>
  <si>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</si>
  <si>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</si>
  <si>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</si>
  <si>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</si>
  <si>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</si>
  <si>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</si>
  <si>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</si>
  <si>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</si>
  <si>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</si>
  <si>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</si>
  <si>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</si>
  <si>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</si>
  <si>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</si>
  <si>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</si>
  <si>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</si>
  <si>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</si>
  <si>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</si>
  <si>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</si>
  <si>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</si>
  <si>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</si>
  <si>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</si>
  <si>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</si>
  <si>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</si>
  <si>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</si>
  <si>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</si>
  <si>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</si>
  <si>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</si>
  <si>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</si>
  <si>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</si>
  <si>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</si>
  <si>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</si>
  <si>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</si>
  <si>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</si>
  <si>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</si>
  <si>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</si>
  <si>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</si>
  <si>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</si>
  <si>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</si>
  <si>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</si>
  <si>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</si>
  <si>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</si>
  <si>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</si>
  <si>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</si>
  <si>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</si>
  <si>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</si>
  <si>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</si>
  <si>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</si>
  <si>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</si>
  <si>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</si>
  <si>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</si>
  <si>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</si>
  <si>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</si>
  <si>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</si>
  <si>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</si>
  <si>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</si>
  <si>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</si>
  <si>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</si>
  <si>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</si>
  <si>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</si>
  <si>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</si>
  <si>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</si>
  <si>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</si>
  <si>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</si>
  <si>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</si>
  <si>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</si>
  <si>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</si>
  <si>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</si>
  <si>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</si>
  <si>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</si>
  <si>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</si>
  <si>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</si>
  <si>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</si>
  <si>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</si>
  <si>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</si>
  <si>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</si>
  <si>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</si>
  <si>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</si>
  <si>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</si>
  <si>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</si>
  <si>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</si>
  <si>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</si>
  <si>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</si>
  <si>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</si>
  <si>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</si>
  <si>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</si>
  <si>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</si>
  <si>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</si>
  <si>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</si>
  <si>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</si>
  <si>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</si>
  <si>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</si>
  <si>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</si>
  <si>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</si>
  <si>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</si>
  <si>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</si>
  <si>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</si>
  <si>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</si>
  <si>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</si>
  <si>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</si>
  <si>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</si>
  <si>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</si>
  <si>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</si>
  <si>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</si>
  <si>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</si>
  <si>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</si>
  <si>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</si>
  <si>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</si>
  <si>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</si>
  <si>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</si>
  <si>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</si>
  <si>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</si>
  <si>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</si>
  <si>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</si>
  <si>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</si>
  <si>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</si>
  <si>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</si>
  <si>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</si>
  <si>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</si>
  <si>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</si>
  <si>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</si>
  <si>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</si>
  <si>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</si>
  <si>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</si>
  <si>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</si>
  <si>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</si>
  <si>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</si>
  <si>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</si>
  <si>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</si>
  <si>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</si>
  <si>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</si>
  <si>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</si>
  <si>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</si>
  <si>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</si>
  <si>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</si>
  <si>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</si>
  <si>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</si>
  <si>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</si>
  <si>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</si>
  <si>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</si>
  <si>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</si>
  <si>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</si>
  <si>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</si>
  <si>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</si>
  <si>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</si>
  <si>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</si>
  <si>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</si>
  <si>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</si>
  <si>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</si>
  <si>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</si>
  <si>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</si>
  <si>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</si>
  <si>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</si>
  <si>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</si>
  <si>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</si>
  <si>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</si>
  <si>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</si>
  <si>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</si>
  <si>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</si>
  <si>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</si>
  <si>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</si>
  <si>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</si>
  <si>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</si>
  <si>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</si>
  <si>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</si>
  <si>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</si>
  <si>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</si>
  <si>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</si>
  <si>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</si>
  <si>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</si>
  <si>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</si>
  <si>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</si>
  <si>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</si>
  <si>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</si>
  <si>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</si>
  <si>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</si>
  <si>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</si>
  <si>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</si>
  <si>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</si>
  <si>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</si>
  <si>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</si>
  <si>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</si>
  <si>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</si>
  <si>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</si>
  <si>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</si>
  <si>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</si>
  <si>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</si>
  <si>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</si>
  <si>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</si>
  <si>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</si>
  <si>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</si>
  <si>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</si>
  <si>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</si>
  <si>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</si>
  <si>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</si>
  <si>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</si>
  <si>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</si>
  <si>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</si>
  <si>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</si>
  <si>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</si>
  <si>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</si>
  <si>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</si>
  <si>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</si>
  <si>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</si>
  <si>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</si>
  <si>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</si>
  <si>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</si>
  <si>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</si>
  <si>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</si>
  <si>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</si>
  <si>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</si>
  <si>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</si>
  <si>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</si>
  <si>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</si>
  <si>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</si>
  <si>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</si>
  <si>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</si>
  <si>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</si>
  <si>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</si>
  <si>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</si>
  <si>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</si>
  <si>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</si>
  <si>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</si>
  <si>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</si>
  <si>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</si>
  <si>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</si>
  <si>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</si>
  <si>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</si>
  <si>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</si>
  <si>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</si>
  <si>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</si>
  <si>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</si>
  <si>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</si>
  <si>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</si>
  <si>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</si>
  <si>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</si>
  <si>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</si>
  <si>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</si>
  <si>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</si>
  <si>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</si>
  <si>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</si>
  <si>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</si>
  <si>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</si>
  <si>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</si>
  <si>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</si>
  <si>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</si>
  <si>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</si>
  <si>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</si>
  <si>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</si>
  <si>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</si>
  <si>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</si>
  <si>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</si>
  <si>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</si>
  <si>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</si>
  <si>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</si>
  <si>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</si>
  <si>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</si>
  <si>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</si>
  <si>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</si>
  <si>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</si>
  <si>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</si>
  <si>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</si>
  <si>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</si>
  <si>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</si>
  <si>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</si>
  <si>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</si>
  <si>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</si>
  <si>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</si>
  <si>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</si>
  <si>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</si>
  <si>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</si>
  <si>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</si>
  <si>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</si>
  <si>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</si>
  <si>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</si>
  <si>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</si>
  <si>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</si>
  <si>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</si>
  <si>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</si>
  <si>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</si>
  <si>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</si>
  <si>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</si>
  <si>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</si>
  <si>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</si>
  <si>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</si>
  <si>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</si>
  <si>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</si>
  <si>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</si>
  <si>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</si>
  <si>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</si>
  <si>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</si>
  <si>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</si>
  <si>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</si>
  <si>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</si>
  <si>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</si>
  <si>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</si>
  <si>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</si>
  <si>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</si>
  <si>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</si>
  <si>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</si>
  <si>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</si>
  <si>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</si>
  <si>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</si>
  <si>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</si>
  <si>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</si>
  <si>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</si>
  <si>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</si>
  <si>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</si>
  <si>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</si>
  <si>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</si>
  <si>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</si>
  <si>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</si>
  <si>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</si>
  <si>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</si>
  <si>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</si>
  <si>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</si>
  <si>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</si>
  <si>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</si>
  <si>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</si>
  <si>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</si>
  <si>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</si>
  <si>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</si>
  <si>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</si>
  <si>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</si>
  <si>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</si>
  <si>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</si>
  <si>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</si>
  <si>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</si>
  <si>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</si>
  <si>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</si>
  <si>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</si>
  <si>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</si>
  <si>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</si>
  <si>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</si>
  <si>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</si>
  <si>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</si>
  <si>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</si>
  <si>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</si>
  <si>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</si>
  <si>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</si>
  <si>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</si>
  <si>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</si>
  <si>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</si>
  <si>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</si>
  <si>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</si>
  <si>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</si>
  <si>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</si>
  <si>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</si>
  <si>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</si>
  <si>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</si>
  <si>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</si>
  <si>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</si>
  <si>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</si>
  <si>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</si>
  <si>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</si>
  <si>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</si>
  <si>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</si>
  <si>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</si>
  <si>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</si>
  <si>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</si>
  <si>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</si>
  <si>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</si>
  <si>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</si>
  <si>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</si>
  <si>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</si>
  <si>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</si>
  <si>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</si>
  <si>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</si>
  <si>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</si>
  <si>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</si>
  <si>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</si>
  <si>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</si>
  <si>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</si>
  <si>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</si>
  <si>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</si>
  <si>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</si>
  <si>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</si>
  <si>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</si>
  <si>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</si>
  <si>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</si>
  <si>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</si>
  <si>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</si>
  <si>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</si>
  <si>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</si>
  <si>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</si>
  <si>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</si>
  <si>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</si>
  <si>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</si>
  <si>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</si>
  <si>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</si>
  <si>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</si>
  <si>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</si>
  <si>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</si>
  <si>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</si>
  <si>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</si>
  <si>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</si>
  <si>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</si>
  <si>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</si>
  <si>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</si>
  <si>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</si>
  <si>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</si>
  <si>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</si>
  <si>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</si>
  <si>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</si>
  <si>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</si>
  <si>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</si>
  <si>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</si>
  <si>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</si>
  <si>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</si>
  <si>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</si>
  <si>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</si>
  <si>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</si>
  <si>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</si>
  <si>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</si>
  <si>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</si>
  <si>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</si>
  <si>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</si>
  <si>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</si>
  <si>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</si>
  <si>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</si>
  <si>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</si>
  <si>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</si>
  <si>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</si>
  <si>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</si>
  <si>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</si>
  <si>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</si>
  <si>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</si>
  <si>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</si>
  <si>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</si>
  <si>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</si>
  <si>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</si>
  <si>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</si>
  <si>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</si>
  <si>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</si>
  <si>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</si>
  <si>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</si>
  <si>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</si>
  <si>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</si>
  <si>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</si>
  <si>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</si>
  <si>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</si>
  <si>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</si>
  <si>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</si>
  <si>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</si>
  <si>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</si>
  <si>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</si>
  <si>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</si>
  <si>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</si>
  <si>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</si>
  <si>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</si>
  <si>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</si>
  <si>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</si>
  <si>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</si>
  <si>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</si>
  <si>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</si>
  <si>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</si>
  <si>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</si>
  <si>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</si>
  <si>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</si>
  <si>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</si>
  <si>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</si>
  <si>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</si>
  <si>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</si>
  <si>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</si>
  <si>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</si>
  <si>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</si>
  <si>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</si>
  <si>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</si>
  <si>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</si>
  <si>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</si>
  <si>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</si>
  <si>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</si>
  <si>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</si>
  <si>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</si>
  <si>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</si>
  <si>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</si>
  <si>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</si>
  <si>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</si>
  <si>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</si>
  <si>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</si>
  <si>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</si>
  <si>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</si>
  <si>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</si>
  <si>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</si>
  <si>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</si>
  <si>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</si>
  <si>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</si>
  <si>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</si>
  <si>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</si>
  <si>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</si>
  <si>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</si>
  <si>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</si>
  <si>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</si>
  <si>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</si>
  <si>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</si>
  <si>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</si>
  <si>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</si>
  <si>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2023-10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</si>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</sst>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2585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0.435127320454587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29.9605934167826</v>
      </c>
      <c r="P3" s="22" t="n">
        <f aca="false">IF(Calc!$A$2="","",Calc!L$2)</f>
        <v>19.1373656999677</v>
      </c>
      <c r="Q3" s="18" t="n">
        <f aca="false">IF(Calc!$A$2="","",Calc!N$2)</f>
        <v>0.562923261694704</v>
      </c>
      <c r="R3" s="18" t="n">
        <f aca="false">IF(Calc!$A$2="","",Calc!O$2)</f>
        <v>0.581692556595858</v>
      </c>
      <c r="S3" s="19" t="n">
        <f aca="false">IF(Calc!$A$2="","",Calc!Q$2)</f>
        <v>0.00851067705222437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525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19.3370165745856</v>
      </c>
      <c r="P4" s="22" t="n">
        <f aca="false">IF(Calc!$A$3="","",Calc!L$3)</f>
        <v>5.56317461047618</v>
      </c>
      <c r="Q4" s="18" t="str">
        <f aca="false">IF(Calc!$A$3="","",Calc!N$3)</f>
        <v>N/M</v>
      </c>
      <c r="R4" s="18" t="n">
        <f aca="false">IF(Calc!$A$3="","",Calc!O$3)</f>
        <v>0.118596003499995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1265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5.44921208218863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567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137.621359223301</v>
      </c>
      <c r="P6" s="22" t="n">
        <f aca="false">IF(Calc!$A$5="","",Calc!L$5)</f>
        <v>66.3867918041306</v>
      </c>
      <c r="Q6" s="18" t="n">
        <f aca="false">IF(Calc!$A$5="","",Calc!N$5)</f>
        <v>2.23525137591986</v>
      </c>
      <c r="R6" s="18" t="n">
        <f aca="false">IF(Calc!$A$5="","",Calc!O$5)</f>
        <v>0.952847950429702</v>
      </c>
      <c r="S6" s="19" t="n">
        <f aca="false">IF(Calc!$A$5="","",Calc!Q$5)</f>
        <v>0.00462179282186949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537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18.7303801883502</v>
      </c>
      <c r="P7" s="22" t="n">
        <f aca="false">IF(Calc!$A$6="","",Calc!L$6)</f>
        <v>15.3680986584498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0.0521415270018622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2325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0.270704744622308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42.6370805061434</v>
      </c>
      <c r="P8" s="22" t="n">
        <f aca="false">IF(Calc!$A$7="","",Calc!L$7)</f>
        <v>21.586171015255</v>
      </c>
      <c r="Q8" s="18" t="n">
        <f aca="false">IF(Calc!$A$7="","",Calc!N$7)</f>
        <v>0.741970903481279</v>
      </c>
      <c r="R8" s="18" t="n">
        <f aca="false">IF(Calc!$A$7="","",Calc!O$7)</f>
        <v>0.291497214366009</v>
      </c>
      <c r="S8" s="19" t="n">
        <f aca="false">IF(Calc!$A$7="","",Calc!Q$7)</f>
        <v>0.00451848709247312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619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18.4773248258665</v>
      </c>
      <c r="Q9" s="18" t="str">
        <f aca="false">IF(Calc!$A$8="","",Calc!N$8)</f>
        <v>N/M</v>
      </c>
      <c r="R9" s="18" t="n">
        <f aca="false">IF(Calc!$A$8="","",Calc!O$8)</f>
        <v>1.46238930940472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380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14.2268813178585</v>
      </c>
      <c r="P10" s="22" t="n">
        <f aca="false">IF(Calc!$A$9="","",Calc!L$9)</f>
        <v>10.5133920049736</v>
      </c>
      <c r="Q10" s="18" t="n">
        <f aca="false">IF(Calc!$A$9="","",Calc!N$9)</f>
        <v>0.227021760193621</v>
      </c>
      <c r="R10" s="18" t="n">
        <f aca="false">IF(Calc!$A$9="","",Calc!O$9)</f>
        <v>1.60456479701251</v>
      </c>
      <c r="S10" s="19" t="n">
        <f aca="false">IF(Calc!$A$9="","",Calc!Q$9)</f>
        <v>0.0263157894736842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13100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72.2200782843597</v>
      </c>
      <c r="P11" s="22" t="n">
        <f aca="false">IF(Calc!$A$10="","",Calc!L$10)</f>
        <v>28.2641899787086</v>
      </c>
      <c r="Q11" s="18" t="n">
        <f aca="false">IF(Calc!$A$10="","",Calc!N$10)</f>
        <v>0.428537094879524</v>
      </c>
      <c r="R11" s="18" t="n">
        <f aca="false">IF(Calc!$A$10="","",Calc!O$10)</f>
        <v>0.684278380932446</v>
      </c>
      <c r="S11" s="19" t="n">
        <f aca="false">IF(Calc!$A$10="","",Calc!Q$10)</f>
        <v>0.00245801526717557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2920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260.481712756467</v>
      </c>
      <c r="P12" s="22" t="n">
        <f aca="false">IF(Calc!$A$11="","",Calc!L$11)</f>
        <v>84.0708159988022</v>
      </c>
      <c r="Q12" s="18" t="n">
        <f aca="false">IF(Calc!$A$11="","",Calc!N$11)</f>
        <v>0.462409763191628</v>
      </c>
      <c r="R12" s="18" t="n">
        <f aca="false">IF(Calc!$A$11="","",Calc!O$11)</f>
        <v>0.833386039813249</v>
      </c>
      <c r="S12" s="19" t="n">
        <f aca="false">IF(Calc!$A$11="","",Calc!Q$11)</f>
        <v>0.000171240462328767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689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71.4730290456432</v>
      </c>
      <c r="P13" s="22" t="str">
        <f aca="false">IF(Calc!$A$12="","",Calc!L$12)</f>
        <v>N/M</v>
      </c>
      <c r="Q13" s="18" t="n">
        <f aca="false">IF(Calc!$A$12="","",Calc!N$12)</f>
        <v>0.268151307261115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1070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0.130990279405076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181.35593220339</v>
      </c>
      <c r="P14" s="22" t="n">
        <f aca="false">IF(Calc!$A$13="","",Calc!L$13)</f>
        <v>45.3841357348662</v>
      </c>
      <c r="Q14" s="18" t="n">
        <f aca="false">IF(Calc!$A$13="","",Calc!N$13)</f>
        <v>0.467890571356294</v>
      </c>
      <c r="R14" s="18" t="n">
        <f aca="false">IF(Calc!$A$13="","",Calc!O$13)</f>
        <v>0.306250219311467</v>
      </c>
      <c r="S14" s="19" t="n">
        <f aca="false">IF(Calc!$A$13="","",Calc!Q$13)</f>
        <v>0.000934740121495327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1650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14.476168224973</v>
      </c>
      <c r="Q15" s="18" t="str">
        <f aca="false">IF(Calc!$A$14="","",Calc!N$14)</f>
        <v>N/M</v>
      </c>
      <c r="R15" s="18" t="n">
        <f aca="false">IF(Calc!$A$14="","",Calc!O$14)</f>
        <v>0.13202929719526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147.5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0.19694223652111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22.0808383233533</v>
      </c>
      <c r="P16" s="22" t="n">
        <f aca="false">IF(Calc!$A$15="","",Calc!L$15)</f>
        <v>20.782142449951</v>
      </c>
      <c r="Q16" s="18" t="n">
        <f aca="false">IF(Calc!$A$15="","",Calc!N$15)</f>
        <v>0.199419536994387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4920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0.258028698312981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81.0677212061295</v>
      </c>
      <c r="P17" s="22" t="n">
        <f aca="false">IF(Calc!$A$16="","",Calc!L$16)</f>
        <v>38.2708698776666</v>
      </c>
      <c r="Q17" s="18" t="str">
        <f aca="false">IF(Calc!$A$16="","",Calc!N$16)</f>
        <v>N/M</v>
      </c>
      <c r="R17" s="18" t="n">
        <f aca="false">IF(Calc!$A$16="","",Calc!O$16)</f>
        <v>0.330983061833789</v>
      </c>
      <c r="S17" s="19" t="n">
        <f aca="false">IF(Calc!$A$16="","",Calc!Q$16)</f>
        <v>0.0109756539573171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90.7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33.5925925925926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13.139770369373</v>
      </c>
      <c r="Q19" s="18" t="n">
        <f aca="false">IF(Calc!$A$18="","",Calc!N$18)</f>
        <v>0.617203742203742</v>
      </c>
      <c r="R19" s="18" t="n">
        <f aca="false">IF(Calc!$A$18="","",Calc!O$18)</f>
        <v>0.473062210873016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2090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7.22693900493909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592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0.0744417042015389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69.5652173913043</v>
      </c>
      <c r="P21" s="22" t="n">
        <f aca="false">IF(Calc!$A$20="","",Calc!L$20)</f>
        <v>62.1263030846877</v>
      </c>
      <c r="Q21" s="18" t="str">
        <f aca="false">IF(Calc!$A$20="","",Calc!N$20)</f>
        <v>N/M</v>
      </c>
      <c r="R21" s="18" t="n">
        <f aca="false">IF(Calc!$A$20="","",Calc!O$20)</f>
        <v>1.98966801193198</v>
      </c>
      <c r="S21" s="19" t="n">
        <f aca="false">IF(Calc!$A$20="","",Calc!Q$20)</f>
        <v>0.00337837837837838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568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92.3577235772358</v>
      </c>
      <c r="P22" s="22" t="n">
        <f aca="false">IF(Calc!$A$21="","",Calc!L$21)</f>
        <v>45.2880307395894</v>
      </c>
      <c r="Q22" s="18" t="n">
        <f aca="false">IF(Calc!$A$21="","",Calc!N$21)</f>
        <v>2.06589644843817</v>
      </c>
      <c r="R22" s="18" t="n">
        <f aca="false">IF(Calc!$A$21="","",Calc!O$21)</f>
        <v>0.49655570796078</v>
      </c>
      <c r="S22" s="19" t="n">
        <f aca="false">IF(Calc!$A$21="","",Calc!Q$21)</f>
        <v>0.00271942399647887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650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0.257939016629609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50.0898920909602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177.5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19.5916114790287</v>
      </c>
      <c r="P24" s="22" t="n">
        <f aca="false">IF(Calc!$A$23="","",Calc!L$23)</f>
        <v>3.95228525141188</v>
      </c>
      <c r="Q24" s="18" t="str">
        <f aca="false">IF(Calc!$A$23="","",Calc!N$23)</f>
        <v>N/M</v>
      </c>
      <c r="R24" s="18" t="n">
        <f aca="false">IF(Calc!$A$23="","",Calc!O$23)</f>
        <v>0.0396662915750864</v>
      </c>
      <c r="S24" s="19" t="n">
        <f aca="false">IF(Calc!$A$23="","",Calc!Q$23)</f>
        <v>0.0028169014084507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531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107.926829268293</v>
      </c>
      <c r="P26" s="22" t="n">
        <f aca="false">IF(Calc!$A$25="","",Calc!L$25)</f>
        <v>44.3609022556391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0.00188323917137476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527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41.4193984599749</v>
      </c>
      <c r="Q27" s="18" t="str">
        <f aca="false">IF(Calc!$A$26="","",Calc!N$26)</f>
        <v>N/M</v>
      </c>
      <c r="R27" s="18" t="n">
        <f aca="false">IF(Calc!$A$26="","",Calc!O$26)</f>
        <v>0.161618342448178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8375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214.688541399641</v>
      </c>
      <c r="P28" s="22" t="n">
        <f aca="false">IF(Calc!$A$27="","",Calc!L$27)</f>
        <v>80.9826350587749</v>
      </c>
      <c r="Q28" s="18" t="n">
        <f aca="false">IF(Calc!$A$27="","",Calc!N$27)</f>
        <v>4.84977289845138</v>
      </c>
      <c r="R28" s="18" t="n">
        <f aca="false">IF(Calc!$A$27="","",Calc!O$27)</f>
        <v>0.640333580775132</v>
      </c>
      <c r="S28" s="19" t="n">
        <f aca="false">IF(Calc!$A$27="","",Calc!Q$27)</f>
        <v>0.00238805970149254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1">
      <formula>"N/M"</formula>
    </cfRule>
  </conditionalFormatting>
  <conditionalFormatting sqref="Q3:Q33">
    <cfRule type="cellIs" priority="8" operator="lessThan" aboveAverage="0" equalAverage="0" bottom="0" percent="0" rank="0" text="" dxfId="62">
      <formula>1.5</formula>
    </cfRule>
  </conditionalFormatting>
  <conditionalFormatting sqref="R3:R33">
    <cfRule type="cellIs" priority="9" operator="lessThan" aboveAverage="0" equalAverage="0" bottom="0" percent="0" rank="0" text="" dxfId="62">
      <formula>1.5</formula>
    </cfRule>
  </conditionalFormatting>
  <conditionalFormatting sqref="L3:L33">
    <cfRule type="cellIs" priority="10" operator="equal" aboveAverage="0" equalAverage="0" bottom="0" percent="0" rank="0" text="" dxfId="62">
      <formula>"成長且加速"</formula>
    </cfRule>
    <cfRule type="cellIs" priority="11" operator="equal" aboveAverage="0" equalAverage="0" bottom="0" percent="0" rank="0" text="" dxfId="63">
      <formula>"成長但減速"</formula>
    </cfRule>
    <cfRule type="cellIs" priority="12" operator="equal" aboveAverage="0" equalAverage="0" bottom="0" percent="0" rank="0" text="" dxfId="63">
      <formula>"衰退但收斂"</formula>
    </cfRule>
    <cfRule type="cellIs" priority="13" operator="equal" aboveAverage="0" equalAverage="0" bottom="0" percent="0" rank="0" text="" dxfId="64">
      <formula>"衰退且惡化"</formula>
    </cfRule>
  </conditionalFormatting>
  <conditionalFormatting sqref="A3:W33">
    <cfRule type="expression" priority="14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2585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46301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29.9605934167826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19.1373656999677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0.562923261694704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0.581692556595858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135.076062219178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0.00851067705222437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0.435127320454587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0.328994508920006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2585</v>
      </c>
      <c r="L12" s="55" t="n">
        <f aca="false">IF(Stock_Card!$B$2="","",IFERROR(INDEX(Calc!$Q$2:$Q$100,MATCH(Stock_Card!$B$2,Calc!$A$2:$A$100,0)),""))</f>
        <v>0.00851067705222437</v>
      </c>
      <c r="M12" s="58" t="n">
        <f aca="false">IF(Stock_Card!$B$2="","",IFERROR(INDEX(Calc!$J$2:$J$100,MATCH(Stock_Card!$B$2,Calc!$A$2:$A$100,0)),""))</f>
        <v>29.9605934167826</v>
      </c>
      <c r="N12" s="57" t="n">
        <f aca="false">IF(Stock_Card!$B$2="","",IFERROR(INDEX(Calc!$N$2:$N$100,MATCH(Stock_Card!$B$2,Calc!$A$2:$A$100,0)),""))</f>
        <v>0.562923261694704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135.076062219178</v>
      </c>
      <c r="H13" s="55" t="n">
        <f aca="false">IF(Stock_Card!$B$2="","",IFERROR(INDEX(Calc!$M$2:$M$100,MATCH(Stock_Card!$B$2,Calc!$A$2:$A$100,0)),""))</f>
        <v>0.328994508920006</v>
      </c>
      <c r="I13" s="55" t="n">
        <f aca="false">IF(Stock_Card!$B$2="","",IFERROR(INDEX(Calc!$AI$2:$AI$100,MATCH(Stock_Card!$B$2,Calc!$A$2:$A$100,0)),""))</f>
        <v>0.435127320454587</v>
      </c>
      <c r="J13" s="59"/>
      <c r="K13" s="59"/>
      <c r="L13" s="59"/>
      <c r="M13" s="58" t="n">
        <f aca="false">IF(Stock_Card!$B$2="","",IFERROR(INDEX(Calc!$L$2:$L$100,MATCH(Stock_Card!$B$2,Calc!$A$2:$A$100,0)),""))</f>
        <v>19.1373656999677</v>
      </c>
      <c r="N13" s="57" t="n">
        <f aca="false">IF(Stock_Card!$B$2="","",IFERROR(INDEX(Calc!$O$2:$O$100,MATCH(Stock_Card!$B$2,Calc!$A$2:$A$100,0)),""))</f>
        <v>0.581692556595858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{E2C0C16B-5F62-4616-B0E6-88538BCDE0A4}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C0C16B-5F62-4616-B0E6-88538BCDE0A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-46301</v>
      </c>
      <c r="I4" s="67" t="n">
        <f aca="false">IF($A4="","",IFERROR(INDEX(Raw_Price!$E$2:$E$100,MATCH($A4,Raw_Price!$A$2:$A$100,0)),""))</f>
        <v>46301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-46301</v>
      </c>
      <c r="I5" s="67" t="n">
        <f aca="false">IF($A5="","",IFERROR(INDEX(Raw_Price!$E$2:$E$100,MATCH($A5,Raw_Price!$A$2:$A$100,0)),""))</f>
        <v>46301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-46301</v>
      </c>
      <c r="I6" s="67" t="n">
        <f aca="false">IF($A6="","",IFERROR(INDEX(Raw_Price!$E$2:$E$100,MATCH($A6,Raw_Price!$A$2:$A$100,0)),""))</f>
        <v>46301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-46301</v>
      </c>
      <c r="I7" s="67" t="n">
        <f aca="false">IF($A7="","",IFERROR(INDEX(Raw_Price!$E$2:$E$100,MATCH($A7,Raw_Price!$A$2:$A$100,0)),""))</f>
        <v>46301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-46301</v>
      </c>
      <c r="I8" s="67" t="n">
        <f aca="false">IF($A8="","",IFERROR(INDEX(Raw_Price!$E$2:$E$100,MATCH($A8,Raw_Price!$A$2:$A$100,0)),""))</f>
        <v>46301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-46301</v>
      </c>
      <c r="I9" s="67" t="n">
        <f aca="false">IF($A9="","",IFERROR(INDEX(Raw_Price!$E$2:$E$100,MATCH($A9,Raw_Price!$A$2:$A$100,0)),""))</f>
        <v>46301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-46301</v>
      </c>
      <c r="I10" s="67" t="n">
        <f aca="false">IF($A10="","",IFERROR(INDEX(Raw_Price!$E$2:$E$100,MATCH($A10,Raw_Price!$A$2:$A$100,0)),""))</f>
        <v>46301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-46301</v>
      </c>
      <c r="I11" s="67" t="n">
        <f aca="false">IF($A11="","",IFERROR(INDEX(Raw_Price!$E$2:$E$100,MATCH($A11,Raw_Price!$A$2:$A$100,0)),""))</f>
        <v>46301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-46301</v>
      </c>
      <c r="I12" s="67" t="n">
        <f aca="false">IF($A12="","",IFERROR(INDEX(Raw_Price!$E$2:$E$100,MATCH($A12,Raw_Price!$A$2:$A$100,0)),""))</f>
        <v>46301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-46301</v>
      </c>
      <c r="I13" s="67" t="n">
        <f aca="false">IF($A13="","",IFERROR(INDEX(Raw_Price!$E$2:$E$100,MATCH($A13,Raw_Price!$A$2:$A$100,0)),""))</f>
        <v>46301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-46301</v>
      </c>
      <c r="I14" s="67" t="n">
        <f aca="false">IF($A14="","",IFERROR(INDEX(Raw_Price!$E$2:$E$100,MATCH($A14,Raw_Price!$A$2:$A$100,0)),""))</f>
        <v>46301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-46301</v>
      </c>
      <c r="I15" s="67" t="n">
        <f aca="false">IF($A15="","",IFERROR(INDEX(Raw_Price!$E$2:$E$100,MATCH($A15,Raw_Price!$A$2:$A$100,0)),""))</f>
        <v>46301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-46301</v>
      </c>
      <c r="I16" s="67" t="n">
        <f aca="false">IF($A16="","",IFERROR(INDEX(Raw_Price!$E$2:$E$100,MATCH($A16,Raw_Price!$A$2:$A$100,0)),""))</f>
        <v>46301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-46301</v>
      </c>
      <c r="I17" s="67" t="n">
        <f aca="false">IF($A17="","",IFERROR(INDEX(Raw_Price!$E$2:$E$100,MATCH($A17,Raw_Price!$A$2:$A$100,0)),""))</f>
        <v>46301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-46301</v>
      </c>
      <c r="I18" s="67" t="n">
        <f aca="false">IF($A18="","",IFERROR(INDEX(Raw_Price!$E$2:$E$100,MATCH($A18,Raw_Price!$A$2:$A$100,0)),""))</f>
        <v>46301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-46301</v>
      </c>
      <c r="I19" s="67" t="n">
        <f aca="false">IF($A19="","",IFERROR(INDEX(Raw_Price!$E$2:$E$100,MATCH($A19,Raw_Price!$A$2:$A$100,0)),""))</f>
        <v>46301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-46301</v>
      </c>
      <c r="I20" s="67" t="n">
        <f aca="false">IF($A20="","",IFERROR(INDEX(Raw_Price!$E$2:$E$100,MATCH($A20,Raw_Price!$A$2:$A$100,0)),""))</f>
        <v>46301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-46301</v>
      </c>
      <c r="I21" s="67" t="n">
        <f aca="false">IF($A21="","",IFERROR(INDEX(Raw_Price!$E$2:$E$100,MATCH($A21,Raw_Price!$A$2:$A$100,0)),""))</f>
        <v>46301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-46301</v>
      </c>
      <c r="I22" s="67" t="n">
        <f aca="false">IF($A22="","",IFERROR(INDEX(Raw_Price!$E$2:$E$100,MATCH($A22,Raw_Price!$A$2:$A$100,0)),""))</f>
        <v>46301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-46301</v>
      </c>
      <c r="I23" s="67" t="n">
        <f aca="false">IF($A23="","",IFERROR(INDEX(Raw_Price!$E$2:$E$100,MATCH($A23,Raw_Price!$A$2:$A$100,0)),""))</f>
        <v>46301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-46301</v>
      </c>
      <c r="I24" s="67" t="n">
        <f aca="false">IF($A24="","",IFERROR(INDEX(Raw_Price!$E$2:$E$100,MATCH($A24,Raw_Price!$A$2:$A$100,0)),""))</f>
        <v>46301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-46301</v>
      </c>
      <c r="I25" s="67" t="n">
        <f aca="false">IF($A25="","",IFERROR(INDEX(Raw_Price!$E$2:$E$100,MATCH($A25,Raw_Price!$A$2:$A$100,0)),""))</f>
        <v>46301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-46301</v>
      </c>
      <c r="I27" s="67" t="n">
        <f aca="false">IF($A27="","",IFERROR(INDEX(Raw_Price!$E$2:$E$100,MATCH($A27,Raw_Price!$A$2:$A$100,0)),""))</f>
        <v>46301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-46301</v>
      </c>
      <c r="I28" s="67" t="n">
        <f aca="false">IF($A28="","",IFERROR(INDEX(Raw_Price!$E$2:$E$100,MATCH($A28,Raw_Price!$A$2:$A$100,0)),""))</f>
        <v>46301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-46301</v>
      </c>
      <c r="I29" s="67" t="n">
        <f aca="false">IF($A29="","",IFERROR(INDEX(Raw_Price!$E$2:$E$100,MATCH($A29,Raw_Price!$A$2:$A$100,0)),""))</f>
        <v>46301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1080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1081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1082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1083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1084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1085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1086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1087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1088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1089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1090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1091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1092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1093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1094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1095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1096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1097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1098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1099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1100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1101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1102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1103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1105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1107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1109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1111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1113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1115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1117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1119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1121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1123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1125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1138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1139</v>
      </c>
    </row>
    <row r="74" customFormat="false" ht="15" hidden="false" customHeight="false" outlineLevel="0" collapsed="false">
      <c r="A74" s="79" t="s">
        <v>345</v>
      </c>
      <c r="B74" s="79" t="s">
        <v>1080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1081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1082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1083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1084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1085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1086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1087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1088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1089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1090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1091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1092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1093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1094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1095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1096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1097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1098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1099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1100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1101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1102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1103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1105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1140</v>
      </c>
    </row>
    <row r="99" customFormat="false" ht="15" hidden="false" customHeight="false" outlineLevel="0" collapsed="false">
      <c r="A99" s="79" t="s">
        <v>345</v>
      </c>
      <c r="B99" s="79" t="s">
        <v>1107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1141</v>
      </c>
    </row>
    <row r="100" customFormat="false" ht="15" hidden="false" customHeight="false" outlineLevel="0" collapsed="false">
      <c r="A100" s="79" t="s">
        <v>345</v>
      </c>
      <c r="B100" s="79" t="s">
        <v>1109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1142</v>
      </c>
    </row>
    <row r="101" customFormat="false" ht="15" hidden="false" customHeight="false" outlineLevel="0" collapsed="false">
      <c r="A101" s="79" t="s">
        <v>345</v>
      </c>
      <c r="B101" s="79" t="s">
        <v>1111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1143</v>
      </c>
    </row>
    <row r="102" customFormat="false" ht="15" hidden="false" customHeight="false" outlineLevel="0" collapsed="false">
      <c r="A102" s="79" t="s">
        <v>345</v>
      </c>
      <c r="B102" s="79" t="s">
        <v>1113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1144</v>
      </c>
    </row>
    <row r="103" customFormat="false" ht="15" hidden="false" customHeight="false" outlineLevel="0" collapsed="false">
      <c r="A103" s="79" t="s">
        <v>345</v>
      </c>
      <c r="B103" s="79" t="s">
        <v>1115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1145</v>
      </c>
    </row>
    <row r="104" customFormat="false" ht="15" hidden="false" customHeight="false" outlineLevel="0" collapsed="false">
      <c r="A104" s="79" t="s">
        <v>345</v>
      </c>
      <c r="B104" s="79" t="s">
        <v>1117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1146</v>
      </c>
    </row>
    <row r="105" customFormat="false" ht="15" hidden="false" customHeight="false" outlineLevel="0" collapsed="false">
      <c r="A105" s="79" t="s">
        <v>345</v>
      </c>
      <c r="B105" s="79" t="s">
        <v>1119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1147</v>
      </c>
    </row>
    <row r="106" customFormat="false" ht="15" hidden="false" customHeight="false" outlineLevel="0" collapsed="false">
      <c r="A106" s="79" t="s">
        <v>345</v>
      </c>
      <c r="B106" s="79" t="s">
        <v>1121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1148</v>
      </c>
    </row>
    <row r="107" customFormat="false" ht="15" hidden="false" customHeight="false" outlineLevel="0" collapsed="false">
      <c r="A107" s="79" t="s">
        <v>345</v>
      </c>
      <c r="B107" s="79" t="s">
        <v>1123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1149</v>
      </c>
    </row>
    <row r="108" customFormat="false" ht="15" hidden="false" customHeight="false" outlineLevel="0" collapsed="false">
      <c r="A108" s="79" t="s">
        <v>345</v>
      </c>
      <c r="B108" s="79" t="s">
        <v>1125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1150</v>
      </c>
    </row>
    <row r="109" customFormat="false" ht="15" hidden="false" customHeight="false" outlineLevel="0" collapsed="false">
      <c r="A109" s="79" t="s">
        <v>345</v>
      </c>
      <c r="B109" s="79" t="s">
        <v>1138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1151</v>
      </c>
    </row>
    <row r="110" customFormat="false" ht="15" hidden="false" customHeight="false" outlineLevel="0" collapsed="false">
      <c r="A110" s="79" t="s">
        <v>79</v>
      </c>
      <c r="B110" s="79" t="s">
        <v>1080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1081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1082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1083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1084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1085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1086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1087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1088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1089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1090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1091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1092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1093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1094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1095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1096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1097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1098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1099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1100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1101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1102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1103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1105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1152</v>
      </c>
    </row>
    <row r="135" customFormat="false" ht="15" hidden="false" customHeight="false" outlineLevel="0" collapsed="false">
      <c r="A135" s="79" t="s">
        <v>79</v>
      </c>
      <c r="B135" s="79" t="s">
        <v>1107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1153</v>
      </c>
    </row>
    <row r="136" customFormat="false" ht="15" hidden="false" customHeight="false" outlineLevel="0" collapsed="false">
      <c r="A136" s="79" t="s">
        <v>79</v>
      </c>
      <c r="B136" s="79" t="s">
        <v>1109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1154</v>
      </c>
    </row>
    <row r="137" customFormat="false" ht="15" hidden="false" customHeight="false" outlineLevel="0" collapsed="false">
      <c r="A137" s="79" t="s">
        <v>79</v>
      </c>
      <c r="B137" s="79" t="s">
        <v>1111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1155</v>
      </c>
    </row>
    <row r="138" customFormat="false" ht="15" hidden="false" customHeight="false" outlineLevel="0" collapsed="false">
      <c r="A138" s="79" t="s">
        <v>79</v>
      </c>
      <c r="B138" s="79" t="s">
        <v>1113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1156</v>
      </c>
    </row>
    <row r="139" customFormat="false" ht="15" hidden="false" customHeight="false" outlineLevel="0" collapsed="false">
      <c r="A139" s="79" t="s">
        <v>79</v>
      </c>
      <c r="B139" s="79" t="s">
        <v>1115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1157</v>
      </c>
    </row>
    <row r="140" customFormat="false" ht="15" hidden="false" customHeight="false" outlineLevel="0" collapsed="false">
      <c r="A140" s="79" t="s">
        <v>79</v>
      </c>
      <c r="B140" s="79" t="s">
        <v>1117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1158</v>
      </c>
    </row>
    <row r="141" customFormat="false" ht="15" hidden="false" customHeight="false" outlineLevel="0" collapsed="false">
      <c r="A141" s="79" t="s">
        <v>79</v>
      </c>
      <c r="B141" s="79" t="s">
        <v>1119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1159</v>
      </c>
    </row>
    <row r="142" customFormat="false" ht="15" hidden="false" customHeight="false" outlineLevel="0" collapsed="false">
      <c r="A142" s="79" t="s">
        <v>79</v>
      </c>
      <c r="B142" s="79" t="s">
        <v>1121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1160</v>
      </c>
    </row>
    <row r="143" customFormat="false" ht="15" hidden="false" customHeight="false" outlineLevel="0" collapsed="false">
      <c r="A143" s="79" t="s">
        <v>79</v>
      </c>
      <c r="B143" s="79" t="s">
        <v>1123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1161</v>
      </c>
    </row>
    <row r="144" customFormat="false" ht="15" hidden="false" customHeight="false" outlineLevel="0" collapsed="false">
      <c r="A144" s="79" t="s">
        <v>79</v>
      </c>
      <c r="B144" s="79" t="s">
        <v>1125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1162</v>
      </c>
    </row>
    <row r="145" customFormat="false" ht="15" hidden="false" customHeight="false" outlineLevel="0" collapsed="false">
      <c r="A145" s="79" t="s">
        <v>79</v>
      </c>
      <c r="B145" s="79" t="s">
        <v>1138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1163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1164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1165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1166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1167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1168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1169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1170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1171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1172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1173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1174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1175</v>
      </c>
    </row>
    <row r="182" customFormat="false" ht="15" hidden="false" customHeight="false" outlineLevel="0" collapsed="false">
      <c r="A182" s="79" t="s">
        <v>205</v>
      </c>
      <c r="B182" s="79" t="s">
        <v>1080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1081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1082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1083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1084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1085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1086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1087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1088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1089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1090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1091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1092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1093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1094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1095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1096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1097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1098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1099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1100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1101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1102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1103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1105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1176</v>
      </c>
    </row>
    <row r="207" customFormat="false" ht="15" hidden="false" customHeight="false" outlineLevel="0" collapsed="false">
      <c r="A207" s="79" t="s">
        <v>205</v>
      </c>
      <c r="B207" s="79" t="s">
        <v>1107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1177</v>
      </c>
    </row>
    <row r="208" customFormat="false" ht="15" hidden="false" customHeight="false" outlineLevel="0" collapsed="false">
      <c r="A208" s="79" t="s">
        <v>205</v>
      </c>
      <c r="B208" s="79" t="s">
        <v>1109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1178</v>
      </c>
    </row>
    <row r="209" customFormat="false" ht="15" hidden="false" customHeight="false" outlineLevel="0" collapsed="false">
      <c r="A209" s="79" t="s">
        <v>205</v>
      </c>
      <c r="B209" s="79" t="s">
        <v>1111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1179</v>
      </c>
    </row>
    <row r="210" customFormat="false" ht="15" hidden="false" customHeight="false" outlineLevel="0" collapsed="false">
      <c r="A210" s="79" t="s">
        <v>205</v>
      </c>
      <c r="B210" s="79" t="s">
        <v>1113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1180</v>
      </c>
    </row>
    <row r="211" customFormat="false" ht="15" hidden="false" customHeight="false" outlineLevel="0" collapsed="false">
      <c r="A211" s="79" t="s">
        <v>205</v>
      </c>
      <c r="B211" s="79" t="s">
        <v>1115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1181</v>
      </c>
    </row>
    <row r="212" customFormat="false" ht="15" hidden="false" customHeight="false" outlineLevel="0" collapsed="false">
      <c r="A212" s="79" t="s">
        <v>205</v>
      </c>
      <c r="B212" s="79" t="s">
        <v>1117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1182</v>
      </c>
    </row>
    <row r="213" customFormat="false" ht="15" hidden="false" customHeight="false" outlineLevel="0" collapsed="false">
      <c r="A213" s="79" t="s">
        <v>205</v>
      </c>
      <c r="B213" s="79" t="s">
        <v>1119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1183</v>
      </c>
    </row>
    <row r="214" customFormat="false" ht="15" hidden="false" customHeight="false" outlineLevel="0" collapsed="false">
      <c r="A214" s="79" t="s">
        <v>205</v>
      </c>
      <c r="B214" s="79" t="s">
        <v>1121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1184</v>
      </c>
    </row>
    <row r="215" customFormat="false" ht="15" hidden="false" customHeight="false" outlineLevel="0" collapsed="false">
      <c r="A215" s="79" t="s">
        <v>205</v>
      </c>
      <c r="B215" s="79" t="s">
        <v>1123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1185</v>
      </c>
    </row>
    <row r="216" customFormat="false" ht="15" hidden="false" customHeight="false" outlineLevel="0" collapsed="false">
      <c r="A216" s="79" t="s">
        <v>205</v>
      </c>
      <c r="B216" s="79" t="s">
        <v>1125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1186</v>
      </c>
    </row>
    <row r="217" customFormat="false" ht="15" hidden="false" customHeight="false" outlineLevel="0" collapsed="false">
      <c r="A217" s="79" t="s">
        <v>205</v>
      </c>
      <c r="B217" s="79" t="s">
        <v>1138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1187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1188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1189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1190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1191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1192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1193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1194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1195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1196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1197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1198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1199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1200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1201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1202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1203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1204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1205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1206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1207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1208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1209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1210</v>
      </c>
    </row>
    <row r="289" customFormat="false" ht="15" hidden="false" customHeight="false" outlineLevel="0" collapsed="false">
      <c r="A289" s="79" t="s">
        <v>471</v>
      </c>
      <c r="B289" s="79" t="s">
        <v>1138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1080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1081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1082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1083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1084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1085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1086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1087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1088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1089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1090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1091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1092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1093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1094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1095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1096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1097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1098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1099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1100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1101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1102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1103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1105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1107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1109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1111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1113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1115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1117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1119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1121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1123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1125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1138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1080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1081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1082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1083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1084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1085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1086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1087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1088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1089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1090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1091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1092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1093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1094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1095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1096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1097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1098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1099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1100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1101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1102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1103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1105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1107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1109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1111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1113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1115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1117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1119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1121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1123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1125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1138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1080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1081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1082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1083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1084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1085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1086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1087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1088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1089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1090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1091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1092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1093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1094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1095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1096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1097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1098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1099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1100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1101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1102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1103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1105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1107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1109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1111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1113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1115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1117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1119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1121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1123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1125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1138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1080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1081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1082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1083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1084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1085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1086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1087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1088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1089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1090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1091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1092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1093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1094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1095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1096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1097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1098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1099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1100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1101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1102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1103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1105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1107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1109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1111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1113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1115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1117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1119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1121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1123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1125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1138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1138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1080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1081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1082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1083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1084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1085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1086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1087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1088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1089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1090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1091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1092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1093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1094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1095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1096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1097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1098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1099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1100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1101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1102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1103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1105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1107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1109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1111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1113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1115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1117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1119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1121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1123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1125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1138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1080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1081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1082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1083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1084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1085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1086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1087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1088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1089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1090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1091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1092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1093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1094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1095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1096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1097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1098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1099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1100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1101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1102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1103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1105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1107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1109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1111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1113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1115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1117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1119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1121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1123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1125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1138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1138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1080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1081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1082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1083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1084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1085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1086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1087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1088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1089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1090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1091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1092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1093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1094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1095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1096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1097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1098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1099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1100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1101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1102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1103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1105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1107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1109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1111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1113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1115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1117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1119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1121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1123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1125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1138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1080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1081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1082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1083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1084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1085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1086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1087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1088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1089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1090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1091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1092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1093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1094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1095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1096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1097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1098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1099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1100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1101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1102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1103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1105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1107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1109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1111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1113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1115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1117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1119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1121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1123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1125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1138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1138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1080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1081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1082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1083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1084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1085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1086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1087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1088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1089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1090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1091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1092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1093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1094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1095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1096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1097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1098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1099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1100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1101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1102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1103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1105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1107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1109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1111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1113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1115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1117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1119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1121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1123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1125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1138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1080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1081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1082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1083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1084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1085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1086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1087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1088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1089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1090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1091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1092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1093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1094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1095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1096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1097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1098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1099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1100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1101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1102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1103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1105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1107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1109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1111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1113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1115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1117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1119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1121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1123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1125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1138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1080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1081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1082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1083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1084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1085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1086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1087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1088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1089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1090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1091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1092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1093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1094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1095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1096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1097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1098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1099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1100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1101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1102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1103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1105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1107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1109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1111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1113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1115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1117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1119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1121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1123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1125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1138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1080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1081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1082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1083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1084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1085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1086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1087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1088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1089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1090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1091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1092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1093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1094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1095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1096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1097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1098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1099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1100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1101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1102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1103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1105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1107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1109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1111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1113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1115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1117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1119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1121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1123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1125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1138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46301</v>
      </c>
    </row>
    <row r="3" customFormat="false" ht="15" hidden="false" customHeight="false" outlineLevel="0" collapsed="false">
      <c r="A3" s="79" t="s">
        <v>220</v>
      </c>
      <c r="B3" s="83" t="n">
        <v>6.95132</v>
      </c>
      <c r="C3" s="83" t="n">
        <v>7.14248</v>
      </c>
      <c r="D3" s="81" t="n">
        <v>46387</v>
      </c>
      <c r="E3" s="80" t="n">
        <v>13</v>
      </c>
      <c r="F3" s="81" t="n">
        <v>46301</v>
      </c>
    </row>
    <row r="4" customFormat="false" ht="15" hidden="false" customHeight="false" outlineLevel="0" collapsed="false">
      <c r="A4" s="79" t="s">
        <v>345</v>
      </c>
      <c r="B4" s="83" t="n">
        <v>20.09058</v>
      </c>
      <c r="C4" s="83" t="n">
        <v>31.30648</v>
      </c>
      <c r="D4" s="81" t="n">
        <v>46387</v>
      </c>
      <c r="E4" s="80" t="n">
        <v>3</v>
      </c>
      <c r="F4" s="81" t="n">
        <v>46301</v>
      </c>
    </row>
    <row r="5" customFormat="false" ht="15" hidden="false" customHeight="false" outlineLevel="0" collapsed="false">
      <c r="A5" s="79" t="s">
        <v>79</v>
      </c>
      <c r="B5" s="83" t="n">
        <v>107.93323</v>
      </c>
      <c r="C5" s="83" t="n">
        <v>143.44267</v>
      </c>
      <c r="D5" s="81" t="n">
        <v>46387</v>
      </c>
      <c r="E5" s="80" t="n">
        <v>23</v>
      </c>
      <c r="F5" s="81" t="n">
        <v>46301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46301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36.67576</v>
      </c>
      <c r="D7" s="81" t="n">
        <v>46387</v>
      </c>
      <c r="E7" s="80" t="n">
        <v>8</v>
      </c>
      <c r="F7" s="81" t="n">
        <v>46301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46301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68.24214</v>
      </c>
      <c r="C10" s="83" t="n">
        <v>147.14908</v>
      </c>
      <c r="D10" s="81" t="n">
        <v>46387</v>
      </c>
      <c r="E10" s="80" t="n">
        <v>15</v>
      </c>
      <c r="F10" s="81" t="n">
        <v>46301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46301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46301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46301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46301</v>
      </c>
    </row>
    <row r="15" customFormat="false" ht="15" hidden="false" customHeight="false" outlineLevel="0" collapsed="false">
      <c r="A15" s="79" t="s">
        <v>230</v>
      </c>
      <c r="B15" s="83" t="n">
        <v>7.69288</v>
      </c>
      <c r="C15" s="83" t="n">
        <v>10.09494</v>
      </c>
      <c r="D15" s="81" t="n">
        <v>46387</v>
      </c>
      <c r="E15" s="80" t="n">
        <v>9</v>
      </c>
      <c r="F15" s="81" t="n">
        <v>46301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46301</v>
      </c>
    </row>
    <row r="17" customFormat="false" ht="15" hidden="false" customHeight="false" outlineLevel="0" collapsed="false">
      <c r="A17" s="79" t="s">
        <v>216</v>
      </c>
      <c r="B17" s="83" t="n">
        <v>11.05445</v>
      </c>
      <c r="C17" s="83" t="n">
        <v>27.43637</v>
      </c>
      <c r="D17" s="81" t="n">
        <v>46387</v>
      </c>
      <c r="E17" s="80" t="n">
        <v>9</v>
      </c>
      <c r="F17" s="81" t="n">
        <v>46301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12.97667</v>
      </c>
      <c r="C19" s="83" t="n">
        <v>12.97667</v>
      </c>
      <c r="D19" s="81"/>
      <c r="E19" s="80"/>
      <c r="F19" s="81" t="n">
        <v>46301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46301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46301</v>
      </c>
    </row>
    <row r="22" customFormat="false" ht="15" hidden="false" customHeight="false" outlineLevel="0" collapsed="false">
      <c r="A22" s="79" t="s">
        <v>197</v>
      </c>
      <c r="B22" s="83" t="n">
        <v>68.77689</v>
      </c>
      <c r="C22" s="83" t="n">
        <v>119.70807</v>
      </c>
      <c r="D22" s="81" t="n">
        <v>46387</v>
      </c>
      <c r="E22" s="80" t="n">
        <v>9</v>
      </c>
      <c r="F22" s="81" t="n">
        <v>46301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46301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46301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46301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46301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46301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46301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46301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13100</v>
      </c>
      <c r="C2" s="81" t="n">
        <v>46301</v>
      </c>
      <c r="D2" s="81"/>
      <c r="E2" s="81" t="n">
        <v>46301</v>
      </c>
    </row>
    <row r="3" customFormat="false" ht="15" hidden="false" customHeight="false" outlineLevel="0" collapsed="false">
      <c r="A3" s="79" t="s">
        <v>220</v>
      </c>
      <c r="B3" s="83" t="n">
        <v>147.5</v>
      </c>
      <c r="C3" s="81" t="n">
        <v>46301</v>
      </c>
      <c r="D3" s="81"/>
      <c r="E3" s="81" t="n">
        <v>46301</v>
      </c>
    </row>
    <row r="4" customFormat="false" ht="15" hidden="false" customHeight="false" outlineLevel="0" collapsed="false">
      <c r="A4" s="79" t="s">
        <v>345</v>
      </c>
      <c r="B4" s="83" t="n">
        <v>625</v>
      </c>
      <c r="C4" s="81" t="n">
        <v>46301</v>
      </c>
      <c r="D4" s="81"/>
      <c r="E4" s="81" t="n">
        <v>46301</v>
      </c>
    </row>
    <row r="5" customFormat="false" ht="15" hidden="false" customHeight="false" outlineLevel="0" collapsed="false">
      <c r="A5" s="79" t="s">
        <v>79</v>
      </c>
      <c r="B5" s="83" t="n">
        <v>2585</v>
      </c>
      <c r="C5" s="81" t="n">
        <v>46301</v>
      </c>
      <c r="D5" s="81"/>
      <c r="E5" s="81" t="n">
        <v>46301</v>
      </c>
    </row>
    <row r="6" customFormat="false" ht="15" hidden="false" customHeight="false" outlineLevel="0" collapsed="false">
      <c r="A6" s="79" t="s">
        <v>236</v>
      </c>
      <c r="B6" s="83" t="n">
        <v>177.5</v>
      </c>
      <c r="C6" s="81" t="n">
        <v>46301</v>
      </c>
      <c r="D6" s="81"/>
      <c r="E6" s="81" t="n">
        <v>46301</v>
      </c>
    </row>
    <row r="7" customFormat="false" ht="15" hidden="false" customHeight="false" outlineLevel="0" collapsed="false">
      <c r="A7" s="79" t="s">
        <v>205</v>
      </c>
      <c r="B7" s="83" t="n">
        <v>380</v>
      </c>
      <c r="C7" s="81" t="n">
        <v>46301</v>
      </c>
      <c r="D7" s="81"/>
      <c r="E7" s="81" t="n">
        <v>46301</v>
      </c>
    </row>
    <row r="8" customFormat="false" ht="15" hidden="false" customHeight="false" outlineLevel="0" collapsed="false">
      <c r="A8" s="79" t="s">
        <v>182</v>
      </c>
      <c r="B8" s="83" t="n">
        <v>525</v>
      </c>
      <c r="C8" s="81" t="n">
        <v>46301</v>
      </c>
      <c r="D8" s="81"/>
      <c r="E8" s="81" t="n">
        <v>46301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4920</v>
      </c>
      <c r="C10" s="81" t="n">
        <v>46301</v>
      </c>
      <c r="D10" s="81"/>
      <c r="E10" s="81" t="n">
        <v>46301</v>
      </c>
    </row>
    <row r="11" customFormat="false" ht="15" hidden="false" customHeight="false" outlineLevel="0" collapsed="false">
      <c r="A11" s="79" t="s">
        <v>190</v>
      </c>
      <c r="B11" s="83" t="n">
        <v>567</v>
      </c>
      <c r="C11" s="81" t="n">
        <v>46301</v>
      </c>
      <c r="D11" s="81"/>
      <c r="E11" s="81" t="n">
        <v>46301</v>
      </c>
    </row>
    <row r="12" customFormat="false" ht="15" hidden="false" customHeight="false" outlineLevel="0" collapsed="false">
      <c r="A12" s="79" t="s">
        <v>224</v>
      </c>
      <c r="B12" s="83" t="n">
        <v>90.7</v>
      </c>
      <c r="C12" s="81" t="n">
        <v>46301</v>
      </c>
      <c r="D12" s="81"/>
      <c r="E12" s="81" t="n">
        <v>46301</v>
      </c>
    </row>
    <row r="13" customFormat="false" ht="15" hidden="false" customHeight="false" outlineLevel="0" collapsed="false">
      <c r="A13" s="79" t="s">
        <v>195</v>
      </c>
      <c r="B13" s="83" t="n">
        <v>537</v>
      </c>
      <c r="C13" s="81" t="n">
        <v>46301</v>
      </c>
      <c r="D13" s="81"/>
      <c r="E13" s="81" t="n">
        <v>46301</v>
      </c>
    </row>
    <row r="14" customFormat="false" ht="15" hidden="false" customHeight="false" outlineLevel="0" collapsed="false">
      <c r="A14" s="79" t="s">
        <v>210</v>
      </c>
      <c r="B14" s="83" t="n">
        <v>2920</v>
      </c>
      <c r="C14" s="81" t="n">
        <v>46301</v>
      </c>
      <c r="D14" s="81"/>
      <c r="E14" s="81" t="n">
        <v>46301</v>
      </c>
    </row>
    <row r="15" customFormat="false" ht="15" hidden="false" customHeight="false" outlineLevel="0" collapsed="false">
      <c r="A15" s="79" t="s">
        <v>230</v>
      </c>
      <c r="B15" s="83" t="n">
        <v>592</v>
      </c>
      <c r="C15" s="81" t="n">
        <v>46301</v>
      </c>
      <c r="D15" s="81"/>
      <c r="E15" s="81" t="n">
        <v>46301</v>
      </c>
    </row>
    <row r="16" customFormat="false" ht="15" hidden="false" customHeight="false" outlineLevel="0" collapsed="false">
      <c r="A16" s="79" t="s">
        <v>212</v>
      </c>
      <c r="B16" s="83" t="n">
        <v>689</v>
      </c>
      <c r="C16" s="81" t="n">
        <v>46301</v>
      </c>
      <c r="D16" s="81"/>
      <c r="E16" s="81" t="n">
        <v>46301</v>
      </c>
    </row>
    <row r="17" customFormat="false" ht="15" hidden="false" customHeight="false" outlineLevel="0" collapsed="false">
      <c r="A17" s="79" t="s">
        <v>216</v>
      </c>
      <c r="B17" s="83" t="n">
        <v>1070</v>
      </c>
      <c r="C17" s="81" t="n">
        <v>46301</v>
      </c>
      <c r="D17" s="81"/>
      <c r="E17" s="81" t="n">
        <v>46301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650</v>
      </c>
      <c r="C19" s="81" t="n">
        <v>46301</v>
      </c>
      <c r="D19" s="81"/>
      <c r="E19" s="81" t="n">
        <v>46301</v>
      </c>
    </row>
    <row r="20" customFormat="false" ht="15" hidden="false" customHeight="false" outlineLevel="0" collapsed="false">
      <c r="A20" s="79" t="s">
        <v>245</v>
      </c>
      <c r="B20" s="83" t="n">
        <v>8375</v>
      </c>
      <c r="C20" s="81" t="n">
        <v>46301</v>
      </c>
      <c r="D20" s="81"/>
      <c r="E20" s="81" t="n">
        <v>46301</v>
      </c>
    </row>
    <row r="21" customFormat="false" ht="15" hidden="false" customHeight="false" outlineLevel="0" collapsed="false">
      <c r="A21" s="79" t="s">
        <v>241</v>
      </c>
      <c r="B21" s="83" t="n">
        <v>531</v>
      </c>
      <c r="C21" s="81" t="n">
        <v>46301</v>
      </c>
      <c r="D21" s="81"/>
      <c r="E21" s="81" t="n">
        <v>46301</v>
      </c>
    </row>
    <row r="22" customFormat="false" ht="15" hidden="false" customHeight="false" outlineLevel="0" collapsed="false">
      <c r="A22" s="79" t="s">
        <v>197</v>
      </c>
      <c r="B22" s="83" t="n">
        <v>2325</v>
      </c>
      <c r="C22" s="81" t="n">
        <v>46301</v>
      </c>
      <c r="D22" s="81"/>
      <c r="E22" s="81" t="n">
        <v>46301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90</v>
      </c>
      <c r="C24" s="81" t="n">
        <v>46301</v>
      </c>
      <c r="D24" s="81"/>
      <c r="E24" s="81" t="n">
        <v>46301</v>
      </c>
    </row>
    <row r="25" customFormat="false" ht="15" hidden="false" customHeight="false" outlineLevel="0" collapsed="false">
      <c r="A25" s="79" t="s">
        <v>232</v>
      </c>
      <c r="B25" s="83" t="n">
        <v>568</v>
      </c>
      <c r="C25" s="81" t="n">
        <v>46301</v>
      </c>
      <c r="D25" s="81"/>
      <c r="E25" s="81" t="n">
        <v>46301</v>
      </c>
    </row>
    <row r="26" customFormat="false" ht="15" hidden="false" customHeight="false" outlineLevel="0" collapsed="false">
      <c r="A26" s="79" t="s">
        <v>186</v>
      </c>
      <c r="B26" s="83" t="n">
        <v>1265</v>
      </c>
      <c r="C26" s="81" t="n">
        <v>46301</v>
      </c>
      <c r="D26" s="81"/>
      <c r="E26" s="81" t="n">
        <v>46301</v>
      </c>
    </row>
    <row r="27" customFormat="false" ht="15" hidden="false" customHeight="false" outlineLevel="0" collapsed="false">
      <c r="A27" s="79" t="s">
        <v>201</v>
      </c>
      <c r="B27" s="83" t="n">
        <v>619</v>
      </c>
      <c r="C27" s="81" t="n">
        <v>46301</v>
      </c>
      <c r="D27" s="81"/>
      <c r="E27" s="81" t="n">
        <v>46301</v>
      </c>
    </row>
    <row r="28" customFormat="false" ht="15" hidden="false" customHeight="false" outlineLevel="0" collapsed="false">
      <c r="A28" s="79" t="s">
        <v>218</v>
      </c>
      <c r="B28" s="83" t="n">
        <v>1650</v>
      </c>
      <c r="C28" s="81" t="n">
        <v>46301</v>
      </c>
      <c r="D28" s="81"/>
      <c r="E28" s="81" t="n">
        <v>46301</v>
      </c>
    </row>
    <row r="29" customFormat="false" ht="15" hidden="false" customHeight="false" outlineLevel="0" collapsed="false">
      <c r="A29" s="79" t="s">
        <v>243</v>
      </c>
      <c r="B29" s="83" t="n">
        <v>527</v>
      </c>
      <c r="C29" s="81" t="n">
        <v>46301</v>
      </c>
      <c r="D29" s="81"/>
      <c r="E29" s="81" t="n">
        <v>46301</v>
      </c>
    </row>
    <row r="30" customFormat="false" ht="15" hidden="false" customHeight="false" outlineLevel="0" collapsed="false">
      <c r="A30" s="79" t="s">
        <v>228</v>
      </c>
      <c r="B30" s="83" t="n">
        <v>2090</v>
      </c>
      <c r="C30" s="81" t="n">
        <v>46301</v>
      </c>
      <c r="D30" s="81"/>
      <c r="E30" s="81" t="n">
        <v>46301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135.076062219178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29.9605934167826</v>
      </c>
      <c r="K2" s="52" t="n">
        <f aca="false">IF($A2="","",IFERROR(IF(G2&lt;=0,"N/M",D2/G2),"N/M"))</f>
        <v>26.6408413682695</v>
      </c>
      <c r="L2" s="52" t="n">
        <f aca="false">IF($A2="","",IFERROR(IF(H2&lt;=0,"N/M",D2/H2),"N/M"))</f>
        <v>19.1373656999677</v>
      </c>
      <c r="M2" s="49" t="n">
        <f aca="false">IF($A2="","",IFERROR(INDEX(Raw_Est!$C$2:$C$100,MATCH($A2,Raw_Est!$A$2:$A$100,0))/INDEX(Raw_Est!$B$2:$B$100,MATCH($A2,Raw_Est!$A$2:$A$100,0))-1,""))</f>
        <v>0.328994508920006</v>
      </c>
      <c r="N2" s="51" t="n">
        <f aca="false">IF($A2="","",IFERROR(IF(OR(NOT(ISNUMBER(J2)),I2&lt;Config!$B$6),"N/M",J2/(I2*100)),"N/M"))</f>
        <v>0.562923261694704</v>
      </c>
      <c r="O2" s="51" t="n">
        <f aca="false">IF($A2="","",IFERROR(IF(OR(NOT(ISNUMBER(L2)),M2&lt;Config!$B$6),"N/M",L2/(M2*100)),"N/M"))</f>
        <v>0.581692556595858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0.00851067705222437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0.435127320454587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46301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94.370577369863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19.3370165745856</v>
      </c>
      <c r="K3" s="52" t="n">
        <f aca="false">IF($A3="","",IFERROR(IF(G3&lt;=0,"N/M",D3/G3),"N/M"))</f>
        <v>11.0531318786008</v>
      </c>
      <c r="L3" s="52" t="n">
        <f aca="false">IF($A3="","",IFERROR(IF(H3&lt;=0,"N/M",D3/H3),"N/M"))</f>
        <v>5.56317461047618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0.118596003499995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46301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1265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232.143653232877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5.44921208218863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46301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567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8.54085556164384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137.621359223301</v>
      </c>
      <c r="K5" s="52" t="n">
        <f aca="false">IF($A5="","",IFERROR(IF(G5&lt;=0,"N/M",D5/G5),"N/M"))</f>
        <v>120.785038845065</v>
      </c>
      <c r="L5" s="52" t="n">
        <f aca="false">IF($A5="","",IFERROR(IF(H5&lt;=0,"N/M",D5/H5),"N/M"))</f>
        <v>66.3867918041306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2.23525137591986</v>
      </c>
      <c r="O5" s="51" t="n">
        <f aca="false">IF($A5="","",IFERROR(IF(OR(NOT(ISNUMBER(L5)),M5&lt;Config!$B$6),"N/M",L5/(M5*100)),"N/M"))</f>
        <v>0.952847950429702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0.00462179282186949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46301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34.9425138356164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18.7303801883502</v>
      </c>
      <c r="K6" s="52" t="n">
        <f aca="false">IF($A6="","",IFERROR(IF(G6&lt;=0,"N/M",D6/G6),"N/M"))</f>
        <v>16.6600843304306</v>
      </c>
      <c r="L6" s="52" t="n">
        <f aca="false">IF($A6="","",IFERROR(IF(H6&lt;=0,"N/M",D6/H6),"N/M"))</f>
        <v>15.3680986584498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0.0521415270018622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46301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2325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107.707846767123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42.6370805061434</v>
      </c>
      <c r="K7" s="52" t="n">
        <f aca="false">IF($A7="","",IFERROR(IF(G7&lt;=0,"N/M",D7/G7),"N/M"))</f>
        <v>38.9031812762753</v>
      </c>
      <c r="L7" s="52" t="n">
        <f aca="false">IF($A7="","",IFERROR(IF(H7&lt;=0,"N/M",D7/H7),"N/M"))</f>
        <v>21.586171015255</v>
      </c>
      <c r="M7" s="49" t="n">
        <f aca="false">IF($A7="","",IFERROR(INDEX(Raw_Est!$C$2:$C$100,MATCH($A7,Raw_Est!$A$2:$A$100,0))/INDEX(Raw_Est!$B$2:$B$100,MATCH($A7,Raw_Est!$A$2:$A$100,0))-1,""))</f>
        <v>0.740527523125864</v>
      </c>
      <c r="N7" s="51" t="n">
        <f aca="false">IF($A7="","",IFERROR(IF(OR(NOT(ISNUMBER(J7)),I7&lt;Config!$B$6),"N/M",J7/(I7*100)),"N/M"))</f>
        <v>0.741970903481279</v>
      </c>
      <c r="O7" s="51" t="n">
        <f aca="false">IF($A7="","",IFERROR(IF(OR(NOT(ISNUMBER(L7)),M7&lt;Config!$B$6),"N/M",L7/(M7*100)),"N/M"))</f>
        <v>0.291497214366009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0.00451848709247312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0.270704744622308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46301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619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33.5005205479452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18.4773248258665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1.46238930940472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46301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380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36.1443766027397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14.2268813178585</v>
      </c>
      <c r="K9" s="52" t="n">
        <f aca="false">IF($A9="","",IFERROR(IF(G9&lt;=0,"N/M",D9/G9),"N/M"))</f>
        <v>12.5137239327605</v>
      </c>
      <c r="L9" s="52" t="n">
        <f aca="false">IF($A9="","",IFERROR(IF(H9&lt;=0,"N/M",D9/H9),"N/M"))</f>
        <v>10.5133920049736</v>
      </c>
      <c r="M9" s="49" t="n">
        <f aca="false">IF($A9="","",IFERROR(INDEX(Raw_Est!$C$2:$C$100,MATCH($A9,Raw_Est!$A$2:$A$100,0))/INDEX(Raw_Est!$B$2:$B$100,MATCH($A9,Raw_Est!$A$2:$A$100,0))-1,""))</f>
        <v>0.0655217665534491</v>
      </c>
      <c r="N9" s="51" t="n">
        <f aca="false">IF($A9="","",IFERROR(IF(OR(NOT(ISNUMBER(J9)),I9&lt;Config!$B$6),"N/M",J9/(I9*100)),"N/M"))</f>
        <v>0.227021760193621</v>
      </c>
      <c r="O9" s="51" t="n">
        <f aca="false">IF($A9="","",IFERROR(IF(OR(NOT(ISNUMBER(L9)),M9&lt;Config!$B$6),"N/M",L9/(M9*100)),"N/M"))</f>
        <v>1.60456479701251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0.0263157894736842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46301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13100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463.484006082192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72.2200782843597</v>
      </c>
      <c r="K10" s="52" t="n">
        <f aca="false">IF($A10="","",IFERROR(IF(G10&lt;=0,"N/M",D10/G10),"N/M"))</f>
        <v>49.2035873546781</v>
      </c>
      <c r="L10" s="52" t="n">
        <f aca="false">IF($A10="","",IFERROR(IF(H10&lt;=0,"N/M",D10/H10),"N/M"))</f>
        <v>28.2641899787086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0.428537094879524</v>
      </c>
      <c r="O10" s="51" t="n">
        <f aca="false">IF($A10="","",IFERROR(IF(OR(NOT(ISNUMBER(L10)),M10&lt;Config!$B$6),"N/M",L10/(M10*100)),"N/M"))</f>
        <v>0.684278380932446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0.00245801526717557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46301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2920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34.7326235068493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260.481712756467</v>
      </c>
      <c r="K11" s="52" t="n">
        <f aca="false">IF($A11="","",IFERROR(IF(G11&lt;=0,"N/M",D11/G11),"N/M"))</f>
        <v>183.417085427136</v>
      </c>
      <c r="L11" s="52" t="n">
        <f aca="false">IF($A11="","",IFERROR(IF(H11&lt;=0,"N/M",D11/H11),"N/M"))</f>
        <v>84.0708159988022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0.462409763191628</v>
      </c>
      <c r="O11" s="51" t="n">
        <f aca="false">IF($A11="","",IFERROR(IF(OR(NOT(ISNUMBER(L11)),M11&lt;Config!$B$6),"N/M",L11/(M11*100)),"N/M"))</f>
        <v>0.833386039813249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0.000171240462328767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46301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689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71.4730290456432</v>
      </c>
      <c r="K12" s="52" t="n">
        <f aca="false">IF($A12="","",IFERROR(IF(G12&lt;=0,"N/M",D12/G12),"N/M"))</f>
        <v>100.437317784257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0.268151307261115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46301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1070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23.5765203561644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181.35593220339</v>
      </c>
      <c r="K13" s="52" t="n">
        <f aca="false">IF($A13="","",IFERROR(IF(G13&lt;=0,"N/M",D13/G13),"N/M"))</f>
        <v>128.385877553469</v>
      </c>
      <c r="L13" s="52" t="n">
        <f aca="false">IF($A13="","",IFERROR(IF(H13&lt;=0,"N/M",D13/H13),"N/M"))</f>
        <v>45.3841357348662</v>
      </c>
      <c r="M13" s="49" t="n">
        <f aca="false">IF($A13="","",IFERROR(INDEX(Raw_Est!$C$2:$C$100,MATCH($A13,Raw_Est!$A$2:$A$100,0))/INDEX(Raw_Est!$B$2:$B$100,MATCH($A13,Raw_Est!$A$2:$A$100,0))-1,""))</f>
        <v>1.48192990153287</v>
      </c>
      <c r="N13" s="51" t="n">
        <f aca="false">IF($A13="","",IFERROR(IF(OR(NOT(ISNUMBER(J13)),I13&lt;Config!$B$6),"N/M",J13/(I13*100)),"N/M"))</f>
        <v>0.467890571356294</v>
      </c>
      <c r="O13" s="51" t="n">
        <f aca="false">IF($A13="","",IFERROR(IF(OR(NOT(ISNUMBER(L13)),M13&lt;Config!$B$6),"N/M",L13/(M13*100)),"N/M"))</f>
        <v>0.306250219311467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0.000934740121495327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0.130990279405076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46301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1650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113.980438356164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14.476168224973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0.13202929719526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46301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147.5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7.09743956164384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22.0808383233533</v>
      </c>
      <c r="K15" s="52" t="n">
        <f aca="false">IF($A15="","",IFERROR(IF(G15&lt;=0,"N/M",D15/G15),"N/M"))</f>
        <v>21.4034884058392</v>
      </c>
      <c r="L15" s="52" t="n">
        <f aca="false">IF($A15="","",IFERROR(IF(H15&lt;=0,"N/M",D15/H15),"N/M"))</f>
        <v>20.782142449951</v>
      </c>
      <c r="M15" s="49" t="n">
        <f aca="false">IF($A15="","",IFERROR(INDEX(Raw_Est!$C$2:$C$100,MATCH($A15,Raw_Est!$A$2:$A$100,0))/INDEX(Raw_Est!$B$2:$B$100,MATCH($A15,Raw_Est!$A$2:$A$100,0))-1,""))</f>
        <v>0.0274998129851596</v>
      </c>
      <c r="N15" s="51" t="n">
        <f aca="false">IF($A15="","",IFERROR(IF(OR(NOT(ISNUMBER(J15)),I15&lt;Config!$B$6),"N/M",J15/(I15*100)),"N/M"))</f>
        <v>0.199419536994387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0.19694223652111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46301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4920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128.557307835616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81.0677212061295</v>
      </c>
      <c r="K16" s="52" t="n">
        <f aca="false">IF($A16="","",IFERROR(IF(G16&lt;=0,"N/M",D16/G16),"N/M"))</f>
        <v>81.6132348799041</v>
      </c>
      <c r="L16" s="52" t="n">
        <f aca="false">IF($A16="","",IFERROR(IF(H16&lt;=0,"N/M",D16/H16),"N/M"))</f>
        <v>38.2708698776666</v>
      </c>
      <c r="M16" s="49" t="n">
        <f aca="false">IF($A16="","",IFERROR(INDEX(Raw_Est!$C$2:$C$100,MATCH($A16,Raw_Est!$A$2:$A$100,0))/INDEX(Raw_Est!$B$2:$B$100,MATCH($A16,Raw_Est!$A$2:$A$100,0))-1,""))</f>
        <v>1.15627880368347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0.330983061833789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0.0109756539573171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0.258028698312981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46301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90.7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33.5925925925926</v>
      </c>
      <c r="K17" s="52" t="n">
        <f aca="false">IF($A17="","",IFERROR(IF(G17&lt;=0,"N/M",D17/G17),"N/M"))</f>
        <v>28.9776357827476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46301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6.84943476712329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13.139770369373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0.473062210873016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46301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2090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289.195743671233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7.22693900493909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46301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592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9.52897517808219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69.5652173913043</v>
      </c>
      <c r="K20" s="52" t="n">
        <f aca="false">IF($A20="","",IFERROR(IF(G20&lt;=0,"N/M",D20/G20),"N/M"))</f>
        <v>73.0166482891657</v>
      </c>
      <c r="L20" s="52" t="n">
        <f aca="false">IF($A20="","",IFERROR(IF(H20&lt;=0,"N/M",D20/H20),"N/M"))</f>
        <v>62.1263030846877</v>
      </c>
      <c r="M20" s="49" t="n">
        <f aca="false">IF($A20="","",IFERROR(INDEX(Raw_Est!$C$2:$C$100,MATCH($A20,Raw_Est!$A$2:$A$100,0))/INDEX(Raw_Est!$B$2:$B$100,MATCH($A20,Raw_Est!$A$2:$A$100,0))-1,""))</f>
        <v>0.312244569004066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1.98966801193198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0.00337837837837838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0.0744417042015389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46301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568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12.5419452054795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92.3577235772358</v>
      </c>
      <c r="K21" s="52" t="n">
        <f aca="false">IF($A21="","",IFERROR(IF(G21&lt;=0,"N/M",D21/G21),"N/M"))</f>
        <v>83.6524300441826</v>
      </c>
      <c r="L21" s="52" t="n">
        <f aca="false">IF($A21="","",IFERROR(IF(H21&lt;=0,"N/M",D21/H21),"N/M"))</f>
        <v>45.2880307395894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2.06589644843817</v>
      </c>
      <c r="O21" s="51" t="n">
        <f aca="false">IF($A21="","",IFERROR(IF(OR(NOT(ISNUMBER(L21)),M21&lt;Config!$B$6),"N/M",L21/(M21*100)),"N/M"))</f>
        <v>0.49655570796078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0.00271942399647887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46301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650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12.97667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50.0898920909602</v>
      </c>
      <c r="M22" s="49" t="n">
        <f aca="false">IF($A22="","",IFERROR(INDEX(Raw_Est!$C$2:$C$100,MATCH($A22,Raw_Est!$A$2:$A$100,0))/INDEX(Raw_Est!$B$2:$B$100,MATCH($A22,Raw_Est!$A$2:$A$100,0))-1,""))</f>
        <v>0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0.257939016629609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0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46301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177.5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44.910726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19.5916114790287</v>
      </c>
      <c r="K23" s="52" t="n">
        <f aca="false">IF($A23="","",IFERROR(IF(G23&lt;=0,"N/M",D23/G23),"N/M"))</f>
        <v>10.7516916499637</v>
      </c>
      <c r="L23" s="52" t="n">
        <f aca="false">IF($A23="","",IFERROR(IF(H23&lt;=0,"N/M",D23/H23),"N/M"))</f>
        <v>3.95228525141188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0.0396662915750864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0.0028169014084507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46301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531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107.926829268293</v>
      </c>
      <c r="K25" s="52" t="n">
        <f aca="false">IF($A25="","",IFERROR(IF(G25&lt;=0,"N/M",D25/G25),"N/M"))</f>
        <v>123.201856148492</v>
      </c>
      <c r="L25" s="52" t="n">
        <f aca="false">IF($A25="","",IFERROR(IF(H25&lt;=0,"N/M",D25/H25),"N/M"))</f>
        <v>44.3609022556391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0.00188323917137476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46301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527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12.7235068493151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41.4193984599749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0.161618342448178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46301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8375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103.417232520548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214.688541399641</v>
      </c>
      <c r="K27" s="52" t="n">
        <f aca="false">IF($A27="","",IFERROR(IF(G27&lt;=0,"N/M",D27/G27),"N/M"))</f>
        <v>186.566291402958</v>
      </c>
      <c r="L27" s="52" t="n">
        <f aca="false">IF($A27="","",IFERROR(IF(H27&lt;=0,"N/M",D27/H27),"N/M"))</f>
        <v>80.9826350587749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4.84977289845138</v>
      </c>
      <c r="O27" s="51" t="n">
        <f aca="false">IF($A27="","",IFERROR(IF(OR(NOT(ISNUMBER(L27)),M27&lt;Config!$B$6),"N/M",L27/(M27*100)),"N/M"))</f>
        <v>0.640333580775132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0.00238805970149254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46301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2026-10-06T13:33:03Z</dcterms:created>
  <dc:creator>openpyxl</dc:creator>
  <dc:description/>
  <dc:language>en-US</dc:language>
  <cp:lastModifiedBy/>
  <dcterms:modified xsi:type="dcterms:W3CDTF">2026-10-06T13:33:03Z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