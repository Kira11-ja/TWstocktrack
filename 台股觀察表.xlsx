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<sst xmlns="http://schemas.openxmlformats.org/spreadsheetml/2006/main" count="8221" uniqueCount="1534">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</sst>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2420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0.443994815215241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28.0482151135837</v>
      </c>
      <c r="P3" s="22" t="n">
        <f aca="false">IF(Calc!$A$2="","",Calc!L$2)</f>
        <v>17.1733873298694</v>
      </c>
      <c r="Q3" s="18" t="n">
        <f aca="false">IF(Calc!$A$2="","",Calc!N$2)</f>
        <v>0.526991989671637</v>
      </c>
      <c r="R3" s="18" t="n">
        <f aca="false">IF(Calc!$A$2="","",Calc!O$2)</f>
        <v>0.49153358510698</v>
      </c>
      <c r="S3" s="19" t="n">
        <f aca="false">IF(Calc!$A$2="","",Calc!Q$2)</f>
        <v>0.00909095048760331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436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16.0589318600368</v>
      </c>
      <c r="P4" s="22" t="n">
        <f aca="false">IF(Calc!$A$3="","",Calc!L$3)</f>
        <v>3.95932652872821</v>
      </c>
      <c r="Q4" s="18" t="str">
        <f aca="false">IF(Calc!$A$3="","",Calc!N$3)</f>
        <v>N/M</v>
      </c>
      <c r="R4" s="18" t="n">
        <f aca="false">IF(Calc!$A$3="","",Calc!O$3)</f>
        <v>0.0698947982319634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1130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4.98891101944308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491.5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119.296116504854</v>
      </c>
      <c r="P6" s="22" t="n">
        <f aca="false">IF(Calc!$A$5="","",Calc!L$5)</f>
        <v>56.5610859728507</v>
      </c>
      <c r="Q6" s="18" t="n">
        <f aca="false">IF(Calc!$A$5="","",Calc!N$5)</f>
        <v>1.9376120833591</v>
      </c>
      <c r="R6" s="18" t="n">
        <f aca="false">IF(Calc!$A$5="","",Calc!O$5)</f>
        <v>0.830834636585977</v>
      </c>
      <c r="S6" s="19" t="n">
        <f aca="false">IF(Calc!$A$5="","",Calc!Q$5)</f>
        <v>0.00533175285859614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585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20.4046041158005</v>
      </c>
      <c r="P7" s="22" t="n">
        <f aca="false">IF(Calc!$A$6="","",Calc!L$6)</f>
        <v>16.6590319889295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0.0478632478632479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1975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0.275518886119473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36.2185952686595</v>
      </c>
      <c r="P8" s="22" t="n">
        <f aca="false">IF(Calc!$A$7="","",Calc!L$7)</f>
        <v>16.9013365183267</v>
      </c>
      <c r="Q8" s="18" t="n">
        <f aca="false">IF(Calc!$A$7="","",Calc!N$7)</f>
        <v>0.630276358871194</v>
      </c>
      <c r="R8" s="18" t="n">
        <f aca="false">IF(Calc!$A$7="","",Calc!O$7)</f>
        <v>0.202002269192731</v>
      </c>
      <c r="S8" s="19" t="n">
        <f aca="false">IF(Calc!$A$7="","",Calc!Q$7)</f>
        <v>0.00531923164050633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570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17.1092561075542</v>
      </c>
      <c r="Q9" s="18" t="str">
        <f aca="false">IF(Calc!$A$8="","",Calc!N$8)</f>
        <v>N/M</v>
      </c>
      <c r="R9" s="18" t="n">
        <f aca="false">IF(Calc!$A$8="","",Calc!O$8)</f>
        <v>1.53787253553798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352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0.337807994623461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13.1785847997005</v>
      </c>
      <c r="P10" s="22" t="n">
        <f aca="false">IF(Calc!$A$9="","",Calc!L$9)</f>
        <v>9.62330186313139</v>
      </c>
      <c r="Q10" s="18" t="n">
        <f aca="false">IF(Calc!$A$9="","",Calc!N$9)</f>
        <v>0.21029384102146</v>
      </c>
      <c r="R10" s="18" t="n">
        <f aca="false">IF(Calc!$A$9="","",Calc!O$9)</f>
        <v>0.851408490527906</v>
      </c>
      <c r="S10" s="19" t="n">
        <f aca="false">IF(Calc!$A$9="","",Calc!Q$9)</f>
        <v>0.0284090909090909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9920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54.6887921054082</v>
      </c>
      <c r="P11" s="22" t="n">
        <f aca="false">IF(Calc!$A$10="","",Calc!L$10)</f>
        <v>21.225458705271</v>
      </c>
      <c r="Q11" s="18" t="n">
        <f aca="false">IF(Calc!$A$10="","",Calc!N$10)</f>
        <v>0.324510532916403</v>
      </c>
      <c r="R11" s="18" t="n">
        <f aca="false">IF(Calc!$A$10="","",Calc!O$10)</f>
        <v>0.510244125652477</v>
      </c>
      <c r="S11" s="19" t="n">
        <f aca="false">IF(Calc!$A$10="","",Calc!Q$10)</f>
        <v>0.00324596774193548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2570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229.259589652096</v>
      </c>
      <c r="P12" s="22" t="n">
        <f aca="false">IF(Calc!$A$11="","",Calc!L$11)</f>
        <v>72.5226065945455</v>
      </c>
      <c r="Q12" s="18" t="n">
        <f aca="false">IF(Calc!$A$11="","",Calc!N$11)</f>
        <v>0.40698393541181</v>
      </c>
      <c r="R12" s="18" t="n">
        <f aca="false">IF(Calc!$A$11="","",Calc!O$11)</f>
        <v>0.718909733285135</v>
      </c>
      <c r="S12" s="19" t="n">
        <f aca="false">IF(Calc!$A$11="","",Calc!Q$11)</f>
        <v>0.000194561147859922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573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59.4398340248963</v>
      </c>
      <c r="P13" s="22" t="str">
        <f aca="false">IF(Calc!$A$12="","",Calc!L$12)</f>
        <v>N/M</v>
      </c>
      <c r="Q13" s="18" t="n">
        <f aca="false">IF(Calc!$A$12="","",Calc!N$12)</f>
        <v>0.223005368738199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982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0.142690289996194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166.440677966102</v>
      </c>
      <c r="P14" s="22" t="n">
        <f aca="false">IF(Calc!$A$13="","",Calc!L$13)</f>
        <v>37.3580877711153</v>
      </c>
      <c r="Q14" s="18" t="n">
        <f aca="false">IF(Calc!$A$13="","",Calc!N$13)</f>
        <v>0.429409851469047</v>
      </c>
      <c r="R14" s="18" t="n">
        <f aca="false">IF(Calc!$A$13="","",Calc!O$13)</f>
        <v>0.252653686363988</v>
      </c>
      <c r="S14" s="19" t="n">
        <f aca="false">IF(Calc!$A$13="","",Calc!Q$13)</f>
        <v>0.0010185050203666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1495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12.843421934331</v>
      </c>
      <c r="Q15" s="18" t="str">
        <f aca="false">IF(Calc!$A$14="","",Calc!N$14)</f>
        <v>N/M</v>
      </c>
      <c r="R15" s="18" t="n">
        <f aca="false">IF(Calc!$A$14="","",Calc!O$14)</f>
        <v>0.117137901772006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131.5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0.202624428530207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19.685628742515</v>
      </c>
      <c r="P16" s="22" t="n">
        <f aca="false">IF(Calc!$A$15="","",Calc!L$15)</f>
        <v>18.0459935424162</v>
      </c>
      <c r="Q16" s="18" t="n">
        <f aca="false">IF(Calc!$A$15="","",Calc!N$15)</f>
        <v>0.177787587218725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4205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0.258960657855284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69.2865381446696</v>
      </c>
      <c r="P17" s="22" t="n">
        <f aca="false">IF(Calc!$A$16="","",Calc!L$16)</f>
        <v>31.8360183853953</v>
      </c>
      <c r="Q17" s="18" t="str">
        <f aca="false">IF(Calc!$A$16="","",Calc!N$16)</f>
        <v>N/M</v>
      </c>
      <c r="R17" s="18" t="n">
        <f aca="false">IF(Calc!$A$16="","",Calc!O$16)</f>
        <v>0.274288581714683</v>
      </c>
      <c r="S17" s="19" t="n">
        <f aca="false">IF(Calc!$A$16="","",Calc!Q$16)</f>
        <v>0.0128419066516052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82.7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30.6296296296296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102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17.2297297297297</v>
      </c>
      <c r="P19" s="22" t="n">
        <f aca="false">IF(Calc!$A$18="","",Calc!L$18)</f>
        <v>14.3473475974101</v>
      </c>
      <c r="Q19" s="18" t="n">
        <f aca="false">IF(Calc!$A$18="","",Calc!N$18)</f>
        <v>0.699497574497574</v>
      </c>
      <c r="R19" s="18" t="n">
        <f aca="false">IF(Calc!$A$18="","",Calc!O$18)</f>
        <v>0.503661657949643</v>
      </c>
      <c r="S19" s="19" t="n">
        <f aca="false">IF(Calc!$A$18="","",Calc!Q$18)</f>
        <v>0.0393082043137255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1845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5.99616939349484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482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56.6392479435958</v>
      </c>
      <c r="P21" s="22" t="n">
        <f aca="false">IF(Calc!$A$20="","",Calc!L$20)</f>
        <v>49.4807396734107</v>
      </c>
      <c r="Q21" s="18" t="str">
        <f aca="false">IF(Calc!$A$20="","",Calc!N$20)</f>
        <v>N/M</v>
      </c>
      <c r="R21" s="18" t="n">
        <f aca="false">IF(Calc!$A$20="","",Calc!O$20)</f>
        <v>1.588036070446</v>
      </c>
      <c r="S21" s="19" t="n">
        <f aca="false">IF(Calc!$A$20="","",Calc!Q$20)</f>
        <v>0.004149377593361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480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78.0487804878049</v>
      </c>
      <c r="P22" s="22" t="n">
        <f aca="false">IF(Calc!$A$21="","",Calc!L$21)</f>
        <v>37.552808637146</v>
      </c>
      <c r="Q22" s="18" t="n">
        <f aca="false">IF(Calc!$A$21="","",Calc!N$21)</f>
        <v>1.74582798459563</v>
      </c>
      <c r="R22" s="18" t="n">
        <f aca="false">IF(Calc!$A$21="","",Calc!O$21)</f>
        <v>0.411743703009657</v>
      </c>
      <c r="S22" s="19" t="n">
        <f aca="false">IF(Calc!$A$21="","",Calc!Q$21)</f>
        <v>0.0032179850625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535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61.6667496574326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155.5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17.1633554083885</v>
      </c>
      <c r="P24" s="22" t="n">
        <f aca="false">IF(Calc!$A$23="","",Calc!L$23)</f>
        <v>3.29992745677159</v>
      </c>
      <c r="Q24" s="18" t="str">
        <f aca="false">IF(Calc!$A$23="","",Calc!N$23)</f>
        <v>N/M</v>
      </c>
      <c r="R24" s="18" t="n">
        <f aca="false">IF(Calc!$A$23="","",Calc!O$23)</f>
        <v>0.0309165490907476</v>
      </c>
      <c r="S24" s="19" t="n">
        <f aca="false">IF(Calc!$A$23="","",Calc!Q$23)</f>
        <v>0.00321543408360129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444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90.2439024390244</v>
      </c>
      <c r="P26" s="22" t="n">
        <f aca="false">IF(Calc!$A$25="","",Calc!L$25)</f>
        <v>37.0927318295739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0.00225225225225225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491.5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37.5420103880232</v>
      </c>
      <c r="Q27" s="18" t="str">
        <f aca="false">IF(Calc!$A$26="","",Calc!N$26)</f>
        <v>N/M</v>
      </c>
      <c r="R27" s="18" t="n">
        <f aca="false">IF(Calc!$A$26="","",Calc!O$26)</f>
        <v>0.148932655469854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7830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200.717764675724</v>
      </c>
      <c r="P28" s="22" t="n">
        <f aca="false">IF(Calc!$A$27="","",Calc!L$27)</f>
        <v>72.7713563019437</v>
      </c>
      <c r="Q28" s="18" t="n">
        <f aca="false">IF(Calc!$A$27="","",Calc!N$27)</f>
        <v>4.53417573670141</v>
      </c>
      <c r="R28" s="18" t="n">
        <f aca="false">IF(Calc!$A$27="","",Calc!O$27)</f>
        <v>0.574722676225877</v>
      </c>
      <c r="S28" s="19" t="n">
        <f aca="false">IF(Calc!$A$27="","",Calc!Q$27)</f>
        <v>0.00255427841634738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2">
      <formula>"N/M"</formula>
    </cfRule>
  </conditionalFormatting>
  <conditionalFormatting sqref="Q3:Q33">
    <cfRule type="cellIs" priority="8" operator="lessThan" aboveAverage="0" equalAverage="0" bottom="0" percent="0" rank="0" text="" dxfId="63">
      <formula>1.5</formula>
    </cfRule>
  </conditionalFormatting>
  <conditionalFormatting sqref="R3:R33">
    <cfRule type="cellIs" priority="9" operator="lessThan" aboveAverage="0" equalAverage="0" bottom="0" percent="0" rank="0" text="" dxfId="63">
      <formula>1.5</formula>
    </cfRule>
  </conditionalFormatting>
  <conditionalFormatting sqref="L3:L33">
    <cfRule type="cellIs" priority="10" operator="equal" aboveAverage="0" equalAverage="0" bottom="0" percent="0" rank="0" text="" dxfId="63">
      <formula>"成長且加速"</formula>
    </cfRule>
    <cfRule type="cellIs" priority="11" operator="equal" aboveAverage="0" equalAverage="0" bottom="0" percent="0" rank="0" text="" dxfId="64">
      <formula>"成長但減速"</formula>
    </cfRule>
    <cfRule type="cellIs" priority="12" operator="equal" aboveAverage="0" equalAverage="0" bottom="0" percent="0" rank="0" text="" dxfId="64">
      <formula>"衰退但收斂"</formula>
    </cfRule>
    <cfRule type="cellIs" priority="13" operator="equal" aboveAverage="0" equalAverage="0" bottom="0" percent="0" rank="0" text="" dxfId="65">
      <formula>"衰退且惡化"</formula>
    </cfRule>
  </conditionalFormatting>
  <conditionalFormatting sqref="A3:W33">
    <cfRule type="expression" priority="14" aboveAverage="0" equalAverage="0" bottom="0" percent="0" rank="0" text="" dxfId="66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2420</v>
      </c>
      <c r="D4" s="30" t="s">
        <v>81</v>
      </c>
      <c r="E4" s="32" t="n">
        <f aca="false">IF($B$2="","",IFERROR(INDEX(Calc!$AM$2:$AM$100,MATCH($B$2,Calc!$A$2:$A$100,0)),""))</f>
        <v>22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46314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28.0482151135837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17.1733873298694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0.526991989671637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0.49153358510698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140.915706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0.00909095048760331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0.443994815215241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0.349383803064682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2420</v>
      </c>
      <c r="L12" s="55" t="n">
        <f aca="false">IF(Stock_Card!$B$2="","",IFERROR(INDEX(Calc!$Q$2:$Q$100,MATCH(Stock_Card!$B$2,Calc!$A$2:$A$100,0)),""))</f>
        <v>0.00909095048760331</v>
      </c>
      <c r="M12" s="58" t="n">
        <f aca="false">IF(Stock_Card!$B$2="","",IFERROR(INDEX(Calc!$J$2:$J$100,MATCH(Stock_Card!$B$2,Calc!$A$2:$A$100,0)),""))</f>
        <v>28.0482151135837</v>
      </c>
      <c r="N12" s="57" t="n">
        <f aca="false">IF(Stock_Card!$B$2="","",IFERROR(INDEX(Calc!$N$2:$N$100,MATCH(Stock_Card!$B$2,Calc!$A$2:$A$100,0)),""))</f>
        <v>0.526991989671637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140.915706</v>
      </c>
      <c r="H13" s="55" t="n">
        <f aca="false">IF(Stock_Card!$B$2="","",IFERROR(INDEX(Calc!$M$2:$M$100,MATCH(Stock_Card!$B$2,Calc!$A$2:$A$100,0)),""))</f>
        <v>0.349383803064682</v>
      </c>
      <c r="I13" s="55" t="n">
        <f aca="false">IF(Stock_Card!$B$2="","",IFERROR(INDEX(Calc!$AI$2:$AI$100,MATCH(Stock_Card!$B$2,Calc!$A$2:$A$100,0)),""))</f>
        <v>0.443994815215241</v>
      </c>
      <c r="J13" s="59"/>
      <c r="K13" s="59"/>
      <c r="L13" s="59"/>
      <c r="M13" s="58" t="n">
        <f aca="false">IF(Stock_Card!$B$2="","",IFERROR(INDEX(Calc!$L$2:$L$100,MATCH(Stock_Card!$B$2,Calc!$A$2:$A$100,0)),""))</f>
        <v>17.1733873298694</v>
      </c>
      <c r="N13" s="57" t="n">
        <f aca="false">IF(Stock_Card!$B$2="","",IFERROR(INDEX(Calc!$O$2:$O$100,MATCH(Stock_Card!$B$2,Calc!$A$2:$A$100,0)),""))</f>
        <v>0.49153358510698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{30CE5EB7-1973-434E-91D3-B6866D4D2D39}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3">
      <formula>"成長且加速"</formula>
    </cfRule>
    <cfRule type="cellIs" priority="5" operator="equal" aboveAverage="0" equalAverage="0" bottom="0" percent="0" rank="0" text="" dxfId="64">
      <formula>"成長但減速"</formula>
    </cfRule>
    <cfRule type="cellIs" priority="6" operator="equal" aboveAverage="0" equalAverage="0" bottom="0" percent="0" rank="0" text="" dxfId="64">
      <formula>"衰退但收斂"</formula>
    </cfRule>
    <cfRule type="cellIs" priority="7" operator="equal" aboveAverage="0" equalAverage="0" bottom="0" percent="0" rank="0" text="" dxfId="65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7">
      <formula>$O5="預估"</formula>
    </cfRule>
  </conditionalFormatting>
  <conditionalFormatting sqref="B24:B28">
    <cfRule type="expression" priority="12" aboveAverage="0" equalAverage="0" bottom="0" percent="0" rank="0" text="" dxfId="67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7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7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7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7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7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7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7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CE5EB7-1973-434E-91D3-B6866D4D2D39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-46314</v>
      </c>
      <c r="I4" s="67" t="n">
        <f aca="false">IF($A4="","",IFERROR(INDEX(Raw_Price!$E$2:$E$100,MATCH($A4,Raw_Price!$A$2:$A$100,0)),""))</f>
        <v>46314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-46314</v>
      </c>
      <c r="I5" s="67" t="n">
        <f aca="false">IF($A5="","",IFERROR(INDEX(Raw_Price!$E$2:$E$100,MATCH($A5,Raw_Price!$A$2:$A$100,0)),""))</f>
        <v>46314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-46314</v>
      </c>
      <c r="I6" s="67" t="n">
        <f aca="false">IF($A6="","",IFERROR(INDEX(Raw_Price!$E$2:$E$100,MATCH($A6,Raw_Price!$A$2:$A$100,0)),""))</f>
        <v>46314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-46314</v>
      </c>
      <c r="I7" s="67" t="n">
        <f aca="false">IF($A7="","",IFERROR(INDEX(Raw_Price!$E$2:$E$100,MATCH($A7,Raw_Price!$A$2:$A$100,0)),""))</f>
        <v>46314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-46314</v>
      </c>
      <c r="I8" s="67" t="n">
        <f aca="false">IF($A8="","",IFERROR(INDEX(Raw_Price!$E$2:$E$100,MATCH($A8,Raw_Price!$A$2:$A$100,0)),""))</f>
        <v>46314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-46314</v>
      </c>
      <c r="I9" s="67" t="n">
        <f aca="false">IF($A9="","",IFERROR(INDEX(Raw_Price!$E$2:$E$100,MATCH($A9,Raw_Price!$A$2:$A$100,0)),""))</f>
        <v>46314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-46314</v>
      </c>
      <c r="I10" s="67" t="n">
        <f aca="false">IF($A10="","",IFERROR(INDEX(Raw_Price!$E$2:$E$100,MATCH($A10,Raw_Price!$A$2:$A$100,0)),""))</f>
        <v>46314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-46314</v>
      </c>
      <c r="I11" s="67" t="n">
        <f aca="false">IF($A11="","",IFERROR(INDEX(Raw_Price!$E$2:$E$100,MATCH($A11,Raw_Price!$A$2:$A$100,0)),""))</f>
        <v>46314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-46314</v>
      </c>
      <c r="I12" s="67" t="n">
        <f aca="false">IF($A12="","",IFERROR(INDEX(Raw_Price!$E$2:$E$100,MATCH($A12,Raw_Price!$A$2:$A$100,0)),""))</f>
        <v>46314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-46314</v>
      </c>
      <c r="I13" s="67" t="n">
        <f aca="false">IF($A13="","",IFERROR(INDEX(Raw_Price!$E$2:$E$100,MATCH($A13,Raw_Price!$A$2:$A$100,0)),""))</f>
        <v>46314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-46314</v>
      </c>
      <c r="I14" s="67" t="n">
        <f aca="false">IF($A14="","",IFERROR(INDEX(Raw_Price!$E$2:$E$100,MATCH($A14,Raw_Price!$A$2:$A$100,0)),""))</f>
        <v>46314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-46314</v>
      </c>
      <c r="I15" s="67" t="n">
        <f aca="false">IF($A15="","",IFERROR(INDEX(Raw_Price!$E$2:$E$100,MATCH($A15,Raw_Price!$A$2:$A$100,0)),""))</f>
        <v>46314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-46314</v>
      </c>
      <c r="I16" s="67" t="n">
        <f aca="false">IF($A16="","",IFERROR(INDEX(Raw_Price!$E$2:$E$100,MATCH($A16,Raw_Price!$A$2:$A$100,0)),""))</f>
        <v>46314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-46314</v>
      </c>
      <c r="I17" s="67" t="n">
        <f aca="false">IF($A17="","",IFERROR(INDEX(Raw_Price!$E$2:$E$100,MATCH($A17,Raw_Price!$A$2:$A$100,0)),""))</f>
        <v>46314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-46314</v>
      </c>
      <c r="I18" s="67" t="n">
        <f aca="false">IF($A18="","",IFERROR(INDEX(Raw_Price!$E$2:$E$100,MATCH($A18,Raw_Price!$A$2:$A$100,0)),""))</f>
        <v>46314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-46314</v>
      </c>
      <c r="I19" s="67" t="n">
        <f aca="false">IF($A19="","",IFERROR(INDEX(Raw_Price!$E$2:$E$100,MATCH($A19,Raw_Price!$A$2:$A$100,0)),""))</f>
        <v>46314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-46314</v>
      </c>
      <c r="I20" s="67" t="n">
        <f aca="false">IF($A20="","",IFERROR(INDEX(Raw_Price!$E$2:$E$100,MATCH($A20,Raw_Price!$A$2:$A$100,0)),""))</f>
        <v>46314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-46314</v>
      </c>
      <c r="I21" s="67" t="n">
        <f aca="false">IF($A21="","",IFERROR(INDEX(Raw_Price!$E$2:$E$100,MATCH($A21,Raw_Price!$A$2:$A$100,0)),""))</f>
        <v>46314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-46314</v>
      </c>
      <c r="I22" s="67" t="n">
        <f aca="false">IF($A22="","",IFERROR(INDEX(Raw_Price!$E$2:$E$100,MATCH($A22,Raw_Price!$A$2:$A$100,0)),""))</f>
        <v>46314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-46314</v>
      </c>
      <c r="I23" s="67" t="n">
        <f aca="false">IF($A23="","",IFERROR(INDEX(Raw_Price!$E$2:$E$100,MATCH($A23,Raw_Price!$A$2:$A$100,0)),""))</f>
        <v>46314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-46314</v>
      </c>
      <c r="I24" s="67" t="n">
        <f aca="false">IF($A24="","",IFERROR(INDEX(Raw_Price!$E$2:$E$100,MATCH($A24,Raw_Price!$A$2:$A$100,0)),""))</f>
        <v>46314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-46314</v>
      </c>
      <c r="I25" s="67" t="n">
        <f aca="false">IF($A25="","",IFERROR(INDEX(Raw_Price!$E$2:$E$100,MATCH($A25,Raw_Price!$A$2:$A$100,0)),""))</f>
        <v>46314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-46314</v>
      </c>
      <c r="I27" s="67" t="n">
        <f aca="false">IF($A27="","",IFERROR(INDEX(Raw_Price!$E$2:$E$100,MATCH($A27,Raw_Price!$A$2:$A$100,0)),""))</f>
        <v>46314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-46314</v>
      </c>
      <c r="I28" s="67" t="n">
        <f aca="false">IF($A28="","",IFERROR(INDEX(Raw_Price!$E$2:$E$100,MATCH($A28,Raw_Price!$A$2:$A$100,0)),""))</f>
        <v>46314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-46314</v>
      </c>
      <c r="I29" s="67" t="n">
        <f aca="false">IF($A29="","",IFERROR(INDEX(Raw_Price!$E$2:$E$100,MATCH($A29,Raw_Price!$A$2:$A$100,0)),""))</f>
        <v>46314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8">
      <formula>"OK"</formula>
    </cfRule>
    <cfRule type="cellIs" priority="3" operator="equal" aboveAverage="0" equalAverage="0" bottom="0" percent="0" rank="0" text="" dxfId="69">
      <formula>"待更新財報"</formula>
    </cfRule>
    <cfRule type="expression" priority="4" aboveAverage="0" equalAverage="0" bottom="0" percent="0" rank="0" text="" dxfId="70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1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46314</v>
      </c>
    </row>
    <row r="3" customFormat="false" ht="15" hidden="false" customHeight="false" outlineLevel="0" collapsed="false">
      <c r="A3" s="79" t="s">
        <v>220</v>
      </c>
      <c r="B3" s="83" t="n">
        <v>7.15188</v>
      </c>
      <c r="C3" s="83" t="n">
        <v>7.3207</v>
      </c>
      <c r="D3" s="81" t="n">
        <v>46387</v>
      </c>
      <c r="E3" s="80" t="n">
        <v>13</v>
      </c>
      <c r="F3" s="81" t="n">
        <v>46314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46314</v>
      </c>
    </row>
    <row r="5" customFormat="false" ht="15" hidden="false" customHeight="false" outlineLevel="0" collapsed="false">
      <c r="A5" s="79" t="s">
        <v>79</v>
      </c>
      <c r="B5" s="83" t="n">
        <v>110.13281</v>
      </c>
      <c r="C5" s="83" t="n">
        <v>148.61143</v>
      </c>
      <c r="D5" s="81" t="n">
        <v>46387</v>
      </c>
      <c r="E5" s="80" t="n">
        <v>22</v>
      </c>
      <c r="F5" s="81" t="n">
        <v>46314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46314</v>
      </c>
    </row>
    <row r="7" customFormat="false" ht="15" hidden="false" customHeight="false" outlineLevel="0" collapsed="false">
      <c r="A7" s="79" t="s">
        <v>205</v>
      </c>
      <c r="B7" s="83" t="n">
        <v>33.54469</v>
      </c>
      <c r="C7" s="83" t="n">
        <v>37.33618</v>
      </c>
      <c r="D7" s="81" t="n">
        <v>46387</v>
      </c>
      <c r="E7" s="80" t="n">
        <v>8</v>
      </c>
      <c r="F7" s="81" t="n">
        <v>46314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46314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68.48862</v>
      </c>
      <c r="C10" s="83" t="n">
        <v>147.98172</v>
      </c>
      <c r="D10" s="81" t="n">
        <v>46387</v>
      </c>
      <c r="E10" s="80" t="n">
        <v>15</v>
      </c>
      <c r="F10" s="81" t="n">
        <v>46314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46314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46314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46314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46314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46314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46314</v>
      </c>
    </row>
    <row r="17" customFormat="false" ht="15" hidden="false" customHeight="false" outlineLevel="0" collapsed="false">
      <c r="A17" s="79" t="s">
        <v>216</v>
      </c>
      <c r="B17" s="83" t="n">
        <v>12.04183</v>
      </c>
      <c r="C17" s="83" t="n">
        <v>29.84722</v>
      </c>
      <c r="D17" s="81" t="n">
        <v>46387</v>
      </c>
      <c r="E17" s="80" t="n">
        <v>7</v>
      </c>
      <c r="F17" s="81" t="n">
        <v>46314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46314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46314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46314</v>
      </c>
    </row>
    <row r="22" customFormat="false" ht="15" hidden="false" customHeight="false" outlineLevel="0" collapsed="false">
      <c r="A22" s="79" t="s">
        <v>197</v>
      </c>
      <c r="B22" s="83" t="n">
        <v>70</v>
      </c>
      <c r="C22" s="83" t="n">
        <v>128.56833</v>
      </c>
      <c r="D22" s="81" t="n">
        <v>46387</v>
      </c>
      <c r="E22" s="80" t="n">
        <v>9</v>
      </c>
      <c r="F22" s="81" t="n">
        <v>46314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46314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46314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46314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46314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46314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46314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46314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9920</v>
      </c>
      <c r="C2" s="81" t="n">
        <v>46314</v>
      </c>
      <c r="D2" s="81"/>
      <c r="E2" s="81" t="n">
        <v>46314</v>
      </c>
    </row>
    <row r="3" customFormat="false" ht="15" hidden="false" customHeight="false" outlineLevel="0" collapsed="false">
      <c r="A3" s="79" t="s">
        <v>220</v>
      </c>
      <c r="B3" s="83" t="n">
        <v>131.5</v>
      </c>
      <c r="C3" s="81" t="n">
        <v>46314</v>
      </c>
      <c r="D3" s="81"/>
      <c r="E3" s="81" t="n">
        <v>46314</v>
      </c>
    </row>
    <row r="4" customFormat="false" ht="15" hidden="false" customHeight="false" outlineLevel="0" collapsed="false">
      <c r="A4" s="79" t="s">
        <v>345</v>
      </c>
      <c r="B4" s="83" t="n">
        <v>534</v>
      </c>
      <c r="C4" s="81" t="n">
        <v>46314</v>
      </c>
      <c r="D4" s="81"/>
      <c r="E4" s="81" t="n">
        <v>46314</v>
      </c>
    </row>
    <row r="5" customFormat="false" ht="15" hidden="false" customHeight="false" outlineLevel="0" collapsed="false">
      <c r="A5" s="79" t="s">
        <v>79</v>
      </c>
      <c r="B5" s="83" t="n">
        <v>2420</v>
      </c>
      <c r="C5" s="81" t="n">
        <v>46314</v>
      </c>
      <c r="D5" s="81"/>
      <c r="E5" s="81" t="n">
        <v>46314</v>
      </c>
    </row>
    <row r="6" customFormat="false" ht="15" hidden="false" customHeight="false" outlineLevel="0" collapsed="false">
      <c r="A6" s="79" t="s">
        <v>236</v>
      </c>
      <c r="B6" s="83" t="n">
        <v>155.5</v>
      </c>
      <c r="C6" s="81" t="n">
        <v>46314</v>
      </c>
      <c r="D6" s="81"/>
      <c r="E6" s="81" t="n">
        <v>46314</v>
      </c>
    </row>
    <row r="7" customFormat="false" ht="15" hidden="false" customHeight="false" outlineLevel="0" collapsed="false">
      <c r="A7" s="79" t="s">
        <v>205</v>
      </c>
      <c r="B7" s="83" t="n">
        <v>352</v>
      </c>
      <c r="C7" s="81" t="n">
        <v>46314</v>
      </c>
      <c r="D7" s="81"/>
      <c r="E7" s="81" t="n">
        <v>46314</v>
      </c>
    </row>
    <row r="8" customFormat="false" ht="15" hidden="false" customHeight="false" outlineLevel="0" collapsed="false">
      <c r="A8" s="79" t="s">
        <v>182</v>
      </c>
      <c r="B8" s="83" t="n">
        <v>436</v>
      </c>
      <c r="C8" s="81" t="n">
        <v>46314</v>
      </c>
      <c r="D8" s="81"/>
      <c r="E8" s="81" t="n">
        <v>46314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4205</v>
      </c>
      <c r="C10" s="81" t="n">
        <v>46314</v>
      </c>
      <c r="D10" s="81"/>
      <c r="E10" s="81" t="n">
        <v>46314</v>
      </c>
    </row>
    <row r="11" customFormat="false" ht="15" hidden="false" customHeight="false" outlineLevel="0" collapsed="false">
      <c r="A11" s="79" t="s">
        <v>190</v>
      </c>
      <c r="B11" s="83" t="n">
        <v>491.5</v>
      </c>
      <c r="C11" s="81" t="n">
        <v>46314</v>
      </c>
      <c r="D11" s="81"/>
      <c r="E11" s="81" t="n">
        <v>46314</v>
      </c>
    </row>
    <row r="12" customFormat="false" ht="15" hidden="false" customHeight="false" outlineLevel="0" collapsed="false">
      <c r="A12" s="79" t="s">
        <v>224</v>
      </c>
      <c r="B12" s="83" t="n">
        <v>82.7</v>
      </c>
      <c r="C12" s="81" t="n">
        <v>46314</v>
      </c>
      <c r="D12" s="81"/>
      <c r="E12" s="81" t="n">
        <v>46314</v>
      </c>
    </row>
    <row r="13" customFormat="false" ht="15" hidden="false" customHeight="false" outlineLevel="0" collapsed="false">
      <c r="A13" s="79" t="s">
        <v>195</v>
      </c>
      <c r="B13" s="83" t="n">
        <v>585</v>
      </c>
      <c r="C13" s="81" t="n">
        <v>46314</v>
      </c>
      <c r="D13" s="81"/>
      <c r="E13" s="81" t="n">
        <v>46314</v>
      </c>
    </row>
    <row r="14" customFormat="false" ht="15" hidden="false" customHeight="false" outlineLevel="0" collapsed="false">
      <c r="A14" s="79" t="s">
        <v>210</v>
      </c>
      <c r="B14" s="83" t="n">
        <v>2570</v>
      </c>
      <c r="C14" s="81" t="n">
        <v>46314</v>
      </c>
      <c r="D14" s="81"/>
      <c r="E14" s="81" t="n">
        <v>46314</v>
      </c>
    </row>
    <row r="15" customFormat="false" ht="15" hidden="false" customHeight="false" outlineLevel="0" collapsed="false">
      <c r="A15" s="79" t="s">
        <v>230</v>
      </c>
      <c r="B15" s="83" t="n">
        <v>482</v>
      </c>
      <c r="C15" s="81" t="n">
        <v>46314</v>
      </c>
      <c r="D15" s="81"/>
      <c r="E15" s="81" t="n">
        <v>46314</v>
      </c>
    </row>
    <row r="16" customFormat="false" ht="15" hidden="false" customHeight="false" outlineLevel="0" collapsed="false">
      <c r="A16" s="79" t="s">
        <v>212</v>
      </c>
      <c r="B16" s="83" t="n">
        <v>573</v>
      </c>
      <c r="C16" s="81" t="n">
        <v>46314</v>
      </c>
      <c r="D16" s="81"/>
      <c r="E16" s="81" t="n">
        <v>46314</v>
      </c>
    </row>
    <row r="17" customFormat="false" ht="15" hidden="false" customHeight="false" outlineLevel="0" collapsed="false">
      <c r="A17" s="79" t="s">
        <v>216</v>
      </c>
      <c r="B17" s="83" t="n">
        <v>982</v>
      </c>
      <c r="C17" s="81" t="n">
        <v>46314</v>
      </c>
      <c r="D17" s="81"/>
      <c r="E17" s="81" t="n">
        <v>46314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535</v>
      </c>
      <c r="C19" s="81" t="n">
        <v>46314</v>
      </c>
      <c r="D19" s="81"/>
      <c r="E19" s="81" t="n">
        <v>46314</v>
      </c>
    </row>
    <row r="20" customFormat="false" ht="15" hidden="false" customHeight="false" outlineLevel="0" collapsed="false">
      <c r="A20" s="79" t="s">
        <v>245</v>
      </c>
      <c r="B20" s="83" t="n">
        <v>7830</v>
      </c>
      <c r="C20" s="81" t="n">
        <v>46314</v>
      </c>
      <c r="D20" s="81"/>
      <c r="E20" s="81" t="n">
        <v>46314</v>
      </c>
    </row>
    <row r="21" customFormat="false" ht="15" hidden="false" customHeight="false" outlineLevel="0" collapsed="false">
      <c r="A21" s="79" t="s">
        <v>241</v>
      </c>
      <c r="B21" s="83" t="n">
        <v>444</v>
      </c>
      <c r="C21" s="81" t="n">
        <v>46314</v>
      </c>
      <c r="D21" s="81"/>
      <c r="E21" s="81" t="n">
        <v>46314</v>
      </c>
    </row>
    <row r="22" customFormat="false" ht="15" hidden="false" customHeight="false" outlineLevel="0" collapsed="false">
      <c r="A22" s="79" t="s">
        <v>197</v>
      </c>
      <c r="B22" s="83" t="n">
        <v>1975</v>
      </c>
      <c r="C22" s="81" t="n">
        <v>46314</v>
      </c>
      <c r="D22" s="81"/>
      <c r="E22" s="81" t="n">
        <v>46314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102</v>
      </c>
      <c r="C24" s="81" t="n">
        <v>46314</v>
      </c>
      <c r="D24" s="81"/>
      <c r="E24" s="81" t="n">
        <v>46314</v>
      </c>
    </row>
    <row r="25" customFormat="false" ht="15" hidden="false" customHeight="false" outlineLevel="0" collapsed="false">
      <c r="A25" s="79" t="s">
        <v>232</v>
      </c>
      <c r="B25" s="83" t="n">
        <v>480</v>
      </c>
      <c r="C25" s="81" t="n">
        <v>46314</v>
      </c>
      <c r="D25" s="81"/>
      <c r="E25" s="81" t="n">
        <v>46314</v>
      </c>
    </row>
    <row r="26" customFormat="false" ht="15" hidden="false" customHeight="false" outlineLevel="0" collapsed="false">
      <c r="A26" s="79" t="s">
        <v>186</v>
      </c>
      <c r="B26" s="83" t="n">
        <v>1130</v>
      </c>
      <c r="C26" s="81" t="n">
        <v>46314</v>
      </c>
      <c r="D26" s="81"/>
      <c r="E26" s="81" t="n">
        <v>46314</v>
      </c>
    </row>
    <row r="27" customFormat="false" ht="15" hidden="false" customHeight="false" outlineLevel="0" collapsed="false">
      <c r="A27" s="79" t="s">
        <v>201</v>
      </c>
      <c r="B27" s="83" t="n">
        <v>570</v>
      </c>
      <c r="C27" s="81" t="n">
        <v>46314</v>
      </c>
      <c r="D27" s="81"/>
      <c r="E27" s="81" t="n">
        <v>46314</v>
      </c>
    </row>
    <row r="28" customFormat="false" ht="15" hidden="false" customHeight="false" outlineLevel="0" collapsed="false">
      <c r="A28" s="79" t="s">
        <v>218</v>
      </c>
      <c r="B28" s="83" t="n">
        <v>1495</v>
      </c>
      <c r="C28" s="81" t="n">
        <v>46314</v>
      </c>
      <c r="D28" s="81"/>
      <c r="E28" s="81" t="n">
        <v>46314</v>
      </c>
    </row>
    <row r="29" customFormat="false" ht="15" hidden="false" customHeight="false" outlineLevel="0" collapsed="false">
      <c r="A29" s="79" t="s">
        <v>243</v>
      </c>
      <c r="B29" s="83" t="n">
        <v>491.5</v>
      </c>
      <c r="C29" s="81" t="n">
        <v>46314</v>
      </c>
      <c r="D29" s="81"/>
      <c r="E29" s="81" t="n">
        <v>46314</v>
      </c>
    </row>
    <row r="30" customFormat="false" ht="15" hidden="false" customHeight="false" outlineLevel="0" collapsed="false">
      <c r="A30" s="79" t="s">
        <v>228</v>
      </c>
      <c r="B30" s="83" t="n">
        <v>1845</v>
      </c>
      <c r="C30" s="81" t="n">
        <v>46314</v>
      </c>
      <c r="D30" s="81"/>
      <c r="E30" s="81" t="n">
        <v>46314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2420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140.915706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28.0482151135837</v>
      </c>
      <c r="K2" s="52" t="n">
        <f aca="false">IF($A2="","",IFERROR(IF(G2&lt;=0,"N/M",D2/G2),"N/M"))</f>
        <v>24.940362131997</v>
      </c>
      <c r="L2" s="52" t="n">
        <f aca="false">IF($A2="","",IFERROR(IF(H2&lt;=0,"N/M",D2/H2),"N/M"))</f>
        <v>17.1733873298694</v>
      </c>
      <c r="M2" s="49" t="n">
        <f aca="false">IF($A2="","",IFERROR(INDEX(Raw_Est!$C$2:$C$100,MATCH($A2,Raw_Est!$A$2:$A$100,0))/INDEX(Raw_Est!$B$2:$B$100,MATCH($A2,Raw_Est!$A$2:$A$100,0))-1,""))</f>
        <v>0.349383803064682</v>
      </c>
      <c r="N2" s="51" t="n">
        <f aca="false">IF($A2="","",IFERROR(IF(OR(NOT(ISNUMBER(J2)),I2&lt;Config!$B$6),"N/M",J2/(I2*100)),"N/M"))</f>
        <v>0.526991989671637</v>
      </c>
      <c r="O2" s="51" t="n">
        <f aca="false">IF($A2="","",IFERROR(IF(OR(NOT(ISNUMBER(L2)),M2&lt;Config!$B$6),"N/M",L2/(M2*100)),"N/M"))</f>
        <v>0.49153358510698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0.00909095048760331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0.443994815215241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22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46314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436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110.119738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16.0589318600368</v>
      </c>
      <c r="K3" s="52" t="n">
        <f aca="false">IF($A3="","",IFERROR(IF(G3&lt;=0,"N/M",D3/G3),"N/M"))</f>
        <v>9.17936285537135</v>
      </c>
      <c r="L3" s="52" t="n">
        <f aca="false">IF($A3="","",IFERROR(IF(H3&lt;=0,"N/M",D3/H3),"N/M"))</f>
        <v>3.95932652872821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0.0698947982319634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46314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1130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226.502336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4.98891101944308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46314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491.5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8.68972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119.296116504854</v>
      </c>
      <c r="K5" s="52" t="n">
        <f aca="false">IF($A5="","",IFERROR(IF(G5&lt;=0,"N/M",D5/G5),"N/M"))</f>
        <v>104.701669475043</v>
      </c>
      <c r="L5" s="52" t="n">
        <f aca="false">IF($A5="","",IFERROR(IF(H5&lt;=0,"N/M",D5/H5),"N/M"))</f>
        <v>56.5610859728507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1.9376120833591</v>
      </c>
      <c r="O5" s="51" t="n">
        <f aca="false">IF($A5="","",IFERROR(IF(OR(NOT(ISNUMBER(L5)),M5&lt;Config!$B$6),"N/M",L5/(M5*100)),"N/M"))</f>
        <v>0.830834636585977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0.00533175285859614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46314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585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35.116086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20.4046041158005</v>
      </c>
      <c r="K6" s="52" t="n">
        <f aca="false">IF($A6="","",IFERROR(IF(G6&lt;=0,"N/M",D6/G6),"N/M"))</f>
        <v>18.1492538795194</v>
      </c>
      <c r="L6" s="52" t="n">
        <f aca="false">IF($A6="","",IFERROR(IF(H6&lt;=0,"N/M",D6/H6),"N/M"))</f>
        <v>16.6590319889295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0.0478632478632479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46314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116.854664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16.9013365183267</v>
      </c>
      <c r="M7" s="49" t="n">
        <f aca="false">IF($A7="","",IFERROR(INDEX(Raw_Est!$C$2:$C$100,MATCH($A7,Raw_Est!$A$2:$A$100,0))/INDEX(Raw_Est!$B$2:$B$100,MATCH($A7,Raw_Est!$A$2:$A$100,0))-1,""))</f>
        <v>0.836690428571429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0.202002269192731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0.275518886119473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46314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570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33.3153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17.1092561075542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1.53787253553798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46314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352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36.577882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13.1785847997005</v>
      </c>
      <c r="K9" s="52" t="n">
        <f aca="false">IF($A9="","",IFERROR(IF(G9&lt;=0,"N/M",D9/G9),"N/M"))</f>
        <v>11.5916600640308</v>
      </c>
      <c r="L9" s="52" t="n">
        <f aca="false">IF($A9="","",IFERROR(IF(H9&lt;=0,"N/M",D9/H9),"N/M"))</f>
        <v>9.62330186313139</v>
      </c>
      <c r="M9" s="49" t="n">
        <f aca="false">IF($A9="","",IFERROR(INDEX(Raw_Est!$C$2:$C$100,MATCH($A9,Raw_Est!$A$2:$A$100,0))/INDEX(Raw_Est!$B$2:$B$100,MATCH($A9,Raw_Est!$A$2:$A$100,0))-1,""))</f>
        <v>0.113028023213212</v>
      </c>
      <c r="N9" s="51" t="n">
        <f aca="false">IF($A9="","",IFERROR(IF(OR(NOT(ISNUMBER(J9)),I9&lt;Config!$B$6),"N/M",J9/(I9*100)),"N/M"))</f>
        <v>0.21029384102146</v>
      </c>
      <c r="O9" s="51" t="n">
        <f aca="false">IF($A9="","",IFERROR(IF(OR(NOT(ISNUMBER(L9)),M9&lt;Config!$B$6),"N/M",L9/(M9*100)),"N/M"))</f>
        <v>0.851408490527906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0.0284090909090909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0.337807994623461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46314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9920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467.36328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54.6887921054082</v>
      </c>
      <c r="K10" s="52" t="n">
        <f aca="false">IF($A10="","",IFERROR(IF(G10&lt;=0,"N/M",D10/G10),"N/M"))</f>
        <v>37.2595104243058</v>
      </c>
      <c r="L10" s="52" t="n">
        <f aca="false">IF($A10="","",IFERROR(IF(H10&lt;=0,"N/M",D10/H10),"N/M"))</f>
        <v>21.225458705271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0.324510532916403</v>
      </c>
      <c r="O10" s="51" t="n">
        <f aca="false">IF($A10="","",IFERROR(IF(OR(NOT(ISNUMBER(L10)),M10&lt;Config!$B$6),"N/M",L10/(M10*100)),"N/M"))</f>
        <v>0.510244125652477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0.00324596774193548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46314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2570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35.437226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229.259589652096</v>
      </c>
      <c r="K11" s="52" t="n">
        <f aca="false">IF($A11="","",IFERROR(IF(G11&lt;=0,"N/M",D11/G11),"N/M"))</f>
        <v>161.43216080402</v>
      </c>
      <c r="L11" s="52" t="n">
        <f aca="false">IF($A11="","",IFERROR(IF(H11&lt;=0,"N/M",D11/H11),"N/M"))</f>
        <v>72.5226065945455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0.40698393541181</v>
      </c>
      <c r="O11" s="51" t="n">
        <f aca="false">IF($A11="","",IFERROR(IF(OR(NOT(ISNUMBER(L11)),M11&lt;Config!$B$6),"N/M",L11/(M11*100)),"N/M"))</f>
        <v>0.718909733285135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0.000194561147859922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46314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573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59.4398340248963</v>
      </c>
      <c r="K12" s="52" t="n">
        <f aca="false">IF($A12="","",IFERROR(IF(G12&lt;=0,"N/M",D12/G12),"N/M"))</f>
        <v>83.5276967930029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0.223005368738199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46314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982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26.286142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166.440677966102</v>
      </c>
      <c r="K13" s="52" t="n">
        <f aca="false">IF($A13="","",IFERROR(IF(G13&lt;=0,"N/M",D13/G13),"N/M"))</f>
        <v>117.827039025707</v>
      </c>
      <c r="L13" s="52" t="n">
        <f aca="false">IF($A13="","",IFERROR(IF(H13&lt;=0,"N/M",D13/H13),"N/M"))</f>
        <v>37.3580877711153</v>
      </c>
      <c r="M13" s="49" t="n">
        <f aca="false">IF($A13="","",IFERROR(INDEX(Raw_Est!$C$2:$C$100,MATCH($A13,Raw_Est!$A$2:$A$100,0))/INDEX(Raw_Est!$B$2:$B$100,MATCH($A13,Raw_Est!$A$2:$A$100,0))-1,""))</f>
        <v>1.47862824836424</v>
      </c>
      <c r="N13" s="51" t="n">
        <f aca="false">IF($A13="","",IFERROR(IF(OR(NOT(ISNUMBER(J13)),I13&lt;Config!$B$6),"N/M",J13/(I13*100)),"N/M"))</f>
        <v>0.429409851469047</v>
      </c>
      <c r="O13" s="51" t="n">
        <f aca="false">IF($A13="","",IFERROR(IF(OR(NOT(ISNUMBER(L13)),M13&lt;Config!$B$6),"N/M",L13/(M13*100)),"N/M"))</f>
        <v>0.252653686363988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0.0010185050203666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0.142690289996194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7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46314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1495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116.402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12.843421934331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0.117137901772006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46314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131.5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7.286936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19.685628742515</v>
      </c>
      <c r="K15" s="52" t="n">
        <f aca="false">IF($A15="","",IFERROR(IF(G15&lt;=0,"N/M",D15/G15),"N/M"))</f>
        <v>19.0817540702905</v>
      </c>
      <c r="L15" s="52" t="n">
        <f aca="false">IF($A15="","",IFERROR(IF(H15&lt;=0,"N/M",D15/H15),"N/M"))</f>
        <v>18.0459935424162</v>
      </c>
      <c r="M15" s="49" t="n">
        <f aca="false">IF($A15="","",IFERROR(INDEX(Raw_Est!$C$2:$C$100,MATCH($A15,Raw_Est!$A$2:$A$100,0))/INDEX(Raw_Est!$B$2:$B$100,MATCH($A15,Raw_Est!$A$2:$A$100,0))-1,""))</f>
        <v>0.0236049821865021</v>
      </c>
      <c r="N15" s="51" t="n">
        <f aca="false">IF($A15="","",IFERROR(IF(OR(NOT(ISNUMBER(J15)),I15&lt;Config!$B$6),"N/M",J15/(I15*100)),"N/M"))</f>
        <v>0.177787587218725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0.202624428530207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46314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4205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132.0831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69.2865381446696</v>
      </c>
      <c r="K16" s="52" t="n">
        <f aca="false">IF($A16="","",IFERROR(IF(G16&lt;=0,"N/M",D16/G16),"N/M"))</f>
        <v>69.7527749329262</v>
      </c>
      <c r="L16" s="52" t="n">
        <f aca="false">IF($A16="","",IFERROR(IF(H16&lt;=0,"N/M",D16/H16),"N/M"))</f>
        <v>31.8360183853953</v>
      </c>
      <c r="M16" s="49" t="n">
        <f aca="false">IF($A16="","",IFERROR(INDEX(Raw_Est!$C$2:$C$100,MATCH($A16,Raw_Est!$A$2:$A$100,0))/INDEX(Raw_Est!$B$2:$B$100,MATCH($A16,Raw_Est!$A$2:$A$100,0))-1,""))</f>
        <v>1.16067603639846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0.274288581714683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0.0128419066516052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0.258960657855284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46314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82.7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30.6296296296296</v>
      </c>
      <c r="K17" s="52" t="n">
        <f aca="false">IF($A17="","",IFERROR(IF(G17&lt;=0,"N/M",D17/G17),"N/M"))</f>
        <v>26.4217252396166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46314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7.109328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17.2297297297297</v>
      </c>
      <c r="K18" s="52" t="n">
        <f aca="false">IF($A18="","",IFERROR(IF(G18&lt;=0,"N/M",D18/G18),"N/M"))</f>
        <v>17.8929475473505</v>
      </c>
      <c r="L18" s="52" t="n">
        <f aca="false">IF($A18="","",IFERROR(IF(H18&lt;=0,"N/M",D18/H18),"N/M"))</f>
        <v>14.3473475974101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0.699497574497574</v>
      </c>
      <c r="O18" s="51" t="n">
        <f aca="false">IF($A18="","",IFERROR(IF(OR(NOT(ISNUMBER(L18)),M18&lt;Config!$B$6),"N/M",L18/(M18*100)),"N/M"))</f>
        <v>0.503661657949643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0.0393082043137255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46314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1845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307.696444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5.99616939349484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46314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482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9.741164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56.6392479435958</v>
      </c>
      <c r="K20" s="52" t="n">
        <f aca="false">IF($A20="","",IFERROR(IF(G20&lt;=0,"N/M",D20/G20),"N/M"))</f>
        <v>59.449365667868</v>
      </c>
      <c r="L20" s="52" t="n">
        <f aca="false">IF($A20="","",IFERROR(IF(H20&lt;=0,"N/M",D20/H20),"N/M"))</f>
        <v>49.4807396734107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1.588036070446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0.004149377593361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46314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480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12.782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78.0487804878049</v>
      </c>
      <c r="K21" s="52" t="n">
        <f aca="false">IF($A21="","",IFERROR(IF(G21&lt;=0,"N/M",D21/G21),"N/M"))</f>
        <v>70.6921944035346</v>
      </c>
      <c r="L21" s="52" t="n">
        <f aca="false">IF($A21="","",IFERROR(IF(H21&lt;=0,"N/M",D21/H21),"N/M"))</f>
        <v>37.552808637146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1.74582798459563</v>
      </c>
      <c r="O21" s="51" t="n">
        <f aca="false">IF($A21="","",IFERROR(IF(OR(NOT(ISNUMBER(L21)),M21&lt;Config!$B$6),"N/M",L21/(M21*100)),"N/M"))</f>
        <v>0.411743703009657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0.0032179850625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46314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535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8.675664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61.6667496574326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46314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155.5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47.122248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17.1633554083885</v>
      </c>
      <c r="K23" s="52" t="n">
        <f aca="false">IF($A23="","",IFERROR(IF(G23&lt;=0,"N/M",D23/G23),"N/M"))</f>
        <v>9.41908761447523</v>
      </c>
      <c r="L23" s="52" t="n">
        <f aca="false">IF($A23="","",IFERROR(IF(H23&lt;=0,"N/M",D23/H23),"N/M"))</f>
        <v>3.29992745677159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0.0309165490907476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0.00321543408360129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46314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444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90.2439024390244</v>
      </c>
      <c r="K25" s="52" t="n">
        <f aca="false">IF($A25="","",IFERROR(IF(G25&lt;=0,"N/M",D25/G25),"N/M"))</f>
        <v>103.016241299304</v>
      </c>
      <c r="L25" s="52" t="n">
        <f aca="false">IF($A25="","",IFERROR(IF(H25&lt;=0,"N/M",D25/H25),"N/M"))</f>
        <v>37.0927318295739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0.00225225225225225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46314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491.5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13.092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37.5420103880232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0.148932655469854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46314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7830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107.59728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200.717764675724</v>
      </c>
      <c r="K27" s="52" t="n">
        <f aca="false">IF($A27="","",IFERROR(IF(G27&lt;=0,"N/M",D27/G27),"N/M"))</f>
        <v>174.425559604199</v>
      </c>
      <c r="L27" s="52" t="n">
        <f aca="false">IF($A27="","",IFERROR(IF(H27&lt;=0,"N/M",D27/H27),"N/M"))</f>
        <v>72.7713563019437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4.53417573670141</v>
      </c>
      <c r="O27" s="51" t="n">
        <f aca="false">IF($A27="","",IFERROR(IF(OR(NOT(ISNUMBER(L27)),M27&lt;Config!$B$6),"N/M",L27/(M27*100)),"N/M"))</f>
        <v>0.574722676225877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0.00255427841634738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46314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2026-10-19T13:50:09Z</dcterms:created>
  <dc:creator>openpyxl</dc:creator>
  <dc:description/>
  <dc:language>en-US</dc:language>
  <cp:lastModifiedBy/>
  <dcterms:modified xsi:type="dcterms:W3CDTF">2026-10-19T13:50:10Z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