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<sst xmlns="http://schemas.openxmlformats.org/spreadsheetml/2006/main" count="1588" uniqueCount="523">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</sst>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18.3599833471309</v>
      </c>
      <c r="G3" s="17" t="n">
        <f aca="false">IF(Calc!$A$2="","",Calc!N$2)</f>
        <v>0.524814336821755</v>
      </c>
      <c r="H3" s="17" t="n">
        <f aca="false">IF(Calc!$A$2="","",Calc!O$2)</f>
        <v>0.573087280964525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496</v>
      </c>
      <c r="E4" s="18" t="n">
        <f aca="false">IF(Calc!$A$3="","",Calc!J$3)</f>
        <v>18.268876611418</v>
      </c>
      <c r="F4" s="18" t="n">
        <f aca="false">IF(Calc!$A$3="","",Calc!L$3)</f>
        <v>5.58682336722819</v>
      </c>
      <c r="G4" s="17" t="str">
        <f aca="false">IF(Calc!$A$3="","",Calc!N$3)</f>
        <v>N/M</v>
      </c>
      <c r="H4" s="17" t="n">
        <f aca="false">IF(Calc!$A$3="","",Calc!O$3)</f>
        <v>0.115249781648616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1360</v>
      </c>
      <c r="E5" s="18" t="n">
        <f aca="false">IF(Calc!$A$4="","",Calc!J$4)</f>
        <v>7.45001369487812</v>
      </c>
      <c r="F5" s="18" t="n">
        <f aca="false">IF(Calc!$A$4="","",Calc!L$4)</f>
        <v>5.55718706810999</v>
      </c>
      <c r="G5" s="17" t="n">
        <f aca="false">IF(Calc!$A$4="","",Calc!N$4)</f>
        <v>0.00466167911641093</v>
      </c>
      <c r="H5" s="17" t="str">
        <f aca="false">IF(Calc!$A$4="","",Calc!O$4)</f>
        <v>N/M</v>
      </c>
      <c r="I5" s="19" t="n">
        <f aca="false">IF(Calc!$A$4="","",Calc!Q$4)</f>
        <v>0.00689502775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528</v>
      </c>
      <c r="E6" s="18" t="n">
        <f aca="false">IF(Calc!$A$5="","",Calc!J$5)</f>
        <v>128.155339805825</v>
      </c>
      <c r="F6" s="18" t="n">
        <f aca="false">IF(Calc!$A$5="","",Calc!L$5)</f>
        <v>68.1486005128649</v>
      </c>
      <c r="G6" s="17" t="n">
        <f aca="false">IF(Calc!$A$5="","",Calc!N$5)</f>
        <v>2.08150392678251</v>
      </c>
      <c r="H6" s="17" t="n">
        <f aca="false">IF(Calc!$A$5="","",Calc!O$5)</f>
        <v>1.02828911817767</v>
      </c>
      <c r="I6" s="19" t="n">
        <f aca="false">IF(Calc!$A$5="","",Calc!Q$5)</f>
        <v>0.00496317524621212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524</v>
      </c>
      <c r="E7" s="18" t="n">
        <f aca="false">IF(Calc!$A$6="","",Calc!J$6)</f>
        <v>18.2769445413324</v>
      </c>
      <c r="F7" s="18" t="n">
        <f aca="false">IF(Calc!$A$6="","",Calc!L$6)</f>
        <v>15.0514898909209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0.0534351145038168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2145</v>
      </c>
      <c r="E8" s="18" t="n">
        <f aca="false">IF(Calc!$A$7="","",Calc!J$7)</f>
        <v>39.3361452411517</v>
      </c>
      <c r="F8" s="18" t="n">
        <f aca="false">IF(Calc!$A$7="","",Calc!L$7)</f>
        <v>21.6023666707785</v>
      </c>
      <c r="G8" s="17" t="n">
        <f aca="false">IF(Calc!$A$7="","",Calc!N$7)</f>
        <v>0.684527994824664</v>
      </c>
      <c r="H8" s="17" t="n">
        <f aca="false">IF(Calc!$A$7="","",Calc!O$7)</f>
        <v>0.288213575819811</v>
      </c>
      <c r="I8" s="19" t="n">
        <f aca="false">IF(Calc!$A$7="","",Calc!Q$7)</f>
        <v>0.00489766083449883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538</v>
      </c>
      <c r="E9" s="18" t="n">
        <f aca="false">IF(Calc!$A$8="","",Calc!J$8)</f>
        <v>20.0074377091856</v>
      </c>
      <c r="F9" s="18" t="n">
        <f aca="false">IF(Calc!$A$8="","",Calc!L$8)</f>
        <v>16.2078286527867</v>
      </c>
      <c r="G9" s="17" t="n">
        <f aca="false">IF(Calc!$A$8="","",Calc!N$8)</f>
        <v>0.524017143769517</v>
      </c>
      <c r="H9" s="17" t="n">
        <f aca="false">IF(Calc!$A$8="","",Calc!O$8)</f>
        <v>1.2827698584006</v>
      </c>
      <c r="I9" s="19" t="n">
        <f aca="false">IF(Calc!$A$8="","",Calc!Q$8)</f>
        <v>0.0222780073605948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361</v>
      </c>
      <c r="E10" s="18" t="n">
        <f aca="false">IF(Calc!$A$9="","",Calc!J$9)</f>
        <v>13.5155372519656</v>
      </c>
      <c r="F10" s="18" t="n">
        <f aca="false">IF(Calc!$A$9="","",Calc!L$9)</f>
        <v>9.97690709262425</v>
      </c>
      <c r="G10" s="17" t="n">
        <f aca="false">IF(Calc!$A$9="","",Calc!N$9)</f>
        <v>0.21567067218394</v>
      </c>
      <c r="H10" s="17" t="n">
        <f aca="false">IF(Calc!$A$9="","",Calc!O$9)</f>
        <v>0.994035902122793</v>
      </c>
      <c r="I10" s="19" t="n">
        <f aca="false">IF(Calc!$A$9="","",Calc!Q$9)</f>
        <v>0.0277008310249307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3">
      <formula>"N/M"</formula>
    </cfRule>
  </conditionalFormatting>
  <conditionalFormatting sqref="G3:G22">
    <cfRule type="cellIs" priority="11" operator="lessThan" aboveAverage="0" equalAverage="0" bottom="0" percent="0" rank="0" text="" dxfId="44">
      <formula>1.5</formula>
    </cfRule>
  </conditionalFormatting>
  <conditionalFormatting sqref="H3:H22">
    <cfRule type="cellIs" priority="12" operator="lessThan" aboveAverage="0" equalAverage="0" bottom="0" percent="0" rank="0" text="" dxfId="44">
      <formula>1.5</formula>
    </cfRule>
  </conditionalFormatting>
  <conditionalFormatting sqref="N3:N22">
    <cfRule type="cellIs" priority="13" operator="equal" aboveAverage="0" equalAverage="0" bottom="0" percent="0" rank="0" text="" dxfId="44">
      <formula>"成長且加速"</formula>
    </cfRule>
    <cfRule type="cellIs" priority="14" operator="equal" aboveAverage="0" equalAverage="0" bottom="0" percent="0" rank="0" text="" dxfId="45">
      <formula>"成長但減速"</formula>
    </cfRule>
    <cfRule type="cellIs" priority="15" operator="equal" aboveAverage="0" equalAverage="0" bottom="0" percent="0" rank="0" text="" dxfId="45">
      <formula>"衰退但收斂"</formula>
    </cfRule>
    <cfRule type="cellIs" priority="16" operator="equal" aboveAverage="0" equalAverage="0" bottom="0" percent="0" rank="0" text="" dxfId="46">
      <formula>"衰退且惡化"</formula>
    </cfRule>
  </conditionalFormatting>
  <conditionalFormatting sqref="A3:AC22">
    <cfRule type="expression" priority="17" aboveAverage="0" equalAverage="0" bottom="0" percent="0" rank="0" text="" dxfId="4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{6A6BCD22-7C42-4B93-AA79-609BEF4A45D4}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4">
      <formula>"成長且加速"</formula>
    </cfRule>
    <cfRule type="cellIs" priority="5" operator="equal" aboveAverage="0" equalAverage="0" bottom="0" percent="0" rank="0" text="" dxfId="45">
      <formula>"成長但減速"</formula>
    </cfRule>
    <cfRule type="cellIs" priority="6" operator="equal" aboveAverage="0" equalAverage="0" bottom="0" percent="0" rank="0" text="" dxfId="45">
      <formula>"衰退但收斂"</formula>
    </cfRule>
    <cfRule type="cellIs" priority="7" operator="equal" aboveAverage="0" equalAverage="0" bottom="0" percent="0" rank="0" text="" dxfId="4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8">
      <formula>$O5="預估"</formula>
    </cfRule>
  </conditionalFormatting>
  <conditionalFormatting sqref="B24:B28">
    <cfRule type="expression" priority="12" aboveAverage="0" equalAverage="0" bottom="0" percent="0" rank="0" text="" dxfId="4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6BCD22-7C42-4B93-AA79-609BEF4A45D4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-46272</v>
      </c>
      <c r="I4" s="67" t="n">
        <f aca="false">IF($A4="","",IFERROR(INDEX(Raw_Price!$E$2:$E$100,MATCH($A4,Raw_Price!$A$2:$A$100,0)),""))</f>
        <v>46272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-46272</v>
      </c>
      <c r="I5" s="67" t="n">
        <f aca="false">IF($A5="","",IFERROR(INDEX(Raw_Price!$E$2:$E$100,MATCH($A5,Raw_Price!$A$2:$A$100,0)),""))</f>
        <v>46272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-46272</v>
      </c>
      <c r="I6" s="67" t="n">
        <f aca="false">IF($A6="","",IFERROR(INDEX(Raw_Price!$E$2:$E$100,MATCH($A6,Raw_Price!$A$2:$A$100,0)),""))</f>
        <v>46272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-46272</v>
      </c>
      <c r="I7" s="67" t="n">
        <f aca="false">IF($A7="","",IFERROR(INDEX(Raw_Price!$E$2:$E$100,MATCH($A7,Raw_Price!$A$2:$A$100,0)),""))</f>
        <v>46272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-46272</v>
      </c>
      <c r="I8" s="67" t="n">
        <f aca="false">IF($A8="","",IFERROR(INDEX(Raw_Price!$E$2:$E$100,MATCH($A8,Raw_Price!$A$2:$A$100,0)),""))</f>
        <v>46272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-46272</v>
      </c>
      <c r="I9" s="67" t="n">
        <f aca="false">IF($A9="","",IFERROR(INDEX(Raw_Price!$E$2:$E$100,MATCH($A9,Raw_Price!$A$2:$A$100,0)),""))</f>
        <v>46272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-46272</v>
      </c>
      <c r="I10" s="67" t="n">
        <f aca="false">IF($A10="","",IFERROR(INDEX(Raw_Price!$E$2:$E$100,MATCH($A10,Raw_Price!$A$2:$A$100,0)),""))</f>
        <v>46272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-46272</v>
      </c>
      <c r="I11" s="67" t="n">
        <f aca="false">IF($A11="","",IFERROR(INDEX(Raw_Price!$E$2:$E$100,MATCH($A11,Raw_Price!$A$2:$A$100,0)),""))</f>
        <v>46272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9">
      <formula>"OK"</formula>
    </cfRule>
    <cfRule type="cellIs" priority="3" operator="equal" aboveAverage="0" equalAverage="0" bottom="0" percent="0" rank="0" text="" dxfId="50">
      <formula>"待更新財報"</formula>
    </cfRule>
    <cfRule type="expression" priority="4" aboveAverage="0" equalAverage="0" bottom="0" percent="0" rank="0" text="" dxfId="5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 t="s">
        <v>183</v>
      </c>
      <c r="B6" s="74" t="s">
        <v>184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185</v>
      </c>
      <c r="B7" s="74" t="s">
        <v>186</v>
      </c>
      <c r="C7" s="74" t="s">
        <v>187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188</v>
      </c>
      <c r="B8" s="74" t="s">
        <v>189</v>
      </c>
      <c r="C8" s="74" t="s">
        <v>190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191</v>
      </c>
      <c r="B9" s="74" t="s">
        <v>192</v>
      </c>
      <c r="C9" s="74" t="s">
        <v>193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195</v>
      </c>
      <c r="C1" s="14" t="s">
        <v>196</v>
      </c>
      <c r="D1" s="14" t="s">
        <v>197</v>
      </c>
      <c r="E1" s="14" t="s">
        <v>198</v>
      </c>
      <c r="F1" s="14" t="s">
        <v>199</v>
      </c>
      <c r="G1" s="14" t="s">
        <v>200</v>
      </c>
      <c r="H1" s="14" t="s">
        <v>201</v>
      </c>
      <c r="I1" s="14" t="s">
        <v>202</v>
      </c>
      <c r="J1" s="14" t="s">
        <v>203</v>
      </c>
      <c r="K1" s="14" t="s">
        <v>204</v>
      </c>
      <c r="L1" s="14" t="s">
        <v>205</v>
      </c>
      <c r="M1" s="14" t="s">
        <v>206</v>
      </c>
      <c r="N1" s="14" t="s">
        <v>207</v>
      </c>
      <c r="O1" s="14" t="s">
        <v>208</v>
      </c>
      <c r="P1" s="14" t="s">
        <v>209</v>
      </c>
      <c r="Q1" s="14" t="s">
        <v>210</v>
      </c>
      <c r="R1" s="14" t="s">
        <v>211</v>
      </c>
      <c r="S1" s="14" t="s">
        <v>212</v>
      </c>
    </row>
    <row r="2" customFormat="false" ht="15" hidden="false" customHeight="false" outlineLevel="0" collapsed="false">
      <c r="A2" s="76" t="s">
        <v>167</v>
      </c>
      <c r="B2" s="76" t="s">
        <v>213</v>
      </c>
      <c r="C2" s="77" t="n">
        <v>2026</v>
      </c>
      <c r="D2" s="77" t="n">
        <v>3</v>
      </c>
      <c r="E2" s="78" t="n">
        <v>46295</v>
      </c>
      <c r="F2" s="76" t="s">
        <v>214</v>
      </c>
      <c r="G2" s="76" t="s">
        <v>215</v>
      </c>
      <c r="H2" s="76" t="s">
        <v>216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217</v>
      </c>
    </row>
    <row r="3" customFormat="false" ht="15" hidden="false" customHeight="false" outlineLevel="0" collapsed="false">
      <c r="A3" s="76" t="s">
        <v>167</v>
      </c>
      <c r="B3" s="76" t="s">
        <v>218</v>
      </c>
      <c r="C3" s="77" t="n">
        <v>2026</v>
      </c>
      <c r="D3" s="77" t="n">
        <v>2</v>
      </c>
      <c r="E3" s="78" t="n">
        <v>46203</v>
      </c>
      <c r="F3" s="76" t="s">
        <v>219</v>
      </c>
      <c r="G3" s="76" t="s">
        <v>220</v>
      </c>
      <c r="H3" s="76" t="s">
        <v>216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221</v>
      </c>
    </row>
    <row r="4" customFormat="false" ht="15" hidden="false" customHeight="false" outlineLevel="0" collapsed="false">
      <c r="A4" s="76" t="s">
        <v>167</v>
      </c>
      <c r="B4" s="76" t="s">
        <v>222</v>
      </c>
      <c r="C4" s="77" t="n">
        <v>2026</v>
      </c>
      <c r="D4" s="77" t="n">
        <v>1</v>
      </c>
      <c r="E4" s="78" t="n">
        <v>46112</v>
      </c>
      <c r="F4" s="76" t="s">
        <v>219</v>
      </c>
      <c r="G4" s="76" t="s">
        <v>220</v>
      </c>
      <c r="H4" s="76" t="s">
        <v>216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223</v>
      </c>
    </row>
    <row r="5" customFormat="false" ht="15" hidden="false" customHeight="false" outlineLevel="0" collapsed="false">
      <c r="A5" s="76" t="s">
        <v>167</v>
      </c>
      <c r="B5" s="76" t="s">
        <v>224</v>
      </c>
      <c r="C5" s="77" t="n">
        <v>2025</v>
      </c>
      <c r="D5" s="77" t="n">
        <v>4</v>
      </c>
      <c r="E5" s="78" t="n">
        <v>46022</v>
      </c>
      <c r="F5" s="76" t="s">
        <v>219</v>
      </c>
      <c r="G5" s="76" t="s">
        <v>220</v>
      </c>
      <c r="H5" s="76" t="s">
        <v>216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225</v>
      </c>
    </row>
    <row r="6" customFormat="false" ht="15" hidden="false" customHeight="false" outlineLevel="0" collapsed="false">
      <c r="A6" s="76" t="s">
        <v>167</v>
      </c>
      <c r="B6" s="76" t="s">
        <v>226</v>
      </c>
      <c r="C6" s="77" t="n">
        <v>2025</v>
      </c>
      <c r="D6" s="77" t="n">
        <v>3</v>
      </c>
      <c r="E6" s="78" t="n">
        <v>45930</v>
      </c>
      <c r="F6" s="76" t="s">
        <v>219</v>
      </c>
      <c r="G6" s="76" t="s">
        <v>220</v>
      </c>
      <c r="H6" s="76" t="s">
        <v>216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227</v>
      </c>
    </row>
    <row r="7" customFormat="false" ht="15" hidden="false" customHeight="false" outlineLevel="0" collapsed="false">
      <c r="A7" s="76" t="s">
        <v>167</v>
      </c>
      <c r="B7" s="76" t="s">
        <v>228</v>
      </c>
      <c r="C7" s="77" t="n">
        <v>2025</v>
      </c>
      <c r="D7" s="77" t="n">
        <v>2</v>
      </c>
      <c r="E7" s="78" t="n">
        <v>45838</v>
      </c>
      <c r="F7" s="76" t="s">
        <v>219</v>
      </c>
      <c r="G7" s="76" t="s">
        <v>220</v>
      </c>
      <c r="H7" s="76" t="s">
        <v>216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229</v>
      </c>
    </row>
    <row r="8" customFormat="false" ht="15" hidden="false" customHeight="false" outlineLevel="0" collapsed="false">
      <c r="A8" s="76" t="s">
        <v>167</v>
      </c>
      <c r="B8" s="76" t="s">
        <v>230</v>
      </c>
      <c r="C8" s="77" t="n">
        <v>2025</v>
      </c>
      <c r="D8" s="77" t="n">
        <v>1</v>
      </c>
      <c r="E8" s="78" t="n">
        <v>45747</v>
      </c>
      <c r="F8" s="76" t="s">
        <v>219</v>
      </c>
      <c r="G8" s="76" t="s">
        <v>220</v>
      </c>
      <c r="H8" s="76" t="s">
        <v>216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231</v>
      </c>
    </row>
    <row r="9" customFormat="false" ht="15" hidden="false" customHeight="false" outlineLevel="0" collapsed="false">
      <c r="A9" s="76" t="s">
        <v>167</v>
      </c>
      <c r="B9" s="76" t="s">
        <v>232</v>
      </c>
      <c r="C9" s="77" t="n">
        <v>2024</v>
      </c>
      <c r="D9" s="77" t="n">
        <v>4</v>
      </c>
      <c r="E9" s="78" t="n">
        <v>45657</v>
      </c>
      <c r="F9" s="76" t="s">
        <v>219</v>
      </c>
      <c r="G9" s="76" t="s">
        <v>220</v>
      </c>
      <c r="H9" s="76" t="s">
        <v>216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233</v>
      </c>
    </row>
    <row r="10" customFormat="false" ht="15" hidden="false" customHeight="false" outlineLevel="0" collapsed="false">
      <c r="A10" s="76" t="s">
        <v>167</v>
      </c>
      <c r="B10" s="76" t="s">
        <v>234</v>
      </c>
      <c r="C10" s="77" t="n">
        <v>2024</v>
      </c>
      <c r="D10" s="77" t="n">
        <v>3</v>
      </c>
      <c r="E10" s="78" t="n">
        <v>45565</v>
      </c>
      <c r="F10" s="76" t="s">
        <v>219</v>
      </c>
      <c r="G10" s="76" t="s">
        <v>220</v>
      </c>
      <c r="H10" s="76" t="s">
        <v>216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235</v>
      </c>
    </row>
    <row r="11" customFormat="false" ht="15" hidden="false" customHeight="false" outlineLevel="0" collapsed="false">
      <c r="A11" s="76" t="s">
        <v>167</v>
      </c>
      <c r="B11" s="76" t="s">
        <v>236</v>
      </c>
      <c r="C11" s="77" t="n">
        <v>2024</v>
      </c>
      <c r="D11" s="77" t="n">
        <v>2</v>
      </c>
      <c r="E11" s="78" t="n">
        <v>45473</v>
      </c>
      <c r="F11" s="76" t="s">
        <v>219</v>
      </c>
      <c r="G11" s="76" t="s">
        <v>220</v>
      </c>
      <c r="H11" s="76" t="s">
        <v>216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237</v>
      </c>
    </row>
    <row r="12" customFormat="false" ht="15" hidden="false" customHeight="false" outlineLevel="0" collapsed="false">
      <c r="A12" s="76" t="s">
        <v>167</v>
      </c>
      <c r="B12" s="76" t="s">
        <v>238</v>
      </c>
      <c r="C12" s="77" t="n">
        <v>2024</v>
      </c>
      <c r="D12" s="77" t="n">
        <v>1</v>
      </c>
      <c r="E12" s="78" t="n">
        <v>45382</v>
      </c>
      <c r="F12" s="76" t="s">
        <v>219</v>
      </c>
      <c r="G12" s="76" t="s">
        <v>220</v>
      </c>
      <c r="H12" s="76" t="s">
        <v>216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239</v>
      </c>
    </row>
    <row r="13" customFormat="false" ht="15" hidden="false" customHeight="false" outlineLevel="0" collapsed="false">
      <c r="A13" s="76" t="s">
        <v>167</v>
      </c>
      <c r="B13" s="76" t="s">
        <v>240</v>
      </c>
      <c r="C13" s="77" t="n">
        <v>2023</v>
      </c>
      <c r="D13" s="77" t="n">
        <v>4</v>
      </c>
      <c r="E13" s="78" t="n">
        <v>45291</v>
      </c>
      <c r="F13" s="76" t="s">
        <v>219</v>
      </c>
      <c r="G13" s="76" t="s">
        <v>220</v>
      </c>
      <c r="H13" s="76" t="s">
        <v>216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241</v>
      </c>
    </row>
    <row r="14" customFormat="false" ht="15" hidden="false" customHeight="false" outlineLevel="0" collapsed="false">
      <c r="A14" s="76" t="s">
        <v>167</v>
      </c>
      <c r="B14" s="76" t="s">
        <v>242</v>
      </c>
      <c r="C14" s="77" t="n">
        <v>2023</v>
      </c>
      <c r="D14" s="77" t="n">
        <v>3</v>
      </c>
      <c r="E14" s="78" t="n">
        <v>45199</v>
      </c>
      <c r="F14" s="76" t="s">
        <v>219</v>
      </c>
      <c r="G14" s="76" t="s">
        <v>220</v>
      </c>
      <c r="H14" s="76" t="s">
        <v>216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243</v>
      </c>
    </row>
    <row r="15" customFormat="false" ht="15" hidden="false" customHeight="false" outlineLevel="0" collapsed="false">
      <c r="A15" s="76" t="s">
        <v>167</v>
      </c>
      <c r="B15" s="76" t="s">
        <v>244</v>
      </c>
      <c r="C15" s="77" t="n">
        <v>2023</v>
      </c>
      <c r="D15" s="77" t="n">
        <v>2</v>
      </c>
      <c r="E15" s="78" t="n">
        <v>45107</v>
      </c>
      <c r="F15" s="76" t="s">
        <v>219</v>
      </c>
      <c r="G15" s="76" t="s">
        <v>220</v>
      </c>
      <c r="H15" s="76" t="s">
        <v>216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245</v>
      </c>
    </row>
    <row r="16" customFormat="false" ht="15" hidden="false" customHeight="false" outlineLevel="0" collapsed="false">
      <c r="A16" s="76" t="s">
        <v>167</v>
      </c>
      <c r="B16" s="76" t="s">
        <v>246</v>
      </c>
      <c r="C16" s="77" t="n">
        <v>2023</v>
      </c>
      <c r="D16" s="77" t="n">
        <v>1</v>
      </c>
      <c r="E16" s="78" t="n">
        <v>45016</v>
      </c>
      <c r="F16" s="76" t="s">
        <v>219</v>
      </c>
      <c r="G16" s="76" t="s">
        <v>220</v>
      </c>
      <c r="H16" s="76" t="s">
        <v>216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247</v>
      </c>
    </row>
    <row r="17" customFormat="false" ht="15" hidden="false" customHeight="false" outlineLevel="0" collapsed="false">
      <c r="A17" s="76" t="s">
        <v>167</v>
      </c>
      <c r="B17" s="76" t="s">
        <v>248</v>
      </c>
      <c r="C17" s="77" t="n">
        <v>2022</v>
      </c>
      <c r="D17" s="77" t="n">
        <v>4</v>
      </c>
      <c r="E17" s="78" t="n">
        <v>44926</v>
      </c>
      <c r="F17" s="76" t="s">
        <v>219</v>
      </c>
      <c r="G17" s="76" t="s">
        <v>220</v>
      </c>
      <c r="H17" s="76" t="s">
        <v>216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249</v>
      </c>
    </row>
    <row r="18" customFormat="false" ht="15" hidden="false" customHeight="false" outlineLevel="0" collapsed="false">
      <c r="A18" s="76" t="s">
        <v>167</v>
      </c>
      <c r="B18" s="76" t="s">
        <v>250</v>
      </c>
      <c r="C18" s="77" t="n">
        <v>2022</v>
      </c>
      <c r="D18" s="77" t="n">
        <v>3</v>
      </c>
      <c r="E18" s="78" t="n">
        <v>44834</v>
      </c>
      <c r="F18" s="76" t="s">
        <v>219</v>
      </c>
      <c r="G18" s="76" t="s">
        <v>220</v>
      </c>
      <c r="H18" s="76" t="s">
        <v>216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251</v>
      </c>
    </row>
    <row r="19" customFormat="false" ht="15" hidden="false" customHeight="false" outlineLevel="0" collapsed="false">
      <c r="A19" s="76" t="s">
        <v>167</v>
      </c>
      <c r="B19" s="76" t="s">
        <v>252</v>
      </c>
      <c r="C19" s="77" t="n">
        <v>2022</v>
      </c>
      <c r="D19" s="77" t="n">
        <v>2</v>
      </c>
      <c r="E19" s="78" t="n">
        <v>44742</v>
      </c>
      <c r="F19" s="76" t="s">
        <v>219</v>
      </c>
      <c r="G19" s="76" t="s">
        <v>220</v>
      </c>
      <c r="H19" s="76" t="s">
        <v>216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253</v>
      </c>
    </row>
    <row r="20" customFormat="false" ht="15" hidden="false" customHeight="false" outlineLevel="0" collapsed="false">
      <c r="A20" s="76" t="s">
        <v>167</v>
      </c>
      <c r="B20" s="76" t="s">
        <v>254</v>
      </c>
      <c r="C20" s="77" t="n">
        <v>2022</v>
      </c>
      <c r="D20" s="77" t="n">
        <v>1</v>
      </c>
      <c r="E20" s="78" t="n">
        <v>44651</v>
      </c>
      <c r="F20" s="76" t="s">
        <v>219</v>
      </c>
      <c r="G20" s="76" t="s">
        <v>220</v>
      </c>
      <c r="H20" s="76" t="s">
        <v>216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255</v>
      </c>
    </row>
    <row r="21" customFormat="false" ht="15" hidden="false" customHeight="false" outlineLevel="0" collapsed="false">
      <c r="A21" s="76" t="s">
        <v>167</v>
      </c>
      <c r="B21" s="76" t="s">
        <v>256</v>
      </c>
      <c r="C21" s="77" t="n">
        <v>2021</v>
      </c>
      <c r="D21" s="77" t="n">
        <v>4</v>
      </c>
      <c r="E21" s="78" t="n">
        <v>44561</v>
      </c>
      <c r="F21" s="76" t="s">
        <v>219</v>
      </c>
      <c r="G21" s="76" t="s">
        <v>220</v>
      </c>
      <c r="H21" s="76" t="s">
        <v>216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257</v>
      </c>
    </row>
    <row r="22" customFormat="false" ht="15" hidden="false" customHeight="false" outlineLevel="0" collapsed="false">
      <c r="A22" s="76" t="s">
        <v>167</v>
      </c>
      <c r="B22" s="76" t="s">
        <v>258</v>
      </c>
      <c r="C22" s="77" t="n">
        <v>2021</v>
      </c>
      <c r="D22" s="77" t="n">
        <v>3</v>
      </c>
      <c r="E22" s="78" t="n">
        <v>44469</v>
      </c>
      <c r="F22" s="76" t="s">
        <v>219</v>
      </c>
      <c r="G22" s="76" t="s">
        <v>220</v>
      </c>
      <c r="H22" s="76" t="s">
        <v>216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259</v>
      </c>
    </row>
    <row r="23" customFormat="false" ht="15" hidden="false" customHeight="false" outlineLevel="0" collapsed="false">
      <c r="A23" s="76" t="s">
        <v>167</v>
      </c>
      <c r="B23" s="76" t="s">
        <v>260</v>
      </c>
      <c r="C23" s="77" t="n">
        <v>2021</v>
      </c>
      <c r="D23" s="77" t="n">
        <v>2</v>
      </c>
      <c r="E23" s="78" t="n">
        <v>44377</v>
      </c>
      <c r="F23" s="76" t="s">
        <v>219</v>
      </c>
      <c r="G23" s="76" t="s">
        <v>220</v>
      </c>
      <c r="H23" s="76" t="s">
        <v>216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261</v>
      </c>
    </row>
    <row r="24" customFormat="false" ht="15" hidden="false" customHeight="false" outlineLevel="0" collapsed="false">
      <c r="A24" s="76" t="s">
        <v>167</v>
      </c>
      <c r="B24" s="76" t="s">
        <v>262</v>
      </c>
      <c r="C24" s="77" t="n">
        <v>2021</v>
      </c>
      <c r="D24" s="77" t="n">
        <v>1</v>
      </c>
      <c r="E24" s="78" t="n">
        <v>44286</v>
      </c>
      <c r="F24" s="76" t="s">
        <v>219</v>
      </c>
      <c r="G24" s="76" t="s">
        <v>220</v>
      </c>
      <c r="H24" s="76" t="s">
        <v>216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263</v>
      </c>
    </row>
    <row r="25" customFormat="false" ht="15" hidden="false" customHeight="false" outlineLevel="0" collapsed="false">
      <c r="A25" s="76" t="s">
        <v>167</v>
      </c>
      <c r="B25" s="76" t="s">
        <v>264</v>
      </c>
      <c r="C25" s="77" t="n">
        <v>2020</v>
      </c>
      <c r="D25" s="77" t="n">
        <v>4</v>
      </c>
      <c r="E25" s="78" t="n">
        <v>44196</v>
      </c>
      <c r="F25" s="76" t="s">
        <v>219</v>
      </c>
      <c r="G25" s="76" t="s">
        <v>220</v>
      </c>
      <c r="H25" s="76" t="s">
        <v>216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265</v>
      </c>
    </row>
    <row r="26" customFormat="false" ht="15" hidden="false" customHeight="false" outlineLevel="0" collapsed="false">
      <c r="A26" s="76" t="s">
        <v>167</v>
      </c>
      <c r="B26" s="76" t="s">
        <v>266</v>
      </c>
      <c r="C26" s="77" t="n">
        <v>2020</v>
      </c>
      <c r="D26" s="77" t="n">
        <v>3</v>
      </c>
      <c r="E26" s="78" t="n">
        <v>44104</v>
      </c>
      <c r="F26" s="76" t="s">
        <v>219</v>
      </c>
      <c r="G26" s="76" t="s">
        <v>220</v>
      </c>
      <c r="H26" s="76" t="s">
        <v>216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267</v>
      </c>
    </row>
    <row r="27" customFormat="false" ht="15" hidden="false" customHeight="false" outlineLevel="0" collapsed="false">
      <c r="A27" s="76" t="s">
        <v>191</v>
      </c>
      <c r="B27" s="76" t="s">
        <v>213</v>
      </c>
      <c r="C27" s="77" t="n">
        <v>2026</v>
      </c>
      <c r="D27" s="77" t="n">
        <v>3</v>
      </c>
      <c r="E27" s="78" t="n">
        <v>46295</v>
      </c>
      <c r="F27" s="76" t="s">
        <v>214</v>
      </c>
      <c r="G27" s="76" t="s">
        <v>215</v>
      </c>
      <c r="H27" s="76" t="s">
        <v>216</v>
      </c>
      <c r="I27" s="79"/>
      <c r="J27" s="79"/>
      <c r="K27" s="79"/>
      <c r="L27" s="80" t="n">
        <v>8.21666</v>
      </c>
      <c r="M27" s="79"/>
      <c r="N27" s="79"/>
      <c r="O27" s="79"/>
      <c r="P27" s="80"/>
      <c r="Q27" s="80"/>
      <c r="R27" s="47" t="n">
        <v>0</v>
      </c>
      <c r="S27" s="66" t="s">
        <v>268</v>
      </c>
    </row>
    <row r="28" customFormat="false" ht="15" hidden="false" customHeight="false" outlineLevel="0" collapsed="false">
      <c r="A28" s="76" t="s">
        <v>191</v>
      </c>
      <c r="B28" s="76" t="s">
        <v>218</v>
      </c>
      <c r="C28" s="77" t="n">
        <v>2026</v>
      </c>
      <c r="D28" s="77" t="n">
        <v>2</v>
      </c>
      <c r="E28" s="78" t="n">
        <v>46203</v>
      </c>
      <c r="F28" s="76" t="s">
        <v>219</v>
      </c>
      <c r="G28" s="76" t="s">
        <v>220</v>
      </c>
      <c r="H28" s="76" t="s">
        <v>216</v>
      </c>
      <c r="I28" s="79" t="n">
        <v>144214.433</v>
      </c>
      <c r="J28" s="79" t="n">
        <v>13873.129</v>
      </c>
      <c r="K28" s="79" t="n">
        <v>6606413000</v>
      </c>
      <c r="L28" s="80" t="n">
        <v>9.86</v>
      </c>
      <c r="M28" s="79" t="n">
        <v>669.8889</v>
      </c>
      <c r="N28" s="79" t="n">
        <v>0</v>
      </c>
      <c r="O28" s="79" t="n">
        <v>66520.674</v>
      </c>
      <c r="P28" s="80" t="n">
        <v>0</v>
      </c>
      <c r="Q28" s="80" t="n">
        <v>344</v>
      </c>
      <c r="R28" s="47" t="n">
        <v>1</v>
      </c>
      <c r="S28" s="66" t="s">
        <v>269</v>
      </c>
    </row>
    <row r="29" customFormat="false" ht="15" hidden="false" customHeight="false" outlineLevel="0" collapsed="false">
      <c r="A29" s="76" t="s">
        <v>191</v>
      </c>
      <c r="B29" s="76" t="s">
        <v>222</v>
      </c>
      <c r="C29" s="77" t="n">
        <v>2026</v>
      </c>
      <c r="D29" s="77" t="n">
        <v>1</v>
      </c>
      <c r="E29" s="78" t="n">
        <v>46112</v>
      </c>
      <c r="F29" s="76" t="s">
        <v>219</v>
      </c>
      <c r="G29" s="76" t="s">
        <v>220</v>
      </c>
      <c r="H29" s="76" t="s">
        <v>216</v>
      </c>
      <c r="I29" s="79" t="n">
        <v>105057.33</v>
      </c>
      <c r="J29" s="79" t="n">
        <v>12614.63</v>
      </c>
      <c r="K29" s="79" t="n">
        <v>5268403000</v>
      </c>
      <c r="L29" s="80" t="n">
        <v>7.86</v>
      </c>
      <c r="M29" s="79" t="n">
        <v>669.8889</v>
      </c>
      <c r="N29" s="79" t="n">
        <v>0</v>
      </c>
      <c r="O29" s="79" t="n">
        <v>64567.23</v>
      </c>
      <c r="P29" s="80" t="n">
        <v>0</v>
      </c>
      <c r="Q29" s="80" t="n">
        <v>222.5</v>
      </c>
      <c r="R29" s="47" t="n">
        <v>2</v>
      </c>
      <c r="S29" s="66" t="s">
        <v>270</v>
      </c>
    </row>
    <row r="30" customFormat="false" ht="15" hidden="false" customHeight="false" outlineLevel="0" collapsed="false">
      <c r="A30" s="76" t="s">
        <v>191</v>
      </c>
      <c r="B30" s="76" t="s">
        <v>224</v>
      </c>
      <c r="C30" s="77" t="n">
        <v>2025</v>
      </c>
      <c r="D30" s="77" t="n">
        <v>4</v>
      </c>
      <c r="E30" s="78" t="n">
        <v>46022</v>
      </c>
      <c r="F30" s="76" t="s">
        <v>219</v>
      </c>
      <c r="G30" s="76" t="s">
        <v>220</v>
      </c>
      <c r="H30" s="76" t="s">
        <v>216</v>
      </c>
      <c r="I30" s="79" t="n">
        <v>89349.64</v>
      </c>
      <c r="J30" s="79" t="n">
        <v>9188.814</v>
      </c>
      <c r="K30" s="79" t="n">
        <v>2968601000</v>
      </c>
      <c r="L30" s="80" t="n">
        <v>4.43</v>
      </c>
      <c r="M30" s="79" t="n">
        <v>669.8889</v>
      </c>
      <c r="N30" s="79" t="n">
        <v>0</v>
      </c>
      <c r="O30" s="79" t="n">
        <v>59100.16</v>
      </c>
      <c r="P30" s="80" t="n">
        <v>0</v>
      </c>
      <c r="Q30" s="80" t="n">
        <v>249.5</v>
      </c>
      <c r="R30" s="47" t="n">
        <v>3</v>
      </c>
      <c r="S30" s="66" t="s">
        <v>271</v>
      </c>
    </row>
    <row r="31" customFormat="false" ht="15" hidden="false" customHeight="false" outlineLevel="0" collapsed="false">
      <c r="A31" s="76" t="s">
        <v>191</v>
      </c>
      <c r="B31" s="76" t="s">
        <v>226</v>
      </c>
      <c r="C31" s="77" t="n">
        <v>2025</v>
      </c>
      <c r="D31" s="77" t="n">
        <v>3</v>
      </c>
      <c r="E31" s="78" t="n">
        <v>45930</v>
      </c>
      <c r="F31" s="76" t="s">
        <v>219</v>
      </c>
      <c r="G31" s="76" t="s">
        <v>220</v>
      </c>
      <c r="H31" s="76" t="s">
        <v>216</v>
      </c>
      <c r="I31" s="79" t="n">
        <v>79581.474</v>
      </c>
      <c r="J31" s="79" t="n">
        <v>7883.025</v>
      </c>
      <c r="K31" s="79" t="n">
        <v>3055597000</v>
      </c>
      <c r="L31" s="80" t="n">
        <v>4.56</v>
      </c>
      <c r="M31" s="79" t="n">
        <v>669.8889</v>
      </c>
      <c r="N31" s="79" t="n">
        <v>0</v>
      </c>
      <c r="O31" s="79" t="n">
        <v>55473.452</v>
      </c>
      <c r="P31" s="80" t="n">
        <v>10</v>
      </c>
      <c r="Q31" s="80" t="n">
        <v>299</v>
      </c>
      <c r="R31" s="47" t="n">
        <v>4</v>
      </c>
      <c r="S31" s="66" t="s">
        <v>272</v>
      </c>
    </row>
    <row r="32" customFormat="false" ht="15" hidden="false" customHeight="false" outlineLevel="0" collapsed="false">
      <c r="A32" s="76" t="s">
        <v>191</v>
      </c>
      <c r="B32" s="76" t="s">
        <v>228</v>
      </c>
      <c r="C32" s="77" t="n">
        <v>2025</v>
      </c>
      <c r="D32" s="77" t="n">
        <v>2</v>
      </c>
      <c r="E32" s="78" t="n">
        <v>45838</v>
      </c>
      <c r="F32" s="76" t="s">
        <v>219</v>
      </c>
      <c r="G32" s="76" t="s">
        <v>220</v>
      </c>
      <c r="H32" s="76" t="s">
        <v>216</v>
      </c>
      <c r="I32" s="79" t="n">
        <v>102258.116</v>
      </c>
      <c r="J32" s="79" t="n">
        <v>9632.946</v>
      </c>
      <c r="K32" s="79" t="n">
        <v>3049557000</v>
      </c>
      <c r="L32" s="80" t="n">
        <v>4.55</v>
      </c>
      <c r="M32" s="79" t="n">
        <v>669.8889</v>
      </c>
      <c r="N32" s="79" t="n">
        <v>0</v>
      </c>
      <c r="O32" s="79" t="n">
        <v>51995.535</v>
      </c>
      <c r="P32" s="80" t="n">
        <v>0</v>
      </c>
      <c r="Q32" s="80" t="n">
        <v>283</v>
      </c>
      <c r="R32" s="47" t="n">
        <v>5</v>
      </c>
      <c r="S32" s="66" t="s">
        <v>273</v>
      </c>
    </row>
    <row r="33" customFormat="false" ht="15" hidden="false" customHeight="false" outlineLevel="0" collapsed="false">
      <c r="A33" s="76" t="s">
        <v>191</v>
      </c>
      <c r="B33" s="76" t="s">
        <v>230</v>
      </c>
      <c r="C33" s="77" t="n">
        <v>2025</v>
      </c>
      <c r="D33" s="77" t="n">
        <v>1</v>
      </c>
      <c r="E33" s="78" t="n">
        <v>45747</v>
      </c>
      <c r="F33" s="76" t="s">
        <v>219</v>
      </c>
      <c r="G33" s="76" t="s">
        <v>220</v>
      </c>
      <c r="H33" s="76" t="s">
        <v>216</v>
      </c>
      <c r="I33" s="79" t="n">
        <v>65747.43</v>
      </c>
      <c r="J33" s="79" t="n">
        <v>8480.311</v>
      </c>
      <c r="K33" s="79" t="n">
        <v>3116119000</v>
      </c>
      <c r="L33" s="80" t="n">
        <v>4.65</v>
      </c>
      <c r="M33" s="79" t="n">
        <v>669.8889</v>
      </c>
      <c r="N33" s="79" t="n">
        <v>0</v>
      </c>
      <c r="O33" s="79" t="n">
        <v>56959.796</v>
      </c>
      <c r="P33" s="80" t="n">
        <v>0</v>
      </c>
      <c r="Q33" s="80" t="n">
        <v>242</v>
      </c>
      <c r="R33" s="47" t="n">
        <v>6</v>
      </c>
      <c r="S33" s="66" t="s">
        <v>274</v>
      </c>
    </row>
    <row r="34" customFormat="false" ht="15" hidden="false" customHeight="false" outlineLevel="0" collapsed="false">
      <c r="A34" s="76" t="s">
        <v>191</v>
      </c>
      <c r="B34" s="76" t="s">
        <v>232</v>
      </c>
      <c r="C34" s="77" t="n">
        <v>2024</v>
      </c>
      <c r="D34" s="77" t="n">
        <v>4</v>
      </c>
      <c r="E34" s="78" t="n">
        <v>45657</v>
      </c>
      <c r="F34" s="76" t="s">
        <v>219</v>
      </c>
      <c r="G34" s="76" t="s">
        <v>220</v>
      </c>
      <c r="H34" s="76" t="s">
        <v>216</v>
      </c>
      <c r="I34" s="79" t="n">
        <v>65615.165</v>
      </c>
      <c r="J34" s="79" t="n">
        <v>6638.606</v>
      </c>
      <c r="K34" s="79" t="n">
        <v>2875586000</v>
      </c>
      <c r="L34" s="80" t="n">
        <v>4.31</v>
      </c>
      <c r="M34" s="79" t="n">
        <v>669.8889</v>
      </c>
      <c r="N34" s="79" t="n">
        <v>0</v>
      </c>
      <c r="O34" s="79" t="n">
        <v>53683.149</v>
      </c>
      <c r="P34" s="80" t="n">
        <v>0</v>
      </c>
      <c r="Q34" s="80" t="n">
        <v>272.5</v>
      </c>
      <c r="R34" s="47" t="n">
        <v>7</v>
      </c>
      <c r="S34" s="66" t="s">
        <v>275</v>
      </c>
    </row>
    <row r="35" customFormat="false" ht="15" hidden="false" customHeight="false" outlineLevel="0" collapsed="false">
      <c r="A35" s="76" t="s">
        <v>191</v>
      </c>
      <c r="B35" s="76" t="s">
        <v>234</v>
      </c>
      <c r="C35" s="77" t="n">
        <v>2024</v>
      </c>
      <c r="D35" s="77" t="n">
        <v>3</v>
      </c>
      <c r="E35" s="78" t="n">
        <v>45565</v>
      </c>
      <c r="F35" s="76" t="s">
        <v>219</v>
      </c>
      <c r="G35" s="76" t="s">
        <v>220</v>
      </c>
      <c r="H35" s="76" t="s">
        <v>216</v>
      </c>
      <c r="I35" s="79" t="n">
        <v>70445.855</v>
      </c>
      <c r="J35" s="79" t="n">
        <v>7240.434</v>
      </c>
      <c r="K35" s="79" t="n">
        <v>1927469000</v>
      </c>
      <c r="L35" s="80" t="n">
        <v>2.91</v>
      </c>
      <c r="M35" s="79" t="n">
        <v>669.8889</v>
      </c>
      <c r="N35" s="79" t="n">
        <v>0</v>
      </c>
      <c r="O35" s="79" t="n">
        <v>50811.773</v>
      </c>
      <c r="P35" s="80" t="n">
        <v>6.35794327</v>
      </c>
      <c r="Q35" s="80" t="n">
        <v>258.5</v>
      </c>
      <c r="R35" s="47" t="n">
        <v>8</v>
      </c>
      <c r="S35" s="66" t="s">
        <v>276</v>
      </c>
    </row>
    <row r="36" customFormat="false" ht="15" hidden="false" customHeight="false" outlineLevel="0" collapsed="false">
      <c r="A36" s="76" t="s">
        <v>191</v>
      </c>
      <c r="B36" s="76" t="s">
        <v>236</v>
      </c>
      <c r="C36" s="77" t="n">
        <v>2024</v>
      </c>
      <c r="D36" s="77" t="n">
        <v>2</v>
      </c>
      <c r="E36" s="78" t="n">
        <v>45473</v>
      </c>
      <c r="F36" s="76" t="s">
        <v>219</v>
      </c>
      <c r="G36" s="76" t="s">
        <v>220</v>
      </c>
      <c r="H36" s="76" t="s">
        <v>216</v>
      </c>
      <c r="I36" s="79" t="n">
        <v>73923.373</v>
      </c>
      <c r="J36" s="79" t="n">
        <v>7980.081</v>
      </c>
      <c r="K36" s="79" t="n">
        <v>2961709000</v>
      </c>
      <c r="L36" s="80" t="n">
        <v>4.66</v>
      </c>
      <c r="M36" s="79" t="n">
        <v>635.6889</v>
      </c>
      <c r="N36" s="79" t="n">
        <v>0</v>
      </c>
      <c r="O36" s="79" t="n">
        <v>38669.224</v>
      </c>
      <c r="P36" s="80" t="n">
        <v>0</v>
      </c>
      <c r="Q36" s="80" t="n">
        <v>305.5</v>
      </c>
      <c r="R36" s="47" t="n">
        <v>9</v>
      </c>
      <c r="S36" s="66" t="s">
        <v>277</v>
      </c>
    </row>
    <row r="37" customFormat="false" ht="15" hidden="false" customHeight="false" outlineLevel="0" collapsed="false">
      <c r="A37" s="76" t="s">
        <v>191</v>
      </c>
      <c r="B37" s="76" t="s">
        <v>238</v>
      </c>
      <c r="C37" s="77" t="n">
        <v>2024</v>
      </c>
      <c r="D37" s="77" t="n">
        <v>1</v>
      </c>
      <c r="E37" s="78" t="n">
        <v>45382</v>
      </c>
      <c r="F37" s="76" t="s">
        <v>219</v>
      </c>
      <c r="G37" s="76" t="s">
        <v>220</v>
      </c>
      <c r="H37" s="76" t="s">
        <v>216</v>
      </c>
      <c r="I37" s="79" t="n">
        <v>55164.386</v>
      </c>
      <c r="J37" s="79" t="n">
        <v>6233.366</v>
      </c>
      <c r="K37" s="79" t="n">
        <v>2023776000</v>
      </c>
      <c r="L37" s="80" t="n">
        <v>3.18</v>
      </c>
      <c r="M37" s="79" t="n">
        <v>635.6889</v>
      </c>
      <c r="N37" s="79" t="n">
        <v>0</v>
      </c>
      <c r="O37" s="79" t="n">
        <v>39680.092</v>
      </c>
      <c r="P37" s="80" t="n">
        <v>0</v>
      </c>
      <c r="Q37" s="80" t="n">
        <v>316</v>
      </c>
      <c r="R37" s="47" t="n">
        <v>10</v>
      </c>
      <c r="S37" s="66" t="s">
        <v>278</v>
      </c>
    </row>
    <row r="38" customFormat="false" ht="15" hidden="false" customHeight="false" outlineLevel="0" collapsed="false">
      <c r="A38" s="76" t="s">
        <v>191</v>
      </c>
      <c r="B38" s="76" t="s">
        <v>240</v>
      </c>
      <c r="C38" s="77" t="n">
        <v>2023</v>
      </c>
      <c r="D38" s="77" t="n">
        <v>4</v>
      </c>
      <c r="E38" s="78" t="n">
        <v>45291</v>
      </c>
      <c r="F38" s="76" t="s">
        <v>219</v>
      </c>
      <c r="G38" s="76" t="s">
        <v>220</v>
      </c>
      <c r="H38" s="76" t="s">
        <v>216</v>
      </c>
      <c r="I38" s="79" t="n">
        <v>45596.208</v>
      </c>
      <c r="J38" s="79" t="n">
        <v>5027.834</v>
      </c>
      <c r="K38" s="79" t="n">
        <v>1349949000</v>
      </c>
      <c r="L38" s="80" t="n">
        <v>2.12</v>
      </c>
      <c r="M38" s="79" t="n">
        <v>635.6889</v>
      </c>
      <c r="N38" s="79" t="n">
        <v>0</v>
      </c>
      <c r="O38" s="79" t="n">
        <v>37472.81</v>
      </c>
      <c r="P38" s="80" t="n">
        <v>0</v>
      </c>
      <c r="Q38" s="80" t="n">
        <v>266</v>
      </c>
      <c r="R38" s="47" t="n">
        <v>11</v>
      </c>
      <c r="S38" s="66" t="s">
        <v>279</v>
      </c>
    </row>
    <row r="39" customFormat="false" ht="15" hidden="false" customHeight="false" outlineLevel="0" collapsed="false">
      <c r="A39" s="76" t="s">
        <v>191</v>
      </c>
      <c r="B39" s="76" t="s">
        <v>242</v>
      </c>
      <c r="C39" s="77" t="n">
        <v>2023</v>
      </c>
      <c r="D39" s="77" t="n">
        <v>3</v>
      </c>
      <c r="E39" s="78" t="n">
        <v>45199</v>
      </c>
      <c r="F39" s="76" t="s">
        <v>219</v>
      </c>
      <c r="G39" s="76" t="s">
        <v>220</v>
      </c>
      <c r="H39" s="76" t="s">
        <v>216</v>
      </c>
      <c r="I39" s="79" t="n">
        <v>37013.385</v>
      </c>
      <c r="J39" s="79" t="n">
        <v>4912.395</v>
      </c>
      <c r="K39" s="79" t="n">
        <v>1478792000</v>
      </c>
      <c r="L39" s="80" t="n">
        <v>2.33</v>
      </c>
      <c r="M39" s="79" t="n">
        <v>635.6889</v>
      </c>
      <c r="N39" s="79" t="n">
        <v>0</v>
      </c>
      <c r="O39" s="79" t="n">
        <v>36095.549</v>
      </c>
      <c r="P39" s="80" t="n">
        <v>6.2</v>
      </c>
      <c r="Q39" s="80" t="n">
        <v>281.5</v>
      </c>
      <c r="R39" s="47" t="n">
        <v>12</v>
      </c>
      <c r="S39" s="66" t="s">
        <v>280</v>
      </c>
    </row>
    <row r="40" customFormat="false" ht="15" hidden="false" customHeight="false" outlineLevel="0" collapsed="false">
      <c r="A40" s="76" t="s">
        <v>191</v>
      </c>
      <c r="B40" s="76" t="s">
        <v>244</v>
      </c>
      <c r="C40" s="77" t="n">
        <v>2023</v>
      </c>
      <c r="D40" s="77" t="n">
        <v>2</v>
      </c>
      <c r="E40" s="78" t="n">
        <v>45107</v>
      </c>
      <c r="F40" s="76" t="s">
        <v>219</v>
      </c>
      <c r="G40" s="76" t="s">
        <v>220</v>
      </c>
      <c r="H40" s="76" t="s">
        <v>216</v>
      </c>
      <c r="I40" s="79" t="n">
        <v>26133.8</v>
      </c>
      <c r="J40" s="79" t="n">
        <v>3089.603</v>
      </c>
      <c r="K40" s="79" t="n">
        <v>889526000</v>
      </c>
      <c r="L40" s="80" t="n">
        <v>1.4</v>
      </c>
      <c r="M40" s="79" t="n">
        <v>635.6889</v>
      </c>
      <c r="N40" s="79" t="n">
        <v>0</v>
      </c>
      <c r="O40" s="79" t="n">
        <v>33896.131</v>
      </c>
      <c r="P40" s="80" t="n">
        <v>0</v>
      </c>
      <c r="Q40" s="80" t="n">
        <v>243.5</v>
      </c>
      <c r="R40" s="47" t="n">
        <v>13</v>
      </c>
      <c r="S40" s="66" t="s">
        <v>281</v>
      </c>
    </row>
    <row r="41" customFormat="false" ht="15" hidden="false" customHeight="false" outlineLevel="0" collapsed="false">
      <c r="A41" s="76" t="s">
        <v>191</v>
      </c>
      <c r="B41" s="76" t="s">
        <v>246</v>
      </c>
      <c r="C41" s="77" t="n">
        <v>2023</v>
      </c>
      <c r="D41" s="77" t="n">
        <v>1</v>
      </c>
      <c r="E41" s="78" t="n">
        <v>45016</v>
      </c>
      <c r="F41" s="76" t="s">
        <v>219</v>
      </c>
      <c r="G41" s="76" t="s">
        <v>220</v>
      </c>
      <c r="H41" s="76" t="s">
        <v>216</v>
      </c>
      <c r="I41" s="79" t="n">
        <v>28030.016</v>
      </c>
      <c r="J41" s="79" t="n">
        <v>3545.609</v>
      </c>
      <c r="K41" s="79" t="n">
        <v>1024712000</v>
      </c>
      <c r="L41" s="80" t="n">
        <v>1.61</v>
      </c>
      <c r="M41" s="79" t="n">
        <v>635.6889</v>
      </c>
      <c r="N41" s="79" t="n">
        <v>0</v>
      </c>
      <c r="O41" s="79" t="n">
        <v>37140.104</v>
      </c>
      <c r="P41" s="80" t="n">
        <v>0</v>
      </c>
      <c r="Q41" s="80" t="n">
        <v>133.5</v>
      </c>
      <c r="R41" s="47" t="n">
        <v>14</v>
      </c>
      <c r="S41" s="66" t="s">
        <v>282</v>
      </c>
    </row>
    <row r="42" customFormat="false" ht="15" hidden="false" customHeight="false" outlineLevel="0" collapsed="false">
      <c r="A42" s="76" t="s">
        <v>191</v>
      </c>
      <c r="B42" s="76" t="s">
        <v>248</v>
      </c>
      <c r="C42" s="77" t="n">
        <v>2022</v>
      </c>
      <c r="D42" s="77" t="n">
        <v>4</v>
      </c>
      <c r="E42" s="78" t="n">
        <v>44926</v>
      </c>
      <c r="F42" s="76" t="s">
        <v>219</v>
      </c>
      <c r="G42" s="76" t="s">
        <v>220</v>
      </c>
      <c r="H42" s="76" t="s">
        <v>216</v>
      </c>
      <c r="I42" s="79" t="n">
        <v>27799.638</v>
      </c>
      <c r="J42" s="79" t="n">
        <v>2597.068</v>
      </c>
      <c r="K42" s="79" t="n">
        <v>1320675000</v>
      </c>
      <c r="L42" s="80" t="n">
        <v>2.07</v>
      </c>
      <c r="M42" s="79" t="n">
        <v>635.6889</v>
      </c>
      <c r="N42" s="79" t="n">
        <v>0</v>
      </c>
      <c r="O42" s="79" t="n">
        <v>35933.474</v>
      </c>
      <c r="P42" s="80" t="n">
        <v>0</v>
      </c>
      <c r="Q42" s="80" t="n">
        <v>106.5</v>
      </c>
      <c r="R42" s="47" t="n">
        <v>15</v>
      </c>
      <c r="S42" s="66" t="s">
        <v>283</v>
      </c>
    </row>
    <row r="43" customFormat="false" ht="15" hidden="false" customHeight="false" outlineLevel="0" collapsed="false">
      <c r="A43" s="76" t="s">
        <v>191</v>
      </c>
      <c r="B43" s="76" t="s">
        <v>250</v>
      </c>
      <c r="C43" s="77" t="n">
        <v>2022</v>
      </c>
      <c r="D43" s="77" t="n">
        <v>3</v>
      </c>
      <c r="E43" s="78" t="n">
        <v>44834</v>
      </c>
      <c r="F43" s="76" t="s">
        <v>219</v>
      </c>
      <c r="G43" s="76" t="s">
        <v>220</v>
      </c>
      <c r="H43" s="76" t="s">
        <v>216</v>
      </c>
      <c r="I43" s="79" t="n">
        <v>24192.106</v>
      </c>
      <c r="J43" s="79" t="n">
        <v>3000.83</v>
      </c>
      <c r="K43" s="79" t="n">
        <v>1169192000</v>
      </c>
      <c r="L43" s="80" t="n">
        <v>1.84</v>
      </c>
      <c r="M43" s="79" t="n">
        <v>635.6889</v>
      </c>
      <c r="N43" s="79" t="n">
        <v>705000</v>
      </c>
      <c r="O43" s="79" t="n">
        <v>34620.655</v>
      </c>
      <c r="P43" s="80" t="n">
        <v>12</v>
      </c>
      <c r="Q43" s="80" t="n">
        <v>88.3</v>
      </c>
      <c r="R43" s="47" t="n">
        <v>16</v>
      </c>
      <c r="S43" s="66" t="s">
        <v>284</v>
      </c>
    </row>
    <row r="44" customFormat="false" ht="15" hidden="false" customHeight="false" outlineLevel="0" collapsed="false">
      <c r="A44" s="76" t="s">
        <v>191</v>
      </c>
      <c r="B44" s="76" t="s">
        <v>252</v>
      </c>
      <c r="C44" s="77" t="n">
        <v>2022</v>
      </c>
      <c r="D44" s="77" t="n">
        <v>2</v>
      </c>
      <c r="E44" s="78" t="n">
        <v>44742</v>
      </c>
      <c r="F44" s="76" t="s">
        <v>219</v>
      </c>
      <c r="G44" s="76" t="s">
        <v>220</v>
      </c>
      <c r="H44" s="76" t="s">
        <v>216</v>
      </c>
      <c r="I44" s="79" t="n">
        <v>22661.655</v>
      </c>
      <c r="J44" s="79" t="n">
        <v>3142.711</v>
      </c>
      <c r="K44" s="79" t="n">
        <v>981736000</v>
      </c>
      <c r="L44" s="80" t="n">
        <v>1.55</v>
      </c>
      <c r="M44" s="79" t="n">
        <v>635.6889</v>
      </c>
      <c r="N44" s="79" t="n">
        <v>705000</v>
      </c>
      <c r="O44" s="79" t="n">
        <v>33376.05</v>
      </c>
      <c r="P44" s="80" t="n">
        <v>0</v>
      </c>
      <c r="Q44" s="80" t="n">
        <v>88.7</v>
      </c>
      <c r="R44" s="47" t="n">
        <v>17</v>
      </c>
      <c r="S44" s="66" t="s">
        <v>285</v>
      </c>
    </row>
    <row r="45" customFormat="false" ht="15" hidden="false" customHeight="false" outlineLevel="0" collapsed="false">
      <c r="A45" s="76" t="s">
        <v>191</v>
      </c>
      <c r="B45" s="76" t="s">
        <v>254</v>
      </c>
      <c r="C45" s="77" t="n">
        <v>2022</v>
      </c>
      <c r="D45" s="77" t="n">
        <v>1</v>
      </c>
      <c r="E45" s="78" t="n">
        <v>44651</v>
      </c>
      <c r="F45" s="76" t="s">
        <v>219</v>
      </c>
      <c r="G45" s="76" t="s">
        <v>220</v>
      </c>
      <c r="H45" s="76" t="s">
        <v>216</v>
      </c>
      <c r="I45" s="79" t="n">
        <v>32610.245</v>
      </c>
      <c r="J45" s="79" t="n">
        <v>7875.469</v>
      </c>
      <c r="K45" s="79" t="n">
        <v>3066918000</v>
      </c>
      <c r="L45" s="80" t="n">
        <v>4.83</v>
      </c>
      <c r="M45" s="79" t="n">
        <v>635.6889</v>
      </c>
      <c r="N45" s="79" t="n">
        <v>705000</v>
      </c>
      <c r="O45" s="79" t="n">
        <v>40589.071</v>
      </c>
      <c r="P45" s="80" t="n">
        <v>0</v>
      </c>
      <c r="Q45" s="80" t="n">
        <v>130</v>
      </c>
      <c r="R45" s="47" t="n">
        <v>18</v>
      </c>
      <c r="S45" s="66" t="s">
        <v>286</v>
      </c>
    </row>
    <row r="46" customFormat="false" ht="15" hidden="false" customHeight="false" outlineLevel="0" collapsed="false">
      <c r="A46" s="76" t="s">
        <v>191</v>
      </c>
      <c r="B46" s="76" t="s">
        <v>256</v>
      </c>
      <c r="C46" s="77" t="n">
        <v>2021</v>
      </c>
      <c r="D46" s="77" t="n">
        <v>4</v>
      </c>
      <c r="E46" s="78" t="n">
        <v>44561</v>
      </c>
      <c r="F46" s="76" t="s">
        <v>219</v>
      </c>
      <c r="G46" s="76" t="s">
        <v>220</v>
      </c>
      <c r="H46" s="76" t="s">
        <v>216</v>
      </c>
      <c r="I46" s="79" t="n">
        <v>30456.56</v>
      </c>
      <c r="J46" s="79" t="n">
        <v>6996.093</v>
      </c>
      <c r="K46" s="79" t="n">
        <v>3700358000</v>
      </c>
      <c r="L46" s="80" t="n">
        <v>5.83</v>
      </c>
      <c r="M46" s="79" t="n">
        <v>635.6889</v>
      </c>
      <c r="N46" s="79" t="n">
        <v>705000</v>
      </c>
      <c r="O46" s="79" t="n">
        <v>37487.984</v>
      </c>
      <c r="P46" s="80" t="n">
        <v>0</v>
      </c>
      <c r="Q46" s="80" t="n">
        <v>155.5</v>
      </c>
      <c r="R46" s="47" t="n">
        <v>19</v>
      </c>
      <c r="S46" s="66" t="s">
        <v>287</v>
      </c>
    </row>
    <row r="47" customFormat="false" ht="15" hidden="false" customHeight="false" outlineLevel="0" collapsed="false">
      <c r="A47" s="76" t="s">
        <v>191</v>
      </c>
      <c r="B47" s="76" t="s">
        <v>258</v>
      </c>
      <c r="C47" s="77" t="n">
        <v>2021</v>
      </c>
      <c r="D47" s="77" t="n">
        <v>3</v>
      </c>
      <c r="E47" s="78" t="n">
        <v>44469</v>
      </c>
      <c r="F47" s="76" t="s">
        <v>219</v>
      </c>
      <c r="G47" s="76" t="s">
        <v>220</v>
      </c>
      <c r="H47" s="76" t="s">
        <v>216</v>
      </c>
      <c r="I47" s="79" t="n">
        <v>31294.579</v>
      </c>
      <c r="J47" s="79" t="n">
        <v>7262.884</v>
      </c>
      <c r="K47" s="79" t="n">
        <v>3590838000</v>
      </c>
      <c r="L47" s="80" t="n">
        <v>5.66</v>
      </c>
      <c r="M47" s="79" t="n">
        <v>635.6889</v>
      </c>
      <c r="N47" s="79" t="n">
        <v>3000000</v>
      </c>
      <c r="O47" s="79" t="n">
        <v>33154.257</v>
      </c>
      <c r="P47" s="80" t="n">
        <v>5</v>
      </c>
      <c r="Q47" s="80" t="n">
        <v>86.8</v>
      </c>
      <c r="R47" s="47" t="n">
        <v>20</v>
      </c>
      <c r="S47" s="66" t="s">
        <v>288</v>
      </c>
    </row>
    <row r="48" customFormat="false" ht="15" hidden="false" customHeight="false" outlineLevel="0" collapsed="false">
      <c r="A48" s="76" t="s">
        <v>191</v>
      </c>
      <c r="B48" s="76" t="s">
        <v>260</v>
      </c>
      <c r="C48" s="77" t="n">
        <v>2021</v>
      </c>
      <c r="D48" s="77" t="n">
        <v>2</v>
      </c>
      <c r="E48" s="78" t="n">
        <v>44377</v>
      </c>
      <c r="F48" s="76" t="s">
        <v>219</v>
      </c>
      <c r="G48" s="76" t="s">
        <v>220</v>
      </c>
      <c r="H48" s="76" t="s">
        <v>216</v>
      </c>
      <c r="I48" s="79" t="n">
        <v>31787.258</v>
      </c>
      <c r="J48" s="79" t="n">
        <v>8496.576</v>
      </c>
      <c r="K48" s="79" t="n">
        <v>3287454000</v>
      </c>
      <c r="L48" s="80" t="n">
        <v>5.17</v>
      </c>
      <c r="M48" s="79" t="n">
        <v>635.6889</v>
      </c>
      <c r="N48" s="79" t="n">
        <v>0</v>
      </c>
      <c r="O48" s="79" t="n">
        <v>30601.393</v>
      </c>
      <c r="P48" s="80" t="n">
        <v>0</v>
      </c>
      <c r="Q48" s="80" t="n">
        <v>107.5</v>
      </c>
      <c r="R48" s="47" t="n">
        <v>21</v>
      </c>
      <c r="S48" s="66" t="s">
        <v>289</v>
      </c>
    </row>
    <row r="49" customFormat="false" ht="15" hidden="false" customHeight="false" outlineLevel="0" collapsed="false">
      <c r="A49" s="76" t="s">
        <v>191</v>
      </c>
      <c r="B49" s="76" t="s">
        <v>262</v>
      </c>
      <c r="C49" s="77" t="n">
        <v>2021</v>
      </c>
      <c r="D49" s="77" t="n">
        <v>1</v>
      </c>
      <c r="E49" s="78" t="n">
        <v>44286</v>
      </c>
      <c r="F49" s="76" t="s">
        <v>219</v>
      </c>
      <c r="G49" s="76" t="s">
        <v>220</v>
      </c>
      <c r="H49" s="76" t="s">
        <v>216</v>
      </c>
      <c r="I49" s="79" t="n">
        <v>28366.96</v>
      </c>
      <c r="J49" s="79" t="n">
        <v>6834.479</v>
      </c>
      <c r="K49" s="79" t="n">
        <v>2759310000</v>
      </c>
      <c r="L49" s="80" t="n">
        <v>4.34</v>
      </c>
      <c r="M49" s="79" t="n">
        <v>635.6889</v>
      </c>
      <c r="N49" s="79" t="n">
        <v>0</v>
      </c>
      <c r="O49" s="79" t="n">
        <v>30758.585</v>
      </c>
      <c r="P49" s="80" t="n">
        <v>0</v>
      </c>
      <c r="Q49" s="80" t="n">
        <v>99.8</v>
      </c>
      <c r="R49" s="47" t="n">
        <v>22</v>
      </c>
      <c r="S49" s="66" t="s">
        <v>290</v>
      </c>
    </row>
    <row r="50" customFormat="false" ht="15" hidden="false" customHeight="false" outlineLevel="0" collapsed="false">
      <c r="A50" s="76" t="s">
        <v>191</v>
      </c>
      <c r="B50" s="76" t="s">
        <v>264</v>
      </c>
      <c r="C50" s="77" t="n">
        <v>2020</v>
      </c>
      <c r="D50" s="77" t="n">
        <v>4</v>
      </c>
      <c r="E50" s="78" t="n">
        <v>44196</v>
      </c>
      <c r="F50" s="76" t="s">
        <v>219</v>
      </c>
      <c r="G50" s="76" t="s">
        <v>220</v>
      </c>
      <c r="H50" s="76" t="s">
        <v>216</v>
      </c>
      <c r="I50" s="79" t="n">
        <v>23457.829</v>
      </c>
      <c r="J50" s="79" t="n">
        <v>4172.639</v>
      </c>
      <c r="K50" s="79" t="n">
        <v>1101549000</v>
      </c>
      <c r="L50" s="80" t="n">
        <v>1.73</v>
      </c>
      <c r="M50" s="79" t="n">
        <v>635.6889</v>
      </c>
      <c r="N50" s="79" t="n">
        <v>0</v>
      </c>
      <c r="O50" s="79" t="n">
        <v>27395.191</v>
      </c>
      <c r="P50" s="80" t="n">
        <v>0</v>
      </c>
      <c r="Q50" s="80" t="n">
        <v>77.8</v>
      </c>
      <c r="R50" s="47" t="n">
        <v>23</v>
      </c>
      <c r="S50" s="66" t="s">
        <v>291</v>
      </c>
    </row>
    <row r="51" customFormat="false" ht="15" hidden="false" customHeight="false" outlineLevel="0" collapsed="false">
      <c r="A51" s="76" t="s">
        <v>191</v>
      </c>
      <c r="B51" s="76" t="s">
        <v>266</v>
      </c>
      <c r="C51" s="77" t="n">
        <v>2020</v>
      </c>
      <c r="D51" s="77" t="n">
        <v>3</v>
      </c>
      <c r="E51" s="78" t="n">
        <v>44104</v>
      </c>
      <c r="F51" s="76" t="s">
        <v>219</v>
      </c>
      <c r="G51" s="76" t="s">
        <v>220</v>
      </c>
      <c r="H51" s="76" t="s">
        <v>216</v>
      </c>
      <c r="I51" s="79" t="n">
        <v>23003.636</v>
      </c>
      <c r="J51" s="79" t="n">
        <v>3981.726</v>
      </c>
      <c r="K51" s="79" t="n">
        <v>1424622000</v>
      </c>
      <c r="L51" s="80" t="n">
        <v>2.24</v>
      </c>
      <c r="M51" s="79" t="n">
        <v>635.6889</v>
      </c>
      <c r="N51" s="79" t="n">
        <v>0</v>
      </c>
      <c r="O51" s="79" t="n">
        <v>25570.471</v>
      </c>
      <c r="P51" s="80"/>
      <c r="Q51" s="80" t="n">
        <v>75.5</v>
      </c>
      <c r="R51" s="47" t="n">
        <v>24</v>
      </c>
      <c r="S51" s="66" t="s">
        <v>292</v>
      </c>
    </row>
    <row r="52" customFormat="false" ht="15" hidden="false" customHeight="false" outlineLevel="0" collapsed="false">
      <c r="A52" s="76" t="s">
        <v>171</v>
      </c>
      <c r="B52" s="76" t="s">
        <v>213</v>
      </c>
      <c r="C52" s="77" t="n">
        <v>2026</v>
      </c>
      <c r="D52" s="77" t="n">
        <v>3</v>
      </c>
      <c r="E52" s="78" t="n">
        <v>46295</v>
      </c>
      <c r="F52" s="76" t="s">
        <v>214</v>
      </c>
      <c r="G52" s="76" t="s">
        <v>215</v>
      </c>
      <c r="H52" s="76" t="s">
        <v>216</v>
      </c>
      <c r="I52" s="79"/>
      <c r="J52" s="79"/>
      <c r="K52" s="79"/>
      <c r="L52" s="80" t="n">
        <v>20.84785</v>
      </c>
      <c r="M52" s="79"/>
      <c r="N52" s="79"/>
      <c r="O52" s="79"/>
      <c r="P52" s="80"/>
      <c r="Q52" s="80"/>
      <c r="R52" s="47" t="n">
        <v>0</v>
      </c>
      <c r="S52" s="66" t="s">
        <v>293</v>
      </c>
    </row>
    <row r="53" customFormat="false" ht="15" hidden="false" customHeight="false" outlineLevel="0" collapsed="false">
      <c r="A53" s="76" t="s">
        <v>171</v>
      </c>
      <c r="B53" s="76" t="s">
        <v>218</v>
      </c>
      <c r="C53" s="77" t="n">
        <v>2026</v>
      </c>
      <c r="D53" s="77" t="n">
        <v>2</v>
      </c>
      <c r="E53" s="78" t="n">
        <v>46203</v>
      </c>
      <c r="F53" s="76" t="s">
        <v>219</v>
      </c>
      <c r="G53" s="76" t="s">
        <v>220</v>
      </c>
      <c r="H53" s="76" t="s">
        <v>216</v>
      </c>
      <c r="I53" s="79" t="n">
        <v>82549.073</v>
      </c>
      <c r="J53" s="79" t="n">
        <v>65617.46</v>
      </c>
      <c r="K53" s="79" t="n">
        <v>50192038000</v>
      </c>
      <c r="L53" s="80" t="n">
        <v>14.66</v>
      </c>
      <c r="M53" s="79" t="n">
        <v>3450.2059</v>
      </c>
      <c r="N53" s="79" t="n">
        <v>0</v>
      </c>
      <c r="O53" s="79" t="n">
        <v>322560.603</v>
      </c>
      <c r="P53" s="80" t="n">
        <v>0</v>
      </c>
      <c r="Q53" s="80" t="n">
        <v>452.5</v>
      </c>
      <c r="R53" s="47" t="n">
        <v>1</v>
      </c>
      <c r="S53" s="66" t="s">
        <v>294</v>
      </c>
    </row>
    <row r="54" customFormat="false" ht="15" hidden="false" customHeight="false" outlineLevel="0" collapsed="false">
      <c r="A54" s="76" t="s">
        <v>171</v>
      </c>
      <c r="B54" s="76" t="s">
        <v>222</v>
      </c>
      <c r="C54" s="77" t="n">
        <v>2026</v>
      </c>
      <c r="D54" s="77" t="n">
        <v>1</v>
      </c>
      <c r="E54" s="78" t="n">
        <v>46112</v>
      </c>
      <c r="F54" s="76" t="s">
        <v>219</v>
      </c>
      <c r="G54" s="76" t="s">
        <v>220</v>
      </c>
      <c r="H54" s="76" t="s">
        <v>216</v>
      </c>
      <c r="I54" s="79" t="n">
        <v>49086.932</v>
      </c>
      <c r="J54" s="79" t="n">
        <v>33325.482</v>
      </c>
      <c r="K54" s="79" t="n">
        <v>26059487000</v>
      </c>
      <c r="L54" s="80" t="n">
        <v>8.41</v>
      </c>
      <c r="M54" s="79" t="n">
        <v>3098.6279</v>
      </c>
      <c r="N54" s="79" t="n">
        <v>0</v>
      </c>
      <c r="O54" s="79" t="n">
        <v>192900.167</v>
      </c>
      <c r="P54" s="80" t="n">
        <v>0</v>
      </c>
      <c r="Q54" s="80" t="n">
        <v>198.5</v>
      </c>
      <c r="R54" s="47" t="n">
        <v>2</v>
      </c>
      <c r="S54" s="66" t="s">
        <v>295</v>
      </c>
    </row>
    <row r="55" customFormat="false" ht="15" hidden="false" customHeight="false" outlineLevel="0" collapsed="false">
      <c r="A55" s="76" t="s">
        <v>171</v>
      </c>
      <c r="B55" s="76" t="s">
        <v>224</v>
      </c>
      <c r="C55" s="77" t="n">
        <v>2025</v>
      </c>
      <c r="D55" s="77" t="n">
        <v>4</v>
      </c>
      <c r="E55" s="78" t="n">
        <v>46022</v>
      </c>
      <c r="F55" s="76" t="s">
        <v>219</v>
      </c>
      <c r="G55" s="76" t="s">
        <v>220</v>
      </c>
      <c r="H55" s="76" t="s">
        <v>216</v>
      </c>
      <c r="I55" s="79" t="n">
        <v>30093.618</v>
      </c>
      <c r="J55" s="79" t="n">
        <v>14760.844</v>
      </c>
      <c r="K55" s="79" t="n">
        <v>11093190000</v>
      </c>
      <c r="L55" s="80" t="n">
        <v>3.58</v>
      </c>
      <c r="M55" s="79" t="n">
        <v>3098.6279</v>
      </c>
      <c r="N55" s="79" t="n">
        <v>0</v>
      </c>
      <c r="O55" s="79" t="n">
        <v>170399.852</v>
      </c>
      <c r="P55" s="80" t="n">
        <v>0</v>
      </c>
      <c r="Q55" s="80" t="n">
        <v>193</v>
      </c>
      <c r="R55" s="47" t="n">
        <v>3</v>
      </c>
      <c r="S55" s="66" t="s">
        <v>296</v>
      </c>
    </row>
    <row r="56" customFormat="false" ht="15" hidden="false" customHeight="false" outlineLevel="0" collapsed="false">
      <c r="A56" s="76" t="s">
        <v>171</v>
      </c>
      <c r="B56" s="76" t="s">
        <v>226</v>
      </c>
      <c r="C56" s="77" t="n">
        <v>2025</v>
      </c>
      <c r="D56" s="77" t="n">
        <v>3</v>
      </c>
      <c r="E56" s="78" t="n">
        <v>45930</v>
      </c>
      <c r="F56" s="76" t="s">
        <v>219</v>
      </c>
      <c r="G56" s="76" t="s">
        <v>220</v>
      </c>
      <c r="H56" s="76" t="s">
        <v>216</v>
      </c>
      <c r="I56" s="79" t="n">
        <v>18778.868</v>
      </c>
      <c r="J56" s="79" t="n">
        <v>3463.871</v>
      </c>
      <c r="K56" s="79" t="n">
        <v>1563334000</v>
      </c>
      <c r="L56" s="80" t="n">
        <v>0.5</v>
      </c>
      <c r="M56" s="79" t="n">
        <v>3098.6279</v>
      </c>
      <c r="N56" s="79" t="n">
        <v>0</v>
      </c>
      <c r="O56" s="79" t="n">
        <v>157342.861</v>
      </c>
      <c r="P56" s="80" t="n">
        <v>0</v>
      </c>
      <c r="Q56" s="80" t="n">
        <v>73</v>
      </c>
      <c r="R56" s="47" t="n">
        <v>4</v>
      </c>
      <c r="S56" s="66" t="s">
        <v>297</v>
      </c>
    </row>
    <row r="57" customFormat="false" ht="15" hidden="false" customHeight="false" outlineLevel="0" collapsed="false">
      <c r="A57" s="76" t="s">
        <v>171</v>
      </c>
      <c r="B57" s="76" t="s">
        <v>228</v>
      </c>
      <c r="C57" s="77" t="n">
        <v>2025</v>
      </c>
      <c r="D57" s="77" t="n">
        <v>2</v>
      </c>
      <c r="E57" s="78" t="n">
        <v>45838</v>
      </c>
      <c r="F57" s="76" t="s">
        <v>219</v>
      </c>
      <c r="G57" s="76" t="s">
        <v>220</v>
      </c>
      <c r="H57" s="76" t="s">
        <v>216</v>
      </c>
      <c r="I57" s="79" t="n">
        <v>10526.094</v>
      </c>
      <c r="J57" s="79" t="n">
        <v>-2163.843</v>
      </c>
      <c r="K57" s="79" t="n">
        <v>-4102113000</v>
      </c>
      <c r="L57" s="80" t="n">
        <v>-1.32</v>
      </c>
      <c r="M57" s="79" t="n">
        <v>3098.6279</v>
      </c>
      <c r="N57" s="79" t="n">
        <v>0</v>
      </c>
      <c r="O57" s="79" t="n">
        <v>154665.851</v>
      </c>
      <c r="P57" s="80" t="n">
        <v>0</v>
      </c>
      <c r="Q57" s="80" t="n">
        <v>51.2</v>
      </c>
      <c r="R57" s="47" t="n">
        <v>5</v>
      </c>
      <c r="S57" s="66" t="s">
        <v>298</v>
      </c>
    </row>
    <row r="58" customFormat="false" ht="15" hidden="false" customHeight="false" outlineLevel="0" collapsed="false">
      <c r="A58" s="76" t="s">
        <v>171</v>
      </c>
      <c r="B58" s="76" t="s">
        <v>230</v>
      </c>
      <c r="C58" s="77" t="n">
        <v>2025</v>
      </c>
      <c r="D58" s="77" t="n">
        <v>1</v>
      </c>
      <c r="E58" s="78" t="n">
        <v>45747</v>
      </c>
      <c r="F58" s="76" t="s">
        <v>219</v>
      </c>
      <c r="G58" s="76" t="s">
        <v>220</v>
      </c>
      <c r="H58" s="76" t="s">
        <v>216</v>
      </c>
      <c r="I58" s="79" t="n">
        <v>7187.94</v>
      </c>
      <c r="J58" s="79" t="n">
        <v>-1074.672</v>
      </c>
      <c r="K58" s="79" t="n">
        <v>-1940639000</v>
      </c>
      <c r="L58" s="80" t="n">
        <v>-0.63</v>
      </c>
      <c r="M58" s="79" t="n">
        <v>3098.6279</v>
      </c>
      <c r="N58" s="79" t="n">
        <v>0</v>
      </c>
      <c r="O58" s="79" t="n">
        <v>163871.441</v>
      </c>
      <c r="P58" s="80" t="n">
        <v>0</v>
      </c>
      <c r="Q58" s="80" t="n">
        <v>37.4</v>
      </c>
      <c r="R58" s="47" t="n">
        <v>6</v>
      </c>
      <c r="S58" s="66" t="s">
        <v>299</v>
      </c>
    </row>
    <row r="59" customFormat="false" ht="15" hidden="false" customHeight="false" outlineLevel="0" collapsed="false">
      <c r="A59" s="76" t="s">
        <v>171</v>
      </c>
      <c r="B59" s="76" t="s">
        <v>232</v>
      </c>
      <c r="C59" s="77" t="n">
        <v>2024</v>
      </c>
      <c r="D59" s="77" t="n">
        <v>4</v>
      </c>
      <c r="E59" s="78" t="n">
        <v>45657</v>
      </c>
      <c r="F59" s="76" t="s">
        <v>219</v>
      </c>
      <c r="G59" s="76" t="s">
        <v>220</v>
      </c>
      <c r="H59" s="76" t="s">
        <v>216</v>
      </c>
      <c r="I59" s="79" t="n">
        <v>6575.094</v>
      </c>
      <c r="J59" s="79" t="n">
        <v>-694.55</v>
      </c>
      <c r="K59" s="79" t="n">
        <v>-1573687000</v>
      </c>
      <c r="L59" s="80" t="n">
        <v>-0.51</v>
      </c>
      <c r="M59" s="79" t="n">
        <v>3098.6279</v>
      </c>
      <c r="N59" s="79" t="n">
        <v>0</v>
      </c>
      <c r="O59" s="79" t="n">
        <v>165053.275</v>
      </c>
      <c r="P59" s="80" t="n">
        <v>0</v>
      </c>
      <c r="Q59" s="80" t="n">
        <v>29.25</v>
      </c>
      <c r="R59" s="47" t="n">
        <v>7</v>
      </c>
      <c r="S59" s="66" t="s">
        <v>300</v>
      </c>
    </row>
    <row r="60" customFormat="false" ht="15" hidden="false" customHeight="false" outlineLevel="0" collapsed="false">
      <c r="A60" s="76" t="s">
        <v>171</v>
      </c>
      <c r="B60" s="76" t="s">
        <v>234</v>
      </c>
      <c r="C60" s="77" t="n">
        <v>2024</v>
      </c>
      <c r="D60" s="77" t="n">
        <v>3</v>
      </c>
      <c r="E60" s="78" t="n">
        <v>45565</v>
      </c>
      <c r="F60" s="76" t="s">
        <v>219</v>
      </c>
      <c r="G60" s="76" t="s">
        <v>220</v>
      </c>
      <c r="H60" s="76" t="s">
        <v>216</v>
      </c>
      <c r="I60" s="79" t="n">
        <v>8132.593</v>
      </c>
      <c r="J60" s="79" t="n">
        <v>263.625</v>
      </c>
      <c r="K60" s="79" t="n">
        <v>-1486690000</v>
      </c>
      <c r="L60" s="80" t="n">
        <v>-0.48</v>
      </c>
      <c r="M60" s="79" t="n">
        <v>3098.6279</v>
      </c>
      <c r="N60" s="79" t="n">
        <v>0</v>
      </c>
      <c r="O60" s="79" t="n">
        <v>164753.756</v>
      </c>
      <c r="P60" s="80" t="n">
        <v>0</v>
      </c>
      <c r="Q60" s="80" t="n">
        <v>47.35</v>
      </c>
      <c r="R60" s="47" t="n">
        <v>8</v>
      </c>
      <c r="S60" s="66" t="s">
        <v>301</v>
      </c>
    </row>
    <row r="61" customFormat="false" ht="15" hidden="false" customHeight="false" outlineLevel="0" collapsed="false">
      <c r="A61" s="76" t="s">
        <v>171</v>
      </c>
      <c r="B61" s="76" t="s">
        <v>236</v>
      </c>
      <c r="C61" s="77" t="n">
        <v>2024</v>
      </c>
      <c r="D61" s="77" t="n">
        <v>2</v>
      </c>
      <c r="E61" s="78" t="n">
        <v>45473</v>
      </c>
      <c r="F61" s="76" t="s">
        <v>219</v>
      </c>
      <c r="G61" s="76" t="s">
        <v>220</v>
      </c>
      <c r="H61" s="76" t="s">
        <v>216</v>
      </c>
      <c r="I61" s="79" t="n">
        <v>9921.043</v>
      </c>
      <c r="J61" s="79" t="n">
        <v>286.964</v>
      </c>
      <c r="K61" s="79" t="n">
        <v>-814485000</v>
      </c>
      <c r="L61" s="80" t="n">
        <v>-0.26</v>
      </c>
      <c r="M61" s="79"/>
      <c r="N61" s="79"/>
      <c r="O61" s="79"/>
      <c r="P61" s="80" t="n">
        <v>0</v>
      </c>
      <c r="Q61" s="80" t="n">
        <v>69.7</v>
      </c>
      <c r="R61" s="47" t="n">
        <v>9</v>
      </c>
      <c r="S61" s="66" t="s">
        <v>302</v>
      </c>
    </row>
    <row r="62" customFormat="false" ht="15" hidden="false" customHeight="false" outlineLevel="0" collapsed="false">
      <c r="A62" s="76" t="s">
        <v>171</v>
      </c>
      <c r="B62" s="76" t="s">
        <v>238</v>
      </c>
      <c r="C62" s="77" t="n">
        <v>2024</v>
      </c>
      <c r="D62" s="77" t="n">
        <v>1</v>
      </c>
      <c r="E62" s="78" t="n">
        <v>45382</v>
      </c>
      <c r="F62" s="76" t="s">
        <v>219</v>
      </c>
      <c r="G62" s="76" t="s">
        <v>220</v>
      </c>
      <c r="H62" s="76" t="s">
        <v>216</v>
      </c>
      <c r="I62" s="79" t="n">
        <v>9502.937</v>
      </c>
      <c r="J62" s="79" t="n">
        <v>-276.624</v>
      </c>
      <c r="K62" s="79" t="n">
        <v>-1208488000</v>
      </c>
      <c r="L62" s="80" t="n">
        <v>-0.39</v>
      </c>
      <c r="M62" s="79" t="n">
        <v>3098.2509</v>
      </c>
      <c r="N62" s="79" t="n">
        <v>0</v>
      </c>
      <c r="O62" s="79" t="n">
        <v>167821.174</v>
      </c>
      <c r="P62" s="80" t="n">
        <v>0</v>
      </c>
      <c r="Q62" s="80" t="n">
        <v>67.7</v>
      </c>
      <c r="R62" s="47" t="n">
        <v>10</v>
      </c>
      <c r="S62" s="66" t="s">
        <v>303</v>
      </c>
    </row>
    <row r="63" customFormat="false" ht="15" hidden="false" customHeight="false" outlineLevel="0" collapsed="false">
      <c r="A63" s="76" t="s">
        <v>171</v>
      </c>
      <c r="B63" s="76" t="s">
        <v>240</v>
      </c>
      <c r="C63" s="77" t="n">
        <v>2023</v>
      </c>
      <c r="D63" s="77" t="n">
        <v>4</v>
      </c>
      <c r="E63" s="78" t="n">
        <v>45291</v>
      </c>
      <c r="F63" s="76" t="s">
        <v>219</v>
      </c>
      <c r="G63" s="76" t="s">
        <v>220</v>
      </c>
      <c r="H63" s="76" t="s">
        <v>216</v>
      </c>
      <c r="I63" s="79" t="n">
        <v>8703.978</v>
      </c>
      <c r="J63" s="79" t="n">
        <v>-1187.708</v>
      </c>
      <c r="K63" s="79" t="n">
        <v>-2479502000</v>
      </c>
      <c r="L63" s="80" t="n">
        <v>-0.8</v>
      </c>
      <c r="M63" s="79" t="n">
        <v>3098.1209</v>
      </c>
      <c r="N63" s="79" t="n">
        <v>0</v>
      </c>
      <c r="O63" s="79" t="n">
        <v>166924.155</v>
      </c>
      <c r="P63" s="80" t="n">
        <v>0</v>
      </c>
      <c r="Q63" s="80" t="n">
        <v>78</v>
      </c>
      <c r="R63" s="47" t="n">
        <v>11</v>
      </c>
      <c r="S63" s="66" t="s">
        <v>304</v>
      </c>
    </row>
    <row r="64" customFormat="false" ht="15" hidden="false" customHeight="false" outlineLevel="0" collapsed="false">
      <c r="A64" s="76" t="s">
        <v>171</v>
      </c>
      <c r="B64" s="76" t="s">
        <v>242</v>
      </c>
      <c r="C64" s="77" t="n">
        <v>2023</v>
      </c>
      <c r="D64" s="77" t="n">
        <v>3</v>
      </c>
      <c r="E64" s="78" t="n">
        <v>45199</v>
      </c>
      <c r="F64" s="76" t="s">
        <v>219</v>
      </c>
      <c r="G64" s="76" t="s">
        <v>220</v>
      </c>
      <c r="H64" s="76" t="s">
        <v>216</v>
      </c>
      <c r="I64" s="79" t="n">
        <v>7736.374</v>
      </c>
      <c r="J64" s="79" t="n">
        <v>-1952.67</v>
      </c>
      <c r="K64" s="79" t="n">
        <v>-2504571000</v>
      </c>
      <c r="L64" s="80" t="n">
        <v>-0.81</v>
      </c>
      <c r="M64" s="79" t="n">
        <v>3098.0689</v>
      </c>
      <c r="N64" s="79" t="n">
        <v>0</v>
      </c>
      <c r="O64" s="79" t="n">
        <v>172009.061</v>
      </c>
      <c r="P64" s="80" t="n">
        <v>0</v>
      </c>
      <c r="Q64" s="80" t="n">
        <v>65.6</v>
      </c>
      <c r="R64" s="47" t="n">
        <v>12</v>
      </c>
      <c r="S64" s="66" t="s">
        <v>305</v>
      </c>
    </row>
    <row r="65" customFormat="false" ht="15" hidden="false" customHeight="false" outlineLevel="0" collapsed="false">
      <c r="A65" s="76" t="s">
        <v>171</v>
      </c>
      <c r="B65" s="76" t="s">
        <v>244</v>
      </c>
      <c r="C65" s="77" t="n">
        <v>2023</v>
      </c>
      <c r="D65" s="77" t="n">
        <v>2</v>
      </c>
      <c r="E65" s="78" t="n">
        <v>45107</v>
      </c>
      <c r="F65" s="76" t="s">
        <v>219</v>
      </c>
      <c r="G65" s="76" t="s">
        <v>220</v>
      </c>
      <c r="H65" s="76" t="s">
        <v>216</v>
      </c>
      <c r="I65" s="79" t="n">
        <v>7027.071</v>
      </c>
      <c r="J65" s="79" t="n">
        <v>-788.302</v>
      </c>
      <c r="K65" s="79" t="n">
        <v>-770874000</v>
      </c>
      <c r="L65" s="80" t="n">
        <v>-0.25</v>
      </c>
      <c r="M65" s="79" t="n">
        <v>3098.0429</v>
      </c>
      <c r="N65" s="79" t="n">
        <v>0</v>
      </c>
      <c r="O65" s="79" t="n">
        <v>172633.829</v>
      </c>
      <c r="P65" s="80" t="n">
        <v>2.13036346</v>
      </c>
      <c r="Q65" s="80" t="n">
        <v>70.8</v>
      </c>
      <c r="R65" s="47" t="n">
        <v>13</v>
      </c>
      <c r="S65" s="66" t="s">
        <v>306</v>
      </c>
    </row>
    <row r="66" customFormat="false" ht="15" hidden="false" customHeight="false" outlineLevel="0" collapsed="false">
      <c r="A66" s="76" t="s">
        <v>171</v>
      </c>
      <c r="B66" s="76" t="s">
        <v>246</v>
      </c>
      <c r="C66" s="77" t="n">
        <v>2023</v>
      </c>
      <c r="D66" s="77" t="n">
        <v>1</v>
      </c>
      <c r="E66" s="78" t="n">
        <v>45016</v>
      </c>
      <c r="F66" s="76" t="s">
        <v>219</v>
      </c>
      <c r="G66" s="76" t="s">
        <v>220</v>
      </c>
      <c r="H66" s="76" t="s">
        <v>216</v>
      </c>
      <c r="I66" s="79" t="n">
        <v>6424.883</v>
      </c>
      <c r="J66" s="79" t="n">
        <v>-554.16</v>
      </c>
      <c r="K66" s="79" t="n">
        <v>-1684687000</v>
      </c>
      <c r="L66" s="80" t="n">
        <v>-0.54</v>
      </c>
      <c r="M66" s="79" t="n">
        <v>3098.0429</v>
      </c>
      <c r="N66" s="79" t="n">
        <v>0</v>
      </c>
      <c r="O66" s="79" t="n">
        <v>172301.376</v>
      </c>
      <c r="P66" s="80" t="n">
        <v>0</v>
      </c>
      <c r="Q66" s="80" t="n">
        <v>66.5</v>
      </c>
      <c r="R66" s="47" t="n">
        <v>14</v>
      </c>
      <c r="S66" s="66" t="s">
        <v>307</v>
      </c>
    </row>
    <row r="67" customFormat="false" ht="15" hidden="false" customHeight="false" outlineLevel="0" collapsed="false">
      <c r="A67" s="76" t="s">
        <v>171</v>
      </c>
      <c r="B67" s="76" t="s">
        <v>248</v>
      </c>
      <c r="C67" s="77" t="n">
        <v>2022</v>
      </c>
      <c r="D67" s="77" t="n">
        <v>4</v>
      </c>
      <c r="E67" s="78" t="n">
        <v>44926</v>
      </c>
      <c r="F67" s="76" t="s">
        <v>219</v>
      </c>
      <c r="G67" s="76" t="s">
        <v>220</v>
      </c>
      <c r="H67" s="76" t="s">
        <v>216</v>
      </c>
      <c r="I67" s="79" t="n">
        <v>7953.553</v>
      </c>
      <c r="J67" s="79" t="n">
        <v>1036.908</v>
      </c>
      <c r="K67" s="79" t="n">
        <v>-1146420000</v>
      </c>
      <c r="L67" s="80" t="n">
        <v>-0.37</v>
      </c>
      <c r="M67" s="79" t="n">
        <v>3098.0079</v>
      </c>
      <c r="N67" s="79" t="n">
        <v>0</v>
      </c>
      <c r="O67" s="79" t="n">
        <v>180958.05</v>
      </c>
      <c r="P67" s="80" t="n">
        <v>0</v>
      </c>
      <c r="Q67" s="80" t="n">
        <v>51.2</v>
      </c>
      <c r="R67" s="47" t="n">
        <v>15</v>
      </c>
      <c r="S67" s="66" t="s">
        <v>308</v>
      </c>
    </row>
    <row r="68" customFormat="false" ht="15" hidden="false" customHeight="false" outlineLevel="0" collapsed="false">
      <c r="A68" s="76" t="s">
        <v>171</v>
      </c>
      <c r="B68" s="76" t="s">
        <v>250</v>
      </c>
      <c r="C68" s="77" t="n">
        <v>2022</v>
      </c>
      <c r="D68" s="77" t="n">
        <v>3</v>
      </c>
      <c r="E68" s="78" t="n">
        <v>44834</v>
      </c>
      <c r="F68" s="76" t="s">
        <v>219</v>
      </c>
      <c r="G68" s="76" t="s">
        <v>220</v>
      </c>
      <c r="H68" s="76" t="s">
        <v>216</v>
      </c>
      <c r="I68" s="79" t="n">
        <v>11021.725</v>
      </c>
      <c r="J68" s="79" t="n">
        <v>3596.56</v>
      </c>
      <c r="K68" s="79" t="n">
        <v>2640591000</v>
      </c>
      <c r="L68" s="80" t="n">
        <v>0.85</v>
      </c>
      <c r="M68" s="79" t="n">
        <v>3097.6779</v>
      </c>
      <c r="N68" s="79" t="n">
        <v>0</v>
      </c>
      <c r="O68" s="79" t="n">
        <v>183672.406</v>
      </c>
      <c r="P68" s="80" t="n">
        <v>0</v>
      </c>
      <c r="Q68" s="80" t="n">
        <v>48.95</v>
      </c>
      <c r="R68" s="47" t="n">
        <v>16</v>
      </c>
      <c r="S68" s="66" t="s">
        <v>309</v>
      </c>
    </row>
    <row r="69" customFormat="false" ht="15" hidden="false" customHeight="false" outlineLevel="0" collapsed="false">
      <c r="A69" s="76" t="s">
        <v>171</v>
      </c>
      <c r="B69" s="76" t="s">
        <v>252</v>
      </c>
      <c r="C69" s="77" t="n">
        <v>2022</v>
      </c>
      <c r="D69" s="77" t="n">
        <v>2</v>
      </c>
      <c r="E69" s="78" t="n">
        <v>44742</v>
      </c>
      <c r="F69" s="76" t="s">
        <v>219</v>
      </c>
      <c r="G69" s="76" t="s">
        <v>220</v>
      </c>
      <c r="H69" s="76" t="s">
        <v>216</v>
      </c>
      <c r="I69" s="79" t="n">
        <v>18030.672</v>
      </c>
      <c r="J69" s="79" t="n">
        <v>7958.199</v>
      </c>
      <c r="K69" s="79" t="n">
        <v>6574723000</v>
      </c>
      <c r="L69" s="80" t="n">
        <v>2.12</v>
      </c>
      <c r="M69" s="79" t="n">
        <v>3097.1219</v>
      </c>
      <c r="N69" s="79" t="n">
        <v>0</v>
      </c>
      <c r="O69" s="79" t="n">
        <v>177797.022</v>
      </c>
      <c r="P69" s="80" t="n">
        <v>3.70281307</v>
      </c>
      <c r="Q69" s="80" t="n">
        <v>49.4</v>
      </c>
      <c r="R69" s="47" t="n">
        <v>17</v>
      </c>
      <c r="S69" s="66" t="s">
        <v>310</v>
      </c>
    </row>
    <row r="70" customFormat="false" ht="15" hidden="false" customHeight="false" outlineLevel="0" collapsed="false">
      <c r="A70" s="76" t="s">
        <v>171</v>
      </c>
      <c r="B70" s="76" t="s">
        <v>254</v>
      </c>
      <c r="C70" s="77" t="n">
        <v>2022</v>
      </c>
      <c r="D70" s="77" t="n">
        <v>1</v>
      </c>
      <c r="E70" s="78" t="n">
        <v>44651</v>
      </c>
      <c r="F70" s="76" t="s">
        <v>219</v>
      </c>
      <c r="G70" s="76" t="s">
        <v>220</v>
      </c>
      <c r="H70" s="76" t="s">
        <v>216</v>
      </c>
      <c r="I70" s="79" t="n">
        <v>19946.325</v>
      </c>
      <c r="J70" s="79" t="n">
        <v>8750.427</v>
      </c>
      <c r="K70" s="79" t="n">
        <v>6550137000</v>
      </c>
      <c r="L70" s="80" t="n">
        <v>2.11</v>
      </c>
      <c r="M70" s="79" t="n">
        <v>3097.0709</v>
      </c>
      <c r="N70" s="79" t="n">
        <v>0</v>
      </c>
      <c r="O70" s="79" t="n">
        <v>181014.516</v>
      </c>
      <c r="P70" s="80" t="n">
        <v>0</v>
      </c>
      <c r="Q70" s="80" t="n">
        <v>69.2</v>
      </c>
      <c r="R70" s="47" t="n">
        <v>18</v>
      </c>
      <c r="S70" s="66" t="s">
        <v>311</v>
      </c>
    </row>
    <row r="71" customFormat="false" ht="15" hidden="false" customHeight="false" outlineLevel="0" collapsed="false">
      <c r="A71" s="76" t="s">
        <v>171</v>
      </c>
      <c r="B71" s="76" t="s">
        <v>256</v>
      </c>
      <c r="C71" s="77" t="n">
        <v>2021</v>
      </c>
      <c r="D71" s="77" t="n">
        <v>4</v>
      </c>
      <c r="E71" s="78" t="n">
        <v>44561</v>
      </c>
      <c r="F71" s="76" t="s">
        <v>219</v>
      </c>
      <c r="G71" s="76" t="s">
        <v>220</v>
      </c>
      <c r="H71" s="76" t="s">
        <v>216</v>
      </c>
      <c r="I71" s="79" t="n">
        <v>21398.949</v>
      </c>
      <c r="J71" s="79" t="n">
        <v>10563.413</v>
      </c>
      <c r="K71" s="79" t="n">
        <v>6454120000</v>
      </c>
      <c r="L71" s="80" t="n">
        <v>2.09</v>
      </c>
      <c r="M71" s="79" t="n">
        <v>3096.8749</v>
      </c>
      <c r="N71" s="79" t="n">
        <v>0</v>
      </c>
      <c r="O71" s="79" t="n">
        <v>172978.068</v>
      </c>
      <c r="P71" s="80" t="n">
        <v>0</v>
      </c>
      <c r="Q71" s="80" t="n">
        <v>78.1</v>
      </c>
      <c r="R71" s="47" t="n">
        <v>19</v>
      </c>
      <c r="S71" s="66" t="s">
        <v>312</v>
      </c>
    </row>
    <row r="72" customFormat="false" ht="15" hidden="false" customHeight="false" outlineLevel="0" collapsed="false">
      <c r="A72" s="76" t="s">
        <v>171</v>
      </c>
      <c r="B72" s="76" t="s">
        <v>258</v>
      </c>
      <c r="C72" s="77" t="n">
        <v>2021</v>
      </c>
      <c r="D72" s="77" t="n">
        <v>3</v>
      </c>
      <c r="E72" s="78" t="n">
        <v>44469</v>
      </c>
      <c r="F72" s="76" t="s">
        <v>219</v>
      </c>
      <c r="G72" s="76" t="s">
        <v>220</v>
      </c>
      <c r="H72" s="76" t="s">
        <v>216</v>
      </c>
      <c r="I72" s="79" t="n">
        <v>23837.128</v>
      </c>
      <c r="J72" s="79" t="n">
        <v>11735.197</v>
      </c>
      <c r="K72" s="79" t="n">
        <v>7527195000</v>
      </c>
      <c r="L72" s="80" t="n">
        <v>2.44</v>
      </c>
      <c r="M72" s="79" t="n">
        <v>3097.0839</v>
      </c>
      <c r="N72" s="79" t="n">
        <v>6590000</v>
      </c>
      <c r="O72" s="79" t="n">
        <v>166512.713</v>
      </c>
      <c r="P72" s="80" t="n">
        <v>1.29660236</v>
      </c>
      <c r="Q72" s="80" t="n">
        <v>65.9</v>
      </c>
      <c r="R72" s="47" t="n">
        <v>20</v>
      </c>
      <c r="S72" s="66" t="s">
        <v>313</v>
      </c>
    </row>
    <row r="73" customFormat="false" ht="15" hidden="false" customHeight="false" outlineLevel="0" collapsed="false">
      <c r="A73" s="76" t="s">
        <v>171</v>
      </c>
      <c r="B73" s="76" t="s">
        <v>260</v>
      </c>
      <c r="C73" s="77" t="n">
        <v>2021</v>
      </c>
      <c r="D73" s="77" t="n">
        <v>2</v>
      </c>
      <c r="E73" s="78" t="n">
        <v>44377</v>
      </c>
      <c r="F73" s="76" t="s">
        <v>219</v>
      </c>
      <c r="G73" s="76" t="s">
        <v>220</v>
      </c>
      <c r="H73" s="76" t="s">
        <v>216</v>
      </c>
      <c r="I73" s="79" t="n">
        <v>22637.468</v>
      </c>
      <c r="J73" s="79" t="n">
        <v>9583.326</v>
      </c>
      <c r="K73" s="79" t="n">
        <v>6163367000</v>
      </c>
      <c r="L73" s="80" t="n">
        <v>2</v>
      </c>
      <c r="M73" s="79" t="n">
        <v>3097.0119</v>
      </c>
      <c r="N73" s="79" t="n">
        <v>12098000</v>
      </c>
      <c r="O73" s="79" t="n">
        <v>158647.283</v>
      </c>
      <c r="P73" s="80" t="n">
        <v>0</v>
      </c>
      <c r="Q73" s="80" t="n">
        <v>79.7</v>
      </c>
      <c r="R73" s="47" t="n">
        <v>21</v>
      </c>
      <c r="S73" s="66" t="s">
        <v>314</v>
      </c>
    </row>
    <row r="74" customFormat="false" ht="15" hidden="false" customHeight="false" outlineLevel="0" collapsed="false">
      <c r="A74" s="76" t="s">
        <v>171</v>
      </c>
      <c r="B74" s="76" t="s">
        <v>262</v>
      </c>
      <c r="C74" s="77" t="n">
        <v>2021</v>
      </c>
      <c r="D74" s="77" t="n">
        <v>1</v>
      </c>
      <c r="E74" s="78" t="n">
        <v>44286</v>
      </c>
      <c r="F74" s="76" t="s">
        <v>219</v>
      </c>
      <c r="G74" s="76" t="s">
        <v>220</v>
      </c>
      <c r="H74" s="76" t="s">
        <v>216</v>
      </c>
      <c r="I74" s="79" t="n">
        <v>17730.613</v>
      </c>
      <c r="J74" s="79" t="n">
        <v>5162.012</v>
      </c>
      <c r="K74" s="79" t="n">
        <v>2704333000</v>
      </c>
      <c r="L74" s="80" t="n">
        <v>0.88</v>
      </c>
      <c r="M74" s="79" t="n">
        <v>3096.4349</v>
      </c>
      <c r="N74" s="79" t="n">
        <v>12098000</v>
      </c>
      <c r="O74" s="79" t="n">
        <v>157319.61</v>
      </c>
      <c r="P74" s="80" t="n">
        <v>0</v>
      </c>
      <c r="Q74" s="80" t="n">
        <v>91.9</v>
      </c>
      <c r="R74" s="47" t="n">
        <v>22</v>
      </c>
      <c r="S74" s="66" t="s">
        <v>315</v>
      </c>
    </row>
    <row r="75" customFormat="false" ht="15" hidden="false" customHeight="false" outlineLevel="0" collapsed="false">
      <c r="A75" s="76" t="s">
        <v>171</v>
      </c>
      <c r="B75" s="76" t="s">
        <v>264</v>
      </c>
      <c r="C75" s="77" t="n">
        <v>2020</v>
      </c>
      <c r="D75" s="77" t="n">
        <v>4</v>
      </c>
      <c r="E75" s="78" t="n">
        <v>44196</v>
      </c>
      <c r="F75" s="76" t="s">
        <v>219</v>
      </c>
      <c r="G75" s="76" t="s">
        <v>220</v>
      </c>
      <c r="H75" s="76" t="s">
        <v>216</v>
      </c>
      <c r="I75" s="79" t="n">
        <v>14773.42</v>
      </c>
      <c r="J75" s="79" t="n">
        <v>3251.465</v>
      </c>
      <c r="K75" s="79" t="n">
        <v>924149000</v>
      </c>
      <c r="L75" s="80" t="n">
        <v>0.3</v>
      </c>
      <c r="M75" s="79" t="n">
        <v>3093.5939</v>
      </c>
      <c r="N75" s="79" t="n">
        <v>20000000</v>
      </c>
      <c r="O75" s="79" t="n">
        <v>153812.027</v>
      </c>
      <c r="P75" s="80" t="n">
        <v>0</v>
      </c>
      <c r="Q75" s="80" t="n">
        <v>86.8</v>
      </c>
      <c r="R75" s="47" t="n">
        <v>23</v>
      </c>
      <c r="S75" s="66" t="s">
        <v>316</v>
      </c>
    </row>
    <row r="76" customFormat="false" ht="15" hidden="false" customHeight="false" outlineLevel="0" collapsed="false">
      <c r="A76" s="76" t="s">
        <v>171</v>
      </c>
      <c r="B76" s="76" t="s">
        <v>266</v>
      </c>
      <c r="C76" s="77" t="n">
        <v>2020</v>
      </c>
      <c r="D76" s="77" t="n">
        <v>3</v>
      </c>
      <c r="E76" s="78" t="n">
        <v>44104</v>
      </c>
      <c r="F76" s="76" t="s">
        <v>219</v>
      </c>
      <c r="G76" s="76" t="s">
        <v>220</v>
      </c>
      <c r="H76" s="76" t="s">
        <v>216</v>
      </c>
      <c r="I76" s="79" t="n">
        <v>15323.867</v>
      </c>
      <c r="J76" s="79" t="n">
        <v>3961.743</v>
      </c>
      <c r="K76" s="79" t="n">
        <v>1613376000</v>
      </c>
      <c r="L76" s="80" t="n">
        <v>0.53</v>
      </c>
      <c r="M76" s="79" t="n">
        <v>3092.6119</v>
      </c>
      <c r="N76" s="79" t="n">
        <v>20000000</v>
      </c>
      <c r="O76" s="79" t="n">
        <v>153398.569</v>
      </c>
      <c r="P76" s="80"/>
      <c r="Q76" s="80" t="n">
        <v>57.5</v>
      </c>
      <c r="R76" s="47" t="n">
        <v>24</v>
      </c>
      <c r="S76" s="66" t="s">
        <v>317</v>
      </c>
    </row>
    <row r="77" customFormat="false" ht="15" hidden="false" customHeight="false" outlineLevel="0" collapsed="false">
      <c r="A77" s="76" t="s">
        <v>179</v>
      </c>
      <c r="B77" s="76" t="s">
        <v>213</v>
      </c>
      <c r="C77" s="77" t="n">
        <v>2026</v>
      </c>
      <c r="D77" s="77" t="n">
        <v>3</v>
      </c>
      <c r="E77" s="78" t="n">
        <v>46295</v>
      </c>
      <c r="F77" s="76" t="s">
        <v>214</v>
      </c>
      <c r="G77" s="76" t="s">
        <v>215</v>
      </c>
      <c r="H77" s="76" t="s">
        <v>216</v>
      </c>
      <c r="I77" s="79"/>
      <c r="J77" s="79"/>
      <c r="K77" s="79"/>
      <c r="L77" s="80" t="n">
        <v>1.43429</v>
      </c>
      <c r="M77" s="79"/>
      <c r="N77" s="79"/>
      <c r="O77" s="79"/>
      <c r="P77" s="80"/>
      <c r="Q77" s="80"/>
      <c r="R77" s="47" t="n">
        <v>0</v>
      </c>
      <c r="S77" s="66" t="s">
        <v>318</v>
      </c>
    </row>
    <row r="78" customFormat="false" ht="15" hidden="false" customHeight="false" outlineLevel="0" collapsed="false">
      <c r="A78" s="76" t="s">
        <v>179</v>
      </c>
      <c r="B78" s="76" t="s">
        <v>218</v>
      </c>
      <c r="C78" s="77" t="n">
        <v>2026</v>
      </c>
      <c r="D78" s="77" t="n">
        <v>2</v>
      </c>
      <c r="E78" s="78" t="n">
        <v>46203</v>
      </c>
      <c r="F78" s="76" t="s">
        <v>219</v>
      </c>
      <c r="G78" s="76" t="s">
        <v>220</v>
      </c>
      <c r="H78" s="76" t="s">
        <v>216</v>
      </c>
      <c r="I78" s="79" t="n">
        <v>965.373</v>
      </c>
      <c r="J78" s="79" t="n">
        <v>372.706</v>
      </c>
      <c r="K78" s="79" t="n">
        <v>213588000</v>
      </c>
      <c r="L78" s="80" t="n">
        <v>1.15</v>
      </c>
      <c r="M78" s="79" t="n">
        <v>184.9059</v>
      </c>
      <c r="N78" s="79" t="n">
        <v>0</v>
      </c>
      <c r="O78" s="79" t="n">
        <v>3693.109</v>
      </c>
      <c r="P78" s="80" t="n">
        <v>2.62055653</v>
      </c>
      <c r="Q78" s="80" t="n">
        <v>347</v>
      </c>
      <c r="R78" s="47" t="n">
        <v>1</v>
      </c>
      <c r="S78" s="66" t="s">
        <v>319</v>
      </c>
    </row>
    <row r="79" customFormat="false" ht="15" hidden="false" customHeight="false" outlineLevel="0" collapsed="false">
      <c r="A79" s="76" t="s">
        <v>179</v>
      </c>
      <c r="B79" s="76" t="s">
        <v>222</v>
      </c>
      <c r="C79" s="77" t="n">
        <v>2026</v>
      </c>
      <c r="D79" s="77" t="n">
        <v>1</v>
      </c>
      <c r="E79" s="78" t="n">
        <v>46112</v>
      </c>
      <c r="F79" s="76" t="s">
        <v>219</v>
      </c>
      <c r="G79" s="76" t="s">
        <v>220</v>
      </c>
      <c r="H79" s="76" t="s">
        <v>216</v>
      </c>
      <c r="I79" s="79" t="n">
        <v>959.31</v>
      </c>
      <c r="J79" s="79" t="n">
        <v>365.431</v>
      </c>
      <c r="K79" s="79" t="n">
        <v>195085000</v>
      </c>
      <c r="L79" s="80" t="n">
        <v>1.06</v>
      </c>
      <c r="M79" s="79" t="n">
        <v>184.9059</v>
      </c>
      <c r="N79" s="79" t="n">
        <v>0</v>
      </c>
      <c r="O79" s="79" t="n">
        <v>3667.225</v>
      </c>
      <c r="P79" s="80" t="n">
        <v>0</v>
      </c>
      <c r="Q79" s="80" t="n">
        <v>246.5</v>
      </c>
      <c r="R79" s="47" t="n">
        <v>2</v>
      </c>
      <c r="S79" s="66" t="s">
        <v>320</v>
      </c>
    </row>
    <row r="80" customFormat="false" ht="15" hidden="false" customHeight="false" outlineLevel="0" collapsed="false">
      <c r="A80" s="76" t="s">
        <v>179</v>
      </c>
      <c r="B80" s="76" t="s">
        <v>224</v>
      </c>
      <c r="C80" s="77" t="n">
        <v>2025</v>
      </c>
      <c r="D80" s="77" t="n">
        <v>4</v>
      </c>
      <c r="E80" s="78" t="n">
        <v>46022</v>
      </c>
      <c r="F80" s="76" t="s">
        <v>219</v>
      </c>
      <c r="G80" s="76" t="s">
        <v>220</v>
      </c>
      <c r="H80" s="76" t="s">
        <v>216</v>
      </c>
      <c r="I80" s="79" t="n">
        <v>959.589</v>
      </c>
      <c r="J80" s="79" t="n">
        <v>357.593</v>
      </c>
      <c r="K80" s="79" t="n">
        <v>193882000</v>
      </c>
      <c r="L80" s="80" t="n">
        <v>1.05</v>
      </c>
      <c r="M80" s="79" t="n">
        <v>184.9059</v>
      </c>
      <c r="N80" s="79" t="n">
        <v>0</v>
      </c>
      <c r="O80" s="79" t="n">
        <v>3294.696</v>
      </c>
      <c r="P80" s="80" t="n">
        <v>0</v>
      </c>
      <c r="Q80" s="80" t="n">
        <v>151.5</v>
      </c>
      <c r="R80" s="47" t="n">
        <v>3</v>
      </c>
      <c r="S80" s="66" t="s">
        <v>321</v>
      </c>
    </row>
    <row r="81" customFormat="false" ht="15" hidden="false" customHeight="false" outlineLevel="0" collapsed="false">
      <c r="A81" s="76" t="s">
        <v>179</v>
      </c>
      <c r="B81" s="76" t="s">
        <v>226</v>
      </c>
      <c r="C81" s="77" t="n">
        <v>2025</v>
      </c>
      <c r="D81" s="77" t="n">
        <v>3</v>
      </c>
      <c r="E81" s="78" t="n">
        <v>45930</v>
      </c>
      <c r="F81" s="76" t="s">
        <v>219</v>
      </c>
      <c r="G81" s="76" t="s">
        <v>220</v>
      </c>
      <c r="H81" s="76" t="s">
        <v>216</v>
      </c>
      <c r="I81" s="79" t="n">
        <v>912.804</v>
      </c>
      <c r="J81" s="79" t="n">
        <v>299.917</v>
      </c>
      <c r="K81" s="79" t="n">
        <v>160464000</v>
      </c>
      <c r="L81" s="80" t="n">
        <v>0.86</v>
      </c>
      <c r="M81" s="79" t="n">
        <v>184.9059</v>
      </c>
      <c r="N81" s="79" t="n">
        <v>0</v>
      </c>
      <c r="O81" s="79" t="n">
        <v>3104.723</v>
      </c>
      <c r="P81" s="80" t="n">
        <v>0</v>
      </c>
      <c r="Q81" s="80" t="n">
        <v>161</v>
      </c>
      <c r="R81" s="47" t="n">
        <v>4</v>
      </c>
      <c r="S81" s="66" t="s">
        <v>322</v>
      </c>
    </row>
    <row r="82" customFormat="false" ht="15" hidden="false" customHeight="false" outlineLevel="0" collapsed="false">
      <c r="A82" s="76" t="s">
        <v>179</v>
      </c>
      <c r="B82" s="76" t="s">
        <v>228</v>
      </c>
      <c r="C82" s="77" t="n">
        <v>2025</v>
      </c>
      <c r="D82" s="77" t="n">
        <v>2</v>
      </c>
      <c r="E82" s="78" t="n">
        <v>45838</v>
      </c>
      <c r="F82" s="76" t="s">
        <v>219</v>
      </c>
      <c r="G82" s="76" t="s">
        <v>220</v>
      </c>
      <c r="H82" s="76" t="s">
        <v>216</v>
      </c>
      <c r="I82" s="79" t="n">
        <v>714.087</v>
      </c>
      <c r="J82" s="79" t="n">
        <v>245.545</v>
      </c>
      <c r="K82" s="79" t="n">
        <v>36309000</v>
      </c>
      <c r="L82" s="80" t="n">
        <v>0.2</v>
      </c>
      <c r="M82" s="79" t="n">
        <v>184.9059</v>
      </c>
      <c r="N82" s="79" t="n">
        <v>1012000</v>
      </c>
      <c r="O82" s="79" t="n">
        <v>2832.433</v>
      </c>
      <c r="P82" s="80" t="n">
        <v>3.21761015</v>
      </c>
      <c r="Q82" s="80" t="n">
        <v>125</v>
      </c>
      <c r="R82" s="47" t="n">
        <v>5</v>
      </c>
      <c r="S82" s="66" t="s">
        <v>323</v>
      </c>
    </row>
    <row r="83" customFormat="false" ht="15" hidden="false" customHeight="false" outlineLevel="0" collapsed="false">
      <c r="A83" s="76" t="s">
        <v>179</v>
      </c>
      <c r="B83" s="76" t="s">
        <v>230</v>
      </c>
      <c r="C83" s="77" t="n">
        <v>2025</v>
      </c>
      <c r="D83" s="77" t="n">
        <v>1</v>
      </c>
      <c r="E83" s="78" t="n">
        <v>45747</v>
      </c>
      <c r="F83" s="76" t="s">
        <v>219</v>
      </c>
      <c r="G83" s="76" t="s">
        <v>220</v>
      </c>
      <c r="H83" s="76" t="s">
        <v>216</v>
      </c>
      <c r="I83" s="79" t="n">
        <v>793.663</v>
      </c>
      <c r="J83" s="79" t="n">
        <v>316.671</v>
      </c>
      <c r="K83" s="79" t="n">
        <v>157287000</v>
      </c>
      <c r="L83" s="80" t="n">
        <v>0.85</v>
      </c>
      <c r="M83" s="79" t="n">
        <v>184.9059</v>
      </c>
      <c r="N83" s="79" t="n">
        <v>0</v>
      </c>
      <c r="O83" s="79" t="n">
        <v>3486.629</v>
      </c>
      <c r="P83" s="80" t="n">
        <v>0</v>
      </c>
      <c r="Q83" s="80" t="n">
        <v>113.5</v>
      </c>
      <c r="R83" s="47" t="n">
        <v>6</v>
      </c>
      <c r="S83" s="66" t="s">
        <v>324</v>
      </c>
    </row>
    <row r="84" customFormat="false" ht="15" hidden="false" customHeight="false" outlineLevel="0" collapsed="false">
      <c r="A84" s="76" t="s">
        <v>179</v>
      </c>
      <c r="B84" s="76" t="s">
        <v>232</v>
      </c>
      <c r="C84" s="77" t="n">
        <v>2024</v>
      </c>
      <c r="D84" s="77" t="n">
        <v>4</v>
      </c>
      <c r="E84" s="78" t="n">
        <v>45657</v>
      </c>
      <c r="F84" s="76" t="s">
        <v>219</v>
      </c>
      <c r="G84" s="76" t="s">
        <v>220</v>
      </c>
      <c r="H84" s="76" t="s">
        <v>216</v>
      </c>
      <c r="I84" s="79" t="n">
        <v>722.474</v>
      </c>
      <c r="J84" s="79" t="n">
        <v>260.149</v>
      </c>
      <c r="K84" s="79" t="n">
        <v>132861000</v>
      </c>
      <c r="L84" s="80" t="n">
        <v>0.72</v>
      </c>
      <c r="M84" s="79" t="n">
        <v>184.9059</v>
      </c>
      <c r="N84" s="79" t="n">
        <v>0</v>
      </c>
      <c r="O84" s="79" t="n">
        <v>3329.342</v>
      </c>
      <c r="P84" s="80" t="n">
        <v>0</v>
      </c>
      <c r="Q84" s="80" t="n">
        <v>166.5</v>
      </c>
      <c r="R84" s="47" t="n">
        <v>7</v>
      </c>
      <c r="S84" s="66" t="s">
        <v>325</v>
      </c>
    </row>
    <row r="85" customFormat="false" ht="15" hidden="false" customHeight="false" outlineLevel="0" collapsed="false">
      <c r="A85" s="76" t="s">
        <v>179</v>
      </c>
      <c r="B85" s="76" t="s">
        <v>234</v>
      </c>
      <c r="C85" s="77" t="n">
        <v>2024</v>
      </c>
      <c r="D85" s="77" t="n">
        <v>3</v>
      </c>
      <c r="E85" s="78" t="n">
        <v>45565</v>
      </c>
      <c r="F85" s="76" t="s">
        <v>219</v>
      </c>
      <c r="G85" s="76" t="s">
        <v>220</v>
      </c>
      <c r="H85" s="76" t="s">
        <v>216</v>
      </c>
      <c r="I85" s="79" t="n">
        <v>805.747</v>
      </c>
      <c r="J85" s="79" t="n">
        <v>330.538</v>
      </c>
      <c r="K85" s="79" t="n">
        <v>144407000</v>
      </c>
      <c r="L85" s="80" t="n">
        <v>0.78</v>
      </c>
      <c r="M85" s="79" t="n">
        <v>184.9059</v>
      </c>
      <c r="N85" s="79" t="n">
        <v>0</v>
      </c>
      <c r="O85" s="79" t="n">
        <v>3200.742</v>
      </c>
      <c r="P85" s="80" t="n">
        <v>0</v>
      </c>
      <c r="Q85" s="80" t="n">
        <v>166</v>
      </c>
      <c r="R85" s="47" t="n">
        <v>8</v>
      </c>
      <c r="S85" s="66" t="s">
        <v>326</v>
      </c>
    </row>
    <row r="86" customFormat="false" ht="15" hidden="false" customHeight="false" outlineLevel="0" collapsed="false">
      <c r="A86" s="76" t="s">
        <v>179</v>
      </c>
      <c r="B86" s="76" t="s">
        <v>236</v>
      </c>
      <c r="C86" s="77" t="n">
        <v>2024</v>
      </c>
      <c r="D86" s="77" t="n">
        <v>2</v>
      </c>
      <c r="E86" s="78" t="n">
        <v>45473</v>
      </c>
      <c r="F86" s="76" t="s">
        <v>219</v>
      </c>
      <c r="G86" s="76" t="s">
        <v>220</v>
      </c>
      <c r="H86" s="76" t="s">
        <v>216</v>
      </c>
      <c r="I86" s="79" t="n">
        <v>875.601</v>
      </c>
      <c r="J86" s="79" t="n">
        <v>346.96</v>
      </c>
      <c r="K86" s="79" t="n">
        <v>200826000</v>
      </c>
      <c r="L86" s="80" t="n">
        <v>1.09</v>
      </c>
      <c r="M86" s="79" t="n">
        <v>184.9059</v>
      </c>
      <c r="N86" s="79" t="n">
        <v>0</v>
      </c>
      <c r="O86" s="79" t="n">
        <v>3056.335</v>
      </c>
      <c r="P86" s="80" t="n">
        <v>2.2</v>
      </c>
      <c r="Q86" s="80" t="n">
        <v>165</v>
      </c>
      <c r="R86" s="47" t="n">
        <v>9</v>
      </c>
      <c r="S86" s="66" t="s">
        <v>327</v>
      </c>
    </row>
    <row r="87" customFormat="false" ht="15" hidden="false" customHeight="false" outlineLevel="0" collapsed="false">
      <c r="A87" s="76" t="s">
        <v>179</v>
      </c>
      <c r="B87" s="76" t="s">
        <v>238</v>
      </c>
      <c r="C87" s="77" t="n">
        <v>2024</v>
      </c>
      <c r="D87" s="77" t="n">
        <v>1</v>
      </c>
      <c r="E87" s="78" t="n">
        <v>45382</v>
      </c>
      <c r="F87" s="76" t="s">
        <v>219</v>
      </c>
      <c r="G87" s="76" t="s">
        <v>220</v>
      </c>
      <c r="H87" s="76" t="s">
        <v>216</v>
      </c>
      <c r="I87" s="79" t="n">
        <v>837.395</v>
      </c>
      <c r="J87" s="79" t="n">
        <v>341.317</v>
      </c>
      <c r="K87" s="79" t="n">
        <v>192961000</v>
      </c>
      <c r="L87" s="80" t="n">
        <v>1.04</v>
      </c>
      <c r="M87" s="79" t="n">
        <v>184.9059</v>
      </c>
      <c r="N87" s="79" t="n">
        <v>0</v>
      </c>
      <c r="O87" s="79" t="n">
        <v>3262.302</v>
      </c>
      <c r="P87" s="80" t="n">
        <v>0</v>
      </c>
      <c r="Q87" s="80" t="n">
        <v>169.5</v>
      </c>
      <c r="R87" s="47" t="n">
        <v>10</v>
      </c>
      <c r="S87" s="66" t="s">
        <v>328</v>
      </c>
    </row>
    <row r="88" customFormat="false" ht="15" hidden="false" customHeight="false" outlineLevel="0" collapsed="false">
      <c r="A88" s="76" t="s">
        <v>179</v>
      </c>
      <c r="B88" s="76" t="s">
        <v>240</v>
      </c>
      <c r="C88" s="77" t="n">
        <v>2023</v>
      </c>
      <c r="D88" s="77" t="n">
        <v>4</v>
      </c>
      <c r="E88" s="78" t="n">
        <v>45291</v>
      </c>
      <c r="F88" s="76" t="s">
        <v>219</v>
      </c>
      <c r="G88" s="76" t="s">
        <v>220</v>
      </c>
      <c r="H88" s="76" t="s">
        <v>216</v>
      </c>
      <c r="I88" s="79" t="n">
        <v>936.937</v>
      </c>
      <c r="J88" s="79" t="n">
        <v>411.959</v>
      </c>
      <c r="K88" s="79" t="n">
        <v>188378000</v>
      </c>
      <c r="L88" s="80" t="n">
        <v>1.01</v>
      </c>
      <c r="M88" s="79" t="n">
        <v>184.9059</v>
      </c>
      <c r="N88" s="79" t="n">
        <v>0</v>
      </c>
      <c r="O88" s="79" t="n">
        <v>3069.341</v>
      </c>
      <c r="P88" s="80" t="n">
        <v>0</v>
      </c>
      <c r="Q88" s="80" t="n">
        <v>160.5</v>
      </c>
      <c r="R88" s="47" t="n">
        <v>11</v>
      </c>
      <c r="S88" s="66" t="s">
        <v>329</v>
      </c>
    </row>
    <row r="89" customFormat="false" ht="15" hidden="false" customHeight="false" outlineLevel="0" collapsed="false">
      <c r="A89" s="76" t="s">
        <v>179</v>
      </c>
      <c r="B89" s="76" t="s">
        <v>242</v>
      </c>
      <c r="C89" s="77" t="n">
        <v>2023</v>
      </c>
      <c r="D89" s="77" t="n">
        <v>3</v>
      </c>
      <c r="E89" s="78" t="n">
        <v>45199</v>
      </c>
      <c r="F89" s="76" t="s">
        <v>219</v>
      </c>
      <c r="G89" s="76" t="s">
        <v>220</v>
      </c>
      <c r="H89" s="76" t="s">
        <v>216</v>
      </c>
      <c r="I89" s="79" t="n">
        <v>768.427</v>
      </c>
      <c r="J89" s="79" t="n">
        <v>307.139</v>
      </c>
      <c r="K89" s="79" t="n">
        <v>143945000</v>
      </c>
      <c r="L89" s="80" t="n">
        <v>0.78</v>
      </c>
      <c r="M89" s="79" t="n">
        <v>184.9059</v>
      </c>
      <c r="N89" s="79" t="n">
        <v>0</v>
      </c>
      <c r="O89" s="79" t="n">
        <v>2919.16</v>
      </c>
      <c r="P89" s="80" t="n">
        <v>0</v>
      </c>
      <c r="Q89" s="80" t="n">
        <v>148</v>
      </c>
      <c r="R89" s="47" t="n">
        <v>12</v>
      </c>
      <c r="S89" s="66" t="s">
        <v>330</v>
      </c>
    </row>
    <row r="90" customFormat="false" ht="15" hidden="false" customHeight="false" outlineLevel="0" collapsed="false">
      <c r="A90" s="76" t="s">
        <v>179</v>
      </c>
      <c r="B90" s="76" t="s">
        <v>244</v>
      </c>
      <c r="C90" s="77" t="n">
        <v>2023</v>
      </c>
      <c r="D90" s="77" t="n">
        <v>2</v>
      </c>
      <c r="E90" s="78" t="n">
        <v>45107</v>
      </c>
      <c r="F90" s="76" t="s">
        <v>219</v>
      </c>
      <c r="G90" s="76" t="s">
        <v>220</v>
      </c>
      <c r="H90" s="76" t="s">
        <v>216</v>
      </c>
      <c r="I90" s="79" t="n">
        <v>594.323</v>
      </c>
      <c r="J90" s="79" t="n">
        <v>235.781</v>
      </c>
      <c r="K90" s="79" t="n">
        <v>106159000</v>
      </c>
      <c r="L90" s="80" t="n">
        <v>0.57</v>
      </c>
      <c r="M90" s="79" t="n">
        <v>184.9059</v>
      </c>
      <c r="N90" s="79" t="n">
        <v>0</v>
      </c>
      <c r="O90" s="79" t="n">
        <v>2775.215</v>
      </c>
      <c r="P90" s="80" t="n">
        <v>2.3</v>
      </c>
      <c r="Q90" s="80" t="n">
        <v>116.5</v>
      </c>
      <c r="R90" s="47" t="n">
        <v>13</v>
      </c>
      <c r="S90" s="66" t="s">
        <v>331</v>
      </c>
    </row>
    <row r="91" customFormat="false" ht="15" hidden="false" customHeight="false" outlineLevel="0" collapsed="false">
      <c r="A91" s="76" t="s">
        <v>179</v>
      </c>
      <c r="B91" s="76" t="s">
        <v>246</v>
      </c>
      <c r="C91" s="77" t="n">
        <v>2023</v>
      </c>
      <c r="D91" s="77" t="n">
        <v>1</v>
      </c>
      <c r="E91" s="78" t="n">
        <v>45016</v>
      </c>
      <c r="F91" s="76" t="s">
        <v>219</v>
      </c>
      <c r="G91" s="76" t="s">
        <v>220</v>
      </c>
      <c r="H91" s="76" t="s">
        <v>216</v>
      </c>
      <c r="I91" s="79" t="n">
        <v>394.417</v>
      </c>
      <c r="J91" s="79" t="n">
        <v>154.035</v>
      </c>
      <c r="K91" s="79" t="n">
        <v>11750000</v>
      </c>
      <c r="L91" s="80" t="n">
        <v>0.06</v>
      </c>
      <c r="M91" s="79" t="n">
        <v>184.9059</v>
      </c>
      <c r="N91" s="79" t="n">
        <v>0</v>
      </c>
      <c r="O91" s="79" t="n">
        <v>3094.34</v>
      </c>
      <c r="P91" s="80" t="n">
        <v>0</v>
      </c>
      <c r="Q91" s="80" t="n">
        <v>92.3</v>
      </c>
      <c r="R91" s="47" t="n">
        <v>14</v>
      </c>
      <c r="S91" s="66" t="s">
        <v>332</v>
      </c>
    </row>
    <row r="92" customFormat="false" ht="15" hidden="false" customHeight="false" outlineLevel="0" collapsed="false">
      <c r="A92" s="76" t="s">
        <v>179</v>
      </c>
      <c r="B92" s="76" t="s">
        <v>248</v>
      </c>
      <c r="C92" s="77" t="n">
        <v>2022</v>
      </c>
      <c r="D92" s="77" t="n">
        <v>4</v>
      </c>
      <c r="E92" s="78" t="n">
        <v>44926</v>
      </c>
      <c r="F92" s="76" t="s">
        <v>219</v>
      </c>
      <c r="G92" s="76" t="s">
        <v>220</v>
      </c>
      <c r="H92" s="76" t="s">
        <v>216</v>
      </c>
      <c r="I92" s="79" t="n">
        <v>506.067</v>
      </c>
      <c r="J92" s="79" t="n">
        <v>201.013</v>
      </c>
      <c r="K92" s="79" t="n">
        <v>37033000</v>
      </c>
      <c r="L92" s="80" t="n">
        <v>0.2</v>
      </c>
      <c r="M92" s="79" t="n">
        <v>184.9059</v>
      </c>
      <c r="N92" s="79" t="n">
        <v>0</v>
      </c>
      <c r="O92" s="79" t="n">
        <v>3082.59</v>
      </c>
      <c r="P92" s="80" t="n">
        <v>0</v>
      </c>
      <c r="Q92" s="80" t="n">
        <v>69</v>
      </c>
      <c r="R92" s="47" t="n">
        <v>15</v>
      </c>
      <c r="S92" s="66" t="s">
        <v>333</v>
      </c>
    </row>
    <row r="93" customFormat="false" ht="15" hidden="false" customHeight="false" outlineLevel="0" collapsed="false">
      <c r="A93" s="76" t="s">
        <v>179</v>
      </c>
      <c r="B93" s="76" t="s">
        <v>250</v>
      </c>
      <c r="C93" s="77" t="n">
        <v>2022</v>
      </c>
      <c r="D93" s="77" t="n">
        <v>3</v>
      </c>
      <c r="E93" s="78" t="n">
        <v>44834</v>
      </c>
      <c r="F93" s="76" t="s">
        <v>219</v>
      </c>
      <c r="G93" s="76" t="s">
        <v>220</v>
      </c>
      <c r="H93" s="76" t="s">
        <v>216</v>
      </c>
      <c r="I93" s="79" t="n">
        <v>522.089</v>
      </c>
      <c r="J93" s="79" t="n">
        <v>221.557</v>
      </c>
      <c r="K93" s="79" t="n">
        <v>105773000</v>
      </c>
      <c r="L93" s="80" t="n">
        <v>0.57</v>
      </c>
      <c r="M93" s="79" t="n">
        <v>184.9059</v>
      </c>
      <c r="N93" s="79" t="n">
        <v>0</v>
      </c>
      <c r="O93" s="79" t="n">
        <v>3045.985</v>
      </c>
      <c r="P93" s="80" t="n">
        <v>0</v>
      </c>
      <c r="Q93" s="80" t="n">
        <v>56.6</v>
      </c>
      <c r="R93" s="47" t="n">
        <v>16</v>
      </c>
      <c r="S93" s="66" t="s">
        <v>334</v>
      </c>
    </row>
    <row r="94" customFormat="false" ht="15" hidden="false" customHeight="false" outlineLevel="0" collapsed="false">
      <c r="A94" s="76" t="s">
        <v>179</v>
      </c>
      <c r="B94" s="76" t="s">
        <v>252</v>
      </c>
      <c r="C94" s="77" t="n">
        <v>2022</v>
      </c>
      <c r="D94" s="77" t="n">
        <v>2</v>
      </c>
      <c r="E94" s="78" t="n">
        <v>44742</v>
      </c>
      <c r="F94" s="76" t="s">
        <v>219</v>
      </c>
      <c r="G94" s="76" t="s">
        <v>220</v>
      </c>
      <c r="H94" s="76" t="s">
        <v>216</v>
      </c>
      <c r="I94" s="79" t="n">
        <v>736.276</v>
      </c>
      <c r="J94" s="79" t="n">
        <v>303.299</v>
      </c>
      <c r="K94" s="79" t="n">
        <v>184441000</v>
      </c>
      <c r="L94" s="80" t="n">
        <v>1</v>
      </c>
      <c r="M94" s="79" t="n">
        <v>184.9059</v>
      </c>
      <c r="N94" s="79" t="n">
        <v>0</v>
      </c>
      <c r="O94" s="79" t="n">
        <v>2940.212</v>
      </c>
      <c r="P94" s="80" t="n">
        <v>4</v>
      </c>
      <c r="Q94" s="80" t="n">
        <v>72</v>
      </c>
      <c r="R94" s="47" t="n">
        <v>17</v>
      </c>
      <c r="S94" s="66" t="s">
        <v>335</v>
      </c>
    </row>
    <row r="95" customFormat="false" ht="15" hidden="false" customHeight="false" outlineLevel="0" collapsed="false">
      <c r="A95" s="76" t="s">
        <v>179</v>
      </c>
      <c r="B95" s="76" t="s">
        <v>254</v>
      </c>
      <c r="C95" s="77" t="n">
        <v>2022</v>
      </c>
      <c r="D95" s="77" t="n">
        <v>1</v>
      </c>
      <c r="E95" s="78" t="n">
        <v>44651</v>
      </c>
      <c r="F95" s="76" t="s">
        <v>219</v>
      </c>
      <c r="G95" s="76" t="s">
        <v>220</v>
      </c>
      <c r="H95" s="76" t="s">
        <v>216</v>
      </c>
      <c r="I95" s="79" t="n">
        <v>839.197</v>
      </c>
      <c r="J95" s="79" t="n">
        <v>363.138</v>
      </c>
      <c r="K95" s="79" t="n">
        <v>217481000</v>
      </c>
      <c r="L95" s="80" t="n">
        <v>1.18</v>
      </c>
      <c r="M95" s="79" t="n">
        <v>184.9059</v>
      </c>
      <c r="N95" s="79" t="n">
        <v>0</v>
      </c>
      <c r="O95" s="79" t="n">
        <v>3495.395</v>
      </c>
      <c r="P95" s="80" t="n">
        <v>0</v>
      </c>
      <c r="Q95" s="80" t="n">
        <v>113.5</v>
      </c>
      <c r="R95" s="47" t="n">
        <v>18</v>
      </c>
      <c r="S95" s="66" t="s">
        <v>336</v>
      </c>
    </row>
    <row r="96" customFormat="false" ht="15" hidden="false" customHeight="false" outlineLevel="0" collapsed="false">
      <c r="A96" s="76" t="s">
        <v>179</v>
      </c>
      <c r="B96" s="76" t="s">
        <v>256</v>
      </c>
      <c r="C96" s="77" t="n">
        <v>2021</v>
      </c>
      <c r="D96" s="77" t="n">
        <v>4</v>
      </c>
      <c r="E96" s="78" t="n">
        <v>44561</v>
      </c>
      <c r="F96" s="76" t="s">
        <v>219</v>
      </c>
      <c r="G96" s="76" t="s">
        <v>220</v>
      </c>
      <c r="H96" s="76" t="s">
        <v>216</v>
      </c>
      <c r="I96" s="79" t="n">
        <v>875.843</v>
      </c>
      <c r="J96" s="79" t="n">
        <v>347.262</v>
      </c>
      <c r="K96" s="79" t="n">
        <v>191791000</v>
      </c>
      <c r="L96" s="80" t="n">
        <v>1.03</v>
      </c>
      <c r="M96" s="79" t="n">
        <v>184.9059</v>
      </c>
      <c r="N96" s="79" t="n">
        <v>0</v>
      </c>
      <c r="O96" s="79" t="n">
        <v>3277.914</v>
      </c>
      <c r="P96" s="80" t="n">
        <v>0</v>
      </c>
      <c r="Q96" s="80" t="n">
        <v>144</v>
      </c>
      <c r="R96" s="47" t="n">
        <v>19</v>
      </c>
      <c r="S96" s="66" t="s">
        <v>337</v>
      </c>
    </row>
    <row r="97" customFormat="false" ht="15" hidden="false" customHeight="false" outlineLevel="0" collapsed="false">
      <c r="A97" s="76" t="s">
        <v>179</v>
      </c>
      <c r="B97" s="76" t="s">
        <v>258</v>
      </c>
      <c r="C97" s="77" t="n">
        <v>2021</v>
      </c>
      <c r="D97" s="77" t="n">
        <v>3</v>
      </c>
      <c r="E97" s="78" t="n">
        <v>44469</v>
      </c>
      <c r="F97" s="76" t="s">
        <v>219</v>
      </c>
      <c r="G97" s="76" t="s">
        <v>220</v>
      </c>
      <c r="H97" s="76" t="s">
        <v>216</v>
      </c>
      <c r="I97" s="79" t="n">
        <v>947.399</v>
      </c>
      <c r="J97" s="79" t="n">
        <v>402.279</v>
      </c>
      <c r="K97" s="79" t="n">
        <v>211771000</v>
      </c>
      <c r="L97" s="80" t="n">
        <v>1.15</v>
      </c>
      <c r="M97" s="79" t="n">
        <v>184.9059</v>
      </c>
      <c r="N97" s="79" t="n">
        <v>0</v>
      </c>
      <c r="O97" s="79" t="n">
        <v>3086.103</v>
      </c>
      <c r="P97" s="80" t="n">
        <v>2.59</v>
      </c>
      <c r="Q97" s="80" t="n">
        <v>118</v>
      </c>
      <c r="R97" s="47" t="n">
        <v>20</v>
      </c>
      <c r="S97" s="66" t="s">
        <v>338</v>
      </c>
    </row>
    <row r="98" customFormat="false" ht="15" hidden="false" customHeight="false" outlineLevel="0" collapsed="false">
      <c r="A98" s="76" t="s">
        <v>179</v>
      </c>
      <c r="B98" s="76" t="s">
        <v>260</v>
      </c>
      <c r="C98" s="77" t="n">
        <v>2021</v>
      </c>
      <c r="D98" s="77" t="n">
        <v>2</v>
      </c>
      <c r="E98" s="78" t="n">
        <v>44377</v>
      </c>
      <c r="F98" s="76" t="s">
        <v>219</v>
      </c>
      <c r="G98" s="76" t="s">
        <v>220</v>
      </c>
      <c r="H98" s="76" t="s">
        <v>216</v>
      </c>
      <c r="I98" s="79" t="n">
        <v>896.062</v>
      </c>
      <c r="J98" s="79" t="n">
        <v>390.922</v>
      </c>
      <c r="K98" s="79" t="n">
        <v>226778000</v>
      </c>
      <c r="L98" s="80" t="n">
        <v>1.23</v>
      </c>
      <c r="M98" s="79" t="n">
        <v>184.9059</v>
      </c>
      <c r="N98" s="79" t="n">
        <v>0</v>
      </c>
      <c r="O98" s="79" t="n">
        <v>3353.238</v>
      </c>
      <c r="P98" s="80" t="n">
        <v>0</v>
      </c>
      <c r="Q98" s="80" t="n">
        <v>134</v>
      </c>
      <c r="R98" s="47" t="n">
        <v>21</v>
      </c>
      <c r="S98" s="66" t="s">
        <v>339</v>
      </c>
    </row>
    <row r="99" customFormat="false" ht="15" hidden="false" customHeight="false" outlineLevel="0" collapsed="false">
      <c r="A99" s="76" t="s">
        <v>179</v>
      </c>
      <c r="B99" s="76" t="s">
        <v>262</v>
      </c>
      <c r="C99" s="77" t="n">
        <v>2021</v>
      </c>
      <c r="D99" s="77" t="n">
        <v>1</v>
      </c>
      <c r="E99" s="78" t="n">
        <v>44286</v>
      </c>
      <c r="F99" s="76" t="s">
        <v>219</v>
      </c>
      <c r="G99" s="76" t="s">
        <v>220</v>
      </c>
      <c r="H99" s="76" t="s">
        <v>216</v>
      </c>
      <c r="I99" s="79" t="n">
        <v>889.217</v>
      </c>
      <c r="J99" s="79" t="n">
        <v>379.25</v>
      </c>
      <c r="K99" s="79" t="n">
        <v>224741000</v>
      </c>
      <c r="L99" s="80" t="n">
        <v>1.22</v>
      </c>
      <c r="M99" s="79" t="n">
        <v>184.9059</v>
      </c>
      <c r="N99" s="79" t="n">
        <v>0</v>
      </c>
      <c r="O99" s="79" t="n">
        <v>3126.46</v>
      </c>
      <c r="P99" s="80" t="n">
        <v>0</v>
      </c>
      <c r="Q99" s="80" t="n">
        <v>118.5</v>
      </c>
      <c r="R99" s="47" t="n">
        <v>22</v>
      </c>
      <c r="S99" s="66" t="s">
        <v>340</v>
      </c>
    </row>
    <row r="100" customFormat="false" ht="15" hidden="false" customHeight="false" outlineLevel="0" collapsed="false">
      <c r="A100" s="76" t="s">
        <v>179</v>
      </c>
      <c r="B100" s="76" t="s">
        <v>264</v>
      </c>
      <c r="C100" s="77" t="n">
        <v>2020</v>
      </c>
      <c r="D100" s="77" t="n">
        <v>4</v>
      </c>
      <c r="E100" s="78" t="n">
        <v>44196</v>
      </c>
      <c r="F100" s="76" t="s">
        <v>219</v>
      </c>
      <c r="G100" s="76" t="s">
        <v>220</v>
      </c>
      <c r="H100" s="76" t="s">
        <v>216</v>
      </c>
      <c r="I100" s="79" t="n">
        <v>757.232</v>
      </c>
      <c r="J100" s="79" t="n">
        <v>315.349</v>
      </c>
      <c r="K100" s="79" t="n">
        <v>145795000</v>
      </c>
      <c r="L100" s="80" t="n">
        <v>0.79</v>
      </c>
      <c r="M100" s="79" t="n">
        <v>184.9059</v>
      </c>
      <c r="N100" s="79" t="n">
        <v>0</v>
      </c>
      <c r="O100" s="79" t="n">
        <v>2901.719</v>
      </c>
      <c r="P100" s="80" t="n">
        <v>0</v>
      </c>
      <c r="Q100" s="80" t="n">
        <v>112</v>
      </c>
      <c r="R100" s="47" t="n">
        <v>23</v>
      </c>
      <c r="S100" s="66" t="s">
        <v>341</v>
      </c>
    </row>
    <row r="101" customFormat="false" ht="15" hidden="false" customHeight="false" outlineLevel="0" collapsed="false">
      <c r="A101" s="76" t="s">
        <v>179</v>
      </c>
      <c r="B101" s="76" t="s">
        <v>266</v>
      </c>
      <c r="C101" s="77" t="n">
        <v>2020</v>
      </c>
      <c r="D101" s="77" t="n">
        <v>3</v>
      </c>
      <c r="E101" s="78" t="n">
        <v>44104</v>
      </c>
      <c r="F101" s="76" t="s">
        <v>219</v>
      </c>
      <c r="G101" s="76" t="s">
        <v>220</v>
      </c>
      <c r="H101" s="76" t="s">
        <v>216</v>
      </c>
      <c r="I101" s="79" t="n">
        <v>644.391</v>
      </c>
      <c r="J101" s="79" t="n">
        <v>270.365</v>
      </c>
      <c r="K101" s="79" t="n">
        <v>112847000</v>
      </c>
      <c r="L101" s="80" t="n">
        <v>0.61</v>
      </c>
      <c r="M101" s="79" t="n">
        <v>184.9059</v>
      </c>
      <c r="N101" s="79" t="n">
        <v>0</v>
      </c>
      <c r="O101" s="79" t="n">
        <v>2755.453</v>
      </c>
      <c r="P101" s="80"/>
      <c r="Q101" s="80" t="n">
        <v>78.5</v>
      </c>
      <c r="R101" s="47" t="n">
        <v>24</v>
      </c>
      <c r="S101" s="66" t="s">
        <v>342</v>
      </c>
    </row>
    <row r="102" customFormat="false" ht="15" hidden="false" customHeight="false" outlineLevel="0" collapsed="false">
      <c r="A102" s="76" t="s">
        <v>183</v>
      </c>
      <c r="B102" s="76" t="s">
        <v>213</v>
      </c>
      <c r="C102" s="77" t="n">
        <v>2026</v>
      </c>
      <c r="D102" s="77" t="n">
        <v>3</v>
      </c>
      <c r="E102" s="78" t="n">
        <v>46295</v>
      </c>
      <c r="F102" s="76" t="s">
        <v>214</v>
      </c>
      <c r="G102" s="76" t="s">
        <v>215</v>
      </c>
      <c r="H102" s="76" t="s">
        <v>216</v>
      </c>
      <c r="I102" s="79"/>
      <c r="J102" s="79"/>
      <c r="K102" s="79"/>
      <c r="L102" s="80" t="n">
        <v>9.57273</v>
      </c>
      <c r="M102" s="79"/>
      <c r="N102" s="79"/>
      <c r="O102" s="79"/>
      <c r="P102" s="80"/>
      <c r="Q102" s="80"/>
      <c r="R102" s="47" t="n">
        <v>0</v>
      </c>
      <c r="S102" s="66" t="s">
        <v>343</v>
      </c>
    </row>
    <row r="103" customFormat="false" ht="15" hidden="false" customHeight="false" outlineLevel="0" collapsed="false">
      <c r="A103" s="76" t="s">
        <v>183</v>
      </c>
      <c r="B103" s="76" t="s">
        <v>218</v>
      </c>
      <c r="C103" s="77" t="n">
        <v>2026</v>
      </c>
      <c r="D103" s="77" t="n">
        <v>2</v>
      </c>
      <c r="E103" s="78" t="n">
        <v>46203</v>
      </c>
      <c r="F103" s="76" t="s">
        <v>219</v>
      </c>
      <c r="G103" s="76" t="s">
        <v>220</v>
      </c>
      <c r="H103" s="76" t="s">
        <v>216</v>
      </c>
      <c r="I103" s="79" t="n">
        <v>28660.098</v>
      </c>
      <c r="J103" s="79" t="n">
        <v>12156.801</v>
      </c>
      <c r="K103" s="79" t="n">
        <v>6327860000</v>
      </c>
      <c r="L103" s="80" t="n">
        <v>10.4</v>
      </c>
      <c r="M103" s="79" t="n">
        <v>608.5115</v>
      </c>
      <c r="N103" s="79" t="n">
        <v>0</v>
      </c>
      <c r="O103" s="79" t="n">
        <v>68961.06</v>
      </c>
      <c r="P103" s="80" t="n">
        <v>0</v>
      </c>
      <c r="Q103" s="80" t="n">
        <v>535</v>
      </c>
      <c r="R103" s="47" t="n">
        <v>1</v>
      </c>
      <c r="S103" s="66" t="s">
        <v>344</v>
      </c>
    </row>
    <row r="104" customFormat="false" ht="15" hidden="false" customHeight="false" outlineLevel="0" collapsed="false">
      <c r="A104" s="76" t="s">
        <v>183</v>
      </c>
      <c r="B104" s="76" t="s">
        <v>222</v>
      </c>
      <c r="C104" s="77" t="n">
        <v>2026</v>
      </c>
      <c r="D104" s="77" t="n">
        <v>1</v>
      </c>
      <c r="E104" s="78" t="n">
        <v>46112</v>
      </c>
      <c r="F104" s="76" t="s">
        <v>219</v>
      </c>
      <c r="G104" s="76" t="s">
        <v>220</v>
      </c>
      <c r="H104" s="76" t="s">
        <v>216</v>
      </c>
      <c r="I104" s="79" t="n">
        <v>23145.303</v>
      </c>
      <c r="J104" s="79" t="n">
        <v>9039.901</v>
      </c>
      <c r="K104" s="79" t="n">
        <v>3767112000</v>
      </c>
      <c r="L104" s="80" t="n">
        <v>6.19</v>
      </c>
      <c r="M104" s="79" t="n">
        <v>608.5115</v>
      </c>
      <c r="N104" s="79" t="n">
        <v>0</v>
      </c>
      <c r="O104" s="79" t="n">
        <v>71927.815</v>
      </c>
      <c r="P104" s="80" t="n">
        <v>0</v>
      </c>
      <c r="Q104" s="80" t="n">
        <v>379.5</v>
      </c>
      <c r="R104" s="47" t="n">
        <v>2</v>
      </c>
      <c r="S104" s="66" t="s">
        <v>345</v>
      </c>
    </row>
    <row r="105" customFormat="false" ht="15" hidden="false" customHeight="false" outlineLevel="0" collapsed="false">
      <c r="A105" s="76" t="s">
        <v>183</v>
      </c>
      <c r="B105" s="76" t="s">
        <v>224</v>
      </c>
      <c r="C105" s="77" t="n">
        <v>2025</v>
      </c>
      <c r="D105" s="77" t="n">
        <v>4</v>
      </c>
      <c r="E105" s="78" t="n">
        <v>46022</v>
      </c>
      <c r="F105" s="76" t="s">
        <v>219</v>
      </c>
      <c r="G105" s="76" t="s">
        <v>220</v>
      </c>
      <c r="H105" s="76" t="s">
        <v>216</v>
      </c>
      <c r="I105" s="79" t="n">
        <v>22817.209</v>
      </c>
      <c r="J105" s="79" t="n">
        <v>8712.827</v>
      </c>
      <c r="K105" s="79" t="n">
        <v>3689810000</v>
      </c>
      <c r="L105" s="80" t="n">
        <v>6.07</v>
      </c>
      <c r="M105" s="79" t="n">
        <v>608.5115</v>
      </c>
      <c r="N105" s="79" t="n">
        <v>0</v>
      </c>
      <c r="O105" s="79" t="n">
        <v>67739.247</v>
      </c>
      <c r="P105" s="80" t="n">
        <v>0</v>
      </c>
      <c r="Q105" s="80" t="n">
        <v>374</v>
      </c>
      <c r="R105" s="47" t="n">
        <v>3</v>
      </c>
      <c r="S105" s="66" t="s">
        <v>346</v>
      </c>
    </row>
    <row r="106" customFormat="false" ht="15" hidden="false" customHeight="false" outlineLevel="0" collapsed="false">
      <c r="A106" s="76" t="s">
        <v>183</v>
      </c>
      <c r="B106" s="76" t="s">
        <v>226</v>
      </c>
      <c r="C106" s="77" t="n">
        <v>2025</v>
      </c>
      <c r="D106" s="77" t="n">
        <v>3</v>
      </c>
      <c r="E106" s="78" t="n">
        <v>45930</v>
      </c>
      <c r="F106" s="76" t="s">
        <v>219</v>
      </c>
      <c r="G106" s="76" t="s">
        <v>220</v>
      </c>
      <c r="H106" s="76" t="s">
        <v>216</v>
      </c>
      <c r="I106" s="79" t="n">
        <v>24573.67</v>
      </c>
      <c r="J106" s="79" t="n">
        <v>8918.821</v>
      </c>
      <c r="K106" s="79" t="n">
        <v>3654824000</v>
      </c>
      <c r="L106" s="80" t="n">
        <v>6.01</v>
      </c>
      <c r="M106" s="79" t="n">
        <v>608.5115</v>
      </c>
      <c r="N106" s="79" t="n">
        <v>0</v>
      </c>
      <c r="O106" s="79" t="n">
        <v>63580.896</v>
      </c>
      <c r="P106" s="80" t="n">
        <v>28</v>
      </c>
      <c r="Q106" s="80" t="n">
        <v>426.5</v>
      </c>
      <c r="R106" s="47" t="n">
        <v>4</v>
      </c>
      <c r="S106" s="66" t="s">
        <v>347</v>
      </c>
    </row>
    <row r="107" customFormat="false" ht="15" hidden="false" customHeight="false" outlineLevel="0" collapsed="false">
      <c r="A107" s="76" t="s">
        <v>183</v>
      </c>
      <c r="B107" s="76" t="s">
        <v>228</v>
      </c>
      <c r="C107" s="77" t="n">
        <v>2025</v>
      </c>
      <c r="D107" s="77" t="n">
        <v>2</v>
      </c>
      <c r="E107" s="78" t="n">
        <v>45838</v>
      </c>
      <c r="F107" s="76" t="s">
        <v>219</v>
      </c>
      <c r="G107" s="76" t="s">
        <v>220</v>
      </c>
      <c r="H107" s="76" t="s">
        <v>216</v>
      </c>
      <c r="I107" s="79" t="n">
        <v>26152.063</v>
      </c>
      <c r="J107" s="79" t="n">
        <v>9493.648</v>
      </c>
      <c r="K107" s="79" t="n">
        <v>3739254000</v>
      </c>
      <c r="L107" s="80" t="n">
        <v>6.14</v>
      </c>
      <c r="M107" s="79" t="n">
        <v>608.5115</v>
      </c>
      <c r="N107" s="79" t="n">
        <v>0</v>
      </c>
      <c r="O107" s="79" t="n">
        <v>59641.644</v>
      </c>
      <c r="P107" s="80" t="n">
        <v>0</v>
      </c>
      <c r="Q107" s="80" t="n">
        <v>545</v>
      </c>
      <c r="R107" s="47" t="n">
        <v>5</v>
      </c>
      <c r="S107" s="66" t="s">
        <v>348</v>
      </c>
    </row>
    <row r="108" customFormat="false" ht="15" hidden="false" customHeight="false" outlineLevel="0" collapsed="false">
      <c r="A108" s="76" t="s">
        <v>183</v>
      </c>
      <c r="B108" s="76" t="s">
        <v>230</v>
      </c>
      <c r="C108" s="77" t="n">
        <v>2025</v>
      </c>
      <c r="D108" s="77" t="n">
        <v>1</v>
      </c>
      <c r="E108" s="78" t="n">
        <v>45747</v>
      </c>
      <c r="F108" s="76" t="s">
        <v>219</v>
      </c>
      <c r="G108" s="76" t="s">
        <v>220</v>
      </c>
      <c r="H108" s="76" t="s">
        <v>216</v>
      </c>
      <c r="I108" s="79" t="n">
        <v>27120.202</v>
      </c>
      <c r="J108" s="79" t="n">
        <v>10782.716</v>
      </c>
      <c r="K108" s="79" t="n">
        <v>5263805000</v>
      </c>
      <c r="L108" s="80" t="n">
        <v>8.65</v>
      </c>
      <c r="M108" s="79" t="n">
        <v>608.5115</v>
      </c>
      <c r="N108" s="79" t="n">
        <v>0</v>
      </c>
      <c r="O108" s="79" t="n">
        <v>73131.074</v>
      </c>
      <c r="P108" s="80" t="n">
        <v>0</v>
      </c>
      <c r="Q108" s="80" t="n">
        <v>545</v>
      </c>
      <c r="R108" s="47" t="n">
        <v>6</v>
      </c>
      <c r="S108" s="66" t="s">
        <v>349</v>
      </c>
    </row>
    <row r="109" customFormat="false" ht="15" hidden="false" customHeight="false" outlineLevel="0" collapsed="false">
      <c r="A109" s="76" t="s">
        <v>183</v>
      </c>
      <c r="B109" s="76" t="s">
        <v>232</v>
      </c>
      <c r="C109" s="77" t="n">
        <v>2024</v>
      </c>
      <c r="D109" s="77" t="n">
        <v>4</v>
      </c>
      <c r="E109" s="78" t="n">
        <v>45657</v>
      </c>
      <c r="F109" s="76" t="s">
        <v>219</v>
      </c>
      <c r="G109" s="76" t="s">
        <v>220</v>
      </c>
      <c r="H109" s="76" t="s">
        <v>216</v>
      </c>
      <c r="I109" s="79" t="n">
        <v>25262.519</v>
      </c>
      <c r="J109" s="79" t="n">
        <v>9980.564</v>
      </c>
      <c r="K109" s="79" t="n">
        <v>4801366000</v>
      </c>
      <c r="L109" s="80" t="n">
        <v>7.89</v>
      </c>
      <c r="M109" s="79" t="n">
        <v>608.5115</v>
      </c>
      <c r="N109" s="79" t="n">
        <v>0</v>
      </c>
      <c r="O109" s="79" t="n">
        <v>67923.372</v>
      </c>
      <c r="P109" s="80" t="n">
        <v>0</v>
      </c>
      <c r="Q109" s="80" t="n">
        <v>502</v>
      </c>
      <c r="R109" s="47" t="n">
        <v>7</v>
      </c>
      <c r="S109" s="66" t="s">
        <v>350</v>
      </c>
    </row>
    <row r="110" customFormat="false" ht="15" hidden="false" customHeight="false" outlineLevel="0" collapsed="false">
      <c r="A110" s="76" t="s">
        <v>183</v>
      </c>
      <c r="B110" s="76" t="s">
        <v>234</v>
      </c>
      <c r="C110" s="77" t="n">
        <v>2024</v>
      </c>
      <c r="D110" s="77" t="n">
        <v>3</v>
      </c>
      <c r="E110" s="78" t="n">
        <v>45565</v>
      </c>
      <c r="F110" s="76" t="s">
        <v>219</v>
      </c>
      <c r="G110" s="76" t="s">
        <v>220</v>
      </c>
      <c r="H110" s="76" t="s">
        <v>216</v>
      </c>
      <c r="I110" s="79" t="n">
        <v>27866.328</v>
      </c>
      <c r="J110" s="79" t="n">
        <v>11073.966</v>
      </c>
      <c r="K110" s="79" t="n">
        <v>5258457000</v>
      </c>
      <c r="L110" s="80" t="n">
        <v>8.64</v>
      </c>
      <c r="M110" s="79" t="n">
        <v>608.5115</v>
      </c>
      <c r="N110" s="79" t="n">
        <v>0</v>
      </c>
      <c r="O110" s="79" t="n">
        <v>63457.777</v>
      </c>
      <c r="P110" s="80" t="n">
        <v>32</v>
      </c>
      <c r="Q110" s="80" t="n">
        <v>518</v>
      </c>
      <c r="R110" s="47" t="n">
        <v>8</v>
      </c>
      <c r="S110" s="66" t="s">
        <v>351</v>
      </c>
    </row>
    <row r="111" customFormat="false" ht="15" hidden="false" customHeight="false" outlineLevel="0" collapsed="false">
      <c r="A111" s="76" t="s">
        <v>183</v>
      </c>
      <c r="B111" s="76" t="s">
        <v>236</v>
      </c>
      <c r="C111" s="77" t="n">
        <v>2024</v>
      </c>
      <c r="D111" s="77" t="n">
        <v>2</v>
      </c>
      <c r="E111" s="78" t="n">
        <v>45473</v>
      </c>
      <c r="F111" s="76" t="s">
        <v>219</v>
      </c>
      <c r="G111" s="76" t="s">
        <v>220</v>
      </c>
      <c r="H111" s="76" t="s">
        <v>216</v>
      </c>
      <c r="I111" s="79" t="n">
        <v>25231.019</v>
      </c>
      <c r="J111" s="79" t="n">
        <v>10380.151</v>
      </c>
      <c r="K111" s="79" t="n">
        <v>5388565000</v>
      </c>
      <c r="L111" s="80" t="n">
        <v>8.86</v>
      </c>
      <c r="M111" s="79" t="n">
        <v>608.5115</v>
      </c>
      <c r="N111" s="79" t="n">
        <v>0</v>
      </c>
      <c r="O111" s="79" t="n">
        <v>58153.523</v>
      </c>
      <c r="P111" s="80" t="n">
        <v>0</v>
      </c>
      <c r="Q111" s="80" t="n">
        <v>606</v>
      </c>
      <c r="R111" s="47" t="n">
        <v>9</v>
      </c>
      <c r="S111" s="66" t="s">
        <v>352</v>
      </c>
    </row>
    <row r="112" customFormat="false" ht="15" hidden="false" customHeight="false" outlineLevel="0" collapsed="false">
      <c r="A112" s="76" t="s">
        <v>183</v>
      </c>
      <c r="B112" s="76" t="s">
        <v>238</v>
      </c>
      <c r="C112" s="77" t="n">
        <v>2024</v>
      </c>
      <c r="D112" s="77" t="n">
        <v>1</v>
      </c>
      <c r="E112" s="78" t="n">
        <v>45382</v>
      </c>
      <c r="F112" s="76" t="s">
        <v>219</v>
      </c>
      <c r="G112" s="76" t="s">
        <v>220</v>
      </c>
      <c r="H112" s="76" t="s">
        <v>216</v>
      </c>
      <c r="I112" s="79" t="n">
        <v>24427.885</v>
      </c>
      <c r="J112" s="79" t="n">
        <v>10037.675</v>
      </c>
      <c r="K112" s="79" t="n">
        <v>4893633000</v>
      </c>
      <c r="L112" s="80" t="n">
        <v>8.04</v>
      </c>
      <c r="M112" s="79" t="n">
        <v>608.5115</v>
      </c>
      <c r="N112" s="79" t="n">
        <v>0</v>
      </c>
      <c r="O112" s="79" t="n">
        <v>72098.281</v>
      </c>
      <c r="P112" s="80" t="n">
        <v>0</v>
      </c>
      <c r="Q112" s="80" t="n">
        <v>604</v>
      </c>
      <c r="R112" s="47" t="n">
        <v>10</v>
      </c>
      <c r="S112" s="66" t="s">
        <v>353</v>
      </c>
    </row>
    <row r="113" customFormat="false" ht="15" hidden="false" customHeight="false" outlineLevel="0" collapsed="false">
      <c r="A113" s="76" t="s">
        <v>183</v>
      </c>
      <c r="B113" s="76" t="s">
        <v>240</v>
      </c>
      <c r="C113" s="77" t="n">
        <v>2023</v>
      </c>
      <c r="D113" s="77" t="n">
        <v>4</v>
      </c>
      <c r="E113" s="78" t="n">
        <v>45291</v>
      </c>
      <c r="F113" s="76" t="s">
        <v>219</v>
      </c>
      <c r="G113" s="76" t="s">
        <v>220</v>
      </c>
      <c r="H113" s="76" t="s">
        <v>216</v>
      </c>
      <c r="I113" s="79" t="n">
        <v>27153.825</v>
      </c>
      <c r="J113" s="79" t="n">
        <v>11263.599</v>
      </c>
      <c r="K113" s="79" t="n">
        <v>5327953000</v>
      </c>
      <c r="L113" s="80" t="n">
        <v>8.76</v>
      </c>
      <c r="M113" s="79" t="n">
        <v>608.5115</v>
      </c>
      <c r="N113" s="79" t="n">
        <v>0</v>
      </c>
      <c r="O113" s="79" t="n">
        <v>67216.762</v>
      </c>
      <c r="P113" s="80" t="n">
        <v>0</v>
      </c>
      <c r="Q113" s="80" t="n">
        <v>517</v>
      </c>
      <c r="R113" s="47" t="n">
        <v>11</v>
      </c>
      <c r="S113" s="66" t="s">
        <v>354</v>
      </c>
    </row>
    <row r="114" customFormat="false" ht="15" hidden="false" customHeight="false" outlineLevel="0" collapsed="false">
      <c r="A114" s="76" t="s">
        <v>183</v>
      </c>
      <c r="B114" s="76" t="s">
        <v>242</v>
      </c>
      <c r="C114" s="77" t="n">
        <v>2023</v>
      </c>
      <c r="D114" s="77" t="n">
        <v>3</v>
      </c>
      <c r="E114" s="78" t="n">
        <v>45199</v>
      </c>
      <c r="F114" s="76" t="s">
        <v>219</v>
      </c>
      <c r="G114" s="76" t="s">
        <v>220</v>
      </c>
      <c r="H114" s="76" t="s">
        <v>216</v>
      </c>
      <c r="I114" s="79" t="n">
        <v>28929.962</v>
      </c>
      <c r="J114" s="79" t="n">
        <v>12222.668</v>
      </c>
      <c r="K114" s="79" t="n">
        <v>6365821000</v>
      </c>
      <c r="L114" s="80" t="n">
        <v>10.46</v>
      </c>
      <c r="M114" s="79" t="n">
        <v>608.5115</v>
      </c>
      <c r="N114" s="79" t="n">
        <v>0</v>
      </c>
      <c r="O114" s="79" t="n">
        <v>61657.439</v>
      </c>
      <c r="P114" s="80" t="n">
        <v>37</v>
      </c>
      <c r="Q114" s="80" t="n">
        <v>423</v>
      </c>
      <c r="R114" s="47" t="n">
        <v>12</v>
      </c>
      <c r="S114" s="66" t="s">
        <v>355</v>
      </c>
    </row>
    <row r="115" customFormat="false" ht="15" hidden="false" customHeight="false" outlineLevel="0" collapsed="false">
      <c r="A115" s="76" t="s">
        <v>183</v>
      </c>
      <c r="B115" s="76" t="s">
        <v>244</v>
      </c>
      <c r="C115" s="77" t="n">
        <v>2023</v>
      </c>
      <c r="D115" s="77" t="n">
        <v>2</v>
      </c>
      <c r="E115" s="78" t="n">
        <v>45107</v>
      </c>
      <c r="F115" s="76" t="s">
        <v>219</v>
      </c>
      <c r="G115" s="76" t="s">
        <v>220</v>
      </c>
      <c r="H115" s="76" t="s">
        <v>216</v>
      </c>
      <c r="I115" s="79" t="n">
        <v>30299.029</v>
      </c>
      <c r="J115" s="79" t="n">
        <v>12646.823</v>
      </c>
      <c r="K115" s="79" t="n">
        <v>6871899000</v>
      </c>
      <c r="L115" s="80" t="n">
        <v>11.29</v>
      </c>
      <c r="M115" s="79" t="n">
        <v>608.5115</v>
      </c>
      <c r="N115" s="79" t="n">
        <v>0</v>
      </c>
      <c r="O115" s="79" t="n">
        <v>55216.656</v>
      </c>
      <c r="P115" s="80" t="n">
        <v>0</v>
      </c>
      <c r="Q115" s="80" t="n">
        <v>426.5</v>
      </c>
      <c r="R115" s="47" t="n">
        <v>13</v>
      </c>
      <c r="S115" s="66" t="s">
        <v>356</v>
      </c>
    </row>
    <row r="116" customFormat="false" ht="15" hidden="false" customHeight="false" outlineLevel="0" collapsed="false">
      <c r="A116" s="76" t="s">
        <v>183</v>
      </c>
      <c r="B116" s="76" t="s">
        <v>246</v>
      </c>
      <c r="C116" s="77" t="n">
        <v>2023</v>
      </c>
      <c r="D116" s="77" t="n">
        <v>1</v>
      </c>
      <c r="E116" s="78" t="n">
        <v>45016</v>
      </c>
      <c r="F116" s="76" t="s">
        <v>219</v>
      </c>
      <c r="G116" s="76" t="s">
        <v>220</v>
      </c>
      <c r="H116" s="76" t="s">
        <v>216</v>
      </c>
      <c r="I116" s="79" t="n">
        <v>24045.882</v>
      </c>
      <c r="J116" s="79" t="n">
        <v>10078.803</v>
      </c>
      <c r="K116" s="79" t="n">
        <v>4751836000</v>
      </c>
      <c r="L116" s="80" t="n">
        <v>7.81</v>
      </c>
      <c r="M116" s="79" t="n">
        <v>608.5115</v>
      </c>
      <c r="N116" s="79" t="n">
        <v>0</v>
      </c>
      <c r="O116" s="79" t="n">
        <v>70945.808</v>
      </c>
      <c r="P116" s="80" t="n">
        <v>0</v>
      </c>
      <c r="Q116" s="80" t="n">
        <v>431.5</v>
      </c>
      <c r="R116" s="47" t="n">
        <v>14</v>
      </c>
      <c r="S116" s="66" t="s">
        <v>357</v>
      </c>
    </row>
    <row r="117" customFormat="false" ht="15" hidden="false" customHeight="false" outlineLevel="0" collapsed="false">
      <c r="A117" s="76" t="s">
        <v>183</v>
      </c>
      <c r="B117" s="76" t="s">
        <v>248</v>
      </c>
      <c r="C117" s="77" t="n">
        <v>2022</v>
      </c>
      <c r="D117" s="77" t="n">
        <v>4</v>
      </c>
      <c r="E117" s="78" t="n">
        <v>44926</v>
      </c>
      <c r="F117" s="76" t="s">
        <v>219</v>
      </c>
      <c r="G117" s="76" t="s">
        <v>220</v>
      </c>
      <c r="H117" s="76" t="s">
        <v>216</v>
      </c>
      <c r="I117" s="79" t="n">
        <v>22420.161</v>
      </c>
      <c r="J117" s="79" t="n">
        <v>9090.355</v>
      </c>
      <c r="K117" s="79" t="n">
        <v>4042779000</v>
      </c>
      <c r="L117" s="80" t="n">
        <v>6.64</v>
      </c>
      <c r="M117" s="79" t="n">
        <v>608.5115</v>
      </c>
      <c r="N117" s="79" t="n">
        <v>0</v>
      </c>
      <c r="O117" s="79" t="n">
        <v>65570.205</v>
      </c>
      <c r="P117" s="80" t="n">
        <v>0</v>
      </c>
      <c r="Q117" s="80" t="n">
        <v>315.5</v>
      </c>
      <c r="R117" s="47" t="n">
        <v>15</v>
      </c>
      <c r="S117" s="66" t="s">
        <v>358</v>
      </c>
    </row>
    <row r="118" customFormat="false" ht="15" hidden="false" customHeight="false" outlineLevel="0" collapsed="false">
      <c r="A118" s="76" t="s">
        <v>183</v>
      </c>
      <c r="B118" s="76" t="s">
        <v>250</v>
      </c>
      <c r="C118" s="77" t="n">
        <v>2022</v>
      </c>
      <c r="D118" s="77" t="n">
        <v>3</v>
      </c>
      <c r="E118" s="78" t="n">
        <v>44834</v>
      </c>
      <c r="F118" s="76" t="s">
        <v>219</v>
      </c>
      <c r="G118" s="76" t="s">
        <v>220</v>
      </c>
      <c r="H118" s="76" t="s">
        <v>216</v>
      </c>
      <c r="I118" s="79" t="n">
        <v>19563.686</v>
      </c>
      <c r="J118" s="79" t="n">
        <v>8344.293</v>
      </c>
      <c r="K118" s="79" t="n">
        <v>4305080000</v>
      </c>
      <c r="L118" s="80" t="n">
        <v>7.07</v>
      </c>
      <c r="M118" s="79" t="n">
        <v>608.5115</v>
      </c>
      <c r="N118" s="79" t="n">
        <v>0</v>
      </c>
      <c r="O118" s="79" t="n">
        <v>61301.496</v>
      </c>
      <c r="P118" s="80" t="n">
        <v>51.5</v>
      </c>
      <c r="Q118" s="80" t="n">
        <v>219</v>
      </c>
      <c r="R118" s="47" t="n">
        <v>16</v>
      </c>
      <c r="S118" s="66" t="s">
        <v>359</v>
      </c>
    </row>
    <row r="119" customFormat="false" ht="15" hidden="false" customHeight="false" outlineLevel="0" collapsed="false">
      <c r="A119" s="76" t="s">
        <v>183</v>
      </c>
      <c r="B119" s="76" t="s">
        <v>252</v>
      </c>
      <c r="C119" s="77" t="n">
        <v>2022</v>
      </c>
      <c r="D119" s="77" t="n">
        <v>2</v>
      </c>
      <c r="E119" s="78" t="n">
        <v>44742</v>
      </c>
      <c r="F119" s="76" t="s">
        <v>219</v>
      </c>
      <c r="G119" s="76" t="s">
        <v>220</v>
      </c>
      <c r="H119" s="76" t="s">
        <v>216</v>
      </c>
      <c r="I119" s="79" t="n">
        <v>31461.142</v>
      </c>
      <c r="J119" s="79" t="n">
        <v>14982.46</v>
      </c>
      <c r="K119" s="79" t="n">
        <v>8486735000</v>
      </c>
      <c r="L119" s="80" t="n">
        <v>13.95</v>
      </c>
      <c r="M119" s="79" t="n">
        <v>608.5115</v>
      </c>
      <c r="N119" s="79" t="n">
        <v>0</v>
      </c>
      <c r="O119" s="79" t="n">
        <v>57213.395</v>
      </c>
      <c r="P119" s="80" t="n">
        <v>0</v>
      </c>
      <c r="Q119" s="80" t="n">
        <v>302</v>
      </c>
      <c r="R119" s="47" t="n">
        <v>17</v>
      </c>
      <c r="S119" s="66" t="s">
        <v>360</v>
      </c>
    </row>
    <row r="120" customFormat="false" ht="15" hidden="false" customHeight="false" outlineLevel="0" collapsed="false">
      <c r="A120" s="76" t="s">
        <v>183</v>
      </c>
      <c r="B120" s="76" t="s">
        <v>254</v>
      </c>
      <c r="C120" s="77" t="n">
        <v>2022</v>
      </c>
      <c r="D120" s="77" t="n">
        <v>1</v>
      </c>
      <c r="E120" s="78" t="n">
        <v>44651</v>
      </c>
      <c r="F120" s="76" t="s">
        <v>219</v>
      </c>
      <c r="G120" s="76" t="s">
        <v>220</v>
      </c>
      <c r="H120" s="76" t="s">
        <v>216</v>
      </c>
      <c r="I120" s="79" t="n">
        <v>36511.685</v>
      </c>
      <c r="J120" s="79" t="n">
        <v>18524.079</v>
      </c>
      <c r="K120" s="79" t="n">
        <v>11134928000</v>
      </c>
      <c r="L120" s="80" t="n">
        <v>18.3</v>
      </c>
      <c r="M120" s="79" t="n">
        <v>608.5115</v>
      </c>
      <c r="N120" s="79" t="n">
        <v>0</v>
      </c>
      <c r="O120" s="79" t="n">
        <v>80907.797</v>
      </c>
      <c r="P120" s="80" t="n">
        <v>0</v>
      </c>
      <c r="Q120" s="80" t="n">
        <v>426.5</v>
      </c>
      <c r="R120" s="47" t="n">
        <v>18</v>
      </c>
      <c r="S120" s="66" t="s">
        <v>361</v>
      </c>
    </row>
    <row r="121" customFormat="false" ht="15" hidden="false" customHeight="false" outlineLevel="0" collapsed="false">
      <c r="A121" s="76" t="s">
        <v>183</v>
      </c>
      <c r="B121" s="76" t="s">
        <v>256</v>
      </c>
      <c r="C121" s="77" t="n">
        <v>2021</v>
      </c>
      <c r="D121" s="77" t="n">
        <v>4</v>
      </c>
      <c r="E121" s="78" t="n">
        <v>44561</v>
      </c>
      <c r="F121" s="76" t="s">
        <v>219</v>
      </c>
      <c r="G121" s="76" t="s">
        <v>220</v>
      </c>
      <c r="H121" s="76" t="s">
        <v>216</v>
      </c>
      <c r="I121" s="79" t="n">
        <v>36542.106</v>
      </c>
      <c r="J121" s="79" t="n">
        <v>18800.964</v>
      </c>
      <c r="K121" s="79" t="n">
        <v>10933240000</v>
      </c>
      <c r="L121" s="80" t="n">
        <v>17.97</v>
      </c>
      <c r="M121" s="79" t="n">
        <v>608.5115</v>
      </c>
      <c r="N121" s="79" t="n">
        <v>0</v>
      </c>
      <c r="O121" s="79" t="n">
        <v>70451.323</v>
      </c>
      <c r="P121" s="80" t="n">
        <v>0</v>
      </c>
      <c r="Q121" s="80" t="n">
        <v>539</v>
      </c>
      <c r="R121" s="47" t="n">
        <v>19</v>
      </c>
      <c r="S121" s="66" t="s">
        <v>362</v>
      </c>
    </row>
    <row r="122" customFormat="false" ht="15" hidden="false" customHeight="false" outlineLevel="0" collapsed="false">
      <c r="A122" s="76" t="s">
        <v>183</v>
      </c>
      <c r="B122" s="76" t="s">
        <v>258</v>
      </c>
      <c r="C122" s="77" t="n">
        <v>2021</v>
      </c>
      <c r="D122" s="77" t="n">
        <v>3</v>
      </c>
      <c r="E122" s="78" t="n">
        <v>44469</v>
      </c>
      <c r="F122" s="76" t="s">
        <v>219</v>
      </c>
      <c r="G122" s="76" t="s">
        <v>220</v>
      </c>
      <c r="H122" s="76" t="s">
        <v>216</v>
      </c>
      <c r="I122" s="79" t="n">
        <v>38345.587</v>
      </c>
      <c r="J122" s="79" t="n">
        <v>19917.256</v>
      </c>
      <c r="K122" s="79" t="n">
        <v>12271038000</v>
      </c>
      <c r="L122" s="80" t="n">
        <v>20.17</v>
      </c>
      <c r="M122" s="79" t="n">
        <v>608.5115</v>
      </c>
      <c r="N122" s="79" t="n">
        <v>0</v>
      </c>
      <c r="O122" s="79" t="n">
        <v>59279.226</v>
      </c>
      <c r="P122" s="80" t="n">
        <v>15.6</v>
      </c>
      <c r="Q122" s="80" t="n">
        <v>410</v>
      </c>
      <c r="R122" s="47" t="n">
        <v>20</v>
      </c>
      <c r="S122" s="66" t="s">
        <v>363</v>
      </c>
    </row>
    <row r="123" customFormat="false" ht="15" hidden="false" customHeight="false" outlineLevel="0" collapsed="false">
      <c r="A123" s="76" t="s">
        <v>183</v>
      </c>
      <c r="B123" s="76" t="s">
        <v>260</v>
      </c>
      <c r="C123" s="77" t="n">
        <v>2021</v>
      </c>
      <c r="D123" s="77" t="n">
        <v>2</v>
      </c>
      <c r="E123" s="78" t="n">
        <v>44377</v>
      </c>
      <c r="F123" s="76" t="s">
        <v>219</v>
      </c>
      <c r="G123" s="76" t="s">
        <v>220</v>
      </c>
      <c r="H123" s="76" t="s">
        <v>216</v>
      </c>
      <c r="I123" s="79" t="n">
        <v>34111.302</v>
      </c>
      <c r="J123" s="79" t="n">
        <v>17166.736</v>
      </c>
      <c r="K123" s="79" t="n">
        <v>9786068000</v>
      </c>
      <c r="L123" s="80" t="n">
        <v>16.08</v>
      </c>
      <c r="M123" s="79" t="n">
        <v>608.5115</v>
      </c>
      <c r="N123" s="79" t="n">
        <v>0</v>
      </c>
      <c r="O123" s="79" t="n">
        <v>46461.763</v>
      </c>
      <c r="P123" s="80" t="n">
        <v>0</v>
      </c>
      <c r="Q123" s="80" t="n">
        <v>499</v>
      </c>
      <c r="R123" s="47" t="n">
        <v>21</v>
      </c>
      <c r="S123" s="66" t="s">
        <v>364</v>
      </c>
    </row>
    <row r="124" customFormat="false" ht="15" hidden="false" customHeight="false" outlineLevel="0" collapsed="false">
      <c r="A124" s="76" t="s">
        <v>183</v>
      </c>
      <c r="B124" s="76" t="s">
        <v>262</v>
      </c>
      <c r="C124" s="77" t="n">
        <v>2021</v>
      </c>
      <c r="D124" s="77" t="n">
        <v>1</v>
      </c>
      <c r="E124" s="78" t="n">
        <v>44286</v>
      </c>
      <c r="F124" s="76" t="s">
        <v>219</v>
      </c>
      <c r="G124" s="76" t="s">
        <v>220</v>
      </c>
      <c r="H124" s="76" t="s">
        <v>216</v>
      </c>
      <c r="I124" s="79" t="n">
        <v>26366.515</v>
      </c>
      <c r="J124" s="79" t="n">
        <v>11506.568</v>
      </c>
      <c r="K124" s="79" t="n">
        <v>5875214000</v>
      </c>
      <c r="L124" s="80" t="n">
        <v>9.66</v>
      </c>
      <c r="M124" s="79" t="n">
        <v>608.5115</v>
      </c>
      <c r="N124" s="79" t="n">
        <v>0</v>
      </c>
      <c r="O124" s="79" t="n">
        <v>46019.727</v>
      </c>
      <c r="P124" s="80" t="n">
        <v>0</v>
      </c>
      <c r="Q124" s="80" t="n">
        <v>575</v>
      </c>
      <c r="R124" s="47" t="n">
        <v>22</v>
      </c>
      <c r="S124" s="66" t="s">
        <v>365</v>
      </c>
    </row>
    <row r="125" customFormat="false" ht="15" hidden="false" customHeight="false" outlineLevel="0" collapsed="false">
      <c r="A125" s="76" t="s">
        <v>183</v>
      </c>
      <c r="B125" s="76" t="s">
        <v>264</v>
      </c>
      <c r="C125" s="77" t="n">
        <v>2020</v>
      </c>
      <c r="D125" s="77" t="n">
        <v>4</v>
      </c>
      <c r="E125" s="78" t="n">
        <v>44196</v>
      </c>
      <c r="F125" s="76" t="s">
        <v>219</v>
      </c>
      <c r="G125" s="76" t="s">
        <v>220</v>
      </c>
      <c r="H125" s="76" t="s">
        <v>216</v>
      </c>
      <c r="I125" s="79" t="n">
        <v>22452.842</v>
      </c>
      <c r="J125" s="79" t="n">
        <v>8538.771</v>
      </c>
      <c r="K125" s="79" t="n">
        <v>3644209000</v>
      </c>
      <c r="L125" s="80" t="n">
        <v>5.99</v>
      </c>
      <c r="M125" s="79" t="n">
        <v>608.5115</v>
      </c>
      <c r="N125" s="79" t="n">
        <v>0</v>
      </c>
      <c r="O125" s="79" t="n">
        <v>39943.203</v>
      </c>
      <c r="P125" s="80" t="n">
        <v>0</v>
      </c>
      <c r="Q125" s="80" t="n">
        <v>369</v>
      </c>
      <c r="R125" s="47" t="n">
        <v>23</v>
      </c>
      <c r="S125" s="66" t="s">
        <v>366</v>
      </c>
    </row>
    <row r="126" customFormat="false" ht="15" hidden="false" customHeight="false" outlineLevel="0" collapsed="false">
      <c r="A126" s="76" t="s">
        <v>183</v>
      </c>
      <c r="B126" s="76" t="s">
        <v>266</v>
      </c>
      <c r="C126" s="77" t="n">
        <v>2020</v>
      </c>
      <c r="D126" s="77" t="n">
        <v>3</v>
      </c>
      <c r="E126" s="78" t="n">
        <v>44104</v>
      </c>
      <c r="F126" s="76" t="s">
        <v>219</v>
      </c>
      <c r="G126" s="76" t="s">
        <v>220</v>
      </c>
      <c r="H126" s="76" t="s">
        <v>216</v>
      </c>
      <c r="I126" s="79" t="n">
        <v>22001.236</v>
      </c>
      <c r="J126" s="79" t="n">
        <v>7580.021</v>
      </c>
      <c r="K126" s="79" t="n">
        <v>3405156000</v>
      </c>
      <c r="L126" s="80" t="n">
        <v>5.6</v>
      </c>
      <c r="M126" s="79" t="n">
        <v>608.5115</v>
      </c>
      <c r="N126" s="79" t="n">
        <v>0</v>
      </c>
      <c r="O126" s="79" t="n">
        <v>35469.351</v>
      </c>
      <c r="P126" s="80"/>
      <c r="Q126" s="80" t="n">
        <v>265.5</v>
      </c>
      <c r="R126" s="47" t="n">
        <v>24</v>
      </c>
      <c r="S126" s="66" t="s">
        <v>367</v>
      </c>
    </row>
    <row r="127" customFormat="false" ht="15" hidden="false" customHeight="false" outlineLevel="0" collapsed="false">
      <c r="A127" s="76" t="s">
        <v>185</v>
      </c>
      <c r="B127" s="76" t="s">
        <v>213</v>
      </c>
      <c r="C127" s="77" t="n">
        <v>2026</v>
      </c>
      <c r="D127" s="77" t="n">
        <v>3</v>
      </c>
      <c r="E127" s="78" t="n">
        <v>46295</v>
      </c>
      <c r="F127" s="76" t="s">
        <v>214</v>
      </c>
      <c r="G127" s="76" t="s">
        <v>215</v>
      </c>
      <c r="H127" s="76" t="s">
        <v>216</v>
      </c>
      <c r="I127" s="79"/>
      <c r="J127" s="79"/>
      <c r="K127" s="79"/>
      <c r="L127" s="80" t="n">
        <v>18.74375</v>
      </c>
      <c r="M127" s="79"/>
      <c r="N127" s="79"/>
      <c r="O127" s="79"/>
      <c r="P127" s="80"/>
      <c r="Q127" s="80"/>
      <c r="R127" s="47" t="n">
        <v>0</v>
      </c>
      <c r="S127" s="66" t="s">
        <v>368</v>
      </c>
    </row>
    <row r="128" customFormat="false" ht="15" hidden="false" customHeight="false" outlineLevel="0" collapsed="false">
      <c r="A128" s="76" t="s">
        <v>185</v>
      </c>
      <c r="B128" s="76" t="s">
        <v>218</v>
      </c>
      <c r="C128" s="77" t="n">
        <v>2026</v>
      </c>
      <c r="D128" s="77" t="n">
        <v>2</v>
      </c>
      <c r="E128" s="78" t="n">
        <v>46203</v>
      </c>
      <c r="F128" s="76" t="s">
        <v>219</v>
      </c>
      <c r="G128" s="76" t="s">
        <v>220</v>
      </c>
      <c r="H128" s="76" t="s">
        <v>216</v>
      </c>
      <c r="I128" s="79" t="n">
        <v>23281.188</v>
      </c>
      <c r="J128" s="79" t="n">
        <v>7154.196</v>
      </c>
      <c r="K128" s="79" t="n">
        <v>2981775000</v>
      </c>
      <c r="L128" s="80" t="n">
        <v>15.28</v>
      </c>
      <c r="M128" s="79" t="n">
        <v>195.0784</v>
      </c>
      <c r="N128" s="79" t="n">
        <v>0</v>
      </c>
      <c r="O128" s="79" t="n">
        <v>49562.802</v>
      </c>
      <c r="P128" s="80" t="n">
        <v>0</v>
      </c>
      <c r="Q128" s="80" t="n">
        <v>1915</v>
      </c>
      <c r="R128" s="47" t="n">
        <v>1</v>
      </c>
      <c r="S128" s="66" t="s">
        <v>369</v>
      </c>
    </row>
    <row r="129" customFormat="false" ht="15" hidden="false" customHeight="false" outlineLevel="0" collapsed="false">
      <c r="A129" s="76" t="s">
        <v>185</v>
      </c>
      <c r="B129" s="76" t="s">
        <v>222</v>
      </c>
      <c r="C129" s="77" t="n">
        <v>2026</v>
      </c>
      <c r="D129" s="77" t="n">
        <v>1</v>
      </c>
      <c r="E129" s="78" t="n">
        <v>46112</v>
      </c>
      <c r="F129" s="76" t="s">
        <v>219</v>
      </c>
      <c r="G129" s="76" t="s">
        <v>220</v>
      </c>
      <c r="H129" s="76" t="s">
        <v>216</v>
      </c>
      <c r="I129" s="79" t="n">
        <v>20863.649</v>
      </c>
      <c r="J129" s="79" t="n">
        <v>6001.841</v>
      </c>
      <c r="K129" s="79" t="n">
        <v>2273834000</v>
      </c>
      <c r="L129" s="80" t="n">
        <v>11.66</v>
      </c>
      <c r="M129" s="79" t="n">
        <v>195.0784</v>
      </c>
      <c r="N129" s="79" t="n">
        <v>0</v>
      </c>
      <c r="O129" s="79" t="n">
        <v>46639.663</v>
      </c>
      <c r="P129" s="80" t="n">
        <v>0</v>
      </c>
      <c r="Q129" s="80" t="n">
        <v>1740</v>
      </c>
      <c r="R129" s="47" t="n">
        <v>2</v>
      </c>
      <c r="S129" s="66" t="s">
        <v>370</v>
      </c>
    </row>
    <row r="130" customFormat="false" ht="15" hidden="false" customHeight="false" outlineLevel="0" collapsed="false">
      <c r="A130" s="76" t="s">
        <v>185</v>
      </c>
      <c r="B130" s="76" t="s">
        <v>224</v>
      </c>
      <c r="C130" s="77" t="n">
        <v>2025</v>
      </c>
      <c r="D130" s="77" t="n">
        <v>4</v>
      </c>
      <c r="E130" s="78" t="n">
        <v>46022</v>
      </c>
      <c r="F130" s="76" t="s">
        <v>219</v>
      </c>
      <c r="G130" s="76" t="s">
        <v>220</v>
      </c>
      <c r="H130" s="76" t="s">
        <v>216</v>
      </c>
      <c r="I130" s="79" t="n">
        <v>19779.964</v>
      </c>
      <c r="J130" s="79" t="n">
        <v>6315.679</v>
      </c>
      <c r="K130" s="79" t="n">
        <v>2740078000</v>
      </c>
      <c r="L130" s="80" t="n">
        <v>14.08</v>
      </c>
      <c r="M130" s="79" t="n">
        <v>194.9699</v>
      </c>
      <c r="N130" s="79" t="n">
        <v>0</v>
      </c>
      <c r="O130" s="79" t="n">
        <v>46634.452</v>
      </c>
      <c r="P130" s="80" t="n">
        <v>0</v>
      </c>
      <c r="Q130" s="80" t="n">
        <v>1520</v>
      </c>
      <c r="R130" s="47" t="n">
        <v>3</v>
      </c>
      <c r="S130" s="66" t="s">
        <v>371</v>
      </c>
    </row>
    <row r="131" customFormat="false" ht="15" hidden="false" customHeight="false" outlineLevel="0" collapsed="false">
      <c r="A131" s="76" t="s">
        <v>185</v>
      </c>
      <c r="B131" s="76" t="s">
        <v>226</v>
      </c>
      <c r="C131" s="77" t="n">
        <v>2025</v>
      </c>
      <c r="D131" s="77" t="n">
        <v>3</v>
      </c>
      <c r="E131" s="78" t="n">
        <v>45930</v>
      </c>
      <c r="F131" s="76" t="s">
        <v>219</v>
      </c>
      <c r="G131" s="76" t="s">
        <v>220</v>
      </c>
      <c r="H131" s="76" t="s">
        <v>216</v>
      </c>
      <c r="I131" s="79" t="n">
        <v>18413.195</v>
      </c>
      <c r="J131" s="79" t="n">
        <v>6122.914</v>
      </c>
      <c r="K131" s="79" t="n">
        <v>2628697000</v>
      </c>
      <c r="L131" s="80" t="n">
        <v>13.51</v>
      </c>
      <c r="M131" s="79" t="n">
        <v>194.9599</v>
      </c>
      <c r="N131" s="79" t="n">
        <v>0</v>
      </c>
      <c r="O131" s="79" t="n">
        <v>42028.78</v>
      </c>
      <c r="P131" s="80" t="n">
        <v>10.50548249</v>
      </c>
      <c r="Q131" s="80" t="n">
        <v>1030</v>
      </c>
      <c r="R131" s="47" t="n">
        <v>4</v>
      </c>
      <c r="S131" s="66" t="s">
        <v>372</v>
      </c>
    </row>
    <row r="132" customFormat="false" ht="15" hidden="false" customHeight="false" outlineLevel="0" collapsed="false">
      <c r="A132" s="76" t="s">
        <v>185</v>
      </c>
      <c r="B132" s="76" t="s">
        <v>228</v>
      </c>
      <c r="C132" s="77" t="n">
        <v>2025</v>
      </c>
      <c r="D132" s="77" t="n">
        <v>2</v>
      </c>
      <c r="E132" s="78" t="n">
        <v>45838</v>
      </c>
      <c r="F132" s="76" t="s">
        <v>219</v>
      </c>
      <c r="G132" s="76" t="s">
        <v>220</v>
      </c>
      <c r="H132" s="76" t="s">
        <v>216</v>
      </c>
      <c r="I132" s="79" t="n">
        <v>16933.328</v>
      </c>
      <c r="J132" s="79" t="n">
        <v>5268.882</v>
      </c>
      <c r="K132" s="79" t="n">
        <v>2024484000</v>
      </c>
      <c r="L132" s="80" t="n">
        <v>10.54</v>
      </c>
      <c r="M132" s="79" t="n">
        <v>192.0711</v>
      </c>
      <c r="N132" s="79" t="n">
        <v>0</v>
      </c>
      <c r="O132" s="79" t="n">
        <v>36600.942</v>
      </c>
      <c r="P132" s="80" t="n">
        <v>0</v>
      </c>
      <c r="Q132" s="80" t="n">
        <v>848</v>
      </c>
      <c r="R132" s="47" t="n">
        <v>5</v>
      </c>
      <c r="S132" s="66" t="s">
        <v>373</v>
      </c>
    </row>
    <row r="133" customFormat="false" ht="15" hidden="false" customHeight="false" outlineLevel="0" collapsed="false">
      <c r="A133" s="76" t="s">
        <v>185</v>
      </c>
      <c r="B133" s="76" t="s">
        <v>230</v>
      </c>
      <c r="C133" s="77" t="n">
        <v>2025</v>
      </c>
      <c r="D133" s="77" t="n">
        <v>1</v>
      </c>
      <c r="E133" s="78" t="n">
        <v>45747</v>
      </c>
      <c r="F133" s="76" t="s">
        <v>219</v>
      </c>
      <c r="G133" s="76" t="s">
        <v>220</v>
      </c>
      <c r="H133" s="76" t="s">
        <v>216</v>
      </c>
      <c r="I133" s="79" t="n">
        <v>16120.785</v>
      </c>
      <c r="J133" s="79" t="n">
        <v>4897.124</v>
      </c>
      <c r="K133" s="79" t="n">
        <v>1612107000</v>
      </c>
      <c r="L133" s="80" t="n">
        <v>8.49</v>
      </c>
      <c r="M133" s="79" t="n">
        <v>190.0832</v>
      </c>
      <c r="N133" s="79" t="n">
        <v>0</v>
      </c>
      <c r="O133" s="79" t="n">
        <v>36910.274</v>
      </c>
      <c r="P133" s="80" t="n">
        <v>0</v>
      </c>
      <c r="Q133" s="80" t="n">
        <v>504</v>
      </c>
      <c r="R133" s="47" t="n">
        <v>6</v>
      </c>
      <c r="S133" s="66" t="s">
        <v>374</v>
      </c>
    </row>
    <row r="134" customFormat="false" ht="15" hidden="false" customHeight="false" outlineLevel="0" collapsed="false">
      <c r="A134" s="76" t="s">
        <v>185</v>
      </c>
      <c r="B134" s="76" t="s">
        <v>232</v>
      </c>
      <c r="C134" s="77" t="n">
        <v>2024</v>
      </c>
      <c r="D134" s="77" t="n">
        <v>4</v>
      </c>
      <c r="E134" s="78" t="n">
        <v>45657</v>
      </c>
      <c r="F134" s="76" t="s">
        <v>219</v>
      </c>
      <c r="G134" s="76" t="s">
        <v>220</v>
      </c>
      <c r="H134" s="76" t="s">
        <v>216</v>
      </c>
      <c r="I134" s="79" t="n">
        <v>14411.637</v>
      </c>
      <c r="J134" s="79" t="n">
        <v>4147.995</v>
      </c>
      <c r="K134" s="79" t="n">
        <v>1555805000</v>
      </c>
      <c r="L134" s="80" t="n">
        <v>8.53</v>
      </c>
      <c r="M134" s="79" t="n">
        <v>189.5543</v>
      </c>
      <c r="N134" s="79" t="n">
        <v>0</v>
      </c>
      <c r="O134" s="79" t="n">
        <v>36208.816</v>
      </c>
      <c r="P134" s="80" t="n">
        <v>0</v>
      </c>
      <c r="Q134" s="80" t="n">
        <v>612</v>
      </c>
      <c r="R134" s="47" t="n">
        <v>7</v>
      </c>
      <c r="S134" s="66" t="s">
        <v>375</v>
      </c>
    </row>
    <row r="135" customFormat="false" ht="15" hidden="false" customHeight="false" outlineLevel="0" collapsed="false">
      <c r="A135" s="76" t="s">
        <v>185</v>
      </c>
      <c r="B135" s="76" t="s">
        <v>234</v>
      </c>
      <c r="C135" s="77" t="n">
        <v>2024</v>
      </c>
      <c r="D135" s="77" t="n">
        <v>3</v>
      </c>
      <c r="E135" s="78" t="n">
        <v>45565</v>
      </c>
      <c r="F135" s="76" t="s">
        <v>219</v>
      </c>
      <c r="G135" s="76" t="s">
        <v>220</v>
      </c>
      <c r="H135" s="76" t="s">
        <v>216</v>
      </c>
      <c r="I135" s="79" t="n">
        <v>14259.287</v>
      </c>
      <c r="J135" s="79" t="n">
        <v>4181.908</v>
      </c>
      <c r="K135" s="79" t="n">
        <v>1257207000</v>
      </c>
      <c r="L135" s="80" t="n">
        <v>7.07</v>
      </c>
      <c r="M135" s="79" t="n">
        <v>183.3902</v>
      </c>
      <c r="N135" s="79" t="n">
        <v>0</v>
      </c>
      <c r="O135" s="79" t="n">
        <v>33244.409</v>
      </c>
      <c r="P135" s="80" t="n">
        <v>8.7807351</v>
      </c>
      <c r="Q135" s="80" t="n">
        <v>461</v>
      </c>
      <c r="R135" s="47" t="n">
        <v>8</v>
      </c>
      <c r="S135" s="66" t="s">
        <v>376</v>
      </c>
    </row>
    <row r="136" customFormat="false" ht="15" hidden="false" customHeight="false" outlineLevel="0" collapsed="false">
      <c r="A136" s="76" t="s">
        <v>185</v>
      </c>
      <c r="B136" s="76" t="s">
        <v>236</v>
      </c>
      <c r="C136" s="77" t="n">
        <v>2024</v>
      </c>
      <c r="D136" s="77" t="n">
        <v>2</v>
      </c>
      <c r="E136" s="78" t="n">
        <v>45473</v>
      </c>
      <c r="F136" s="76" t="s">
        <v>219</v>
      </c>
      <c r="G136" s="76" t="s">
        <v>220</v>
      </c>
      <c r="H136" s="76" t="s">
        <v>216</v>
      </c>
      <c r="I136" s="79" t="n">
        <v>12983.996</v>
      </c>
      <c r="J136" s="79" t="n">
        <v>3649.998</v>
      </c>
      <c r="K136" s="79" t="n">
        <v>1002454000</v>
      </c>
      <c r="L136" s="80" t="n">
        <v>6.13</v>
      </c>
      <c r="M136" s="79" t="n">
        <v>166.5369</v>
      </c>
      <c r="N136" s="79" t="n">
        <v>0</v>
      </c>
      <c r="O136" s="79" t="n">
        <v>26234.193</v>
      </c>
      <c r="P136" s="80" t="n">
        <v>0</v>
      </c>
      <c r="Q136" s="80" t="n">
        <v>374</v>
      </c>
      <c r="R136" s="47" t="n">
        <v>9</v>
      </c>
      <c r="S136" s="66" t="s">
        <v>377</v>
      </c>
    </row>
    <row r="137" customFormat="false" ht="15" hidden="false" customHeight="false" outlineLevel="0" collapsed="false">
      <c r="A137" s="76" t="s">
        <v>185</v>
      </c>
      <c r="B137" s="76" t="s">
        <v>238</v>
      </c>
      <c r="C137" s="77" t="n">
        <v>2024</v>
      </c>
      <c r="D137" s="77" t="n">
        <v>1</v>
      </c>
      <c r="E137" s="78" t="n">
        <v>45382</v>
      </c>
      <c r="F137" s="76" t="s">
        <v>219</v>
      </c>
      <c r="G137" s="76" t="s">
        <v>220</v>
      </c>
      <c r="H137" s="76" t="s">
        <v>216</v>
      </c>
      <c r="I137" s="79" t="n">
        <v>12425.561</v>
      </c>
      <c r="J137" s="79" t="n">
        <v>3272.937</v>
      </c>
      <c r="K137" s="79" t="n">
        <v>580672000</v>
      </c>
      <c r="L137" s="80" t="n">
        <v>3.56</v>
      </c>
      <c r="M137" s="79" t="n">
        <v>163.4296</v>
      </c>
      <c r="N137" s="79" t="n">
        <v>0</v>
      </c>
      <c r="O137" s="79" t="n">
        <v>24110.138</v>
      </c>
      <c r="P137" s="80" t="n">
        <v>0</v>
      </c>
      <c r="Q137" s="80" t="n">
        <v>259</v>
      </c>
      <c r="R137" s="47" t="n">
        <v>10</v>
      </c>
      <c r="S137" s="66" t="s">
        <v>378</v>
      </c>
    </row>
    <row r="138" customFormat="false" ht="15" hidden="false" customHeight="false" outlineLevel="0" collapsed="false">
      <c r="A138" s="76" t="s">
        <v>185</v>
      </c>
      <c r="B138" s="76" t="s">
        <v>240</v>
      </c>
      <c r="C138" s="77" t="n">
        <v>2023</v>
      </c>
      <c r="D138" s="77" t="n">
        <v>4</v>
      </c>
      <c r="E138" s="78" t="n">
        <v>45291</v>
      </c>
      <c r="F138" s="76" t="s">
        <v>219</v>
      </c>
      <c r="G138" s="76" t="s">
        <v>220</v>
      </c>
      <c r="H138" s="76" t="s">
        <v>216</v>
      </c>
      <c r="I138" s="79" t="n">
        <v>12195.595</v>
      </c>
      <c r="J138" s="79" t="n">
        <v>2990.764</v>
      </c>
      <c r="K138" s="79" t="n">
        <v>507876000</v>
      </c>
      <c r="L138" s="80" t="n">
        <v>3.11</v>
      </c>
      <c r="M138" s="79" t="n">
        <v>163.3091</v>
      </c>
      <c r="N138" s="79" t="n">
        <v>0</v>
      </c>
      <c r="O138" s="79" t="n">
        <v>24585.036</v>
      </c>
      <c r="P138" s="80" t="n">
        <v>0</v>
      </c>
      <c r="Q138" s="80" t="n">
        <v>267</v>
      </c>
      <c r="R138" s="47" t="n">
        <v>11</v>
      </c>
      <c r="S138" s="66" t="s">
        <v>379</v>
      </c>
    </row>
    <row r="139" customFormat="false" ht="15" hidden="false" customHeight="false" outlineLevel="0" collapsed="false">
      <c r="A139" s="76" t="s">
        <v>185</v>
      </c>
      <c r="B139" s="76" t="s">
        <v>242</v>
      </c>
      <c r="C139" s="77" t="n">
        <v>2023</v>
      </c>
      <c r="D139" s="77" t="n">
        <v>3</v>
      </c>
      <c r="E139" s="78" t="n">
        <v>45199</v>
      </c>
      <c r="F139" s="76" t="s">
        <v>219</v>
      </c>
      <c r="G139" s="76" t="s">
        <v>220</v>
      </c>
      <c r="H139" s="76" t="s">
        <v>216</v>
      </c>
      <c r="I139" s="79" t="n">
        <v>13150.145</v>
      </c>
      <c r="J139" s="79" t="n">
        <v>3509.563</v>
      </c>
      <c r="K139" s="79" t="n">
        <v>740556000</v>
      </c>
      <c r="L139" s="80" t="n">
        <v>4.54</v>
      </c>
      <c r="M139" s="79" t="n">
        <v>163.3091</v>
      </c>
      <c r="N139" s="79" t="n">
        <v>0</v>
      </c>
      <c r="O139" s="79" t="n">
        <v>24173.791</v>
      </c>
      <c r="P139" s="80" t="n">
        <v>9.88572038</v>
      </c>
      <c r="Q139" s="80" t="n">
        <v>270</v>
      </c>
      <c r="R139" s="47" t="n">
        <v>12</v>
      </c>
      <c r="S139" s="66" t="s">
        <v>380</v>
      </c>
    </row>
    <row r="140" customFormat="false" ht="15" hidden="false" customHeight="false" outlineLevel="0" collapsed="false">
      <c r="A140" s="76" t="s">
        <v>185</v>
      </c>
      <c r="B140" s="76" t="s">
        <v>244</v>
      </c>
      <c r="C140" s="77" t="n">
        <v>2023</v>
      </c>
      <c r="D140" s="77" t="n">
        <v>2</v>
      </c>
      <c r="E140" s="78" t="n">
        <v>45107</v>
      </c>
      <c r="F140" s="76" t="s">
        <v>219</v>
      </c>
      <c r="G140" s="76" t="s">
        <v>220</v>
      </c>
      <c r="H140" s="76" t="s">
        <v>216</v>
      </c>
      <c r="I140" s="79" t="n">
        <v>13004.395</v>
      </c>
      <c r="J140" s="79" t="n">
        <v>2850.162</v>
      </c>
      <c r="K140" s="79" t="n">
        <v>440991000</v>
      </c>
      <c r="L140" s="80" t="n">
        <v>2.75</v>
      </c>
      <c r="M140" s="79" t="n">
        <v>161.5773</v>
      </c>
      <c r="N140" s="79" t="n">
        <v>0</v>
      </c>
      <c r="O140" s="79" t="n">
        <v>23063.842</v>
      </c>
      <c r="P140" s="80" t="n">
        <v>0</v>
      </c>
      <c r="Q140" s="80" t="n">
        <v>322</v>
      </c>
      <c r="R140" s="47" t="n">
        <v>13</v>
      </c>
      <c r="S140" s="66" t="s">
        <v>381</v>
      </c>
    </row>
    <row r="141" customFormat="false" ht="15" hidden="false" customHeight="false" outlineLevel="0" collapsed="false">
      <c r="A141" s="76" t="s">
        <v>185</v>
      </c>
      <c r="B141" s="76" t="s">
        <v>246</v>
      </c>
      <c r="C141" s="77" t="n">
        <v>2023</v>
      </c>
      <c r="D141" s="77" t="n">
        <v>1</v>
      </c>
      <c r="E141" s="78" t="n">
        <v>45016</v>
      </c>
      <c r="F141" s="76" t="s">
        <v>219</v>
      </c>
      <c r="G141" s="76" t="s">
        <v>220</v>
      </c>
      <c r="H141" s="76" t="s">
        <v>216</v>
      </c>
      <c r="I141" s="79" t="n">
        <v>12701.656</v>
      </c>
      <c r="J141" s="79" t="n">
        <v>3236.323</v>
      </c>
      <c r="K141" s="79" t="n">
        <v>627932000</v>
      </c>
      <c r="L141" s="80" t="n">
        <v>4.01</v>
      </c>
      <c r="M141" s="79" t="n">
        <v>156.5623</v>
      </c>
      <c r="N141" s="79" t="n">
        <v>0</v>
      </c>
      <c r="O141" s="79" t="n">
        <v>21836.795</v>
      </c>
      <c r="P141" s="80" t="n">
        <v>0</v>
      </c>
      <c r="Q141" s="80" t="n">
        <v>279</v>
      </c>
      <c r="R141" s="47" t="n">
        <v>14</v>
      </c>
      <c r="S141" s="66" t="s">
        <v>382</v>
      </c>
    </row>
    <row r="142" customFormat="false" ht="15" hidden="false" customHeight="false" outlineLevel="0" collapsed="false">
      <c r="A142" s="76" t="s">
        <v>185</v>
      </c>
      <c r="B142" s="76" t="s">
        <v>248</v>
      </c>
      <c r="C142" s="77" t="n">
        <v>2022</v>
      </c>
      <c r="D142" s="77" t="n">
        <v>4</v>
      </c>
      <c r="E142" s="78" t="n">
        <v>44926</v>
      </c>
      <c r="F142" s="76" t="s">
        <v>219</v>
      </c>
      <c r="G142" s="76" t="s">
        <v>220</v>
      </c>
      <c r="H142" s="76" t="s">
        <v>216</v>
      </c>
      <c r="I142" s="79" t="n">
        <v>13600.543</v>
      </c>
      <c r="J142" s="79" t="n">
        <v>3572.38</v>
      </c>
      <c r="K142" s="79" t="n">
        <v>922388000</v>
      </c>
      <c r="L142" s="80" t="n">
        <v>5.88</v>
      </c>
      <c r="M142" s="79" t="n">
        <v>156.4463</v>
      </c>
      <c r="N142" s="79" t="n">
        <v>0</v>
      </c>
      <c r="O142" s="79" t="n">
        <v>22485.042</v>
      </c>
      <c r="P142" s="80" t="n">
        <v>0</v>
      </c>
      <c r="Q142" s="80" t="n">
        <v>236.5</v>
      </c>
      <c r="R142" s="47" t="n">
        <v>15</v>
      </c>
      <c r="S142" s="66" t="s">
        <v>383</v>
      </c>
    </row>
    <row r="143" customFormat="false" ht="15" hidden="false" customHeight="false" outlineLevel="0" collapsed="false">
      <c r="A143" s="76" t="s">
        <v>185</v>
      </c>
      <c r="B143" s="76" t="s">
        <v>250</v>
      </c>
      <c r="C143" s="77" t="n">
        <v>2022</v>
      </c>
      <c r="D143" s="77" t="n">
        <v>3</v>
      </c>
      <c r="E143" s="78" t="n">
        <v>44834</v>
      </c>
      <c r="F143" s="76" t="s">
        <v>219</v>
      </c>
      <c r="G143" s="76" t="s">
        <v>220</v>
      </c>
      <c r="H143" s="76" t="s">
        <v>216</v>
      </c>
      <c r="I143" s="79" t="n">
        <v>14526.402</v>
      </c>
      <c r="J143" s="79" t="n">
        <v>3740.877</v>
      </c>
      <c r="K143" s="79" t="n">
        <v>1184084000</v>
      </c>
      <c r="L143" s="80" t="n">
        <v>7.64</v>
      </c>
      <c r="M143" s="79" t="n">
        <v>156.4273</v>
      </c>
      <c r="N143" s="79" t="n">
        <v>0</v>
      </c>
      <c r="O143" s="79" t="n">
        <v>20970.774</v>
      </c>
      <c r="P143" s="80" t="n">
        <v>9.44960126</v>
      </c>
      <c r="Q143" s="80" t="n">
        <v>280.5</v>
      </c>
      <c r="R143" s="47" t="n">
        <v>16</v>
      </c>
      <c r="S143" s="66" t="s">
        <v>384</v>
      </c>
    </row>
    <row r="144" customFormat="false" ht="15" hidden="false" customHeight="false" outlineLevel="0" collapsed="false">
      <c r="A144" s="76" t="s">
        <v>185</v>
      </c>
      <c r="B144" s="76" t="s">
        <v>252</v>
      </c>
      <c r="C144" s="77" t="n">
        <v>2022</v>
      </c>
      <c r="D144" s="77" t="n">
        <v>2</v>
      </c>
      <c r="E144" s="78" t="n">
        <v>44742</v>
      </c>
      <c r="F144" s="76" t="s">
        <v>219</v>
      </c>
      <c r="G144" s="76" t="s">
        <v>220</v>
      </c>
      <c r="H144" s="76" t="s">
        <v>216</v>
      </c>
      <c r="I144" s="79" t="n">
        <v>13963.028</v>
      </c>
      <c r="J144" s="79" t="n">
        <v>3625.501</v>
      </c>
      <c r="K144" s="79" t="n">
        <v>1172964000</v>
      </c>
      <c r="L144" s="80" t="n">
        <v>7.68</v>
      </c>
      <c r="M144" s="79" t="n">
        <v>152.7509</v>
      </c>
      <c r="N144" s="79" t="n">
        <v>0</v>
      </c>
      <c r="O144" s="79" t="n">
        <v>19031.3</v>
      </c>
      <c r="P144" s="80" t="n">
        <v>0</v>
      </c>
      <c r="Q144" s="80" t="n">
        <v>308.5</v>
      </c>
      <c r="R144" s="47" t="n">
        <v>17</v>
      </c>
      <c r="S144" s="66" t="s">
        <v>385</v>
      </c>
    </row>
    <row r="145" customFormat="false" ht="15" hidden="false" customHeight="false" outlineLevel="0" collapsed="false">
      <c r="A145" s="76" t="s">
        <v>185</v>
      </c>
      <c r="B145" s="76" t="s">
        <v>254</v>
      </c>
      <c r="C145" s="77" t="n">
        <v>2022</v>
      </c>
      <c r="D145" s="77" t="n">
        <v>1</v>
      </c>
      <c r="E145" s="78" t="n">
        <v>44651</v>
      </c>
      <c r="F145" s="76" t="s">
        <v>219</v>
      </c>
      <c r="G145" s="76" t="s">
        <v>220</v>
      </c>
      <c r="H145" s="76" t="s">
        <v>216</v>
      </c>
      <c r="I145" s="79" t="n">
        <v>11667.198</v>
      </c>
      <c r="J145" s="79" t="n">
        <v>2848.725</v>
      </c>
      <c r="K145" s="79" t="n">
        <v>558944000</v>
      </c>
      <c r="L145" s="80" t="n">
        <v>3.74</v>
      </c>
      <c r="M145" s="79" t="n">
        <v>152.6274</v>
      </c>
      <c r="N145" s="79" t="n">
        <v>0</v>
      </c>
      <c r="O145" s="79" t="n">
        <v>18361.569</v>
      </c>
      <c r="P145" s="80" t="n">
        <v>0</v>
      </c>
      <c r="Q145" s="80" t="n">
        <v>296.5</v>
      </c>
      <c r="R145" s="47" t="n">
        <v>18</v>
      </c>
      <c r="S145" s="66" t="s">
        <v>386</v>
      </c>
    </row>
    <row r="146" customFormat="false" ht="15" hidden="false" customHeight="false" outlineLevel="0" collapsed="false">
      <c r="A146" s="76" t="s">
        <v>185</v>
      </c>
      <c r="B146" s="76" t="s">
        <v>256</v>
      </c>
      <c r="C146" s="77" t="n">
        <v>2021</v>
      </c>
      <c r="D146" s="77" t="n">
        <v>4</v>
      </c>
      <c r="E146" s="78" t="n">
        <v>44561</v>
      </c>
      <c r="F146" s="76" t="s">
        <v>219</v>
      </c>
      <c r="G146" s="76" t="s">
        <v>220</v>
      </c>
      <c r="H146" s="76" t="s">
        <v>216</v>
      </c>
      <c r="I146" s="79" t="n">
        <v>7998.723</v>
      </c>
      <c r="J146" s="79" t="n">
        <v>1842.97</v>
      </c>
      <c r="K146" s="79" t="n">
        <v>568796000</v>
      </c>
      <c r="L146" s="80" t="n">
        <v>4.2</v>
      </c>
      <c r="M146" s="79" t="n">
        <v>137.4573</v>
      </c>
      <c r="N146" s="79" t="n">
        <v>0</v>
      </c>
      <c r="O146" s="79" t="n">
        <v>15124.585</v>
      </c>
      <c r="P146" s="80" t="n">
        <v>0</v>
      </c>
      <c r="Q146" s="80" t="n">
        <v>261</v>
      </c>
      <c r="R146" s="47" t="n">
        <v>19</v>
      </c>
      <c r="S146" s="66" t="s">
        <v>387</v>
      </c>
    </row>
    <row r="147" customFormat="false" ht="15" hidden="false" customHeight="false" outlineLevel="0" collapsed="false">
      <c r="A147" s="76" t="s">
        <v>185</v>
      </c>
      <c r="B147" s="76" t="s">
        <v>258</v>
      </c>
      <c r="C147" s="77" t="n">
        <v>2021</v>
      </c>
      <c r="D147" s="77" t="n">
        <v>3</v>
      </c>
      <c r="E147" s="78" t="n">
        <v>44469</v>
      </c>
      <c r="F147" s="76" t="s">
        <v>219</v>
      </c>
      <c r="G147" s="76" t="s">
        <v>220</v>
      </c>
      <c r="H147" s="76" t="s">
        <v>216</v>
      </c>
      <c r="I147" s="79" t="n">
        <v>7415.446</v>
      </c>
      <c r="J147" s="79" t="n">
        <v>1754.141</v>
      </c>
      <c r="K147" s="79" t="n">
        <v>606283000</v>
      </c>
      <c r="L147" s="80" t="n">
        <v>4.54</v>
      </c>
      <c r="M147" s="79" t="n">
        <v>133.6901</v>
      </c>
      <c r="N147" s="79" t="n">
        <v>0</v>
      </c>
      <c r="O147" s="79" t="n">
        <v>13768.063</v>
      </c>
      <c r="P147" s="80" t="n">
        <v>8.02486316</v>
      </c>
      <c r="Q147" s="80" t="n">
        <v>223.5</v>
      </c>
      <c r="R147" s="47" t="n">
        <v>20</v>
      </c>
      <c r="S147" s="66" t="s">
        <v>388</v>
      </c>
    </row>
    <row r="148" customFormat="false" ht="15" hidden="false" customHeight="false" outlineLevel="0" collapsed="false">
      <c r="A148" s="76" t="s">
        <v>185</v>
      </c>
      <c r="B148" s="76" t="s">
        <v>260</v>
      </c>
      <c r="C148" s="77" t="n">
        <v>2021</v>
      </c>
      <c r="D148" s="77" t="n">
        <v>2</v>
      </c>
      <c r="E148" s="78" t="n">
        <v>44377</v>
      </c>
      <c r="F148" s="76" t="s">
        <v>219</v>
      </c>
      <c r="G148" s="76" t="s">
        <v>220</v>
      </c>
      <c r="H148" s="76" t="s">
        <v>216</v>
      </c>
      <c r="I148" s="79" t="n">
        <v>7015.992</v>
      </c>
      <c r="J148" s="79" t="n">
        <v>1670.731</v>
      </c>
      <c r="K148" s="79" t="n">
        <v>551411000</v>
      </c>
      <c r="L148" s="80" t="n">
        <v>4.13</v>
      </c>
      <c r="M148" s="79" t="n">
        <v>133.6363</v>
      </c>
      <c r="N148" s="79" t="n">
        <v>0</v>
      </c>
      <c r="O148" s="79" t="n">
        <v>13273.987</v>
      </c>
      <c r="P148" s="80" t="n">
        <v>0</v>
      </c>
      <c r="Q148" s="80" t="n">
        <v>259</v>
      </c>
      <c r="R148" s="47" t="n">
        <v>21</v>
      </c>
      <c r="S148" s="66" t="s">
        <v>389</v>
      </c>
    </row>
    <row r="149" customFormat="false" ht="15" hidden="false" customHeight="false" outlineLevel="0" collapsed="false">
      <c r="A149" s="76" t="s">
        <v>185</v>
      </c>
      <c r="B149" s="76" t="s">
        <v>262</v>
      </c>
      <c r="C149" s="77" t="n">
        <v>2021</v>
      </c>
      <c r="D149" s="77" t="n">
        <v>1</v>
      </c>
      <c r="E149" s="78" t="n">
        <v>44286</v>
      </c>
      <c r="F149" s="76" t="s">
        <v>219</v>
      </c>
      <c r="G149" s="76" t="s">
        <v>220</v>
      </c>
      <c r="H149" s="76" t="s">
        <v>216</v>
      </c>
      <c r="I149" s="79" t="n">
        <v>6134.214</v>
      </c>
      <c r="J149" s="79" t="n">
        <v>1361.63</v>
      </c>
      <c r="K149" s="79" t="n">
        <v>309648000</v>
      </c>
      <c r="L149" s="80" t="n">
        <v>2.35</v>
      </c>
      <c r="M149" s="79" t="n">
        <v>133.6363</v>
      </c>
      <c r="N149" s="79" t="n">
        <v>0</v>
      </c>
      <c r="O149" s="79" t="n">
        <v>12907.3</v>
      </c>
      <c r="P149" s="80" t="n">
        <v>0</v>
      </c>
      <c r="Q149" s="80" t="n">
        <v>266</v>
      </c>
      <c r="R149" s="47" t="n">
        <v>22</v>
      </c>
      <c r="S149" s="66" t="s">
        <v>390</v>
      </c>
    </row>
    <row r="150" customFormat="false" ht="15" hidden="false" customHeight="false" outlineLevel="0" collapsed="false">
      <c r="A150" s="76" t="s">
        <v>185</v>
      </c>
      <c r="B150" s="76" t="s">
        <v>264</v>
      </c>
      <c r="C150" s="77" t="n">
        <v>2020</v>
      </c>
      <c r="D150" s="77" t="n">
        <v>4</v>
      </c>
      <c r="E150" s="78" t="n">
        <v>44196</v>
      </c>
      <c r="F150" s="76" t="s">
        <v>219</v>
      </c>
      <c r="G150" s="76" t="s">
        <v>220</v>
      </c>
      <c r="H150" s="76" t="s">
        <v>216</v>
      </c>
      <c r="I150" s="79" t="n">
        <v>6266.652</v>
      </c>
      <c r="J150" s="79" t="n">
        <v>1550.737</v>
      </c>
      <c r="K150" s="79" t="n">
        <v>589079000</v>
      </c>
      <c r="L150" s="80" t="n">
        <v>4.52</v>
      </c>
      <c r="M150" s="79" t="n">
        <v>130.5694</v>
      </c>
      <c r="N150" s="79" t="n">
        <v>0</v>
      </c>
      <c r="O150" s="79" t="n">
        <v>13237.341</v>
      </c>
      <c r="P150" s="80" t="n">
        <v>0</v>
      </c>
      <c r="Q150" s="80" t="n">
        <v>243.5</v>
      </c>
      <c r="R150" s="47" t="n">
        <v>23</v>
      </c>
      <c r="S150" s="66" t="s">
        <v>391</v>
      </c>
    </row>
    <row r="151" customFormat="false" ht="15" hidden="false" customHeight="false" outlineLevel="0" collapsed="false">
      <c r="A151" s="76" t="s">
        <v>185</v>
      </c>
      <c r="B151" s="76" t="s">
        <v>266</v>
      </c>
      <c r="C151" s="77" t="n">
        <v>2020</v>
      </c>
      <c r="D151" s="77" t="n">
        <v>3</v>
      </c>
      <c r="E151" s="78" t="n">
        <v>44104</v>
      </c>
      <c r="F151" s="76" t="s">
        <v>219</v>
      </c>
      <c r="G151" s="76" t="s">
        <v>220</v>
      </c>
      <c r="H151" s="76" t="s">
        <v>216</v>
      </c>
      <c r="I151" s="79" t="n">
        <v>6049.454</v>
      </c>
      <c r="J151" s="79" t="n">
        <v>1589.297</v>
      </c>
      <c r="K151" s="79" t="n">
        <v>499580000</v>
      </c>
      <c r="L151" s="80" t="n">
        <v>3.83</v>
      </c>
      <c r="M151" s="79" t="n">
        <v>130.5694</v>
      </c>
      <c r="N151" s="79" t="n">
        <v>0</v>
      </c>
      <c r="O151" s="79" t="n">
        <v>12368.366</v>
      </c>
      <c r="P151" s="80"/>
      <c r="Q151" s="80" t="n">
        <v>225.5</v>
      </c>
      <c r="R151" s="47" t="n">
        <v>24</v>
      </c>
      <c r="S151" s="66" t="s">
        <v>392</v>
      </c>
    </row>
    <row r="152" customFormat="false" ht="15" hidden="false" customHeight="false" outlineLevel="0" collapsed="false">
      <c r="A152" s="76" t="s">
        <v>176</v>
      </c>
      <c r="B152" s="76" t="s">
        <v>213</v>
      </c>
      <c r="C152" s="77" t="n">
        <v>2026</v>
      </c>
      <c r="D152" s="77" t="n">
        <v>3</v>
      </c>
      <c r="E152" s="78" t="n">
        <v>46295</v>
      </c>
      <c r="F152" s="76" t="s">
        <v>214</v>
      </c>
      <c r="G152" s="76" t="s">
        <v>215</v>
      </c>
      <c r="H152" s="76" t="s">
        <v>216</v>
      </c>
      <c r="I152" s="79"/>
      <c r="J152" s="79"/>
      <c r="K152" s="79"/>
      <c r="L152" s="80" t="n">
        <v>99.01</v>
      </c>
      <c r="M152" s="79"/>
      <c r="N152" s="79"/>
      <c r="O152" s="79"/>
      <c r="P152" s="80"/>
      <c r="Q152" s="80"/>
      <c r="R152" s="47" t="n">
        <v>0</v>
      </c>
      <c r="S152" s="66" t="s">
        <v>393</v>
      </c>
    </row>
    <row r="153" customFormat="false" ht="15" hidden="false" customHeight="false" outlineLevel="0" collapsed="false">
      <c r="A153" s="76" t="s">
        <v>176</v>
      </c>
      <c r="B153" s="76" t="s">
        <v>218</v>
      </c>
      <c r="C153" s="77" t="n">
        <v>2026</v>
      </c>
      <c r="D153" s="77" t="n">
        <v>2</v>
      </c>
      <c r="E153" s="78" t="n">
        <v>46203</v>
      </c>
      <c r="F153" s="76" t="s">
        <v>219</v>
      </c>
      <c r="G153" s="76" t="s">
        <v>220</v>
      </c>
      <c r="H153" s="76" t="s">
        <v>216</v>
      </c>
      <c r="I153" s="79" t="n">
        <v>22443.411</v>
      </c>
      <c r="J153" s="79" t="n">
        <v>14589.612</v>
      </c>
      <c r="K153" s="79" t="n">
        <v>10368072000</v>
      </c>
      <c r="L153" s="80" t="n">
        <v>108.93</v>
      </c>
      <c r="M153" s="79" t="n">
        <v>96.3654</v>
      </c>
      <c r="N153" s="79" t="n">
        <v>0</v>
      </c>
      <c r="O153" s="79" t="n">
        <v>23288.098</v>
      </c>
      <c r="P153" s="80" t="n">
        <v>0</v>
      </c>
      <c r="Q153" s="80" t="n">
        <v>1615</v>
      </c>
      <c r="R153" s="47" t="n">
        <v>1</v>
      </c>
      <c r="S153" s="66" t="s">
        <v>394</v>
      </c>
    </row>
    <row r="154" customFormat="false" ht="15" hidden="false" customHeight="false" outlineLevel="0" collapsed="false">
      <c r="A154" s="76" t="s">
        <v>176</v>
      </c>
      <c r="B154" s="76" t="s">
        <v>222</v>
      </c>
      <c r="C154" s="77" t="n">
        <v>2026</v>
      </c>
      <c r="D154" s="77" t="n">
        <v>1</v>
      </c>
      <c r="E154" s="78" t="n">
        <v>46112</v>
      </c>
      <c r="F154" s="76" t="s">
        <v>219</v>
      </c>
      <c r="G154" s="76" t="s">
        <v>220</v>
      </c>
      <c r="H154" s="76" t="s">
        <v>216</v>
      </c>
      <c r="I154" s="79" t="n">
        <v>13182.608</v>
      </c>
      <c r="J154" s="79" t="n">
        <v>7791.357</v>
      </c>
      <c r="K154" s="79" t="n">
        <v>5466357000</v>
      </c>
      <c r="L154" s="80" t="n">
        <v>57.49</v>
      </c>
      <c r="M154" s="79" t="n">
        <v>96.3552</v>
      </c>
      <c r="N154" s="79" t="n">
        <v>0</v>
      </c>
      <c r="O154" s="79" t="n">
        <v>14500.386</v>
      </c>
      <c r="P154" s="80" t="n">
        <v>0</v>
      </c>
      <c r="Q154" s="80" t="n">
        <v>847</v>
      </c>
      <c r="R154" s="47" t="n">
        <v>2</v>
      </c>
      <c r="S154" s="66" t="s">
        <v>395</v>
      </c>
    </row>
    <row r="155" customFormat="false" ht="15" hidden="false" customHeight="false" outlineLevel="0" collapsed="false">
      <c r="A155" s="76" t="s">
        <v>176</v>
      </c>
      <c r="B155" s="76" t="s">
        <v>224</v>
      </c>
      <c r="C155" s="77" t="n">
        <v>2025</v>
      </c>
      <c r="D155" s="77" t="n">
        <v>4</v>
      </c>
      <c r="E155" s="78" t="n">
        <v>46022</v>
      </c>
      <c r="F155" s="76" t="s">
        <v>219</v>
      </c>
      <c r="G155" s="76" t="s">
        <v>220</v>
      </c>
      <c r="H155" s="76" t="s">
        <v>216</v>
      </c>
      <c r="I155" s="79" t="n">
        <v>4806.69</v>
      </c>
      <c r="J155" s="79" t="n">
        <v>1597.288</v>
      </c>
      <c r="K155" s="79" t="n">
        <v>870716000</v>
      </c>
      <c r="L155" s="80" t="n">
        <v>9.26</v>
      </c>
      <c r="M155" s="79" t="n">
        <v>96.0407</v>
      </c>
      <c r="N155" s="79" t="n">
        <v>0</v>
      </c>
      <c r="O155" s="79" t="n">
        <v>8940.787</v>
      </c>
      <c r="P155" s="80" t="n">
        <v>0</v>
      </c>
      <c r="Q155" s="80" t="n">
        <v>576</v>
      </c>
      <c r="R155" s="47" t="n">
        <v>3</v>
      </c>
      <c r="S155" s="66" t="s">
        <v>396</v>
      </c>
    </row>
    <row r="156" customFormat="false" ht="15" hidden="false" customHeight="false" outlineLevel="0" collapsed="false">
      <c r="A156" s="76" t="s">
        <v>176</v>
      </c>
      <c r="B156" s="76" t="s">
        <v>226</v>
      </c>
      <c r="C156" s="77" t="n">
        <v>2025</v>
      </c>
      <c r="D156" s="77" t="n">
        <v>3</v>
      </c>
      <c r="E156" s="78" t="n">
        <v>45930</v>
      </c>
      <c r="F156" s="76" t="s">
        <v>219</v>
      </c>
      <c r="G156" s="76" t="s">
        <v>220</v>
      </c>
      <c r="H156" s="76" t="s">
        <v>216</v>
      </c>
      <c r="I156" s="79" t="n">
        <v>3807.401</v>
      </c>
      <c r="J156" s="79" t="n">
        <v>1248.818</v>
      </c>
      <c r="K156" s="79" t="n">
        <v>643038000</v>
      </c>
      <c r="L156" s="80" t="n">
        <v>6.87</v>
      </c>
      <c r="M156" s="79" t="n">
        <v>95.3452</v>
      </c>
      <c r="N156" s="79" t="n">
        <v>0</v>
      </c>
      <c r="O156" s="79" t="n">
        <v>7932.37</v>
      </c>
      <c r="P156" s="80" t="n">
        <v>9.37723774</v>
      </c>
      <c r="Q156" s="80" t="n">
        <v>329.5</v>
      </c>
      <c r="R156" s="47" t="n">
        <v>4</v>
      </c>
      <c r="S156" s="66" t="s">
        <v>397</v>
      </c>
    </row>
    <row r="157" customFormat="false" ht="15" hidden="false" customHeight="false" outlineLevel="0" collapsed="false">
      <c r="A157" s="76" t="s">
        <v>176</v>
      </c>
      <c r="B157" s="76" t="s">
        <v>228</v>
      </c>
      <c r="C157" s="77" t="n">
        <v>2025</v>
      </c>
      <c r="D157" s="77" t="n">
        <v>2</v>
      </c>
      <c r="E157" s="78" t="n">
        <v>45838</v>
      </c>
      <c r="F157" s="76" t="s">
        <v>219</v>
      </c>
      <c r="G157" s="76" t="s">
        <v>220</v>
      </c>
      <c r="H157" s="76" t="s">
        <v>216</v>
      </c>
      <c r="I157" s="79" t="n">
        <v>3028.429</v>
      </c>
      <c r="J157" s="79" t="n">
        <v>785.089</v>
      </c>
      <c r="K157" s="79" t="n">
        <v>185349000</v>
      </c>
      <c r="L157" s="80" t="n">
        <v>2.02</v>
      </c>
      <c r="M157" s="79" t="n">
        <v>91.6411</v>
      </c>
      <c r="N157" s="79" t="n">
        <v>0</v>
      </c>
      <c r="O157" s="79" t="n">
        <v>7184.405</v>
      </c>
      <c r="P157" s="80" t="n">
        <v>0</v>
      </c>
      <c r="Q157" s="80" t="n">
        <v>237</v>
      </c>
      <c r="R157" s="47" t="n">
        <v>5</v>
      </c>
      <c r="S157" s="66" t="s">
        <v>398</v>
      </c>
    </row>
    <row r="158" customFormat="false" ht="15" hidden="false" customHeight="false" outlineLevel="0" collapsed="false">
      <c r="A158" s="76" t="s">
        <v>176</v>
      </c>
      <c r="B158" s="76" t="s">
        <v>230</v>
      </c>
      <c r="C158" s="77" t="n">
        <v>2025</v>
      </c>
      <c r="D158" s="77" t="n">
        <v>1</v>
      </c>
      <c r="E158" s="78" t="n">
        <v>45747</v>
      </c>
      <c r="F158" s="76" t="s">
        <v>219</v>
      </c>
      <c r="G158" s="76" t="s">
        <v>220</v>
      </c>
      <c r="H158" s="76" t="s">
        <v>216</v>
      </c>
      <c r="I158" s="79" t="n">
        <v>2618.742</v>
      </c>
      <c r="J158" s="79" t="n">
        <v>800.733</v>
      </c>
      <c r="K158" s="79" t="n">
        <v>336540000</v>
      </c>
      <c r="L158" s="80" t="n">
        <v>3.68</v>
      </c>
      <c r="M158" s="79" t="n">
        <v>91.5746</v>
      </c>
      <c r="N158" s="79" t="n">
        <v>0</v>
      </c>
      <c r="O158" s="79" t="n">
        <v>7854.351</v>
      </c>
      <c r="P158" s="80" t="n">
        <v>0</v>
      </c>
      <c r="Q158" s="80" t="n">
        <v>250.5</v>
      </c>
      <c r="R158" s="47" t="n">
        <v>6</v>
      </c>
      <c r="S158" s="66" t="s">
        <v>399</v>
      </c>
    </row>
    <row r="159" customFormat="false" ht="15" hidden="false" customHeight="false" outlineLevel="0" collapsed="false">
      <c r="A159" s="76" t="s">
        <v>176</v>
      </c>
      <c r="B159" s="76" t="s">
        <v>232</v>
      </c>
      <c r="C159" s="77" t="n">
        <v>2024</v>
      </c>
      <c r="D159" s="77" t="n">
        <v>4</v>
      </c>
      <c r="E159" s="78" t="n">
        <v>45657</v>
      </c>
      <c r="F159" s="76" t="s">
        <v>219</v>
      </c>
      <c r="G159" s="76" t="s">
        <v>220</v>
      </c>
      <c r="H159" s="76" t="s">
        <v>216</v>
      </c>
      <c r="I159" s="79" t="n">
        <v>2228.005</v>
      </c>
      <c r="J159" s="79" t="n">
        <v>648.956</v>
      </c>
      <c r="K159" s="79" t="n">
        <v>271532000</v>
      </c>
      <c r="L159" s="80" t="n">
        <v>2.97</v>
      </c>
      <c r="M159" s="79" t="n">
        <v>91.4561</v>
      </c>
      <c r="N159" s="79" t="n">
        <v>0</v>
      </c>
      <c r="O159" s="79" t="n">
        <v>7491.143</v>
      </c>
      <c r="P159" s="80" t="n">
        <v>0</v>
      </c>
      <c r="Q159" s="80" t="n">
        <v>218</v>
      </c>
      <c r="R159" s="47" t="n">
        <v>7</v>
      </c>
      <c r="S159" s="66" t="s">
        <v>400</v>
      </c>
    </row>
    <row r="160" customFormat="false" ht="15" hidden="false" customHeight="false" outlineLevel="0" collapsed="false">
      <c r="A160" s="76" t="s">
        <v>176</v>
      </c>
      <c r="B160" s="76" t="s">
        <v>234</v>
      </c>
      <c r="C160" s="77" t="n">
        <v>2024</v>
      </c>
      <c r="D160" s="77" t="n">
        <v>3</v>
      </c>
      <c r="E160" s="78" t="n">
        <v>45565</v>
      </c>
      <c r="F160" s="76" t="s">
        <v>219</v>
      </c>
      <c r="G160" s="76" t="s">
        <v>220</v>
      </c>
      <c r="H160" s="76" t="s">
        <v>216</v>
      </c>
      <c r="I160" s="79" t="n">
        <v>2321.419</v>
      </c>
      <c r="J160" s="79" t="n">
        <v>658.433</v>
      </c>
      <c r="K160" s="79" t="n">
        <v>188620000</v>
      </c>
      <c r="L160" s="80" t="n">
        <v>2.08</v>
      </c>
      <c r="M160" s="79" t="n">
        <v>91.3372</v>
      </c>
      <c r="N160" s="79" t="n">
        <v>0</v>
      </c>
      <c r="O160" s="79" t="n">
        <v>7196.228</v>
      </c>
      <c r="P160" s="80" t="n">
        <v>10.2</v>
      </c>
      <c r="Q160" s="80" t="n">
        <v>282</v>
      </c>
      <c r="R160" s="47" t="n">
        <v>8</v>
      </c>
      <c r="S160" s="66" t="s">
        <v>401</v>
      </c>
    </row>
    <row r="161" customFormat="false" ht="15" hidden="false" customHeight="false" outlineLevel="0" collapsed="false">
      <c r="A161" s="76" t="s">
        <v>176</v>
      </c>
      <c r="B161" s="76" t="s">
        <v>236</v>
      </c>
      <c r="C161" s="77" t="n">
        <v>2024</v>
      </c>
      <c r="D161" s="77" t="n">
        <v>2</v>
      </c>
      <c r="E161" s="78" t="n">
        <v>45473</v>
      </c>
      <c r="F161" s="76" t="s">
        <v>219</v>
      </c>
      <c r="G161" s="76" t="s">
        <v>220</v>
      </c>
      <c r="H161" s="76" t="s">
        <v>216</v>
      </c>
      <c r="I161" s="79" t="n">
        <v>2190.229</v>
      </c>
      <c r="J161" s="79" t="n">
        <v>759.289</v>
      </c>
      <c r="K161" s="79" t="n">
        <v>294050000</v>
      </c>
      <c r="L161" s="80" t="n">
        <v>3.26</v>
      </c>
      <c r="M161" s="79" t="n">
        <v>88.3977</v>
      </c>
      <c r="N161" s="79" t="n">
        <v>0</v>
      </c>
      <c r="O161" s="79" t="n">
        <v>6803.334</v>
      </c>
      <c r="P161" s="80" t="n">
        <v>0</v>
      </c>
      <c r="Q161" s="80" t="n">
        <v>302</v>
      </c>
      <c r="R161" s="47" t="n">
        <v>9</v>
      </c>
      <c r="S161" s="66" t="s">
        <v>402</v>
      </c>
    </row>
    <row r="162" customFormat="false" ht="15" hidden="false" customHeight="false" outlineLevel="0" collapsed="false">
      <c r="A162" s="76" t="s">
        <v>176</v>
      </c>
      <c r="B162" s="76" t="s">
        <v>238</v>
      </c>
      <c r="C162" s="77" t="n">
        <v>2024</v>
      </c>
      <c r="D162" s="77" t="n">
        <v>1</v>
      </c>
      <c r="E162" s="78" t="n">
        <v>45382</v>
      </c>
      <c r="F162" s="76" t="s">
        <v>219</v>
      </c>
      <c r="G162" s="76" t="s">
        <v>220</v>
      </c>
      <c r="H162" s="76" t="s">
        <v>216</v>
      </c>
      <c r="I162" s="79" t="n">
        <v>2175.989</v>
      </c>
      <c r="J162" s="79" t="n">
        <v>758.571</v>
      </c>
      <c r="K162" s="79" t="n">
        <v>351970000</v>
      </c>
      <c r="L162" s="80" t="n">
        <v>3.98</v>
      </c>
      <c r="M162" s="79" t="n">
        <v>88.3977</v>
      </c>
      <c r="N162" s="79" t="n">
        <v>0</v>
      </c>
      <c r="O162" s="79" t="n">
        <v>7398.652</v>
      </c>
      <c r="P162" s="80" t="n">
        <v>0</v>
      </c>
      <c r="Q162" s="80" t="n">
        <v>305.5</v>
      </c>
      <c r="R162" s="47" t="n">
        <v>10</v>
      </c>
      <c r="S162" s="66" t="s">
        <v>403</v>
      </c>
    </row>
    <row r="163" customFormat="false" ht="15" hidden="false" customHeight="false" outlineLevel="0" collapsed="false">
      <c r="A163" s="76" t="s">
        <v>176</v>
      </c>
      <c r="B163" s="76" t="s">
        <v>240</v>
      </c>
      <c r="C163" s="77" t="n">
        <v>2023</v>
      </c>
      <c r="D163" s="77" t="n">
        <v>4</v>
      </c>
      <c r="E163" s="78" t="n">
        <v>45291</v>
      </c>
      <c r="F163" s="76" t="s">
        <v>219</v>
      </c>
      <c r="G163" s="76" t="s">
        <v>220</v>
      </c>
      <c r="H163" s="76" t="s">
        <v>216</v>
      </c>
      <c r="I163" s="79" t="n">
        <v>2130.049</v>
      </c>
      <c r="J163" s="79" t="n">
        <v>707.384</v>
      </c>
      <c r="K163" s="79" t="n">
        <v>262238000</v>
      </c>
      <c r="L163" s="80" t="n">
        <v>2.96</v>
      </c>
      <c r="M163" s="79" t="n">
        <v>88.3977</v>
      </c>
      <c r="N163" s="79" t="n">
        <v>0</v>
      </c>
      <c r="O163" s="79" t="n">
        <v>7036.917</v>
      </c>
      <c r="P163" s="80" t="n">
        <v>0</v>
      </c>
      <c r="Q163" s="80" t="n">
        <v>312</v>
      </c>
      <c r="R163" s="47" t="n">
        <v>11</v>
      </c>
      <c r="S163" s="66" t="s">
        <v>404</v>
      </c>
    </row>
    <row r="164" customFormat="false" ht="15" hidden="false" customHeight="false" outlineLevel="0" collapsed="false">
      <c r="A164" s="76" t="s">
        <v>176</v>
      </c>
      <c r="B164" s="76" t="s">
        <v>242</v>
      </c>
      <c r="C164" s="77" t="n">
        <v>2023</v>
      </c>
      <c r="D164" s="77" t="n">
        <v>3</v>
      </c>
      <c r="E164" s="78" t="n">
        <v>45199</v>
      </c>
      <c r="F164" s="76" t="s">
        <v>219</v>
      </c>
      <c r="G164" s="76" t="s">
        <v>220</v>
      </c>
      <c r="H164" s="76" t="s">
        <v>216</v>
      </c>
      <c r="I164" s="79" t="n">
        <v>1993.007</v>
      </c>
      <c r="J164" s="79" t="n">
        <v>687.513</v>
      </c>
      <c r="K164" s="79" t="n">
        <v>306457000</v>
      </c>
      <c r="L164" s="80" t="n">
        <v>3.47</v>
      </c>
      <c r="M164" s="79" t="n">
        <v>88.3977</v>
      </c>
      <c r="N164" s="79" t="n">
        <v>0</v>
      </c>
      <c r="O164" s="79" t="n">
        <v>6756.961</v>
      </c>
      <c r="P164" s="80" t="n">
        <v>13.78192729</v>
      </c>
      <c r="Q164" s="80" t="n">
        <v>296.5</v>
      </c>
      <c r="R164" s="47" t="n">
        <v>12</v>
      </c>
      <c r="S164" s="66" t="s">
        <v>405</v>
      </c>
    </row>
    <row r="165" customFormat="false" ht="15" hidden="false" customHeight="false" outlineLevel="0" collapsed="false">
      <c r="A165" s="76" t="s">
        <v>176</v>
      </c>
      <c r="B165" s="76" t="s">
        <v>244</v>
      </c>
      <c r="C165" s="77" t="n">
        <v>2023</v>
      </c>
      <c r="D165" s="77" t="n">
        <v>2</v>
      </c>
      <c r="E165" s="78" t="n">
        <v>45107</v>
      </c>
      <c r="F165" s="76" t="s">
        <v>219</v>
      </c>
      <c r="G165" s="76" t="s">
        <v>220</v>
      </c>
      <c r="H165" s="76" t="s">
        <v>216</v>
      </c>
      <c r="I165" s="79" t="n">
        <v>1930.516</v>
      </c>
      <c r="J165" s="79" t="n">
        <v>636.105</v>
      </c>
      <c r="K165" s="79" t="n">
        <v>230718000</v>
      </c>
      <c r="L165" s="80" t="n">
        <v>2.66</v>
      </c>
      <c r="M165" s="79" t="n">
        <v>86.6666</v>
      </c>
      <c r="N165" s="79" t="n">
        <v>0</v>
      </c>
      <c r="O165" s="79" t="n">
        <v>6433.521</v>
      </c>
      <c r="P165" s="80" t="n">
        <v>0</v>
      </c>
      <c r="Q165" s="80" t="n">
        <v>324</v>
      </c>
      <c r="R165" s="47" t="n">
        <v>13</v>
      </c>
      <c r="S165" s="66" t="s">
        <v>406</v>
      </c>
    </row>
    <row r="166" customFormat="false" ht="15" hidden="false" customHeight="false" outlineLevel="0" collapsed="false">
      <c r="A166" s="76" t="s">
        <v>176</v>
      </c>
      <c r="B166" s="76" t="s">
        <v>246</v>
      </c>
      <c r="C166" s="77" t="n">
        <v>2023</v>
      </c>
      <c r="D166" s="77" t="n">
        <v>1</v>
      </c>
      <c r="E166" s="78" t="n">
        <v>45016</v>
      </c>
      <c r="F166" s="76" t="s">
        <v>219</v>
      </c>
      <c r="G166" s="76" t="s">
        <v>220</v>
      </c>
      <c r="H166" s="76" t="s">
        <v>216</v>
      </c>
      <c r="I166" s="79" t="n">
        <v>2260.206</v>
      </c>
      <c r="J166" s="79" t="n">
        <v>814.91</v>
      </c>
      <c r="K166" s="79" t="n">
        <v>348203000</v>
      </c>
      <c r="L166" s="80" t="n">
        <v>4.02</v>
      </c>
      <c r="M166" s="79" t="n">
        <v>86.6666</v>
      </c>
      <c r="N166" s="79" t="n">
        <v>0</v>
      </c>
      <c r="O166" s="79" t="n">
        <v>7382.85</v>
      </c>
      <c r="P166" s="80" t="n">
        <v>0</v>
      </c>
      <c r="Q166" s="80" t="n">
        <v>314</v>
      </c>
      <c r="R166" s="47" t="n">
        <v>14</v>
      </c>
      <c r="S166" s="66" t="s">
        <v>407</v>
      </c>
    </row>
    <row r="167" customFormat="false" ht="15" hidden="false" customHeight="false" outlineLevel="0" collapsed="false">
      <c r="A167" s="76" t="s">
        <v>176</v>
      </c>
      <c r="B167" s="76" t="s">
        <v>248</v>
      </c>
      <c r="C167" s="77" t="n">
        <v>2022</v>
      </c>
      <c r="D167" s="77" t="n">
        <v>4</v>
      </c>
      <c r="E167" s="78" t="n">
        <v>44926</v>
      </c>
      <c r="F167" s="76" t="s">
        <v>219</v>
      </c>
      <c r="G167" s="76" t="s">
        <v>220</v>
      </c>
      <c r="H167" s="76" t="s">
        <v>216</v>
      </c>
      <c r="I167" s="79" t="n">
        <v>2286.572</v>
      </c>
      <c r="J167" s="79" t="n">
        <v>860.807</v>
      </c>
      <c r="K167" s="79" t="n">
        <v>385061000</v>
      </c>
      <c r="L167" s="80" t="n">
        <v>4.44</v>
      </c>
      <c r="M167" s="79" t="n">
        <v>86.5531</v>
      </c>
      <c r="N167" s="79" t="n">
        <v>0</v>
      </c>
      <c r="O167" s="79" t="n">
        <v>7012.867</v>
      </c>
      <c r="P167" s="80" t="n">
        <v>0</v>
      </c>
      <c r="Q167" s="80" t="n">
        <v>185.5</v>
      </c>
      <c r="R167" s="47" t="n">
        <v>15</v>
      </c>
      <c r="S167" s="66" t="s">
        <v>408</v>
      </c>
    </row>
    <row r="168" customFormat="false" ht="15" hidden="false" customHeight="false" outlineLevel="0" collapsed="false">
      <c r="A168" s="76" t="s">
        <v>176</v>
      </c>
      <c r="B168" s="76" t="s">
        <v>250</v>
      </c>
      <c r="C168" s="77" t="n">
        <v>2022</v>
      </c>
      <c r="D168" s="77" t="n">
        <v>3</v>
      </c>
      <c r="E168" s="78" t="n">
        <v>44834</v>
      </c>
      <c r="F168" s="76" t="s">
        <v>219</v>
      </c>
      <c r="G168" s="76" t="s">
        <v>220</v>
      </c>
      <c r="H168" s="76" t="s">
        <v>216</v>
      </c>
      <c r="I168" s="79" t="n">
        <v>2560.341</v>
      </c>
      <c r="J168" s="79" t="n">
        <v>914.902</v>
      </c>
      <c r="K168" s="79" t="n">
        <v>542661000</v>
      </c>
      <c r="L168" s="80" t="n">
        <v>6.28</v>
      </c>
      <c r="M168" s="79" t="n">
        <v>86.4706</v>
      </c>
      <c r="N168" s="79" t="n">
        <v>0</v>
      </c>
      <c r="O168" s="79" t="n">
        <v>6611.975</v>
      </c>
      <c r="P168" s="80" t="n">
        <v>11.5240749</v>
      </c>
      <c r="Q168" s="80" t="n">
        <v>161.5</v>
      </c>
      <c r="R168" s="47" t="n">
        <v>16</v>
      </c>
      <c r="S168" s="66" t="s">
        <v>409</v>
      </c>
    </row>
    <row r="169" customFormat="false" ht="15" hidden="false" customHeight="false" outlineLevel="0" collapsed="false">
      <c r="A169" s="76" t="s">
        <v>176</v>
      </c>
      <c r="B169" s="76" t="s">
        <v>252</v>
      </c>
      <c r="C169" s="77" t="n">
        <v>2022</v>
      </c>
      <c r="D169" s="77" t="n">
        <v>2</v>
      </c>
      <c r="E169" s="78" t="n">
        <v>44742</v>
      </c>
      <c r="F169" s="76" t="s">
        <v>219</v>
      </c>
      <c r="G169" s="76" t="s">
        <v>220</v>
      </c>
      <c r="H169" s="76" t="s">
        <v>216</v>
      </c>
      <c r="I169" s="79" t="n">
        <v>2866.579</v>
      </c>
      <c r="J169" s="79" t="n">
        <v>947.502</v>
      </c>
      <c r="K169" s="79" t="n">
        <v>536500000</v>
      </c>
      <c r="L169" s="80" t="n">
        <v>6.41</v>
      </c>
      <c r="M169" s="79" t="n">
        <v>83.895</v>
      </c>
      <c r="N169" s="79" t="n">
        <v>0</v>
      </c>
      <c r="O169" s="79" t="n">
        <v>6043.861</v>
      </c>
      <c r="P169" s="80" t="n">
        <v>0</v>
      </c>
      <c r="Q169" s="80" t="n">
        <v>162.5</v>
      </c>
      <c r="R169" s="47" t="n">
        <v>17</v>
      </c>
      <c r="S169" s="66" t="s">
        <v>410</v>
      </c>
    </row>
    <row r="170" customFormat="false" ht="15" hidden="false" customHeight="false" outlineLevel="0" collapsed="false">
      <c r="A170" s="76" t="s">
        <v>176</v>
      </c>
      <c r="B170" s="76" t="s">
        <v>254</v>
      </c>
      <c r="C170" s="77" t="n">
        <v>2022</v>
      </c>
      <c r="D170" s="77" t="n">
        <v>1</v>
      </c>
      <c r="E170" s="78" t="n">
        <v>44651</v>
      </c>
      <c r="F170" s="76" t="s">
        <v>219</v>
      </c>
      <c r="G170" s="76" t="s">
        <v>220</v>
      </c>
      <c r="H170" s="76" t="s">
        <v>216</v>
      </c>
      <c r="I170" s="79" t="n">
        <v>2589.737</v>
      </c>
      <c r="J170" s="79" t="n">
        <v>735.407</v>
      </c>
      <c r="K170" s="79" t="n">
        <v>385967000</v>
      </c>
      <c r="L170" s="80" t="n">
        <v>4.64</v>
      </c>
      <c r="M170" s="79" t="n">
        <v>83.7225</v>
      </c>
      <c r="N170" s="79" t="n">
        <v>0</v>
      </c>
      <c r="O170" s="79" t="n">
        <v>6458.201</v>
      </c>
      <c r="P170" s="80" t="n">
        <v>0</v>
      </c>
      <c r="Q170" s="80" t="n">
        <v>215</v>
      </c>
      <c r="R170" s="47" t="n">
        <v>18</v>
      </c>
      <c r="S170" s="66" t="s">
        <v>411</v>
      </c>
    </row>
    <row r="171" customFormat="false" ht="15" hidden="false" customHeight="false" outlineLevel="0" collapsed="false">
      <c r="A171" s="76" t="s">
        <v>176</v>
      </c>
      <c r="B171" s="76" t="s">
        <v>256</v>
      </c>
      <c r="C171" s="77" t="n">
        <v>2021</v>
      </c>
      <c r="D171" s="77" t="n">
        <v>4</v>
      </c>
      <c r="E171" s="78" t="n">
        <v>44561</v>
      </c>
      <c r="F171" s="76" t="s">
        <v>219</v>
      </c>
      <c r="G171" s="76" t="s">
        <v>220</v>
      </c>
      <c r="H171" s="76" t="s">
        <v>216</v>
      </c>
      <c r="I171" s="79" t="n">
        <v>2396.847</v>
      </c>
      <c r="J171" s="79" t="n">
        <v>677.529</v>
      </c>
      <c r="K171" s="79" t="n">
        <v>290253000</v>
      </c>
      <c r="L171" s="80" t="n">
        <v>3.51</v>
      </c>
      <c r="M171" s="79" t="n">
        <v>82.668</v>
      </c>
      <c r="N171" s="79" t="n">
        <v>0</v>
      </c>
      <c r="O171" s="79" t="n">
        <v>5960.989</v>
      </c>
      <c r="P171" s="80" t="n">
        <v>0</v>
      </c>
      <c r="Q171" s="80" t="n">
        <v>204</v>
      </c>
      <c r="R171" s="47" t="n">
        <v>19</v>
      </c>
      <c r="S171" s="66" t="s">
        <v>412</v>
      </c>
    </row>
    <row r="172" customFormat="false" ht="15" hidden="false" customHeight="false" outlineLevel="0" collapsed="false">
      <c r="A172" s="76" t="s">
        <v>176</v>
      </c>
      <c r="B172" s="76" t="s">
        <v>258</v>
      </c>
      <c r="C172" s="77" t="n">
        <v>2021</v>
      </c>
      <c r="D172" s="77" t="n">
        <v>3</v>
      </c>
      <c r="E172" s="78" t="n">
        <v>44469</v>
      </c>
      <c r="F172" s="76" t="s">
        <v>219</v>
      </c>
      <c r="G172" s="76" t="s">
        <v>220</v>
      </c>
      <c r="H172" s="76" t="s">
        <v>216</v>
      </c>
      <c r="I172" s="79" t="n">
        <v>2973.845</v>
      </c>
      <c r="J172" s="79" t="n">
        <v>975.336</v>
      </c>
      <c r="K172" s="79" t="n">
        <v>533714000</v>
      </c>
      <c r="L172" s="80" t="n">
        <v>6.46</v>
      </c>
      <c r="M172" s="79" t="n">
        <v>82.628</v>
      </c>
      <c r="N172" s="79" t="n">
        <v>0</v>
      </c>
      <c r="O172" s="79" t="n">
        <v>5663.586</v>
      </c>
      <c r="P172" s="80" t="n">
        <v>6.69560253</v>
      </c>
      <c r="Q172" s="80" t="n">
        <v>182</v>
      </c>
      <c r="R172" s="47" t="n">
        <v>20</v>
      </c>
      <c r="S172" s="66" t="s">
        <v>413</v>
      </c>
    </row>
    <row r="173" customFormat="false" ht="15" hidden="false" customHeight="false" outlineLevel="0" collapsed="false">
      <c r="A173" s="76" t="s">
        <v>176</v>
      </c>
      <c r="B173" s="76" t="s">
        <v>260</v>
      </c>
      <c r="C173" s="77" t="n">
        <v>2021</v>
      </c>
      <c r="D173" s="77" t="n">
        <v>2</v>
      </c>
      <c r="E173" s="78" t="n">
        <v>44377</v>
      </c>
      <c r="F173" s="76" t="s">
        <v>219</v>
      </c>
      <c r="G173" s="76" t="s">
        <v>220</v>
      </c>
      <c r="H173" s="76" t="s">
        <v>216</v>
      </c>
      <c r="I173" s="79" t="n">
        <v>2885.046</v>
      </c>
      <c r="J173" s="79" t="n">
        <v>888.15</v>
      </c>
      <c r="K173" s="79" t="n">
        <v>477358000</v>
      </c>
      <c r="L173" s="80" t="n">
        <v>5.79</v>
      </c>
      <c r="M173" s="79" t="n">
        <v>82.516</v>
      </c>
      <c r="N173" s="79" t="n">
        <v>0</v>
      </c>
      <c r="O173" s="79" t="n">
        <v>5668.615</v>
      </c>
      <c r="P173" s="80" t="n">
        <v>0</v>
      </c>
      <c r="Q173" s="80" t="n">
        <v>190.5</v>
      </c>
      <c r="R173" s="47" t="n">
        <v>21</v>
      </c>
      <c r="S173" s="66" t="s">
        <v>414</v>
      </c>
    </row>
    <row r="174" customFormat="false" ht="15" hidden="false" customHeight="false" outlineLevel="0" collapsed="false">
      <c r="A174" s="76" t="s">
        <v>176</v>
      </c>
      <c r="B174" s="76" t="s">
        <v>262</v>
      </c>
      <c r="C174" s="77" t="n">
        <v>2021</v>
      </c>
      <c r="D174" s="77" t="n">
        <v>1</v>
      </c>
      <c r="E174" s="78" t="n">
        <v>44286</v>
      </c>
      <c r="F174" s="76" t="s">
        <v>219</v>
      </c>
      <c r="G174" s="76" t="s">
        <v>220</v>
      </c>
      <c r="H174" s="76" t="s">
        <v>216</v>
      </c>
      <c r="I174" s="79" t="n">
        <v>1939.92</v>
      </c>
      <c r="J174" s="79" t="n">
        <v>551.203</v>
      </c>
      <c r="K174" s="79" t="n">
        <v>259563000</v>
      </c>
      <c r="L174" s="80" t="n">
        <v>3.17</v>
      </c>
      <c r="M174" s="79" t="n">
        <v>82.459</v>
      </c>
      <c r="N174" s="79" t="n">
        <v>0</v>
      </c>
      <c r="O174" s="79" t="n">
        <v>5182.897</v>
      </c>
      <c r="P174" s="80" t="n">
        <v>0</v>
      </c>
      <c r="Q174" s="80" t="n">
        <v>170</v>
      </c>
      <c r="R174" s="47" t="n">
        <v>22</v>
      </c>
      <c r="S174" s="66" t="s">
        <v>415</v>
      </c>
    </row>
    <row r="175" customFormat="false" ht="15" hidden="false" customHeight="false" outlineLevel="0" collapsed="false">
      <c r="A175" s="76" t="s">
        <v>176</v>
      </c>
      <c r="B175" s="76" t="s">
        <v>264</v>
      </c>
      <c r="C175" s="77" t="n">
        <v>2020</v>
      </c>
      <c r="D175" s="77" t="n">
        <v>4</v>
      </c>
      <c r="E175" s="78" t="n">
        <v>44196</v>
      </c>
      <c r="F175" s="76" t="s">
        <v>219</v>
      </c>
      <c r="G175" s="76" t="s">
        <v>220</v>
      </c>
      <c r="H175" s="76" t="s">
        <v>216</v>
      </c>
      <c r="I175" s="79" t="n">
        <v>1575.49</v>
      </c>
      <c r="J175" s="79" t="n">
        <v>458.968</v>
      </c>
      <c r="K175" s="79" t="n">
        <v>175456000</v>
      </c>
      <c r="L175" s="80" t="n">
        <v>2.16</v>
      </c>
      <c r="M175" s="79" t="n">
        <v>81.324</v>
      </c>
      <c r="N175" s="79" t="n">
        <v>0</v>
      </c>
      <c r="O175" s="79" t="n">
        <v>4816.246</v>
      </c>
      <c r="P175" s="80" t="n">
        <v>0</v>
      </c>
      <c r="Q175" s="80" t="n">
        <v>166</v>
      </c>
      <c r="R175" s="47" t="n">
        <v>23</v>
      </c>
      <c r="S175" s="66" t="s">
        <v>416</v>
      </c>
    </row>
    <row r="176" customFormat="false" ht="15" hidden="false" customHeight="false" outlineLevel="0" collapsed="false">
      <c r="A176" s="76" t="s">
        <v>176</v>
      </c>
      <c r="B176" s="76" t="s">
        <v>266</v>
      </c>
      <c r="C176" s="77" t="n">
        <v>2020</v>
      </c>
      <c r="D176" s="77" t="n">
        <v>3</v>
      </c>
      <c r="E176" s="78" t="n">
        <v>44104</v>
      </c>
      <c r="F176" s="76" t="s">
        <v>219</v>
      </c>
      <c r="G176" s="76" t="s">
        <v>220</v>
      </c>
      <c r="H176" s="76" t="s">
        <v>216</v>
      </c>
      <c r="I176" s="79" t="n">
        <v>1627.205</v>
      </c>
      <c r="J176" s="79" t="n">
        <v>493.122</v>
      </c>
      <c r="K176" s="79" t="n">
        <v>194271000</v>
      </c>
      <c r="L176" s="80" t="n">
        <v>2.39</v>
      </c>
      <c r="M176" s="79" t="n">
        <v>81.324</v>
      </c>
      <c r="N176" s="79" t="n">
        <v>0</v>
      </c>
      <c r="O176" s="79" t="n">
        <v>4634.348</v>
      </c>
      <c r="P176" s="80"/>
      <c r="Q176" s="80" t="n">
        <v>158.5</v>
      </c>
      <c r="R176" s="47" t="n">
        <v>24</v>
      </c>
      <c r="S176" s="66" t="s">
        <v>417</v>
      </c>
    </row>
    <row r="177" customFormat="false" ht="15" hidden="false" customHeight="false" outlineLevel="0" collapsed="false">
      <c r="A177" s="76" t="s">
        <v>188</v>
      </c>
      <c r="B177" s="76" t="s">
        <v>213</v>
      </c>
      <c r="C177" s="77" t="n">
        <v>2026</v>
      </c>
      <c r="D177" s="77" t="n">
        <v>3</v>
      </c>
      <c r="E177" s="78" t="n">
        <v>46295</v>
      </c>
      <c r="F177" s="76" t="s">
        <v>214</v>
      </c>
      <c r="G177" s="76" t="s">
        <v>215</v>
      </c>
      <c r="H177" s="76" t="s">
        <v>216</v>
      </c>
      <c r="I177" s="79"/>
      <c r="J177" s="79"/>
      <c r="K177" s="79"/>
      <c r="L177" s="80" t="n">
        <v>7.90333</v>
      </c>
      <c r="M177" s="79"/>
      <c r="N177" s="79"/>
      <c r="O177" s="79"/>
      <c r="P177" s="80"/>
      <c r="Q177" s="80"/>
      <c r="R177" s="47" t="n">
        <v>0</v>
      </c>
      <c r="S177" s="66" t="s">
        <v>418</v>
      </c>
    </row>
    <row r="178" customFormat="false" ht="15" hidden="false" customHeight="false" outlineLevel="0" collapsed="false">
      <c r="A178" s="76" t="s">
        <v>188</v>
      </c>
      <c r="B178" s="76" t="s">
        <v>218</v>
      </c>
      <c r="C178" s="77" t="n">
        <v>2026</v>
      </c>
      <c r="D178" s="77" t="n">
        <v>2</v>
      </c>
      <c r="E178" s="78" t="n">
        <v>46203</v>
      </c>
      <c r="F178" s="76" t="s">
        <v>219</v>
      </c>
      <c r="G178" s="76" t="s">
        <v>220</v>
      </c>
      <c r="H178" s="76" t="s">
        <v>216</v>
      </c>
      <c r="I178" s="79" t="n">
        <v>20825.411</v>
      </c>
      <c r="J178" s="79" t="n">
        <v>2810.847</v>
      </c>
      <c r="K178" s="79" t="n">
        <v>1535124000</v>
      </c>
      <c r="L178" s="80" t="n">
        <v>7.92</v>
      </c>
      <c r="M178" s="79" t="n">
        <v>194.008</v>
      </c>
      <c r="N178" s="79" t="n">
        <v>0</v>
      </c>
      <c r="O178" s="79" t="n">
        <v>21975.278</v>
      </c>
      <c r="P178" s="80" t="n">
        <v>0</v>
      </c>
      <c r="Q178" s="80" t="n">
        <v>549</v>
      </c>
      <c r="R178" s="47" t="n">
        <v>1</v>
      </c>
      <c r="S178" s="66" t="s">
        <v>419</v>
      </c>
    </row>
    <row r="179" customFormat="false" ht="15" hidden="false" customHeight="false" outlineLevel="0" collapsed="false">
      <c r="A179" s="76" t="s">
        <v>188</v>
      </c>
      <c r="B179" s="76" t="s">
        <v>222</v>
      </c>
      <c r="C179" s="77" t="n">
        <v>2026</v>
      </c>
      <c r="D179" s="77" t="n">
        <v>1</v>
      </c>
      <c r="E179" s="78" t="n">
        <v>46112</v>
      </c>
      <c r="F179" s="76" t="s">
        <v>219</v>
      </c>
      <c r="G179" s="76" t="s">
        <v>220</v>
      </c>
      <c r="H179" s="76" t="s">
        <v>216</v>
      </c>
      <c r="I179" s="79" t="n">
        <v>18536.692</v>
      </c>
      <c r="J179" s="79" t="n">
        <v>2517.46</v>
      </c>
      <c r="K179" s="79" t="n">
        <v>1322921000</v>
      </c>
      <c r="L179" s="80" t="n">
        <v>6.86</v>
      </c>
      <c r="M179" s="79" t="n">
        <v>193.6577</v>
      </c>
      <c r="N179" s="79" t="n">
        <v>0</v>
      </c>
      <c r="O179" s="79" t="n">
        <v>19214.366</v>
      </c>
      <c r="P179" s="80" t="n">
        <v>0</v>
      </c>
      <c r="Q179" s="80" t="n">
        <v>304.5</v>
      </c>
      <c r="R179" s="47" t="n">
        <v>2</v>
      </c>
      <c r="S179" s="66" t="s">
        <v>420</v>
      </c>
    </row>
    <row r="180" customFormat="false" ht="15" hidden="false" customHeight="false" outlineLevel="0" collapsed="false">
      <c r="A180" s="76" t="s">
        <v>188</v>
      </c>
      <c r="B180" s="76" t="s">
        <v>224</v>
      </c>
      <c r="C180" s="77" t="n">
        <v>2025</v>
      </c>
      <c r="D180" s="77" t="n">
        <v>4</v>
      </c>
      <c r="E180" s="78" t="n">
        <v>46022</v>
      </c>
      <c r="F180" s="76" t="s">
        <v>219</v>
      </c>
      <c r="G180" s="76" t="s">
        <v>220</v>
      </c>
      <c r="H180" s="76" t="s">
        <v>216</v>
      </c>
      <c r="I180" s="79" t="n">
        <v>17298.641</v>
      </c>
      <c r="J180" s="79" t="n">
        <v>2303.334</v>
      </c>
      <c r="K180" s="79" t="n">
        <v>1223169000</v>
      </c>
      <c r="L180" s="80" t="n">
        <v>6.36</v>
      </c>
      <c r="M180" s="79" t="n">
        <v>192.3546</v>
      </c>
      <c r="N180" s="79" t="n">
        <v>0</v>
      </c>
      <c r="O180" s="79" t="n">
        <v>19999.753</v>
      </c>
      <c r="P180" s="80" t="n">
        <v>0</v>
      </c>
      <c r="Q180" s="80" t="n">
        <v>291</v>
      </c>
      <c r="R180" s="47" t="n">
        <v>3</v>
      </c>
      <c r="S180" s="66" t="s">
        <v>421</v>
      </c>
    </row>
    <row r="181" customFormat="false" ht="15" hidden="false" customHeight="false" outlineLevel="0" collapsed="false">
      <c r="A181" s="76" t="s">
        <v>188</v>
      </c>
      <c r="B181" s="76" t="s">
        <v>226</v>
      </c>
      <c r="C181" s="77" t="n">
        <v>2025</v>
      </c>
      <c r="D181" s="77" t="n">
        <v>3</v>
      </c>
      <c r="E181" s="78" t="n">
        <v>45930</v>
      </c>
      <c r="F181" s="76" t="s">
        <v>219</v>
      </c>
      <c r="G181" s="76" t="s">
        <v>220</v>
      </c>
      <c r="H181" s="76" t="s">
        <v>216</v>
      </c>
      <c r="I181" s="79" t="n">
        <v>17538.579</v>
      </c>
      <c r="J181" s="79" t="n">
        <v>2251.328</v>
      </c>
      <c r="K181" s="79" t="n">
        <v>1103412000</v>
      </c>
      <c r="L181" s="80" t="n">
        <v>5.75</v>
      </c>
      <c r="M181" s="79" t="n">
        <v>192.1998</v>
      </c>
      <c r="N181" s="79" t="n">
        <v>0</v>
      </c>
      <c r="O181" s="79" t="n">
        <v>18739.987</v>
      </c>
      <c r="P181" s="80" t="n">
        <v>11.98556796</v>
      </c>
      <c r="Q181" s="80" t="n">
        <v>314</v>
      </c>
      <c r="R181" s="47" t="n">
        <v>4</v>
      </c>
      <c r="S181" s="66" t="s">
        <v>422</v>
      </c>
    </row>
    <row r="182" customFormat="false" ht="15" hidden="false" customHeight="false" outlineLevel="0" collapsed="false">
      <c r="A182" s="76" t="s">
        <v>188</v>
      </c>
      <c r="B182" s="76" t="s">
        <v>228</v>
      </c>
      <c r="C182" s="77" t="n">
        <v>2025</v>
      </c>
      <c r="D182" s="77" t="n">
        <v>2</v>
      </c>
      <c r="E182" s="78" t="n">
        <v>45838</v>
      </c>
      <c r="F182" s="76" t="s">
        <v>219</v>
      </c>
      <c r="G182" s="76" t="s">
        <v>220</v>
      </c>
      <c r="H182" s="76" t="s">
        <v>216</v>
      </c>
      <c r="I182" s="79" t="n">
        <v>16986.85</v>
      </c>
      <c r="J182" s="79" t="n">
        <v>1988.366</v>
      </c>
      <c r="K182" s="79" t="n">
        <v>914696000</v>
      </c>
      <c r="L182" s="80" t="n">
        <v>4.78</v>
      </c>
      <c r="M182" s="79" t="n">
        <v>191.3427</v>
      </c>
      <c r="N182" s="79" t="n">
        <v>0</v>
      </c>
      <c r="O182" s="79" t="n">
        <v>17068.444</v>
      </c>
      <c r="P182" s="80" t="n">
        <v>0</v>
      </c>
      <c r="Q182" s="80" t="n">
        <v>274.5</v>
      </c>
      <c r="R182" s="47" t="n">
        <v>5</v>
      </c>
      <c r="S182" s="66" t="s">
        <v>423</v>
      </c>
    </row>
    <row r="183" customFormat="false" ht="15" hidden="false" customHeight="false" outlineLevel="0" collapsed="false">
      <c r="A183" s="76" t="s">
        <v>188</v>
      </c>
      <c r="B183" s="76" t="s">
        <v>230</v>
      </c>
      <c r="C183" s="77" t="n">
        <v>2025</v>
      </c>
      <c r="D183" s="77" t="n">
        <v>1</v>
      </c>
      <c r="E183" s="78" t="n">
        <v>45747</v>
      </c>
      <c r="F183" s="76" t="s">
        <v>219</v>
      </c>
      <c r="G183" s="76" t="s">
        <v>220</v>
      </c>
      <c r="H183" s="76" t="s">
        <v>216</v>
      </c>
      <c r="I183" s="79" t="n">
        <v>15759.461</v>
      </c>
      <c r="J183" s="79" t="n">
        <v>2107.35</v>
      </c>
      <c r="K183" s="79" t="n">
        <v>939170000</v>
      </c>
      <c r="L183" s="80" t="n">
        <v>4.91</v>
      </c>
      <c r="M183" s="79" t="n">
        <v>191.3323</v>
      </c>
      <c r="N183" s="79" t="n">
        <v>0</v>
      </c>
      <c r="O183" s="79" t="n">
        <v>16498.529</v>
      </c>
      <c r="P183" s="80" t="n">
        <v>0</v>
      </c>
      <c r="Q183" s="80" t="n">
        <v>261</v>
      </c>
      <c r="R183" s="47" t="n">
        <v>6</v>
      </c>
      <c r="S183" s="66" t="s">
        <v>424</v>
      </c>
    </row>
    <row r="184" customFormat="false" ht="15" hidden="false" customHeight="false" outlineLevel="0" collapsed="false">
      <c r="A184" s="76" t="s">
        <v>188</v>
      </c>
      <c r="B184" s="76" t="s">
        <v>232</v>
      </c>
      <c r="C184" s="77" t="n">
        <v>2024</v>
      </c>
      <c r="D184" s="77" t="n">
        <v>4</v>
      </c>
      <c r="E184" s="78" t="n">
        <v>45657</v>
      </c>
      <c r="F184" s="76" t="s">
        <v>219</v>
      </c>
      <c r="G184" s="76" t="s">
        <v>220</v>
      </c>
      <c r="H184" s="76" t="s">
        <v>216</v>
      </c>
      <c r="I184" s="79" t="n">
        <v>15907.231</v>
      </c>
      <c r="J184" s="79" t="n">
        <v>2057.74</v>
      </c>
      <c r="K184" s="79" t="n">
        <v>923666000</v>
      </c>
      <c r="L184" s="80" t="n">
        <v>4.84</v>
      </c>
      <c r="M184" s="79" t="n">
        <v>191.0393</v>
      </c>
      <c r="N184" s="79" t="n">
        <v>0</v>
      </c>
      <c r="O184" s="79" t="n">
        <v>17771.222</v>
      </c>
      <c r="P184" s="80" t="n">
        <v>0</v>
      </c>
      <c r="Q184" s="80" t="n">
        <v>280</v>
      </c>
      <c r="R184" s="47" t="n">
        <v>7</v>
      </c>
      <c r="S184" s="66" t="s">
        <v>425</v>
      </c>
    </row>
    <row r="185" customFormat="false" ht="15" hidden="false" customHeight="false" outlineLevel="0" collapsed="false">
      <c r="A185" s="76" t="s">
        <v>188</v>
      </c>
      <c r="B185" s="76" t="s">
        <v>234</v>
      </c>
      <c r="C185" s="77" t="n">
        <v>2024</v>
      </c>
      <c r="D185" s="77" t="n">
        <v>3</v>
      </c>
      <c r="E185" s="78" t="n">
        <v>45565</v>
      </c>
      <c r="F185" s="76" t="s">
        <v>219</v>
      </c>
      <c r="G185" s="76" t="s">
        <v>220</v>
      </c>
      <c r="H185" s="76" t="s">
        <v>216</v>
      </c>
      <c r="I185" s="79" t="n">
        <v>15366.525</v>
      </c>
      <c r="J185" s="79" t="n">
        <v>2043.096</v>
      </c>
      <c r="K185" s="79" t="n">
        <v>936620000</v>
      </c>
      <c r="L185" s="80" t="n">
        <v>4.93</v>
      </c>
      <c r="M185" s="79" t="n">
        <v>190.554</v>
      </c>
      <c r="N185" s="79" t="n">
        <v>0</v>
      </c>
      <c r="O185" s="79" t="n">
        <v>16789.65</v>
      </c>
      <c r="P185" s="80" t="n">
        <v>0</v>
      </c>
      <c r="Q185" s="80" t="n">
        <v>282</v>
      </c>
      <c r="R185" s="47" t="n">
        <v>8</v>
      </c>
      <c r="S185" s="66" t="s">
        <v>426</v>
      </c>
    </row>
    <row r="186" customFormat="false" ht="15" hidden="false" customHeight="false" outlineLevel="0" collapsed="false">
      <c r="A186" s="76" t="s">
        <v>188</v>
      </c>
      <c r="B186" s="76" t="s">
        <v>236</v>
      </c>
      <c r="C186" s="77" t="n">
        <v>2024</v>
      </c>
      <c r="D186" s="77" t="n">
        <v>2</v>
      </c>
      <c r="E186" s="78" t="n">
        <v>45473</v>
      </c>
      <c r="F186" s="76" t="s">
        <v>219</v>
      </c>
      <c r="G186" s="76" t="s">
        <v>220</v>
      </c>
      <c r="H186" s="76" t="s">
        <v>216</v>
      </c>
      <c r="I186" s="79" t="n">
        <v>13791.78</v>
      </c>
      <c r="J186" s="79" t="n">
        <v>1931.406</v>
      </c>
      <c r="K186" s="79" t="n">
        <v>1020612000</v>
      </c>
      <c r="L186" s="80" t="n">
        <v>5.41</v>
      </c>
      <c r="M186" s="79" t="n">
        <v>188.7641</v>
      </c>
      <c r="N186" s="79" t="n">
        <v>0</v>
      </c>
      <c r="O186" s="79" t="n">
        <v>15437.575</v>
      </c>
      <c r="P186" s="80" t="n">
        <v>9.99658303</v>
      </c>
      <c r="Q186" s="80" t="n">
        <v>275</v>
      </c>
      <c r="R186" s="47" t="n">
        <v>9</v>
      </c>
      <c r="S186" s="66" t="s">
        <v>427</v>
      </c>
    </row>
    <row r="187" customFormat="false" ht="15" hidden="false" customHeight="false" outlineLevel="0" collapsed="false">
      <c r="A187" s="76" t="s">
        <v>188</v>
      </c>
      <c r="B187" s="76" t="s">
        <v>238</v>
      </c>
      <c r="C187" s="77" t="n">
        <v>2024</v>
      </c>
      <c r="D187" s="77" t="n">
        <v>1</v>
      </c>
      <c r="E187" s="78" t="n">
        <v>45382</v>
      </c>
      <c r="F187" s="76" t="s">
        <v>219</v>
      </c>
      <c r="G187" s="76" t="s">
        <v>220</v>
      </c>
      <c r="H187" s="76" t="s">
        <v>216</v>
      </c>
      <c r="I187" s="79" t="n">
        <v>11931.577</v>
      </c>
      <c r="J187" s="79" t="n">
        <v>1685.728</v>
      </c>
      <c r="K187" s="79" t="n">
        <v>775037000</v>
      </c>
      <c r="L187" s="80" t="n">
        <v>4.11</v>
      </c>
      <c r="M187" s="79" t="n">
        <v>188.7001</v>
      </c>
      <c r="N187" s="79" t="n">
        <v>0</v>
      </c>
      <c r="O187" s="79" t="n">
        <v>14274.286</v>
      </c>
      <c r="P187" s="80" t="n">
        <v>0</v>
      </c>
      <c r="Q187" s="80" t="n">
        <v>219</v>
      </c>
      <c r="R187" s="47" t="n">
        <v>10</v>
      </c>
      <c r="S187" s="66" t="s">
        <v>428</v>
      </c>
    </row>
    <row r="188" customFormat="false" ht="15" hidden="false" customHeight="false" outlineLevel="0" collapsed="false">
      <c r="A188" s="76" t="s">
        <v>188</v>
      </c>
      <c r="B188" s="76" t="s">
        <v>240</v>
      </c>
      <c r="C188" s="77" t="n">
        <v>2023</v>
      </c>
      <c r="D188" s="77" t="n">
        <v>4</v>
      </c>
      <c r="E188" s="78" t="n">
        <v>45291</v>
      </c>
      <c r="F188" s="76" t="s">
        <v>219</v>
      </c>
      <c r="G188" s="76" t="s">
        <v>220</v>
      </c>
      <c r="H188" s="76" t="s">
        <v>216</v>
      </c>
      <c r="I188" s="79" t="n">
        <v>12233.421</v>
      </c>
      <c r="J188" s="79" t="n">
        <v>1593.449</v>
      </c>
      <c r="K188" s="79" t="n">
        <v>633558000</v>
      </c>
      <c r="L188" s="80" t="n">
        <v>3.35</v>
      </c>
      <c r="M188" s="79" t="n">
        <v>188.6996</v>
      </c>
      <c r="N188" s="79" t="n">
        <v>0</v>
      </c>
      <c r="O188" s="79" t="n">
        <v>15109.065</v>
      </c>
      <c r="P188" s="80" t="n">
        <v>0</v>
      </c>
      <c r="Q188" s="80" t="n">
        <v>182.5</v>
      </c>
      <c r="R188" s="47" t="n">
        <v>11</v>
      </c>
      <c r="S188" s="66" t="s">
        <v>429</v>
      </c>
    </row>
    <row r="189" customFormat="false" ht="15" hidden="false" customHeight="false" outlineLevel="0" collapsed="false">
      <c r="A189" s="76" t="s">
        <v>188</v>
      </c>
      <c r="B189" s="76" t="s">
        <v>242</v>
      </c>
      <c r="C189" s="77" t="n">
        <v>2023</v>
      </c>
      <c r="D189" s="77" t="n">
        <v>3</v>
      </c>
      <c r="E189" s="78" t="n">
        <v>45199</v>
      </c>
      <c r="F189" s="76" t="s">
        <v>219</v>
      </c>
      <c r="G189" s="76" t="s">
        <v>220</v>
      </c>
      <c r="H189" s="76" t="s">
        <v>216</v>
      </c>
      <c r="I189" s="79" t="n">
        <v>12492.338</v>
      </c>
      <c r="J189" s="79" t="n">
        <v>1743.119</v>
      </c>
      <c r="K189" s="79" t="n">
        <v>791913000</v>
      </c>
      <c r="L189" s="80" t="n">
        <v>4.25</v>
      </c>
      <c r="M189" s="79" t="n">
        <v>188.6996</v>
      </c>
      <c r="N189" s="79" t="n">
        <v>0</v>
      </c>
      <c r="O189" s="79" t="n">
        <v>14413.298</v>
      </c>
      <c r="P189" s="80" t="n">
        <v>0</v>
      </c>
      <c r="Q189" s="80" t="n">
        <v>169.5</v>
      </c>
      <c r="R189" s="47" t="n">
        <v>12</v>
      </c>
      <c r="S189" s="66" t="s">
        <v>430</v>
      </c>
    </row>
    <row r="190" customFormat="false" ht="15" hidden="false" customHeight="false" outlineLevel="0" collapsed="false">
      <c r="A190" s="76" t="s">
        <v>188</v>
      </c>
      <c r="B190" s="76" t="s">
        <v>244</v>
      </c>
      <c r="C190" s="77" t="n">
        <v>2023</v>
      </c>
      <c r="D190" s="77" t="n">
        <v>2</v>
      </c>
      <c r="E190" s="78" t="n">
        <v>45107</v>
      </c>
      <c r="F190" s="76" t="s">
        <v>219</v>
      </c>
      <c r="G190" s="76" t="s">
        <v>220</v>
      </c>
      <c r="H190" s="76" t="s">
        <v>216</v>
      </c>
      <c r="I190" s="79" t="n">
        <v>12055.351</v>
      </c>
      <c r="J190" s="79" t="n">
        <v>1581.488</v>
      </c>
      <c r="K190" s="79" t="n">
        <v>669619000</v>
      </c>
      <c r="L190" s="80" t="n">
        <v>3.69</v>
      </c>
      <c r="M190" s="79" t="n">
        <v>181.6996</v>
      </c>
      <c r="N190" s="79" t="n">
        <v>0</v>
      </c>
      <c r="O190" s="79" t="n">
        <v>12564.042</v>
      </c>
      <c r="P190" s="80" t="n">
        <v>10</v>
      </c>
      <c r="Q190" s="80" t="n">
        <v>182.5</v>
      </c>
      <c r="R190" s="47" t="n">
        <v>13</v>
      </c>
      <c r="S190" s="66" t="s">
        <v>431</v>
      </c>
    </row>
    <row r="191" customFormat="false" ht="15" hidden="false" customHeight="false" outlineLevel="0" collapsed="false">
      <c r="A191" s="76" t="s">
        <v>188</v>
      </c>
      <c r="B191" s="76" t="s">
        <v>246</v>
      </c>
      <c r="C191" s="77" t="n">
        <v>2023</v>
      </c>
      <c r="D191" s="77" t="n">
        <v>1</v>
      </c>
      <c r="E191" s="78" t="n">
        <v>45016</v>
      </c>
      <c r="F191" s="76" t="s">
        <v>219</v>
      </c>
      <c r="G191" s="76" t="s">
        <v>220</v>
      </c>
      <c r="H191" s="76" t="s">
        <v>216</v>
      </c>
      <c r="I191" s="79" t="n">
        <v>12492.345</v>
      </c>
      <c r="J191" s="79" t="n">
        <v>1500.744</v>
      </c>
      <c r="K191" s="79" t="n">
        <v>739934000</v>
      </c>
      <c r="L191" s="80" t="n">
        <v>4.07</v>
      </c>
      <c r="M191" s="79" t="n">
        <v>181.6996</v>
      </c>
      <c r="N191" s="79" t="n">
        <v>0</v>
      </c>
      <c r="O191" s="79" t="n">
        <v>11830.406</v>
      </c>
      <c r="P191" s="80" t="n">
        <v>0</v>
      </c>
      <c r="Q191" s="80" t="n">
        <v>189</v>
      </c>
      <c r="R191" s="47" t="n">
        <v>14</v>
      </c>
      <c r="S191" s="66" t="s">
        <v>432</v>
      </c>
    </row>
    <row r="192" customFormat="false" ht="15" hidden="false" customHeight="false" outlineLevel="0" collapsed="false">
      <c r="A192" s="76" t="s">
        <v>188</v>
      </c>
      <c r="B192" s="76" t="s">
        <v>248</v>
      </c>
      <c r="C192" s="77" t="n">
        <v>2022</v>
      </c>
      <c r="D192" s="77" t="n">
        <v>4</v>
      </c>
      <c r="E192" s="78" t="n">
        <v>44926</v>
      </c>
      <c r="F192" s="76" t="s">
        <v>219</v>
      </c>
      <c r="G192" s="76" t="s">
        <v>220</v>
      </c>
      <c r="H192" s="76" t="s">
        <v>216</v>
      </c>
      <c r="I192" s="79" t="n">
        <v>13377.459</v>
      </c>
      <c r="J192" s="79" t="n">
        <v>1601.395</v>
      </c>
      <c r="K192" s="79" t="n">
        <v>565094000</v>
      </c>
      <c r="L192" s="80" t="n">
        <v>3.11</v>
      </c>
      <c r="M192" s="79" t="n">
        <v>181.6996</v>
      </c>
      <c r="N192" s="79" t="n">
        <v>0</v>
      </c>
      <c r="O192" s="79" t="n">
        <v>12959.644</v>
      </c>
      <c r="P192" s="80" t="n">
        <v>0</v>
      </c>
      <c r="Q192" s="80" t="n">
        <v>164</v>
      </c>
      <c r="R192" s="47" t="n">
        <v>15</v>
      </c>
      <c r="S192" s="66" t="s">
        <v>433</v>
      </c>
    </row>
    <row r="193" customFormat="false" ht="15" hidden="false" customHeight="false" outlineLevel="0" collapsed="false">
      <c r="A193" s="76" t="s">
        <v>188</v>
      </c>
      <c r="B193" s="76" t="s">
        <v>250</v>
      </c>
      <c r="C193" s="77" t="n">
        <v>2022</v>
      </c>
      <c r="D193" s="77" t="n">
        <v>3</v>
      </c>
      <c r="E193" s="78" t="n">
        <v>44834</v>
      </c>
      <c r="F193" s="76" t="s">
        <v>219</v>
      </c>
      <c r="G193" s="76" t="s">
        <v>220</v>
      </c>
      <c r="H193" s="76" t="s">
        <v>216</v>
      </c>
      <c r="I193" s="79" t="n">
        <v>13792.845</v>
      </c>
      <c r="J193" s="79" t="n">
        <v>1840.106</v>
      </c>
      <c r="K193" s="79" t="n">
        <v>893203000</v>
      </c>
      <c r="L193" s="80" t="n">
        <v>4.92</v>
      </c>
      <c r="M193" s="79" t="n">
        <v>181.6996</v>
      </c>
      <c r="N193" s="79" t="n">
        <v>0</v>
      </c>
      <c r="O193" s="79" t="n">
        <v>12162.603</v>
      </c>
      <c r="P193" s="80" t="n">
        <v>0</v>
      </c>
      <c r="Q193" s="80" t="n">
        <v>154.5</v>
      </c>
      <c r="R193" s="47" t="n">
        <v>16</v>
      </c>
      <c r="S193" s="66" t="s">
        <v>434</v>
      </c>
    </row>
    <row r="194" customFormat="false" ht="15" hidden="false" customHeight="false" outlineLevel="0" collapsed="false">
      <c r="A194" s="76" t="s">
        <v>188</v>
      </c>
      <c r="B194" s="76" t="s">
        <v>252</v>
      </c>
      <c r="C194" s="77" t="n">
        <v>2022</v>
      </c>
      <c r="D194" s="77" t="n">
        <v>2</v>
      </c>
      <c r="E194" s="78" t="n">
        <v>44742</v>
      </c>
      <c r="F194" s="76" t="s">
        <v>219</v>
      </c>
      <c r="G194" s="76" t="s">
        <v>220</v>
      </c>
      <c r="H194" s="76" t="s">
        <v>216</v>
      </c>
      <c r="I194" s="79" t="n">
        <v>13225.334</v>
      </c>
      <c r="J194" s="79" t="n">
        <v>1622.386</v>
      </c>
      <c r="K194" s="79" t="n">
        <v>900267000</v>
      </c>
      <c r="L194" s="80" t="n">
        <v>4.96</v>
      </c>
      <c r="M194" s="79" t="n">
        <v>181.6996</v>
      </c>
      <c r="N194" s="79" t="n">
        <v>0</v>
      </c>
      <c r="O194" s="79" t="n">
        <v>11202.522</v>
      </c>
      <c r="P194" s="80" t="n">
        <v>8.8</v>
      </c>
      <c r="Q194" s="80" t="n">
        <v>138</v>
      </c>
      <c r="R194" s="47" t="n">
        <v>17</v>
      </c>
      <c r="S194" s="66" t="s">
        <v>435</v>
      </c>
    </row>
    <row r="195" customFormat="false" ht="15" hidden="false" customHeight="false" outlineLevel="0" collapsed="false">
      <c r="A195" s="76" t="s">
        <v>188</v>
      </c>
      <c r="B195" s="76" t="s">
        <v>254</v>
      </c>
      <c r="C195" s="77" t="n">
        <v>2022</v>
      </c>
      <c r="D195" s="77" t="n">
        <v>1</v>
      </c>
      <c r="E195" s="78" t="n">
        <v>44651</v>
      </c>
      <c r="F195" s="76" t="s">
        <v>219</v>
      </c>
      <c r="G195" s="76" t="s">
        <v>220</v>
      </c>
      <c r="H195" s="76" t="s">
        <v>216</v>
      </c>
      <c r="I195" s="79" t="n">
        <v>12582.577</v>
      </c>
      <c r="J195" s="79" t="n">
        <v>1461.477</v>
      </c>
      <c r="K195" s="79" t="n">
        <v>659914000</v>
      </c>
      <c r="L195" s="80" t="n">
        <v>3.63</v>
      </c>
      <c r="M195" s="79" t="n">
        <v>181.6996</v>
      </c>
      <c r="N195" s="79" t="n">
        <v>0</v>
      </c>
      <c r="O195" s="79" t="n">
        <v>10707.907</v>
      </c>
      <c r="P195" s="80" t="n">
        <v>0</v>
      </c>
      <c r="Q195" s="80" t="n">
        <v>170</v>
      </c>
      <c r="R195" s="47" t="n">
        <v>18</v>
      </c>
      <c r="S195" s="66" t="s">
        <v>436</v>
      </c>
    </row>
    <row r="196" customFormat="false" ht="15" hidden="false" customHeight="false" outlineLevel="0" collapsed="false">
      <c r="A196" s="76" t="s">
        <v>188</v>
      </c>
      <c r="B196" s="76" t="s">
        <v>256</v>
      </c>
      <c r="C196" s="77" t="n">
        <v>2021</v>
      </c>
      <c r="D196" s="77" t="n">
        <v>4</v>
      </c>
      <c r="E196" s="78" t="n">
        <v>44561</v>
      </c>
      <c r="F196" s="76" t="s">
        <v>219</v>
      </c>
      <c r="G196" s="76" t="s">
        <v>220</v>
      </c>
      <c r="H196" s="76" t="s">
        <v>216</v>
      </c>
      <c r="I196" s="79" t="n">
        <v>11766.16</v>
      </c>
      <c r="J196" s="79" t="n">
        <v>1498.856</v>
      </c>
      <c r="K196" s="79" t="n">
        <v>633208000</v>
      </c>
      <c r="L196" s="80" t="n">
        <v>3.49</v>
      </c>
      <c r="M196" s="79" t="n">
        <v>181.6996</v>
      </c>
      <c r="N196" s="79" t="n">
        <v>0</v>
      </c>
      <c r="O196" s="79" t="n">
        <v>11596.572</v>
      </c>
      <c r="P196" s="80" t="n">
        <v>0</v>
      </c>
      <c r="Q196" s="80" t="n">
        <v>158</v>
      </c>
      <c r="R196" s="47" t="n">
        <v>19</v>
      </c>
      <c r="S196" s="66" t="s">
        <v>437</v>
      </c>
    </row>
    <row r="197" customFormat="false" ht="15" hidden="false" customHeight="false" outlineLevel="0" collapsed="false">
      <c r="A197" s="76" t="s">
        <v>188</v>
      </c>
      <c r="B197" s="76" t="s">
        <v>258</v>
      </c>
      <c r="C197" s="77" t="n">
        <v>2021</v>
      </c>
      <c r="D197" s="77" t="n">
        <v>3</v>
      </c>
      <c r="E197" s="78" t="n">
        <v>44469</v>
      </c>
      <c r="F197" s="76" t="s">
        <v>219</v>
      </c>
      <c r="G197" s="76" t="s">
        <v>220</v>
      </c>
      <c r="H197" s="76" t="s">
        <v>216</v>
      </c>
      <c r="I197" s="79" t="n">
        <v>10988.763</v>
      </c>
      <c r="J197" s="79" t="n">
        <v>1338.868</v>
      </c>
      <c r="K197" s="79" t="n">
        <v>593514000</v>
      </c>
      <c r="L197" s="80" t="n">
        <v>3.26</v>
      </c>
      <c r="M197" s="79" t="n">
        <v>181.6996</v>
      </c>
      <c r="N197" s="79" t="n">
        <v>0</v>
      </c>
      <c r="O197" s="79" t="n">
        <v>10701.466</v>
      </c>
      <c r="P197" s="80" t="n">
        <v>0</v>
      </c>
      <c r="Q197" s="80" t="n">
        <v>137.5</v>
      </c>
      <c r="R197" s="47" t="n">
        <v>20</v>
      </c>
      <c r="S197" s="66" t="s">
        <v>438</v>
      </c>
    </row>
    <row r="198" customFormat="false" ht="15" hidden="false" customHeight="false" outlineLevel="0" collapsed="false">
      <c r="A198" s="76" t="s">
        <v>188</v>
      </c>
      <c r="B198" s="76" t="s">
        <v>260</v>
      </c>
      <c r="C198" s="77" t="n">
        <v>2021</v>
      </c>
      <c r="D198" s="77" t="n">
        <v>2</v>
      </c>
      <c r="E198" s="78" t="n">
        <v>44377</v>
      </c>
      <c r="F198" s="76" t="s">
        <v>219</v>
      </c>
      <c r="G198" s="76" t="s">
        <v>220</v>
      </c>
      <c r="H198" s="76" t="s">
        <v>216</v>
      </c>
      <c r="I198" s="79" t="n">
        <v>10381.154</v>
      </c>
      <c r="J198" s="79" t="n">
        <v>1276.802</v>
      </c>
      <c r="K198" s="79" t="n">
        <v>613334000</v>
      </c>
      <c r="L198" s="80" t="n">
        <v>3.38</v>
      </c>
      <c r="M198" s="79" t="n">
        <v>181.6996</v>
      </c>
      <c r="N198" s="79" t="n">
        <v>0</v>
      </c>
      <c r="O198" s="79" t="n">
        <v>10141.465</v>
      </c>
      <c r="P198" s="80" t="n">
        <v>8</v>
      </c>
      <c r="Q198" s="80" t="n">
        <v>125</v>
      </c>
      <c r="R198" s="47" t="n">
        <v>21</v>
      </c>
      <c r="S198" s="66" t="s">
        <v>439</v>
      </c>
    </row>
    <row r="199" customFormat="false" ht="15" hidden="false" customHeight="false" outlineLevel="0" collapsed="false">
      <c r="A199" s="76" t="s">
        <v>188</v>
      </c>
      <c r="B199" s="76" t="s">
        <v>262</v>
      </c>
      <c r="C199" s="77" t="n">
        <v>2021</v>
      </c>
      <c r="D199" s="77" t="n">
        <v>1</v>
      </c>
      <c r="E199" s="78" t="n">
        <v>44286</v>
      </c>
      <c r="F199" s="76" t="s">
        <v>219</v>
      </c>
      <c r="G199" s="76" t="s">
        <v>220</v>
      </c>
      <c r="H199" s="76" t="s">
        <v>216</v>
      </c>
      <c r="I199" s="79" t="n">
        <v>9532.889</v>
      </c>
      <c r="J199" s="79" t="n">
        <v>1097.678</v>
      </c>
      <c r="K199" s="79" t="n">
        <v>454402000</v>
      </c>
      <c r="L199" s="80" t="n">
        <v>2.5</v>
      </c>
      <c r="M199" s="79" t="n">
        <v>181.6996</v>
      </c>
      <c r="N199" s="79" t="n">
        <v>0</v>
      </c>
      <c r="O199" s="79" t="n">
        <v>9570.395</v>
      </c>
      <c r="P199" s="80" t="n">
        <v>0</v>
      </c>
      <c r="Q199" s="80" t="n">
        <v>136.5</v>
      </c>
      <c r="R199" s="47" t="n">
        <v>22</v>
      </c>
      <c r="S199" s="66" t="s">
        <v>440</v>
      </c>
    </row>
    <row r="200" customFormat="false" ht="15" hidden="false" customHeight="false" outlineLevel="0" collapsed="false">
      <c r="A200" s="76" t="s">
        <v>188</v>
      </c>
      <c r="B200" s="76" t="s">
        <v>264</v>
      </c>
      <c r="C200" s="77" t="n">
        <v>2020</v>
      </c>
      <c r="D200" s="77" t="n">
        <v>4</v>
      </c>
      <c r="E200" s="78" t="n">
        <v>44196</v>
      </c>
      <c r="F200" s="76" t="s">
        <v>219</v>
      </c>
      <c r="G200" s="76" t="s">
        <v>220</v>
      </c>
      <c r="H200" s="76" t="s">
        <v>216</v>
      </c>
      <c r="I200" s="79" t="n">
        <v>8938.602</v>
      </c>
      <c r="J200" s="79" t="n">
        <v>1094.556</v>
      </c>
      <c r="K200" s="79" t="n">
        <v>548182000</v>
      </c>
      <c r="L200" s="80" t="n">
        <v>3.01</v>
      </c>
      <c r="M200" s="79" t="n">
        <v>181.6996</v>
      </c>
      <c r="N200" s="79" t="n">
        <v>0</v>
      </c>
      <c r="O200" s="79" t="n">
        <v>10573.627</v>
      </c>
      <c r="P200" s="80" t="n">
        <v>0</v>
      </c>
      <c r="Q200" s="80" t="n">
        <v>119.5</v>
      </c>
      <c r="R200" s="47" t="n">
        <v>23</v>
      </c>
      <c r="S200" s="66" t="s">
        <v>441</v>
      </c>
    </row>
    <row r="201" customFormat="false" ht="15" hidden="false" customHeight="false" outlineLevel="0" collapsed="false">
      <c r="A201" s="76" t="s">
        <v>188</v>
      </c>
      <c r="B201" s="76" t="s">
        <v>266</v>
      </c>
      <c r="C201" s="77" t="n">
        <v>2020</v>
      </c>
      <c r="D201" s="77" t="n">
        <v>3</v>
      </c>
      <c r="E201" s="78" t="n">
        <v>44104</v>
      </c>
      <c r="F201" s="76" t="s">
        <v>219</v>
      </c>
      <c r="G201" s="76" t="s">
        <v>220</v>
      </c>
      <c r="H201" s="76" t="s">
        <v>216</v>
      </c>
      <c r="I201" s="79" t="n">
        <v>9067.715</v>
      </c>
      <c r="J201" s="79" t="n">
        <v>1028.467</v>
      </c>
      <c r="K201" s="79" t="n">
        <v>521666000</v>
      </c>
      <c r="L201" s="80" t="n">
        <v>2.87</v>
      </c>
      <c r="M201" s="79" t="n">
        <v>181.6996</v>
      </c>
      <c r="N201" s="79" t="n">
        <v>0</v>
      </c>
      <c r="O201" s="79" t="n">
        <v>9893.143</v>
      </c>
      <c r="P201" s="80"/>
      <c r="Q201" s="80" t="n">
        <v>114</v>
      </c>
      <c r="R201" s="47" t="n">
        <v>24</v>
      </c>
      <c r="S201" s="66" t="s">
        <v>442</v>
      </c>
    </row>
    <row r="203" customFormat="false" ht="15" hidden="false" customHeight="false" outlineLevel="0" collapsed="false">
      <c r="A203" s="81" t="s">
        <v>443</v>
      </c>
    </row>
    <row r="204" customFormat="false" ht="15" hidden="false" customHeight="false" outlineLevel="0" collapsed="false">
      <c r="A204" s="42" t="s">
        <v>444</v>
      </c>
    </row>
    <row r="205" customFormat="false" ht="15" hidden="false" customHeight="false" outlineLevel="0" collapsed="false">
      <c r="A205" s="82" t="s">
        <v>445</v>
      </c>
      <c r="C205" s="24" t="s">
        <v>446</v>
      </c>
    </row>
    <row r="206" customFormat="false" ht="15" hidden="false" customHeight="false" outlineLevel="0" collapsed="false">
      <c r="A206" s="82" t="s">
        <v>447</v>
      </c>
      <c r="C206" s="24" t="s">
        <v>446</v>
      </c>
    </row>
    <row r="207" customFormat="false" ht="15" hidden="false" customHeight="false" outlineLevel="0" collapsed="false">
      <c r="A207" s="82" t="s">
        <v>448</v>
      </c>
      <c r="C207" s="24" t="s">
        <v>446</v>
      </c>
    </row>
    <row r="208" customFormat="false" ht="15" hidden="false" customHeight="false" outlineLevel="0" collapsed="false">
      <c r="A208" s="82" t="s">
        <v>449</v>
      </c>
      <c r="C208" s="24" t="s">
        <v>446</v>
      </c>
    </row>
    <row r="209" customFormat="false" ht="15" hidden="false" customHeight="false" outlineLevel="0" collapsed="false">
      <c r="A209" s="82" t="s">
        <v>450</v>
      </c>
      <c r="C209" s="24" t="s">
        <v>446</v>
      </c>
    </row>
    <row r="210" customFormat="false" ht="15" hidden="false" customHeight="false" outlineLevel="0" collapsed="false">
      <c r="A210" s="82" t="s">
        <v>451</v>
      </c>
      <c r="C210" s="24" t="s">
        <v>452</v>
      </c>
    </row>
    <row r="211" customFormat="false" ht="15" hidden="false" customHeight="false" outlineLevel="0" collapsed="false">
      <c r="A211" s="82" t="s">
        <v>453</v>
      </c>
      <c r="C211" s="24" t="s">
        <v>452</v>
      </c>
    </row>
    <row r="212" customFormat="false" ht="15" hidden="false" customHeight="false" outlineLevel="0" collapsed="false">
      <c r="A212" s="82" t="s">
        <v>454</v>
      </c>
      <c r="C212" s="25" t="s">
        <v>455</v>
      </c>
    </row>
    <row r="213" customFormat="false" ht="15" hidden="false" customHeight="false" outlineLevel="0" collapsed="false">
      <c r="A213" s="82" t="s">
        <v>456</v>
      </c>
      <c r="C213" s="24" t="s">
        <v>457</v>
      </c>
    </row>
    <row r="214" customFormat="false" ht="15" hidden="false" customHeight="false" outlineLevel="0" collapsed="false">
      <c r="A214" s="82" t="s">
        <v>458</v>
      </c>
      <c r="C214" s="24" t="s">
        <v>459</v>
      </c>
    </row>
    <row r="215" customFormat="false" ht="15" hidden="false" customHeight="false" outlineLevel="0" collapsed="false">
      <c r="A215" s="82" t="s">
        <v>460</v>
      </c>
      <c r="C215" s="25" t="s">
        <v>461</v>
      </c>
    </row>
    <row r="216" customFormat="false" ht="15" hidden="false" customHeight="false" outlineLevel="0" collapsed="false">
      <c r="A216" s="82" t="s">
        <v>462</v>
      </c>
      <c r="C216" s="25" t="s">
        <v>463</v>
      </c>
    </row>
    <row r="217" customFormat="false" ht="15" hidden="false" customHeight="false" outlineLevel="0" collapsed="false">
      <c r="A217" s="82" t="s">
        <v>464</v>
      </c>
      <c r="C217" s="24" t="s">
        <v>465</v>
      </c>
    </row>
    <row r="218" customFormat="false" ht="15" hidden="false" customHeight="false" outlineLevel="0" collapsed="false">
      <c r="A218" s="82" t="s">
        <v>466</v>
      </c>
      <c r="C218" s="24" t="s">
        <v>467</v>
      </c>
    </row>
    <row r="219" customFormat="false" ht="15" hidden="false" customHeight="false" outlineLevel="0" collapsed="false">
      <c r="A219" s="82" t="s">
        <v>468</v>
      </c>
      <c r="C219" s="25" t="s">
        <v>469</v>
      </c>
    </row>
    <row r="220" customFormat="false" ht="15" hidden="false" customHeight="false" outlineLevel="0" collapsed="false">
      <c r="A220" s="82" t="s">
        <v>470</v>
      </c>
      <c r="C220" s="24" t="s">
        <v>47</v>
      </c>
    </row>
    <row r="221" customFormat="false" ht="15" hidden="false" customHeight="false" outlineLevel="0" collapsed="false">
      <c r="A221" s="82" t="s">
        <v>471</v>
      </c>
      <c r="C221" s="24" t="s">
        <v>472</v>
      </c>
    </row>
    <row r="223" customFormat="false" ht="15" hidden="false" customHeight="false" outlineLevel="0" collapsed="false">
      <c r="A223" s="24" t="s">
        <v>473</v>
      </c>
    </row>
  </sheetData>
  <autoFilter ref="A1:S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474</v>
      </c>
      <c r="C1" s="14" t="s">
        <v>475</v>
      </c>
      <c r="D1" s="14" t="s">
        <v>476</v>
      </c>
      <c r="E1" s="14" t="s">
        <v>477</v>
      </c>
      <c r="F1" s="14" t="s">
        <v>478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46272</v>
      </c>
    </row>
    <row r="3" customFormat="false" ht="15" hidden="false" customHeight="false" outlineLevel="0" collapsed="false">
      <c r="A3" s="76" t="s">
        <v>191</v>
      </c>
      <c r="B3" s="80" t="n">
        <v>33.85612</v>
      </c>
      <c r="C3" s="80" t="n">
        <v>37.25418</v>
      </c>
      <c r="D3" s="78" t="n">
        <v>46387</v>
      </c>
      <c r="E3" s="77" t="n">
        <v>8</v>
      </c>
      <c r="F3" s="78" t="n">
        <v>46272</v>
      </c>
    </row>
    <row r="4" customFormat="false" ht="15" hidden="false" customHeight="false" outlineLevel="0" collapsed="false">
      <c r="A4" s="76" t="s">
        <v>171</v>
      </c>
      <c r="B4" s="80" t="n">
        <v>66.6506</v>
      </c>
      <c r="C4" s="80" t="n">
        <v>98.96</v>
      </c>
      <c r="D4" s="78" t="n">
        <v>46387</v>
      </c>
      <c r="E4" s="77" t="n">
        <v>6</v>
      </c>
      <c r="F4" s="78" t="n">
        <v>46272</v>
      </c>
    </row>
    <row r="5" customFormat="false" ht="15" hidden="false" customHeight="false" outlineLevel="0" collapsed="false">
      <c r="A5" s="76" t="s">
        <v>179</v>
      </c>
      <c r="B5" s="80" t="n">
        <v>5.32885</v>
      </c>
      <c r="C5" s="80" t="n">
        <v>8.86048</v>
      </c>
      <c r="D5" s="78" t="n">
        <v>46387</v>
      </c>
      <c r="E5" s="77" t="n">
        <v>8</v>
      </c>
      <c r="F5" s="78" t="n">
        <v>46272</v>
      </c>
    </row>
    <row r="6" customFormat="false" ht="15" hidden="false" customHeight="false" outlineLevel="0" collapsed="false">
      <c r="A6" s="76" t="s">
        <v>183</v>
      </c>
      <c r="B6" s="80" t="n">
        <v>33.70448</v>
      </c>
      <c r="C6" s="80" t="n">
        <v>35.32413</v>
      </c>
      <c r="D6" s="78" t="n">
        <v>46387</v>
      </c>
      <c r="E6" s="77" t="n">
        <v>14</v>
      </c>
      <c r="F6" s="78" t="n">
        <v>46272</v>
      </c>
    </row>
    <row r="7" customFormat="false" ht="15" hidden="false" customHeight="false" outlineLevel="0" collapsed="false">
      <c r="A7" s="76" t="s">
        <v>185</v>
      </c>
      <c r="B7" s="80" t="n">
        <v>65.61145</v>
      </c>
      <c r="C7" s="80" t="n">
        <v>114.78896</v>
      </c>
      <c r="D7" s="78" t="n">
        <v>46387</v>
      </c>
      <c r="E7" s="77" t="n">
        <v>2</v>
      </c>
      <c r="F7" s="78" t="n">
        <v>46272</v>
      </c>
    </row>
    <row r="8" customFormat="false" ht="15" hidden="false" customHeight="false" outlineLevel="0" collapsed="false">
      <c r="A8" s="76" t="s">
        <v>176</v>
      </c>
      <c r="B8" s="80" t="n">
        <v>353.215</v>
      </c>
      <c r="C8" s="80" t="n">
        <v>194.82417</v>
      </c>
      <c r="D8" s="78" t="n">
        <v>46387</v>
      </c>
      <c r="E8" s="77" t="n">
        <v>2</v>
      </c>
      <c r="F8" s="78" t="n">
        <v>46272</v>
      </c>
    </row>
    <row r="9" customFormat="false" ht="15" hidden="false" customHeight="false" outlineLevel="0" collapsed="false">
      <c r="A9" s="76" t="s">
        <v>188</v>
      </c>
      <c r="B9" s="80" t="n">
        <v>30.55</v>
      </c>
      <c r="C9" s="80" t="n">
        <v>34.41</v>
      </c>
      <c r="D9" s="78" t="n">
        <v>46387</v>
      </c>
      <c r="E9" s="77" t="n">
        <v>3</v>
      </c>
      <c r="F9" s="78" t="n">
        <v>46272</v>
      </c>
    </row>
    <row r="11" customFormat="false" ht="15" hidden="false" customHeight="false" outlineLevel="0" collapsed="false">
      <c r="A11" s="2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480</v>
      </c>
      <c r="C1" s="14" t="s">
        <v>481</v>
      </c>
      <c r="D1" s="14" t="s">
        <v>482</v>
      </c>
      <c r="E1" s="14" t="s">
        <v>478</v>
      </c>
    </row>
    <row r="2" customFormat="false" ht="15" hidden="false" customHeight="false" outlineLevel="0" collapsed="false">
      <c r="A2" s="76" t="s">
        <v>167</v>
      </c>
      <c r="B2" s="80" t="n">
        <v>2410</v>
      </c>
      <c r="C2" s="78" t="n">
        <v>46272</v>
      </c>
      <c r="D2" s="78"/>
      <c r="E2" s="78" t="n">
        <v>46272</v>
      </c>
    </row>
    <row r="3" customFormat="false" ht="15" hidden="false" customHeight="false" outlineLevel="0" collapsed="false">
      <c r="A3" s="76" t="s">
        <v>191</v>
      </c>
      <c r="B3" s="80" t="n">
        <v>361</v>
      </c>
      <c r="C3" s="78" t="n">
        <v>46272</v>
      </c>
      <c r="D3" s="78"/>
      <c r="E3" s="78" t="n">
        <v>46272</v>
      </c>
    </row>
    <row r="4" customFormat="false" ht="15" hidden="false" customHeight="false" outlineLevel="0" collapsed="false">
      <c r="A4" s="76" t="s">
        <v>171</v>
      </c>
      <c r="B4" s="80" t="n">
        <v>496</v>
      </c>
      <c r="C4" s="78" t="n">
        <v>46272</v>
      </c>
      <c r="D4" s="78"/>
      <c r="E4" s="78" t="n">
        <v>46272</v>
      </c>
    </row>
    <row r="5" customFormat="false" ht="15" hidden="false" customHeight="false" outlineLevel="0" collapsed="false">
      <c r="A5" s="76" t="s">
        <v>179</v>
      </c>
      <c r="B5" s="80" t="n">
        <v>528</v>
      </c>
      <c r="C5" s="78" t="n">
        <v>46272</v>
      </c>
      <c r="D5" s="78"/>
      <c r="E5" s="78" t="n">
        <v>46272</v>
      </c>
    </row>
    <row r="6" customFormat="false" ht="15" hidden="false" customHeight="false" outlineLevel="0" collapsed="false">
      <c r="A6" s="76" t="s">
        <v>183</v>
      </c>
      <c r="B6" s="80" t="n">
        <v>524</v>
      </c>
      <c r="C6" s="78" t="n">
        <v>46272</v>
      </c>
      <c r="D6" s="78"/>
      <c r="E6" s="78" t="n">
        <v>46272</v>
      </c>
    </row>
    <row r="7" customFormat="false" ht="15" hidden="false" customHeight="false" outlineLevel="0" collapsed="false">
      <c r="A7" s="76" t="s">
        <v>185</v>
      </c>
      <c r="B7" s="80" t="n">
        <v>2145</v>
      </c>
      <c r="C7" s="78" t="n">
        <v>46272</v>
      </c>
      <c r="D7" s="78"/>
      <c r="E7" s="78" t="n">
        <v>46272</v>
      </c>
    </row>
    <row r="8" customFormat="false" ht="15" hidden="false" customHeight="false" outlineLevel="0" collapsed="false">
      <c r="A8" s="76" t="s">
        <v>176</v>
      </c>
      <c r="B8" s="80" t="n">
        <v>1360</v>
      </c>
      <c r="C8" s="78" t="n">
        <v>46272</v>
      </c>
      <c r="D8" s="78"/>
      <c r="E8" s="78" t="n">
        <v>46272</v>
      </c>
    </row>
    <row r="9" customFormat="false" ht="15" hidden="false" customHeight="false" outlineLevel="0" collapsed="false">
      <c r="A9" s="76" t="s">
        <v>188</v>
      </c>
      <c r="B9" s="80" t="n">
        <v>538</v>
      </c>
      <c r="C9" s="78" t="n">
        <v>46272</v>
      </c>
      <c r="D9" s="78"/>
      <c r="E9" s="78" t="n">
        <v>46272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483</v>
      </c>
      <c r="F1" s="14" t="s">
        <v>484</v>
      </c>
      <c r="G1" s="14" t="s">
        <v>485</v>
      </c>
      <c r="H1" s="14" t="s">
        <v>486</v>
      </c>
      <c r="I1" s="14" t="s">
        <v>68</v>
      </c>
      <c r="J1" s="14" t="s">
        <v>56</v>
      </c>
      <c r="K1" s="14" t="s">
        <v>487</v>
      </c>
      <c r="L1" s="14" t="s">
        <v>488</v>
      </c>
      <c r="M1" s="14" t="s">
        <v>489</v>
      </c>
      <c r="N1" s="14" t="s">
        <v>58</v>
      </c>
      <c r="O1" s="14" t="s">
        <v>59</v>
      </c>
      <c r="P1" s="14" t="s">
        <v>490</v>
      </c>
      <c r="Q1" s="15" t="s">
        <v>47</v>
      </c>
      <c r="R1" s="15" t="s">
        <v>60</v>
      </c>
      <c r="S1" s="15" t="s">
        <v>491</v>
      </c>
      <c r="T1" s="15" t="s">
        <v>492</v>
      </c>
      <c r="U1" s="15" t="s">
        <v>493</v>
      </c>
      <c r="V1" s="15" t="s">
        <v>494</v>
      </c>
      <c r="W1" s="15" t="s">
        <v>64</v>
      </c>
      <c r="X1" s="15" t="s">
        <v>65</v>
      </c>
      <c r="Y1" s="14" t="s">
        <v>495</v>
      </c>
      <c r="Z1" s="15" t="s">
        <v>496</v>
      </c>
      <c r="AA1" s="15" t="s">
        <v>497</v>
      </c>
      <c r="AB1" s="14" t="s">
        <v>498</v>
      </c>
      <c r="AC1" s="14" t="s">
        <v>71</v>
      </c>
      <c r="AD1" s="15" t="s">
        <v>106</v>
      </c>
      <c r="AE1" s="15" t="s">
        <v>499</v>
      </c>
      <c r="AF1" s="14" t="s">
        <v>72</v>
      </c>
      <c r="AG1" s="14" t="s">
        <v>73</v>
      </c>
      <c r="AH1" s="14" t="s">
        <v>500</v>
      </c>
      <c r="AI1" s="15" t="s">
        <v>75</v>
      </c>
      <c r="AJ1" s="15" t="s">
        <v>76</v>
      </c>
      <c r="AK1" s="15" t="s">
        <v>501</v>
      </c>
      <c r="AL1" s="15" t="s">
        <v>86</v>
      </c>
      <c r="AM1" s="15" t="s">
        <v>87</v>
      </c>
      <c r="AN1" s="15" t="s">
        <v>88</v>
      </c>
      <c r="AO1" s="14" t="s">
        <v>502</v>
      </c>
      <c r="AP1" s="14" t="s">
        <v>503</v>
      </c>
      <c r="AQ1" s="14" t="s">
        <v>504</v>
      </c>
      <c r="AR1" s="14" t="s">
        <v>505</v>
      </c>
      <c r="AS1" s="14" t="s">
        <v>506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131.263735616438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18.3599833471309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0.573087280964525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46272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496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88.7803260273973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18.268876611418</v>
      </c>
      <c r="K3" s="52" t="n">
        <f aca="false">IF($A3="","",IFERROR(IF(G3&lt;=0,"N/M",D3/G3),"N/M"))</f>
        <v>10.4425779272114</v>
      </c>
      <c r="L3" s="52" t="n">
        <f aca="false">IF($A3="","",IFERROR(IF(H3&lt;=0,"N/M",D3/H3),"N/M"))</f>
        <v>5.58682336722819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0.115249781648616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46272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1360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244.728130136986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7.45001369487812</v>
      </c>
      <c r="K4" s="52" t="n">
        <f aca="false">IF($A4="","",IFERROR(IF(G4&lt;=0,"N/M",D4/G4),"N/M"))</f>
        <v>4.95103571298555</v>
      </c>
      <c r="L4" s="52" t="n">
        <f aca="false">IF($A4="","",IFERROR(IF(H4&lt;=0,"N/M",D4/H4),"N/M"))</f>
        <v>5.55718706810999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0.00466167911641093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0.00689502775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46272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7.74777465753425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128.155339805825</v>
      </c>
      <c r="K5" s="52" t="n">
        <f aca="false">IF($A5="","",IFERROR(IF(G5&lt;=0,"N/M",D5/G5),"N/M"))</f>
        <v>112.477073210219</v>
      </c>
      <c r="L5" s="52" t="n">
        <f aca="false">IF($A5="","",IFERROR(IF(H5&lt;=0,"N/M",D5/H5),"N/M"))</f>
        <v>68.1486005128649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2.08150392678251</v>
      </c>
      <c r="O5" s="51" t="n">
        <f aca="false">IF($A5="","",IFERROR(IF(OR(NOT(ISNUMBER(L5)),M5&lt;Config!$B$6),"N/M",L5/(M5*100)),"N/M"))</f>
        <v>1.02828911817767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0.00496317524621212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46272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34.8138293150685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18.2769445413324</v>
      </c>
      <c r="K6" s="52" t="n">
        <f aca="false">IF($A6="","",IFERROR(IF(G6&lt;=0,"N/M",D6/G6),"N/M"))</f>
        <v>16.2567675775524</v>
      </c>
      <c r="L6" s="52" t="n">
        <f aca="false">IF($A6="","",IFERROR(IF(H6&lt;=0,"N/M",D6/H6),"N/M"))</f>
        <v>15.0514898909209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0.0534351145038168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46272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2145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99.2946760273973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39.3361452411517</v>
      </c>
      <c r="K7" s="52" t="n">
        <f aca="false">IF($A7="","",IFERROR(IF(G7&lt;=0,"N/M",D7/G7),"N/M"))</f>
        <v>35.8913220806927</v>
      </c>
      <c r="L7" s="52" t="n">
        <f aca="false">IF($A7="","",IFERROR(IF(H7&lt;=0,"N/M",D7/H7),"N/M"))</f>
        <v>21.6023666707785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0.684527994824664</v>
      </c>
      <c r="O7" s="51" t="n">
        <f aca="false">IF($A7="","",IFERROR(IF(OR(NOT(ISNUMBER(L7)),M7&lt;Config!$B$6),"N/M",L7/(M7*100)),"N/M"))</f>
        <v>0.288213575819811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0.00489766083449883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46272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538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33.1938356164384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20.0074377091856</v>
      </c>
      <c r="K8" s="52" t="n">
        <f aca="false">IF($A8="","",IFERROR(IF(G8&lt;=0,"N/M",D8/G8),"N/M"))</f>
        <v>18.5240466571843</v>
      </c>
      <c r="L8" s="52" t="n">
        <f aca="false">IF($A8="","",IFERROR(IF(H8&lt;=0,"N/M",D8/H8),"N/M"))</f>
        <v>16.2078286527867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0.524017143769517</v>
      </c>
      <c r="O8" s="51" t="n">
        <f aca="false">IF($A8="","",IFERROR(IF(OR(NOT(ISNUMBER(L8)),M8&lt;Config!$B$6),"N/M",L8/(M8*100)),"N/M"))</f>
        <v>1.2827698584006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0.0222780073605948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46272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361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36.1835583561644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13.5155372519656</v>
      </c>
      <c r="K9" s="52" t="n">
        <f aca="false">IF($A9="","",IFERROR(IF(G9&lt;=0,"N/M",D9/G9),"N/M"))</f>
        <v>11.8880377361224</v>
      </c>
      <c r="L9" s="52" t="n">
        <f aca="false">IF($A9="","",IFERROR(IF(H9&lt;=0,"N/M",D9/H9),"N/M"))</f>
        <v>9.97690709262425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0.21567067218394</v>
      </c>
      <c r="O9" s="51" t="n">
        <f aca="false">IF($A9="","",IFERROR(IF(OR(NOT(ISNUMBER(L9)),M9&lt;Config!$B$6),"N/M",L9/(M9*100)),"N/M"))</f>
        <v>0.994035902122793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0.0277008310249307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46272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508</v>
      </c>
    </row>
    <row r="3" customFormat="false" ht="31.5" hidden="false" customHeight="true" outlineLevel="0" collapsed="false">
      <c r="A3" s="15" t="s">
        <v>509</v>
      </c>
      <c r="B3" s="15" t="s">
        <v>510</v>
      </c>
      <c r="C3" s="15" t="s">
        <v>511</v>
      </c>
    </row>
    <row r="4" customFormat="false" ht="15" hidden="false" customHeight="false" outlineLevel="0" collapsed="false">
      <c r="A4" s="5" t="s">
        <v>512</v>
      </c>
      <c r="B4" s="83" t="n">
        <v>24</v>
      </c>
      <c r="C4" s="25" t="s">
        <v>513</v>
      </c>
    </row>
    <row r="5" customFormat="false" ht="15" hidden="false" customHeight="false" outlineLevel="0" collapsed="false">
      <c r="A5" s="5" t="s">
        <v>514</v>
      </c>
      <c r="B5" s="83" t="n">
        <v>20</v>
      </c>
      <c r="C5" s="25" t="s">
        <v>515</v>
      </c>
    </row>
    <row r="6" customFormat="false" ht="15" hidden="false" customHeight="false" outlineLevel="0" collapsed="false">
      <c r="A6" s="2" t="s">
        <v>516</v>
      </c>
      <c r="B6" s="84" t="n">
        <v>0.05</v>
      </c>
      <c r="C6" s="24" t="s">
        <v>517</v>
      </c>
    </row>
    <row r="7" customFormat="false" ht="15" hidden="false" customHeight="false" outlineLevel="0" collapsed="false">
      <c r="A7" s="5" t="s">
        <v>518</v>
      </c>
      <c r="B7" s="83" t="n">
        <v>5</v>
      </c>
      <c r="C7" s="24" t="s">
        <v>519</v>
      </c>
    </row>
    <row r="8" customFormat="false" ht="15" hidden="false" customHeight="false" outlineLevel="0" collapsed="false">
      <c r="A8" s="2" t="s">
        <v>520</v>
      </c>
      <c r="B8" s="83" t="n">
        <v>365</v>
      </c>
      <c r="C8" s="25" t="s">
        <v>521</v>
      </c>
    </row>
    <row r="11" customFormat="false" ht="15" hidden="false" customHeight="false" outlineLevel="0" collapsed="false">
      <c r="A11" s="24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2026-09-07T03:30:36Z</dcterms:created>
  <dc:creator>openpyxl</dc:creator>
  <dc:description/>
  <dc:language>en-US</dc:language>
  <cp:lastModifiedBy/>
  <dcterms:modified xsi:type="dcterms:W3CDTF">2026-09-07T03:30:37Z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