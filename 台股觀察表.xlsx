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Dashboard!$A$2:$AC$30</definedName>
    <definedName function="false" hidden="true" localSheetId="7" name="_xlnm._FilterDatabase" vbProcedure="false">Raw_Q!$A$1:$S$673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<sst xmlns="http://schemas.openxmlformats.org/spreadsheetml/2006/main" count="4521" uniqueCount="1034">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</sst>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2380</v>
      </c>
      <c r="E3" s="18" t="n">
        <f aca="false">IF(Calc!$A$2="","",Calc!J$2)</f>
        <v>27.5846082522021</v>
      </c>
      <c r="F3" s="18" t="n">
        <f aca="false">IF(Calc!$A$2="","",Calc!L$2)</f>
        <v>18.0412814833513</v>
      </c>
      <c r="G3" s="17" t="n">
        <f aca="false">IF(Calc!$A$2="","",Calc!N$2)</f>
        <v>0.518281378272106</v>
      </c>
      <c r="H3" s="17" t="n">
        <f aca="false">IF(Calc!$A$2="","",Calc!O$2)</f>
        <v>0.5635955782826</v>
      </c>
      <c r="I3" s="19" t="n">
        <f aca="false">IF(Calc!$A$2="","",Calc!Q$2)</f>
        <v>0.00924373957142857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0.434005690692401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473</v>
      </c>
      <c r="E4" s="18" t="n">
        <f aca="false">IF(Calc!$A$3="","",Calc!J$3)</f>
        <v>17.4217311233886</v>
      </c>
      <c r="F4" s="18" t="n">
        <f aca="false">IF(Calc!$A$3="","",Calc!L$3)</f>
        <v>5.21248537441879</v>
      </c>
      <c r="G4" s="17" t="str">
        <f aca="false">IF(Calc!$A$3="","",Calc!N$3)</f>
        <v>N/M</v>
      </c>
      <c r="H4" s="17" t="n">
        <f aca="false">IF(Calc!$A$3="","",Calc!O$3)</f>
        <v>0.107431531888423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0.723465622533518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1290</v>
      </c>
      <c r="E5" s="18" t="n">
        <f aca="false">IF(Calc!$A$4="","",Calc!J$4)</f>
        <v>7.06655710764174</v>
      </c>
      <c r="F5" s="18" t="n">
        <f aca="false">IF(Calc!$A$4="","",Calc!L$4)</f>
        <v>5.33740470496214</v>
      </c>
      <c r="G5" s="17" t="n">
        <f aca="false">IF(Calc!$A$4="","",Calc!N$4)</f>
        <v>0.00442173975012507</v>
      </c>
      <c r="H5" s="17" t="str">
        <f aca="false">IF(Calc!$A$4="","",Calc!O$4)</f>
        <v>N/M</v>
      </c>
      <c r="I5" s="19" t="n">
        <f aca="false">IF(Calc!$A$4="","",Calc!Q$4)</f>
        <v>0.00726917654263566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535</v>
      </c>
      <c r="E6" s="18" t="n">
        <f aca="false">IF(Calc!$A$5="","",Calc!J$5)</f>
        <v>129.854368932039</v>
      </c>
      <c r="F6" s="18" t="n">
        <f aca="false">IF(Calc!$A$5="","",Calc!L$5)</f>
        <v>67.8205887914876</v>
      </c>
      <c r="G6" s="17" t="n">
        <f aca="false">IF(Calc!$A$5="","",Calc!N$5)</f>
        <v>2.10909962278152</v>
      </c>
      <c r="H6" s="17" t="n">
        <f aca="false">IF(Calc!$A$5="","",Calc!O$5)</f>
        <v>1.08555306156588</v>
      </c>
      <c r="I6" s="19" t="n">
        <f aca="false">IF(Calc!$A$5="","",Calc!Q$5)</f>
        <v>0.0048982365046729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0.274296026489064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556</v>
      </c>
      <c r="E7" s="18" t="n">
        <f aca="false">IF(Calc!$A$6="","",Calc!J$6)</f>
        <v>19.3930938262993</v>
      </c>
      <c r="F7" s="18" t="n">
        <f aca="false">IF(Calc!$A$6="","",Calc!L$6)</f>
        <v>15.9564281165331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0.0503597122302158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1955</v>
      </c>
      <c r="E8" s="18" t="n">
        <f aca="false">IF(Calc!$A$7="","",Calc!J$7)</f>
        <v>35.8518246836604</v>
      </c>
      <c r="F8" s="18" t="n">
        <f aca="false">IF(Calc!$A$7="","",Calc!L$7)</f>
        <v>19.5036191539698</v>
      </c>
      <c r="G8" s="17" t="n">
        <f aca="false">IF(Calc!$A$7="","",Calc!N$7)</f>
        <v>0.623893813464904</v>
      </c>
      <c r="H8" s="17" t="n">
        <f aca="false">IF(Calc!$A$7="","",Calc!O$7)</f>
        <v>0.26021259167854</v>
      </c>
      <c r="I8" s="19" t="n">
        <f aca="false">IF(Calc!$A$7="","",Calc!Q$7)</f>
        <v>0.00537364833248082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539</v>
      </c>
      <c r="E9" s="18" t="n">
        <f aca="false">IF(Calc!$A$8="","",Calc!J$8)</f>
        <v>68.0555555555556</v>
      </c>
      <c r="F9" s="18" t="n">
        <f aca="false">IF(Calc!$A$8="","",Calc!L$8)</f>
        <v>16.2018221542531</v>
      </c>
      <c r="G9" s="17" t="str">
        <f aca="false">IF(Calc!$A$8="","",Calc!N$8)</f>
        <v>N/M</v>
      </c>
      <c r="H9" s="17" t="n">
        <f aca="false">IF(Calc!$A$8="","",Calc!O$8)</f>
        <v>1.28229447360734</v>
      </c>
      <c r="I9" s="19" t="str">
        <f aca="false">IF(Calc!$A$8="","",Calc!Q$8)</f>
        <v>不配息</v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n">
        <f aca="false">IF(Calc!$A$8="","",Calc!Z$8)</f>
        <v>0.134971982065564</v>
      </c>
      <c r="T9" s="19" t="n">
        <f aca="false">IF(Calc!$A$8="","",Calc!AA$8)</f>
        <v>0.134971982065564</v>
      </c>
      <c r="U9" s="22" t="n">
        <f aca="false">IF(Calc!$A$8="","",Calc!AB$8)</f>
        <v>0</v>
      </c>
      <c r="V9" s="22" t="str">
        <f aca="false">IF(Calc!$A$8="","",Calc!AC$8)</f>
        <v/>
      </c>
      <c r="W9" s="19" t="str">
        <f aca="false">IF(Calc!$A$8="","",Calc!AF$8)</f>
        <v>N/M</v>
      </c>
      <c r="X9" s="19" t="str">
        <f aca="false">IF(Calc!$A$8="","",Calc!AG$8)</f>
        <v/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344</v>
      </c>
      <c r="E10" s="18" t="n">
        <f aca="false">IF(Calc!$A$9="","",Calc!J$9)</f>
        <v>12.8790715087982</v>
      </c>
      <c r="F10" s="18" t="n">
        <f aca="false">IF(Calc!$A$9="","",Calc!L$9)</f>
        <v>9.48998853145921</v>
      </c>
      <c r="G10" s="17" t="n">
        <f aca="false">IF(Calc!$A$9="","",Calc!N$9)</f>
        <v>0.205514435543699</v>
      </c>
      <c r="H10" s="17" t="n">
        <f aca="false">IF(Calc!$A$9="","",Calc!O$9)</f>
        <v>0.945522417260751</v>
      </c>
      <c r="I10" s="19" t="n">
        <f aca="false">IF(Calc!$A$9="","",Calc!Q$9)</f>
        <v>0.0290697674418605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11990</v>
      </c>
      <c r="E11" s="18" t="n">
        <f aca="false">IF(Calc!$A$10="","",Calc!J$10)</f>
        <v>66.1006670709521</v>
      </c>
      <c r="F11" s="18" t="n">
        <f aca="false">IF(Calc!$A$10="","",Calc!L$10)</f>
        <v>26.3682247824004</v>
      </c>
      <c r="G11" s="17" t="n">
        <f aca="false">IF(Calc!$A$10="","",Calc!N$10)</f>
        <v>0.392225936458434</v>
      </c>
      <c r="H11" s="17" t="n">
        <f aca="false">IF(Calc!$A$10="","",Calc!O$10)</f>
        <v>0.638376906458515</v>
      </c>
      <c r="I11" s="19" t="n">
        <f aca="false">IF(Calc!$A$10="","",Calc!Q$10)</f>
        <v>0.00268557130942452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2745</v>
      </c>
      <c r="E12" s="18" t="n">
        <f aca="false">IF(Calc!$A$11="","",Calc!J$11)</f>
        <v>244.870651204282</v>
      </c>
      <c r="F12" s="18" t="n">
        <f aca="false">IF(Calc!$A$11="","",Calc!L$11)</f>
        <v>81.8199187396506</v>
      </c>
      <c r="G12" s="17" t="n">
        <f aca="false">IF(Calc!$A$11="","",Calc!N$11)</f>
        <v>0.434696849301719</v>
      </c>
      <c r="H12" s="17" t="n">
        <f aca="false">IF(Calc!$A$11="","",Calc!O$11)</f>
        <v>0.825350715867298</v>
      </c>
      <c r="I12" s="19" t="n">
        <f aca="false">IF(Calc!$A$11="","",Calc!Q$11)</f>
        <v>0.000182157431693989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656</v>
      </c>
      <c r="E13" s="18" t="n">
        <f aca="false">IF(Calc!$A$12="","",Calc!J$12)</f>
        <v>68.0497925311204</v>
      </c>
      <c r="F13" s="18" t="str">
        <f aca="false">IF(Calc!$A$12="","",Calc!L$12)</f>
        <v>N/M</v>
      </c>
      <c r="G13" s="17" t="n">
        <f aca="false">IF(Calc!$A$12="","",Calc!N$12)</f>
        <v>0.255308066129596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798</v>
      </c>
      <c r="E14" s="18" t="n">
        <f aca="false">IF(Calc!$A$13="","",Calc!J$13)</f>
        <v>135.254237288136</v>
      </c>
      <c r="F14" s="18" t="n">
        <f aca="false">IF(Calc!$A$13="","",Calc!L$13)</f>
        <v>36.743215777144</v>
      </c>
      <c r="G14" s="17" t="n">
        <f aca="false">IF(Calc!$A$13="","",Calc!N$13)</f>
        <v>0.348950164432077</v>
      </c>
      <c r="H14" s="17" t="n">
        <f aca="false">IF(Calc!$A$13="","",Calc!O$13)</f>
        <v>0.238498006343436</v>
      </c>
      <c r="I14" s="19" t="n">
        <f aca="false">IF(Calc!$A$13="","",Calc!Q$13)</f>
        <v>0.00125334828320802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1590</v>
      </c>
      <c r="E15" s="18" t="str">
        <f aca="false">IF(Calc!$A$14="","",Calc!J$14)</f>
        <v>N/M</v>
      </c>
      <c r="F15" s="18" t="n">
        <f aca="false">IF(Calc!$A$14="","",Calc!L$14)</f>
        <v>14.4700137731293</v>
      </c>
      <c r="G15" s="17" t="str">
        <f aca="false">IF(Calc!$A$14="","",Calc!N$14)</f>
        <v>N/M</v>
      </c>
      <c r="H15" s="17" t="n">
        <f aca="false">IF(Calc!$A$14="","",Calc!O$14)</f>
        <v>0.131973165770224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str">
        <f aca="false">IF(Calc!$A$14="","",Calc!AH$14)</f>
        <v>N/M</v>
      </c>
      <c r="Z15" s="17" t="n">
        <f aca="false">IF(Calc!$A$14="","",Calc!AI$14)</f>
        <v>0</v>
      </c>
      <c r="AA15" s="16" t="str">
        <f aca="false">IF(Calc!$A$14="","",Calc!AJ$14)</f>
        <v/>
      </c>
      <c r="AB15" s="16" t="str">
        <f aca="false">IF(Calc!$A$14="","",Calc!AK$14)</f>
        <v/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142.5</v>
      </c>
      <c r="E16" s="18" t="n">
        <f aca="false">IF(Calc!$A$15="","",Calc!J$15)</f>
        <v>21.3323353293413</v>
      </c>
      <c r="F16" s="18" t="n">
        <f aca="false">IF(Calc!$A$15="","",Calc!L$15)</f>
        <v>19.9560806998005</v>
      </c>
      <c r="G16" s="17" t="n">
        <f aca="false">IF(Calc!$A$15="","",Calc!N$15)</f>
        <v>0.192659552689493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4560</v>
      </c>
      <c r="E17" s="18" t="n">
        <f aca="false">IF(Calc!$A$16="","",Calc!J$16)</f>
        <v>75.1359367276322</v>
      </c>
      <c r="F17" s="18" t="n">
        <f aca="false">IF(Calc!$A$16="","",Calc!L$16)</f>
        <v>37.1808988809659</v>
      </c>
      <c r="G17" s="17" t="str">
        <f aca="false">IF(Calc!$A$16="","",Calc!N$16)</f>
        <v>N/M</v>
      </c>
      <c r="H17" s="17" t="n">
        <f aca="false">IF(Calc!$A$16="","",Calc!O$16)</f>
        <v>0.326363934054357</v>
      </c>
      <c r="I17" s="19" t="n">
        <f aca="false">IF(Calc!$A$16="","",Calc!Q$16)</f>
        <v>0.0118421529539474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88.6</v>
      </c>
      <c r="E18" s="18" t="n">
        <f aca="false">IF(Calc!$A$17="","",Calc!J$17)</f>
        <v>32.8148148148148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90.2</v>
      </c>
      <c r="E19" s="18" t="n">
        <f aca="false">IF(Calc!$A$18="","",Calc!J$18)</f>
        <v>15.2364864864865</v>
      </c>
      <c r="F19" s="18" t="n">
        <f aca="false">IF(Calc!$A$18="","",Calc!L$18)</f>
        <v>13.3501743223048</v>
      </c>
      <c r="G19" s="17" t="n">
        <f aca="false">IF(Calc!$A$18="","",Calc!N$18)</f>
        <v>0.618575306075306</v>
      </c>
      <c r="H19" s="17" t="n">
        <f aca="false">IF(Calc!$A$18="","",Calc!O$18)</f>
        <v>0.481233233013464</v>
      </c>
      <c r="I19" s="19" t="n">
        <f aca="false">IF(Calc!$A$18="","",Calc!Q$18)</f>
        <v>0.0444505192904656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1935</v>
      </c>
      <c r="E20" s="18" t="str">
        <f aca="false">IF(Calc!$A$19="","",Calc!J$19)</f>
        <v>N/M</v>
      </c>
      <c r="F20" s="18" t="n">
        <f aca="false">IF(Calc!$A$19="","",Calc!L$19)</f>
        <v>6.75869175812821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444</v>
      </c>
      <c r="E21" s="18" t="n">
        <f aca="false">IF(Calc!$A$20="","",Calc!J$20)</f>
        <v>52.1739130434783</v>
      </c>
      <c r="F21" s="18" t="n">
        <f aca="false">IF(Calc!$A$20="","",Calc!L$20)</f>
        <v>47.9063597921514</v>
      </c>
      <c r="G21" s="17" t="str">
        <f aca="false">IF(Calc!$A$20="","",Calc!N$20)</f>
        <v>N/M</v>
      </c>
      <c r="H21" s="17" t="n">
        <f aca="false">IF(Calc!$A$20="","",Calc!O$20)</f>
        <v>1.63709940587408</v>
      </c>
      <c r="I21" s="19" t="n">
        <f aca="false">IF(Calc!$A$20="","",Calc!Q$20)</f>
        <v>0.0045045045045045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>4979</v>
      </c>
      <c r="B22" s="16" t="str">
        <f aca="false">IF(Calc!$A$21="","",Calc!B$21)</f>
        <v>華星光</v>
      </c>
      <c r="C22" s="16" t="str">
        <f aca="false">IF(Calc!$A$21="","",Calc!C$21)</f>
        <v>池子</v>
      </c>
      <c r="D22" s="17" t="n">
        <f aca="false">IF(Calc!$A$21="","",Calc!D$21)</f>
        <v>547</v>
      </c>
      <c r="E22" s="18" t="n">
        <f aca="false">IF(Calc!$A$21="","",Calc!J$21)</f>
        <v>88.9430894308943</v>
      </c>
      <c r="F22" s="18" t="n">
        <f aca="false">IF(Calc!$A$21="","",Calc!L$21)</f>
        <v>45.0736308366802</v>
      </c>
      <c r="G22" s="17" t="n">
        <f aca="false">IF(Calc!$A$21="","",Calc!N$21)</f>
        <v>1.98951647411211</v>
      </c>
      <c r="H22" s="17" t="n">
        <f aca="false">IF(Calc!$A$21="","",Calc!O$21)</f>
        <v>0.494204943446686</v>
      </c>
      <c r="I22" s="19" t="n">
        <f aca="false">IF(Calc!$A$21="","",Calc!Q$21)</f>
        <v>0.00282382601462523</v>
      </c>
      <c r="J22" s="19" t="n">
        <f aca="false">IF(Calc!$A$21="","",Calc!R$21)</f>
        <v>0.0801595474889227</v>
      </c>
      <c r="K22" s="19" t="n">
        <f aca="false">IF(Calc!$A$21="","",Calc!T$21)</f>
        <v>0.0801271577691418</v>
      </c>
      <c r="L22" s="19" t="n">
        <f aca="false">IF(Calc!$A$21="","",Calc!U$21)</f>
        <v>0.0338871755778094</v>
      </c>
      <c r="M22" s="20" t="n">
        <f aca="false">IF(Calc!$A$21="","",Calc!V$21)</f>
        <v>4.62399821913324</v>
      </c>
      <c r="N22" s="21" t="str">
        <f aca="false">IF(Calc!$A$21="","",Calc!W$21)</f>
        <v>成長且加速</v>
      </c>
      <c r="O22" s="20" t="n">
        <f aca="false">IF(Calc!$A$21="","",Calc!X$21)</f>
        <v>6.08377358331886</v>
      </c>
      <c r="P22" s="19" t="n">
        <f aca="false">IF(Calc!$A$21="","",Calc!S$21)</f>
        <v>0.185401927013313</v>
      </c>
      <c r="Q22" s="19" t="n">
        <f aca="false">IF(Calc!$A$21="","",Calc!Y$21)</f>
        <v>0.925373134328358</v>
      </c>
      <c r="R22" s="19" t="n">
        <f aca="false">IF(Calc!$A$21="","",Calc!I$21)</f>
        <v>0.447058823529412</v>
      </c>
      <c r="S22" s="19" t="n">
        <f aca="false">IF(Calc!$A$21="","",Calc!Z$21)</f>
        <v>0.230280880281092</v>
      </c>
      <c r="T22" s="19" t="n">
        <f aca="false">IF(Calc!$A$21="","",Calc!AA$21)</f>
        <v>0.207512020688297</v>
      </c>
      <c r="U22" s="22" t="n">
        <f aca="false">IF(Calc!$A$21="","",Calc!AB$21)</f>
        <v>227.688595927956</v>
      </c>
      <c r="V22" s="22" t="n">
        <f aca="false">IF(Calc!$A$21="","",Calc!AC$21)</f>
        <v>512.043564759779</v>
      </c>
      <c r="W22" s="19" t="n">
        <f aca="false">IF(Calc!$A$21="","",Calc!AF$21)</f>
        <v>0.219846911633873</v>
      </c>
      <c r="X22" s="19" t="n">
        <f aca="false">IF(Calc!$A$21="","",Calc!AG$21)</f>
        <v>0.161032334137756</v>
      </c>
      <c r="Y22" s="19" t="n">
        <f aca="false">IF(Calc!$A$21="","",Calc!AH$21)</f>
        <v>0.236298774746526</v>
      </c>
      <c r="Z22" s="17" t="n">
        <f aca="false">IF(Calc!$A$21="","",Calc!AI$21)</f>
        <v>2.18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0</v>
      </c>
    </row>
    <row r="23" customFormat="false" ht="15" hidden="false" customHeight="false" outlineLevel="0" collapsed="false">
      <c r="A23" s="16" t="str">
        <f aca="false">IF(Calc!$A$22="","",Calc!A$22)</f>
        <v>3363</v>
      </c>
      <c r="B23" s="16" t="str">
        <f aca="false">IF(Calc!$A$22="","",Calc!B$22)</f>
        <v>上詮</v>
      </c>
      <c r="C23" s="16" t="str">
        <f aca="false">IF(Calc!$A$22="","",Calc!C$22)</f>
        <v>池子</v>
      </c>
      <c r="D23" s="17" t="n">
        <f aca="false">IF(Calc!$A$22="","",Calc!D$22)</f>
        <v>675</v>
      </c>
      <c r="E23" s="18" t="str">
        <f aca="false">IF(Calc!$A$22="","",Calc!J$22)</f>
        <v>N/M</v>
      </c>
      <c r="F23" s="18" t="n">
        <f aca="false">IF(Calc!$A$22="","",Calc!L$22)</f>
        <v>56.3546678591402</v>
      </c>
      <c r="G23" s="17" t="str">
        <f aca="false">IF(Calc!$A$22="","",Calc!N$22)</f>
        <v>N/M</v>
      </c>
      <c r="H23" s="17" t="n">
        <f aca="false">IF(Calc!$A$22="","",Calc!O$22)</f>
        <v>0.0069095137028252</v>
      </c>
      <c r="I23" s="19" t="str">
        <f aca="false">IF(Calc!$A$22="","",Calc!Q$22)</f>
        <v>不配息</v>
      </c>
      <c r="J23" s="19" t="str">
        <f aca="false">IF(Calc!$A$22="","",Calc!R$22)</f>
        <v/>
      </c>
      <c r="K23" s="19" t="n">
        <f aca="false">IF(Calc!$A$22="","",Calc!T$22)</f>
        <v>0.123619979631855</v>
      </c>
      <c r="L23" s="19" t="n">
        <f aca="false">IF(Calc!$A$22="","",Calc!U$22)</f>
        <v>-0.0225322053156044</v>
      </c>
      <c r="M23" s="20" t="n">
        <f aca="false">IF(Calc!$A$22="","",Calc!V$22)</f>
        <v>14.6152184947459</v>
      </c>
      <c r="N23" s="21" t="str">
        <f aca="false">IF(Calc!$A$22="","",Calc!W$22)</f>
        <v>成長且加速</v>
      </c>
      <c r="O23" s="20" t="n">
        <f aca="false">IF(Calc!$A$22="","",Calc!X$22)</f>
        <v>-29.1236013153808</v>
      </c>
      <c r="P23" s="19" t="n">
        <f aca="false">IF(Calc!$A$22="","",Calc!S$22)</f>
        <v>-0.262659858850047</v>
      </c>
      <c r="Q23" s="19" t="n">
        <f aca="false">IF(Calc!$A$22="","",Calc!Y$22)</f>
        <v>-2.375</v>
      </c>
      <c r="R23" s="19" t="n">
        <f aca="false">IF(Calc!$A$22="","",Calc!I$22)</f>
        <v>3.32142857142857</v>
      </c>
      <c r="S23" s="19" t="n">
        <f aca="false">IF(Calc!$A$22="","",Calc!Z$22)</f>
        <v>0.103895951972074</v>
      </c>
      <c r="T23" s="19" t="n">
        <f aca="false">IF(Calc!$A$22="","",Calc!AA$22)</f>
        <v>0.166387271176686</v>
      </c>
      <c r="U23" s="22" t="n">
        <f aca="false">IF(Calc!$A$22="","",Calc!AB$22)</f>
        <v>-624.913192046118</v>
      </c>
      <c r="V23" s="22" t="n">
        <f aca="false">IF(Calc!$A$22="","",Calc!AC$22)</f>
        <v>-1951.48493622402</v>
      </c>
      <c r="W23" s="19" t="n">
        <f aca="false">IF(Calc!$A$22="","",Calc!AF$22)</f>
        <v>-0.0333504997048567</v>
      </c>
      <c r="X23" s="19" t="n">
        <f aca="false">IF(Calc!$A$22="","",Calc!AG$22)</f>
        <v>0.0197197224365461</v>
      </c>
      <c r="Y23" s="19" t="n">
        <f aca="false">IF(Calc!$A$22="","",Calc!AH$22)</f>
        <v>0.00407481259900034</v>
      </c>
      <c r="Z23" s="17" t="n">
        <f aca="false">IF(Calc!$A$22="","",Calc!AI$22)</f>
        <v>0.19</v>
      </c>
      <c r="AA23" s="16" t="str">
        <f aca="false">IF(Calc!$A$22="","",Calc!AJ$22)</f>
        <v>FY2026Q3E</v>
      </c>
      <c r="AB23" s="16" t="str">
        <f aca="false">IF(Calc!$A$22="","",Calc!AK$22)</f>
        <v>consensus</v>
      </c>
      <c r="AC23" s="23" t="n">
        <f aca="false">IF(Calc!$A$22="","",Calc!AM$22)</f>
        <v>0</v>
      </c>
    </row>
    <row r="24" customFormat="false" ht="15" hidden="false" customHeight="false" outlineLevel="0" collapsed="false">
      <c r="A24" s="16" t="str">
        <f aca="false">IF(Calc!$A$23="","",Calc!A$23)</f>
        <v>2344</v>
      </c>
      <c r="B24" s="16" t="str">
        <f aca="false">IF(Calc!$A$23="","",Calc!B$23)</f>
        <v>華邦電</v>
      </c>
      <c r="C24" s="16" t="str">
        <f aca="false">IF(Calc!$A$23="","",Calc!C$23)</f>
        <v>池子</v>
      </c>
      <c r="D24" s="17" t="n">
        <f aca="false">IF(Calc!$A$23="","",Calc!D$23)</f>
        <v>160</v>
      </c>
      <c r="E24" s="18" t="n">
        <f aca="false">IF(Calc!$A$23="","",Calc!J$23)</f>
        <v>17.6600441501104</v>
      </c>
      <c r="F24" s="18" t="n">
        <f aca="false">IF(Calc!$A$23="","",Calc!L$23)</f>
        <v>3.6095936492038</v>
      </c>
      <c r="G24" s="17" t="str">
        <f aca="false">IF(Calc!$A$23="","",Calc!N$23)</f>
        <v>N/M</v>
      </c>
      <c r="H24" s="17" t="n">
        <f aca="false">IF(Calc!$A$23="","",Calc!O$23)</f>
        <v>0.034132372916344</v>
      </c>
      <c r="I24" s="19" t="n">
        <f aca="false">IF(Calc!$A$23="","",Calc!Q$23)</f>
        <v>0.003125</v>
      </c>
      <c r="J24" s="19" t="str">
        <f aca="false">IF(Calc!$A$23="","",Calc!R$23)</f>
        <v/>
      </c>
      <c r="K24" s="19" t="n">
        <f aca="false">IF(Calc!$A$23="","",Calc!T$23)</f>
        <v>0.564404487964677</v>
      </c>
      <c r="L24" s="19" t="n">
        <f aca="false">IF(Calc!$A$23="","",Calc!U$23)</f>
        <v>0.436730804954758</v>
      </c>
      <c r="M24" s="20" t="n">
        <f aca="false">IF(Calc!$A$23="","",Calc!V$23)</f>
        <v>12.7673683009919</v>
      </c>
      <c r="N24" s="21" t="str">
        <f aca="false">IF(Calc!$A$23="","",Calc!W$23)</f>
        <v>成長且加速</v>
      </c>
      <c r="O24" s="20" t="n">
        <f aca="false">IF(Calc!$A$23="","",Calc!X$23)</f>
        <v>51.3118555762804</v>
      </c>
      <c r="P24" s="19" t="n">
        <f aca="false">IF(Calc!$A$23="","",Calc!S$23)</f>
        <v>1.84724462039769</v>
      </c>
      <c r="Q24" s="19" t="n">
        <f aca="false">IF(Calc!$A$23="","",Calc!Y$23)</f>
        <v>-19.6206896551724</v>
      </c>
      <c r="R24" s="19" t="n">
        <f aca="false">IF(Calc!$A$23="","",Calc!I$23)</f>
        <v>-14.3235294117647</v>
      </c>
      <c r="S24" s="19" t="n">
        <f aca="false">IF(Calc!$A$23="","",Calc!Z$23)</f>
        <v>0.555471063982052</v>
      </c>
      <c r="T24" s="19" t="n">
        <f aca="false">IF(Calc!$A$23="","",Calc!AA$23)</f>
        <v>0.41598347249709</v>
      </c>
      <c r="U24" s="22" t="n">
        <f aca="false">IF(Calc!$A$23="","",Calc!AB$23)</f>
        <v>1394.87591484962</v>
      </c>
      <c r="V24" s="22" t="n">
        <f aca="false">IF(Calc!$A$23="","",Calc!AC$23)</f>
        <v>4358.87768071813</v>
      </c>
      <c r="W24" s="19" t="n">
        <f aca="false">IF(Calc!$A$23="","",Calc!AF$23)</f>
        <v>0.322710406766239</v>
      </c>
      <c r="X24" s="19" t="n">
        <f aca="false">IF(Calc!$A$23="","",Calc!AG$23)</f>
        <v>0.110509176651133</v>
      </c>
      <c r="Y24" s="19" t="n">
        <f aca="false">IF(Calc!$A$23="","",Calc!AH$23)</f>
        <v>0.692891417714729</v>
      </c>
      <c r="Z24" s="17" t="n">
        <f aca="false">IF(Calc!$A$23="","",Calc!AI$23)</f>
        <v>8.09903</v>
      </c>
      <c r="AA24" s="16" t="str">
        <f aca="false">IF(Calc!$A$23="","",Calc!AJ$23)</f>
        <v>FY2026Q3E</v>
      </c>
      <c r="AB24" s="16" t="str">
        <f aca="false">IF(Calc!$A$23="","",Calc!AK$23)</f>
        <v>consensus</v>
      </c>
      <c r="AC24" s="23" t="n">
        <f aca="false">IF(Calc!$A$23="","",Calc!AM$23)</f>
        <v>0</v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8" customFormat="false" ht="15" hidden="false" customHeight="false" outlineLevel="0" collapsed="false">
      <c r="A28" s="16" t="str">
        <f aca="false">IF(Calc!$A$27="","",Calc!A$27)</f>
        <v/>
      </c>
      <c r="B28" s="16" t="str">
        <f aca="false">IF(Calc!$A$27="","",Calc!B$27)</f>
        <v/>
      </c>
      <c r="C28" s="16" t="str">
        <f aca="false">IF(Calc!$A$27="","",Calc!C$27)</f>
        <v/>
      </c>
      <c r="D28" s="17" t="str">
        <f aca="false">IF(Calc!$A$27="","",Calc!D$27)</f>
        <v/>
      </c>
      <c r="E28" s="18" t="str">
        <f aca="false">IF(Calc!$A$27="","",Calc!J$27)</f>
        <v/>
      </c>
      <c r="F28" s="18" t="str">
        <f aca="false">IF(Calc!$A$27="","",Calc!L$27)</f>
        <v/>
      </c>
      <c r="G28" s="17" t="str">
        <f aca="false">IF(Calc!$A$27="","",Calc!N$27)</f>
        <v/>
      </c>
      <c r="H28" s="17" t="str">
        <f aca="false">IF(Calc!$A$27="","",Calc!O$27)</f>
        <v/>
      </c>
      <c r="I28" s="19" t="str">
        <f aca="false">IF(Calc!$A$27="","",Calc!Q$27)</f>
        <v/>
      </c>
      <c r="J28" s="19" t="str">
        <f aca="false">IF(Calc!$A$27="","",Calc!R$27)</f>
        <v/>
      </c>
      <c r="K28" s="19" t="str">
        <f aca="false">IF(Calc!$A$27="","",Calc!T$27)</f>
        <v/>
      </c>
      <c r="L28" s="19" t="str">
        <f aca="false">IF(Calc!$A$27="","",Calc!U$27)</f>
        <v/>
      </c>
      <c r="M28" s="20" t="str">
        <f aca="false">IF(Calc!$A$27="","",Calc!V$27)</f>
        <v/>
      </c>
      <c r="N28" s="21" t="str">
        <f aca="false">IF(Calc!$A$27="","",Calc!W$27)</f>
        <v/>
      </c>
      <c r="O28" s="20" t="str">
        <f aca="false">IF(Calc!$A$27="","",Calc!X$27)</f>
        <v/>
      </c>
      <c r="P28" s="19" t="str">
        <f aca="false">IF(Calc!$A$27="","",Calc!S$27)</f>
        <v/>
      </c>
      <c r="Q28" s="19" t="str">
        <f aca="false">IF(Calc!$A$27="","",Calc!Y$27)</f>
        <v/>
      </c>
      <c r="R28" s="19" t="str">
        <f aca="false">IF(Calc!$A$27="","",Calc!I$27)</f>
        <v/>
      </c>
      <c r="S28" s="19" t="str">
        <f aca="false">IF(Calc!$A$27="","",Calc!Z$27)</f>
        <v/>
      </c>
      <c r="T28" s="19" t="str">
        <f aca="false">IF(Calc!$A$27="","",Calc!AA$27)</f>
        <v/>
      </c>
      <c r="U28" s="22" t="str">
        <f aca="false">IF(Calc!$A$27="","",Calc!AB$27)</f>
        <v/>
      </c>
      <c r="V28" s="22" t="str">
        <f aca="false">IF(Calc!$A$27="","",Calc!AC$27)</f>
        <v/>
      </c>
      <c r="W28" s="19" t="str">
        <f aca="false">IF(Calc!$A$27="","",Calc!AF$27)</f>
        <v/>
      </c>
      <c r="X28" s="19" t="str">
        <f aca="false">IF(Calc!$A$27="","",Calc!AG$27)</f>
        <v/>
      </c>
      <c r="Y28" s="19" t="str">
        <f aca="false">IF(Calc!$A$27="","",Calc!AH$27)</f>
        <v/>
      </c>
      <c r="Z28" s="17" t="str">
        <f aca="false">IF(Calc!$A$27="","",Calc!AI$27)</f>
        <v/>
      </c>
      <c r="AA28" s="16" t="str">
        <f aca="false">IF(Calc!$A$27="","",Calc!AJ$27)</f>
        <v/>
      </c>
      <c r="AB28" s="16" t="str">
        <f aca="false">IF(Calc!$A$27="","",Calc!AK$27)</f>
        <v/>
      </c>
      <c r="AC28" s="23" t="str">
        <f aca="false">IF(Calc!$A$27="","",Calc!AM$27)</f>
        <v/>
      </c>
    </row>
    <row r="29" customFormat="false" ht="15" hidden="false" customHeight="false" outlineLevel="0" collapsed="false">
      <c r="A29" s="16" t="str">
        <f aca="false">IF(Calc!$A$28="","",Calc!A$28)</f>
        <v/>
      </c>
      <c r="B29" s="16" t="str">
        <f aca="false">IF(Calc!$A$28="","",Calc!B$28)</f>
        <v/>
      </c>
      <c r="C29" s="16" t="str">
        <f aca="false">IF(Calc!$A$28="","",Calc!C$28)</f>
        <v/>
      </c>
      <c r="D29" s="17" t="str">
        <f aca="false">IF(Calc!$A$28="","",Calc!D$28)</f>
        <v/>
      </c>
      <c r="E29" s="18" t="str">
        <f aca="false">IF(Calc!$A$28="","",Calc!J$28)</f>
        <v/>
      </c>
      <c r="F29" s="18" t="str">
        <f aca="false">IF(Calc!$A$28="","",Calc!L$28)</f>
        <v/>
      </c>
      <c r="G29" s="17" t="str">
        <f aca="false">IF(Calc!$A$28="","",Calc!N$28)</f>
        <v/>
      </c>
      <c r="H29" s="17" t="str">
        <f aca="false">IF(Calc!$A$28="","",Calc!O$28)</f>
        <v/>
      </c>
      <c r="I29" s="19" t="str">
        <f aca="false">IF(Calc!$A$28="","",Calc!Q$28)</f>
        <v/>
      </c>
      <c r="J29" s="19" t="str">
        <f aca="false">IF(Calc!$A$28="","",Calc!R$28)</f>
        <v/>
      </c>
      <c r="K29" s="19" t="str">
        <f aca="false">IF(Calc!$A$28="","",Calc!T$28)</f>
        <v/>
      </c>
      <c r="L29" s="19" t="str">
        <f aca="false">IF(Calc!$A$28="","",Calc!U$28)</f>
        <v/>
      </c>
      <c r="M29" s="20" t="str">
        <f aca="false">IF(Calc!$A$28="","",Calc!V$28)</f>
        <v/>
      </c>
      <c r="N29" s="21" t="str">
        <f aca="false">IF(Calc!$A$28="","",Calc!W$28)</f>
        <v/>
      </c>
      <c r="O29" s="20" t="str">
        <f aca="false">IF(Calc!$A$28="","",Calc!X$28)</f>
        <v/>
      </c>
      <c r="P29" s="19" t="str">
        <f aca="false">IF(Calc!$A$28="","",Calc!S$28)</f>
        <v/>
      </c>
      <c r="Q29" s="19" t="str">
        <f aca="false">IF(Calc!$A$28="","",Calc!Y$28)</f>
        <v/>
      </c>
      <c r="R29" s="19" t="str">
        <f aca="false">IF(Calc!$A$28="","",Calc!I$28)</f>
        <v/>
      </c>
      <c r="S29" s="19" t="str">
        <f aca="false">IF(Calc!$A$28="","",Calc!Z$28)</f>
        <v/>
      </c>
      <c r="T29" s="19" t="str">
        <f aca="false">IF(Calc!$A$28="","",Calc!AA$28)</f>
        <v/>
      </c>
      <c r="U29" s="22" t="str">
        <f aca="false">IF(Calc!$A$28="","",Calc!AB$28)</f>
        <v/>
      </c>
      <c r="V29" s="22" t="str">
        <f aca="false">IF(Calc!$A$28="","",Calc!AC$28)</f>
        <v/>
      </c>
      <c r="W29" s="19" t="str">
        <f aca="false">IF(Calc!$A$28="","",Calc!AF$28)</f>
        <v/>
      </c>
      <c r="X29" s="19" t="str">
        <f aca="false">IF(Calc!$A$28="","",Calc!AG$28)</f>
        <v/>
      </c>
      <c r="Y29" s="19" t="str">
        <f aca="false">IF(Calc!$A$28="","",Calc!AH$28)</f>
        <v/>
      </c>
      <c r="Z29" s="17" t="str">
        <f aca="false">IF(Calc!$A$28="","",Calc!AI$28)</f>
        <v/>
      </c>
      <c r="AA29" s="16" t="str">
        <f aca="false">IF(Calc!$A$28="","",Calc!AJ$28)</f>
        <v/>
      </c>
      <c r="AB29" s="16" t="str">
        <f aca="false">IF(Calc!$A$28="","",Calc!AK$28)</f>
        <v/>
      </c>
      <c r="AC29" s="23" t="str">
        <f aca="false">IF(Calc!$A$28="","",Calc!AM$28)</f>
        <v/>
      </c>
    </row>
    <row r="30" customFormat="false" ht="15" hidden="false" customHeight="false" outlineLevel="0" collapsed="false">
      <c r="A30" s="16" t="str">
        <f aca="false">IF(Calc!$A$29="","",Calc!A$29)</f>
        <v/>
      </c>
      <c r="B30" s="16" t="str">
        <f aca="false">IF(Calc!$A$29="","",Calc!B$29)</f>
        <v/>
      </c>
      <c r="C30" s="16" t="str">
        <f aca="false">IF(Calc!$A$29="","",Calc!C$29)</f>
        <v/>
      </c>
      <c r="D30" s="17" t="str">
        <f aca="false">IF(Calc!$A$29="","",Calc!D$29)</f>
        <v/>
      </c>
      <c r="E30" s="18" t="str">
        <f aca="false">IF(Calc!$A$29="","",Calc!J$29)</f>
        <v/>
      </c>
      <c r="F30" s="18" t="str">
        <f aca="false">IF(Calc!$A$29="","",Calc!L$29)</f>
        <v/>
      </c>
      <c r="G30" s="17" t="str">
        <f aca="false">IF(Calc!$A$29="","",Calc!N$29)</f>
        <v/>
      </c>
      <c r="H30" s="17" t="str">
        <f aca="false">IF(Calc!$A$29="","",Calc!O$29)</f>
        <v/>
      </c>
      <c r="I30" s="19" t="str">
        <f aca="false">IF(Calc!$A$29="","",Calc!Q$29)</f>
        <v/>
      </c>
      <c r="J30" s="19" t="str">
        <f aca="false">IF(Calc!$A$29="","",Calc!R$29)</f>
        <v/>
      </c>
      <c r="K30" s="19" t="str">
        <f aca="false">IF(Calc!$A$29="","",Calc!T$29)</f>
        <v/>
      </c>
      <c r="L30" s="19" t="str">
        <f aca="false">IF(Calc!$A$29="","",Calc!U$29)</f>
        <v/>
      </c>
      <c r="M30" s="20" t="str">
        <f aca="false">IF(Calc!$A$29="","",Calc!V$29)</f>
        <v/>
      </c>
      <c r="N30" s="21" t="str">
        <f aca="false">IF(Calc!$A$29="","",Calc!W$29)</f>
        <v/>
      </c>
      <c r="O30" s="20" t="str">
        <f aca="false">IF(Calc!$A$29="","",Calc!X$29)</f>
        <v/>
      </c>
      <c r="P30" s="19" t="str">
        <f aca="false">IF(Calc!$A$29="","",Calc!S$29)</f>
        <v/>
      </c>
      <c r="Q30" s="19" t="str">
        <f aca="false">IF(Calc!$A$29="","",Calc!Y$29)</f>
        <v/>
      </c>
      <c r="R30" s="19" t="str">
        <f aca="false">IF(Calc!$A$29="","",Calc!I$29)</f>
        <v/>
      </c>
      <c r="S30" s="19" t="str">
        <f aca="false">IF(Calc!$A$29="","",Calc!Z$29)</f>
        <v/>
      </c>
      <c r="T30" s="19" t="str">
        <f aca="false">IF(Calc!$A$29="","",Calc!AA$29)</f>
        <v/>
      </c>
      <c r="U30" s="22" t="str">
        <f aca="false">IF(Calc!$A$29="","",Calc!AB$29)</f>
        <v/>
      </c>
      <c r="V30" s="22" t="str">
        <f aca="false">IF(Calc!$A$29="","",Calc!AC$29)</f>
        <v/>
      </c>
      <c r="W30" s="19" t="str">
        <f aca="false">IF(Calc!$A$29="","",Calc!AF$29)</f>
        <v/>
      </c>
      <c r="X30" s="19" t="str">
        <f aca="false">IF(Calc!$A$29="","",Calc!AG$29)</f>
        <v/>
      </c>
      <c r="Y30" s="19" t="str">
        <f aca="false">IF(Calc!$A$29="","",Calc!AH$29)</f>
        <v/>
      </c>
      <c r="Z30" s="17" t="str">
        <f aca="false">IF(Calc!$A$29="","",Calc!AI$29)</f>
        <v/>
      </c>
      <c r="AA30" s="16" t="str">
        <f aca="false">IF(Calc!$A$29="","",Calc!AJ$29)</f>
        <v/>
      </c>
      <c r="AB30" s="16" t="str">
        <f aca="false">IF(Calc!$A$29="","",Calc!AK$29)</f>
        <v/>
      </c>
      <c r="AC30" s="23" t="str">
        <f aca="false">IF(Calc!$A$29="","",Calc!AM$29)</f>
        <v/>
      </c>
    </row>
    <row r="32" customFormat="false" ht="15" hidden="false" customHeight="false" outlineLevel="0" collapsed="false">
      <c r="A32" s="24" t="s">
        <v>79</v>
      </c>
    </row>
    <row r="33" customFormat="false" ht="15" hidden="false" customHeight="false" outlineLevel="0" collapsed="false">
      <c r="A33" s="25" t="s">
        <v>80</v>
      </c>
    </row>
    <row r="34" customFormat="false" ht="15" hidden="false" customHeight="false" outlineLevel="0" collapsed="false">
      <c r="A34" s="24" t="s">
        <v>81</v>
      </c>
    </row>
  </sheetData>
  <autoFilter ref="A2:AC30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30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30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30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30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30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30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30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30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1">
      <formula>"N/M"</formula>
    </cfRule>
  </conditionalFormatting>
  <conditionalFormatting sqref="G3:G30">
    <cfRule type="cellIs" priority="11" operator="lessThan" aboveAverage="0" equalAverage="0" bottom="0" percent="0" rank="0" text="" dxfId="82">
      <formula>1.5</formula>
    </cfRule>
  </conditionalFormatting>
  <conditionalFormatting sqref="H3:H30">
    <cfRule type="cellIs" priority="12" operator="lessThan" aboveAverage="0" equalAverage="0" bottom="0" percent="0" rank="0" text="" dxfId="82">
      <formula>1.5</formula>
    </cfRule>
  </conditionalFormatting>
  <conditionalFormatting sqref="N3:N30">
    <cfRule type="cellIs" priority="13" operator="equal" aboveAverage="0" equalAverage="0" bottom="0" percent="0" rank="0" text="" dxfId="82">
      <formula>"成長且加速"</formula>
    </cfRule>
    <cfRule type="cellIs" priority="14" operator="equal" aboveAverage="0" equalAverage="0" bottom="0" percent="0" rank="0" text="" dxfId="83">
      <formula>"成長但減速"</formula>
    </cfRule>
    <cfRule type="cellIs" priority="15" operator="equal" aboveAverage="0" equalAverage="0" bottom="0" percent="0" rank="0" text="" dxfId="83">
      <formula>"衰退但收斂"</formula>
    </cfRule>
    <cfRule type="cellIs" priority="16" operator="equal" aboveAverage="0" equalAverage="0" bottom="0" percent="0" rank="0" text="" dxfId="84">
      <formula>"衰退且惡化"</formula>
    </cfRule>
  </conditionalFormatting>
  <conditionalFormatting sqref="A3:AC30">
    <cfRule type="expression" priority="17" aboveAverage="0" equalAverage="0" bottom="0" percent="0" rank="0" text="" dxfId="8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{BC5D7B14-44BF-43FC-836A-84403DF54B81}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2">
      <formula>"成長且加速"</formula>
    </cfRule>
    <cfRule type="cellIs" priority="5" operator="equal" aboveAverage="0" equalAverage="0" bottom="0" percent="0" rank="0" text="" dxfId="83">
      <formula>"成長但減速"</formula>
    </cfRule>
    <cfRule type="cellIs" priority="6" operator="equal" aboveAverage="0" equalAverage="0" bottom="0" percent="0" rank="0" text="" dxfId="83">
      <formula>"衰退但收斂"</formula>
    </cfRule>
    <cfRule type="cellIs" priority="7" operator="equal" aboveAverage="0" equalAverage="0" bottom="0" percent="0" rank="0" text="" dxfId="8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6">
      <formula>$O5="預估"</formula>
    </cfRule>
  </conditionalFormatting>
  <conditionalFormatting sqref="B24:B28">
    <cfRule type="expression" priority="12" aboveAverage="0" equalAverage="0" bottom="0" percent="0" rank="0" text="" dxfId="8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D7B14-44BF-43FC-836A-84403DF54B81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-46279</v>
      </c>
      <c r="I4" s="67" t="n">
        <f aca="false">IF($A4="","",IFERROR(INDEX(Raw_Price!$E$2:$E$100,MATCH($A4,Raw_Price!$A$2:$A$100,0)),""))</f>
        <v>46279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-46279</v>
      </c>
      <c r="I5" s="67" t="n">
        <f aca="false">IF($A5="","",IFERROR(INDEX(Raw_Price!$E$2:$E$100,MATCH($A5,Raw_Price!$A$2:$A$100,0)),""))</f>
        <v>46279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-46279</v>
      </c>
      <c r="I6" s="67" t="n">
        <f aca="false">IF($A6="","",IFERROR(INDEX(Raw_Price!$E$2:$E$100,MATCH($A6,Raw_Price!$A$2:$A$100,0)),""))</f>
        <v>46279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-46279</v>
      </c>
      <c r="I7" s="67" t="n">
        <f aca="false">IF($A7="","",IFERROR(INDEX(Raw_Price!$E$2:$E$100,MATCH($A7,Raw_Price!$A$2:$A$100,0)),""))</f>
        <v>46279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-46279</v>
      </c>
      <c r="I8" s="67" t="n">
        <f aca="false">IF($A8="","",IFERROR(INDEX(Raw_Price!$E$2:$E$100,MATCH($A8,Raw_Price!$A$2:$A$100,0)),""))</f>
        <v>46279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-46279</v>
      </c>
      <c r="I9" s="67" t="n">
        <f aca="false">IF($A9="","",IFERROR(INDEX(Raw_Price!$E$2:$E$100,MATCH($A9,Raw_Price!$A$2:$A$100,0)),""))</f>
        <v>46279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1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46203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-46279</v>
      </c>
      <c r="I10" s="67" t="n">
        <f aca="false">IF($A10="","",IFERROR(INDEX(Raw_Price!$E$2:$E$100,MATCH($A10,Raw_Price!$A$2:$A$100,0)),""))</f>
        <v>46279</v>
      </c>
      <c r="J10" s="72" t="str">
        <f aca="true">IF($A10="","",IF($B10=0,"未抓取",IF($B10&lt;$C10,"需補歷史 ("&amp;($C10-$B10)&amp;" 季)",IF(TODAY()&gt;$G10,"待更新財報","OK"))))</f>
        <v>需補歷史 (23 季)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-46279</v>
      </c>
      <c r="I11" s="67" t="n">
        <f aca="false">IF($A11="","",IFERROR(INDEX(Raw_Price!$E$2:$E$100,MATCH($A11,Raw_Price!$A$2:$A$100,0)),""))</f>
        <v>46279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-46279</v>
      </c>
      <c r="I12" s="67" t="n">
        <f aca="false">IF($A12="","",IFERROR(INDEX(Raw_Price!$E$2:$E$100,MATCH($A12,Raw_Price!$A$2:$A$100,0)),""))</f>
        <v>46279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-46279</v>
      </c>
      <c r="I13" s="67" t="n">
        <f aca="false">IF($A13="","",IFERROR(INDEX(Raw_Price!$E$2:$E$100,MATCH($A13,Raw_Price!$A$2:$A$100,0)),""))</f>
        <v>46279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-46279</v>
      </c>
      <c r="I14" s="67" t="n">
        <f aca="false">IF($A14="","",IFERROR(INDEX(Raw_Price!$E$2:$E$100,MATCH($A14,Raw_Price!$A$2:$A$100,0)),""))</f>
        <v>46279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-46279</v>
      </c>
      <c r="I15" s="67" t="n">
        <f aca="false">IF($A15="","",IFERROR(INDEX(Raw_Price!$E$2:$E$100,MATCH($A15,Raw_Price!$A$2:$A$100,0)),""))</f>
        <v>46279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6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-46279</v>
      </c>
      <c r="I16" s="67" t="n">
        <f aca="false">IF($A16="","",IFERROR(INDEX(Raw_Price!$E$2:$E$100,MATCH($A16,Raw_Price!$A$2:$A$100,0)),""))</f>
        <v>46279</v>
      </c>
      <c r="J16" s="72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-46279</v>
      </c>
      <c r="I17" s="67" t="n">
        <f aca="false">IF($A17="","",IFERROR(INDEX(Raw_Price!$E$2:$E$100,MATCH($A17,Raw_Price!$A$2:$A$100,0)),""))</f>
        <v>46279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-46279</v>
      </c>
      <c r="I18" s="67" t="n">
        <f aca="false">IF($A18="","",IFERROR(INDEX(Raw_Price!$E$2:$E$100,MATCH($A18,Raw_Price!$A$2:$A$100,0)),""))</f>
        <v>46279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-46279</v>
      </c>
      <c r="I19" s="67" t="n">
        <f aca="false">IF($A19="","",IFERROR(INDEX(Raw_Price!$E$2:$E$100,MATCH($A19,Raw_Price!$A$2:$A$100,0)),""))</f>
        <v>46279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-46279</v>
      </c>
      <c r="I20" s="67" t="n">
        <f aca="false">IF($A20="","",IFERROR(INDEX(Raw_Price!$E$2:$E$100,MATCH($A20,Raw_Price!$A$2:$A$100,0)),""))</f>
        <v>46279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-46279</v>
      </c>
      <c r="I21" s="67" t="n">
        <f aca="false">IF($A21="","",IFERROR(INDEX(Raw_Price!$E$2:$E$100,MATCH($A21,Raw_Price!$A$2:$A$100,0)),""))</f>
        <v>46279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-46279</v>
      </c>
      <c r="I22" s="67" t="n">
        <f aca="false">IF($A22="","",IFERROR(INDEX(Raw_Price!$E$2:$E$100,MATCH($A22,Raw_Price!$A$2:$A$100,0)),""))</f>
        <v>46279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6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-46279</v>
      </c>
      <c r="I23" s="67" t="n">
        <f aca="false">IF($A23="","",IFERROR(INDEX(Raw_Price!$E$2:$E$100,MATCH($A23,Raw_Price!$A$2:$A$100,0)),""))</f>
        <v>46279</v>
      </c>
      <c r="J23" s="72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6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6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-46279</v>
      </c>
      <c r="I24" s="67" t="n">
        <f aca="false">IF($A24="","",IFERROR(INDEX(Raw_Price!$E$2:$E$100,MATCH($A24,Raw_Price!$A$2:$A$100,0)),""))</f>
        <v>46279</v>
      </c>
      <c r="J24" s="72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6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6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-46279</v>
      </c>
      <c r="I25" s="67" t="n">
        <f aca="false">IF($A25="","",IFERROR(INDEX(Raw_Price!$E$2:$E$100,MATCH($A25,Raw_Price!$A$2:$A$100,0)),""))</f>
        <v>46279</v>
      </c>
      <c r="J25" s="72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6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72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6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6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72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6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6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72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6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6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72" t="str">
        <f aca="true">IF($A31="","",IF($B31=0,"未抓取",IF($B31&lt;$C31,"需補歷史 ("&amp;($C31-$B31)&amp;" 季)",IF(TODAY()&gt;$G31,"待更新財報","OK"))))</f>
        <v/>
      </c>
    </row>
    <row r="33" customFormat="false" ht="15" hidden="false" customHeight="false" outlineLevel="0" collapsed="false">
      <c r="A33" s="24" t="s">
        <v>161</v>
      </c>
    </row>
  </sheetData>
  <conditionalFormatting sqref="J4:J31">
    <cfRule type="cellIs" priority="2" operator="equal" aboveAverage="0" equalAverage="0" bottom="0" percent="0" rank="0" text="" dxfId="87">
      <formula>"OK"</formula>
    </cfRule>
    <cfRule type="cellIs" priority="3" operator="equal" aboveAverage="0" equalAverage="0" bottom="0" percent="0" rank="0" text="" dxfId="88">
      <formula>"待更新財報"</formula>
    </cfRule>
    <cfRule type="expression" priority="4" aboveAverage="0" equalAverage="0" bottom="0" percent="0" rank="0" text="" dxfId="89">
      <formula>ISNUMBER(SEARCH("補歷史",$J4))</formula>
    </cfRule>
  </conditionalFormatting>
  <conditionalFormatting sqref="H4:H31">
    <cfRule type="cellIs" priority="5" operator="lessThan" aboveAverage="0" equalAverage="0" bottom="0" percent="0" rank="0" text="" dxfId="9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 t="s">
        <v>220</v>
      </c>
      <c r="B21" s="74" t="s">
        <v>221</v>
      </c>
      <c r="C21" s="74" t="s">
        <v>181</v>
      </c>
      <c r="D21" s="74" t="s">
        <v>182</v>
      </c>
      <c r="E21" s="73"/>
      <c r="F21" s="75" t="n">
        <v>46279</v>
      </c>
      <c r="G21" s="73"/>
    </row>
    <row r="22" customFormat="false" ht="15" hidden="false" customHeight="false" outlineLevel="0" collapsed="false">
      <c r="A22" s="0" t="s">
        <v>222</v>
      </c>
      <c r="B22" s="76" t="s">
        <v>223</v>
      </c>
      <c r="C22" s="76" t="s">
        <v>181</v>
      </c>
      <c r="D22" s="76" t="s">
        <v>182</v>
      </c>
      <c r="F22" s="77" t="n">
        <v>46279</v>
      </c>
    </row>
    <row r="23" customFormat="false" ht="15" hidden="false" customHeight="false" outlineLevel="0" collapsed="false">
      <c r="A23" s="0" t="s">
        <v>224</v>
      </c>
      <c r="B23" s="76" t="s">
        <v>225</v>
      </c>
      <c r="C23" s="76" t="s">
        <v>169</v>
      </c>
      <c r="D23" s="76" t="s">
        <v>182</v>
      </c>
      <c r="E23" s="0" t="s">
        <v>173</v>
      </c>
      <c r="F23" s="77" t="n">
        <v>46279</v>
      </c>
    </row>
    <row r="24" customFormat="false" ht="15" hidden="false" customHeight="false" outlineLevel="0" collapsed="false">
      <c r="A24" s="24" t="s">
        <v>226</v>
      </c>
      <c r="B24" s="76" t="s">
        <v>227</v>
      </c>
      <c r="C24" s="76" t="s">
        <v>228</v>
      </c>
      <c r="D24" s="76" t="s">
        <v>182</v>
      </c>
      <c r="F24" s="77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229</v>
      </c>
      <c r="C1" s="14" t="s">
        <v>230</v>
      </c>
      <c r="D1" s="14" t="s">
        <v>231</v>
      </c>
      <c r="E1" s="14" t="s">
        <v>232</v>
      </c>
      <c r="F1" s="14" t="s">
        <v>233</v>
      </c>
      <c r="G1" s="14" t="s">
        <v>234</v>
      </c>
      <c r="H1" s="14" t="s">
        <v>235</v>
      </c>
      <c r="I1" s="14" t="s">
        <v>236</v>
      </c>
      <c r="J1" s="14" t="s">
        <v>237</v>
      </c>
      <c r="K1" s="14" t="s">
        <v>238</v>
      </c>
      <c r="L1" s="14" t="s">
        <v>239</v>
      </c>
      <c r="M1" s="14" t="s">
        <v>240</v>
      </c>
      <c r="N1" s="14" t="s">
        <v>241</v>
      </c>
      <c r="O1" s="14" t="s">
        <v>242</v>
      </c>
      <c r="P1" s="14" t="s">
        <v>243</v>
      </c>
      <c r="Q1" s="14" t="s">
        <v>244</v>
      </c>
      <c r="R1" s="14" t="s">
        <v>245</v>
      </c>
      <c r="S1" s="14" t="s">
        <v>246</v>
      </c>
    </row>
    <row r="2" customFormat="false" ht="15" hidden="false" customHeight="false" outlineLevel="0" collapsed="false">
      <c r="A2" s="78" t="s">
        <v>196</v>
      </c>
      <c r="B2" s="78" t="s">
        <v>247</v>
      </c>
      <c r="C2" s="79" t="n">
        <v>2026</v>
      </c>
      <c r="D2" s="79" t="n">
        <v>3</v>
      </c>
      <c r="E2" s="80" t="n">
        <v>46295</v>
      </c>
      <c r="F2" s="78" t="s">
        <v>248</v>
      </c>
      <c r="G2" s="78" t="s">
        <v>249</v>
      </c>
      <c r="H2" s="78" t="s">
        <v>250</v>
      </c>
      <c r="I2" s="81"/>
      <c r="J2" s="81"/>
      <c r="K2" s="81"/>
      <c r="L2" s="82" t="n">
        <v>118.40075</v>
      </c>
      <c r="M2" s="81"/>
      <c r="N2" s="81"/>
      <c r="O2" s="81"/>
      <c r="P2" s="82"/>
      <c r="Q2" s="82"/>
      <c r="R2" s="47" t="n">
        <v>0</v>
      </c>
      <c r="S2" s="66" t="s">
        <v>251</v>
      </c>
    </row>
    <row r="3" customFormat="false" ht="15" hidden="false" customHeight="false" outlineLevel="0" collapsed="false">
      <c r="A3" s="78" t="s">
        <v>196</v>
      </c>
      <c r="B3" s="78" t="s">
        <v>252</v>
      </c>
      <c r="C3" s="79" t="n">
        <v>2026</v>
      </c>
      <c r="D3" s="79" t="n">
        <v>2</v>
      </c>
      <c r="E3" s="80" t="n">
        <v>46203</v>
      </c>
      <c r="F3" s="78" t="s">
        <v>253</v>
      </c>
      <c r="G3" s="78" t="s">
        <v>254</v>
      </c>
      <c r="H3" s="78" t="s">
        <v>250</v>
      </c>
      <c r="I3" s="81" t="n">
        <v>10830.041</v>
      </c>
      <c r="J3" s="81" t="n">
        <v>9467.885</v>
      </c>
      <c r="K3" s="81" t="n">
        <v>7088061000</v>
      </c>
      <c r="L3" s="82" t="n">
        <v>74.38</v>
      </c>
      <c r="M3" s="81" t="n">
        <v>95.2971</v>
      </c>
      <c r="N3" s="81" t="n">
        <v>0</v>
      </c>
      <c r="O3" s="81" t="n">
        <v>33753.838</v>
      </c>
      <c r="P3" s="82" t="n">
        <v>0</v>
      </c>
      <c r="Q3" s="82" t="n">
        <v>7360</v>
      </c>
      <c r="R3" s="47" t="n">
        <v>1</v>
      </c>
      <c r="S3" s="66" t="s">
        <v>255</v>
      </c>
    </row>
    <row r="4" customFormat="false" ht="15" hidden="false" customHeight="false" outlineLevel="0" collapsed="false">
      <c r="A4" s="78" t="s">
        <v>196</v>
      </c>
      <c r="B4" s="78" t="s">
        <v>256</v>
      </c>
      <c r="C4" s="79" t="n">
        <v>2026</v>
      </c>
      <c r="D4" s="79" t="n">
        <v>1</v>
      </c>
      <c r="E4" s="80" t="n">
        <v>46112</v>
      </c>
      <c r="F4" s="78" t="s">
        <v>253</v>
      </c>
      <c r="G4" s="78" t="s">
        <v>254</v>
      </c>
      <c r="H4" s="78" t="s">
        <v>250</v>
      </c>
      <c r="I4" s="81" t="n">
        <v>5449.725</v>
      </c>
      <c r="J4" s="81" t="n">
        <v>4236.615</v>
      </c>
      <c r="K4" s="81" t="n">
        <v>3485810000</v>
      </c>
      <c r="L4" s="82" t="n">
        <v>36.58</v>
      </c>
      <c r="M4" s="81" t="n">
        <v>95.2971</v>
      </c>
      <c r="N4" s="81" t="n">
        <v>0</v>
      </c>
      <c r="O4" s="81" t="n">
        <v>31528.643</v>
      </c>
      <c r="P4" s="82" t="n">
        <v>0</v>
      </c>
      <c r="Q4" s="82" t="n">
        <v>3175</v>
      </c>
      <c r="R4" s="47" t="n">
        <v>2</v>
      </c>
      <c r="S4" s="66" t="s">
        <v>257</v>
      </c>
    </row>
    <row r="5" customFormat="false" ht="15" hidden="false" customHeight="false" outlineLevel="0" collapsed="false">
      <c r="A5" s="78" t="s">
        <v>196</v>
      </c>
      <c r="B5" s="78" t="s">
        <v>258</v>
      </c>
      <c r="C5" s="79" t="n">
        <v>2025</v>
      </c>
      <c r="D5" s="79" t="n">
        <v>4</v>
      </c>
      <c r="E5" s="80" t="n">
        <v>46022</v>
      </c>
      <c r="F5" s="78" t="s">
        <v>253</v>
      </c>
      <c r="G5" s="78" t="s">
        <v>254</v>
      </c>
      <c r="H5" s="78" t="s">
        <v>250</v>
      </c>
      <c r="I5" s="81" t="n">
        <v>4949.108</v>
      </c>
      <c r="J5" s="81" t="n">
        <v>3766.315</v>
      </c>
      <c r="K5" s="81" t="n">
        <v>3514399000</v>
      </c>
      <c r="L5" s="82" t="n">
        <v>36.88</v>
      </c>
      <c r="M5" s="81" t="n">
        <v>95.2971</v>
      </c>
      <c r="N5" s="81" t="n">
        <v>0</v>
      </c>
      <c r="O5" s="81" t="n">
        <v>28025.959</v>
      </c>
      <c r="P5" s="82" t="n">
        <v>0</v>
      </c>
      <c r="Q5" s="82" t="n">
        <v>3750</v>
      </c>
      <c r="R5" s="47" t="n">
        <v>3</v>
      </c>
      <c r="S5" s="66" t="s">
        <v>259</v>
      </c>
    </row>
    <row r="6" customFormat="false" ht="15" hidden="false" customHeight="false" outlineLevel="0" collapsed="false">
      <c r="A6" s="78" t="s">
        <v>196</v>
      </c>
      <c r="B6" s="78" t="s">
        <v>260</v>
      </c>
      <c r="C6" s="79" t="n">
        <v>2025</v>
      </c>
      <c r="D6" s="79" t="n">
        <v>3</v>
      </c>
      <c r="E6" s="80" t="n">
        <v>45930</v>
      </c>
      <c r="F6" s="78" t="s">
        <v>253</v>
      </c>
      <c r="G6" s="78" t="s">
        <v>254</v>
      </c>
      <c r="H6" s="78" t="s">
        <v>250</v>
      </c>
      <c r="I6" s="81" t="n">
        <v>4368.654</v>
      </c>
      <c r="J6" s="81" t="n">
        <v>3258.022</v>
      </c>
      <c r="K6" s="81" t="n">
        <v>3197092000</v>
      </c>
      <c r="L6" s="82" t="n">
        <v>33.55</v>
      </c>
      <c r="M6" s="81" t="n">
        <v>95.2971</v>
      </c>
      <c r="N6" s="81" t="n">
        <v>0</v>
      </c>
      <c r="O6" s="81" t="n">
        <v>24487.028</v>
      </c>
      <c r="P6" s="82" t="n">
        <v>32.2</v>
      </c>
      <c r="Q6" s="82" t="n">
        <v>3290</v>
      </c>
      <c r="R6" s="47" t="n">
        <v>4</v>
      </c>
      <c r="S6" s="66" t="s">
        <v>261</v>
      </c>
    </row>
    <row r="7" customFormat="false" ht="15" hidden="false" customHeight="false" outlineLevel="0" collapsed="false">
      <c r="A7" s="78" t="s">
        <v>196</v>
      </c>
      <c r="B7" s="78" t="s">
        <v>262</v>
      </c>
      <c r="C7" s="79" t="n">
        <v>2025</v>
      </c>
      <c r="D7" s="79" t="n">
        <v>2</v>
      </c>
      <c r="E7" s="80" t="n">
        <v>45838</v>
      </c>
      <c r="F7" s="78" t="s">
        <v>253</v>
      </c>
      <c r="G7" s="78" t="s">
        <v>254</v>
      </c>
      <c r="H7" s="78" t="s">
        <v>250</v>
      </c>
      <c r="I7" s="81" t="n">
        <v>4228.734</v>
      </c>
      <c r="J7" s="81" t="n">
        <v>3277.081</v>
      </c>
      <c r="K7" s="81" t="n">
        <v>614102000</v>
      </c>
      <c r="L7" s="82" t="n">
        <v>6.45</v>
      </c>
      <c r="M7" s="81" t="n">
        <v>95.2971</v>
      </c>
      <c r="N7" s="81" t="n">
        <v>0</v>
      </c>
      <c r="O7" s="81" t="n">
        <v>21257.127</v>
      </c>
      <c r="P7" s="82" t="n">
        <v>0</v>
      </c>
      <c r="Q7" s="82" t="n">
        <v>2035</v>
      </c>
      <c r="R7" s="47" t="n">
        <v>5</v>
      </c>
      <c r="S7" s="66" t="s">
        <v>263</v>
      </c>
    </row>
    <row r="8" customFormat="false" ht="15" hidden="false" customHeight="false" outlineLevel="0" collapsed="false">
      <c r="A8" s="78" t="s">
        <v>196</v>
      </c>
      <c r="B8" s="78" t="s">
        <v>264</v>
      </c>
      <c r="C8" s="79" t="n">
        <v>2025</v>
      </c>
      <c r="D8" s="79" t="n">
        <v>1</v>
      </c>
      <c r="E8" s="80" t="n">
        <v>45747</v>
      </c>
      <c r="F8" s="78" t="s">
        <v>253</v>
      </c>
      <c r="G8" s="78" t="s">
        <v>254</v>
      </c>
      <c r="H8" s="78" t="s">
        <v>250</v>
      </c>
      <c r="I8" s="81" t="n">
        <v>3954.199</v>
      </c>
      <c r="J8" s="81" t="n">
        <v>3007.358</v>
      </c>
      <c r="K8" s="81" t="n">
        <v>2511474000</v>
      </c>
      <c r="L8" s="82" t="n">
        <v>26.35</v>
      </c>
      <c r="M8" s="81" t="n">
        <v>95.2971</v>
      </c>
      <c r="N8" s="81" t="n">
        <v>0</v>
      </c>
      <c r="O8" s="81" t="n">
        <v>23815.668</v>
      </c>
      <c r="P8" s="82" t="n">
        <v>0</v>
      </c>
      <c r="Q8" s="82" t="n">
        <v>1650</v>
      </c>
      <c r="R8" s="47" t="n">
        <v>6</v>
      </c>
      <c r="S8" s="66" t="s">
        <v>265</v>
      </c>
    </row>
    <row r="9" customFormat="false" ht="15" hidden="false" customHeight="false" outlineLevel="0" collapsed="false">
      <c r="A9" s="78" t="s">
        <v>196</v>
      </c>
      <c r="B9" s="78" t="s">
        <v>266</v>
      </c>
      <c r="C9" s="79" t="n">
        <v>2024</v>
      </c>
      <c r="D9" s="79" t="n">
        <v>4</v>
      </c>
      <c r="E9" s="80" t="n">
        <v>45657</v>
      </c>
      <c r="F9" s="78" t="s">
        <v>253</v>
      </c>
      <c r="G9" s="78" t="s">
        <v>254</v>
      </c>
      <c r="H9" s="78" t="s">
        <v>250</v>
      </c>
      <c r="I9" s="81" t="n">
        <v>3098.146</v>
      </c>
      <c r="J9" s="81" t="n">
        <v>2224.699</v>
      </c>
      <c r="K9" s="81" t="n">
        <v>2157266000</v>
      </c>
      <c r="L9" s="82" t="n">
        <v>22.63</v>
      </c>
      <c r="M9" s="81" t="n">
        <v>95.2971</v>
      </c>
      <c r="N9" s="81" t="n">
        <v>0</v>
      </c>
      <c r="O9" s="81" t="n">
        <v>21292.363</v>
      </c>
      <c r="P9" s="82" t="n">
        <v>0</v>
      </c>
      <c r="Q9" s="82" t="n">
        <v>1550</v>
      </c>
      <c r="R9" s="47" t="n">
        <v>7</v>
      </c>
      <c r="S9" s="66" t="s">
        <v>267</v>
      </c>
    </row>
    <row r="10" customFormat="false" ht="15" hidden="false" customHeight="false" outlineLevel="0" collapsed="false">
      <c r="A10" s="78" t="s">
        <v>196</v>
      </c>
      <c r="B10" s="78" t="s">
        <v>268</v>
      </c>
      <c r="C10" s="79" t="n">
        <v>2024</v>
      </c>
      <c r="D10" s="79" t="n">
        <v>3</v>
      </c>
      <c r="E10" s="80" t="n">
        <v>45565</v>
      </c>
      <c r="F10" s="78" t="s">
        <v>253</v>
      </c>
      <c r="G10" s="78" t="s">
        <v>254</v>
      </c>
      <c r="H10" s="78" t="s">
        <v>250</v>
      </c>
      <c r="I10" s="81" t="n">
        <v>2576.679</v>
      </c>
      <c r="J10" s="81" t="n">
        <v>1817.552</v>
      </c>
      <c r="K10" s="81" t="n">
        <v>1154983000</v>
      </c>
      <c r="L10" s="82" t="n">
        <v>12.12</v>
      </c>
      <c r="M10" s="81" t="n">
        <v>95.2971</v>
      </c>
      <c r="N10" s="81" t="n">
        <v>0</v>
      </c>
      <c r="O10" s="81" t="n">
        <v>19108.196</v>
      </c>
      <c r="P10" s="82" t="n">
        <v>14.19</v>
      </c>
      <c r="Q10" s="82" t="n">
        <v>1100</v>
      </c>
      <c r="R10" s="47" t="n">
        <v>8</v>
      </c>
      <c r="S10" s="66" t="s">
        <v>269</v>
      </c>
    </row>
    <row r="11" customFormat="false" ht="15" hidden="false" customHeight="false" outlineLevel="0" collapsed="false">
      <c r="A11" s="78" t="s">
        <v>196</v>
      </c>
      <c r="B11" s="78" t="s">
        <v>270</v>
      </c>
      <c r="C11" s="79" t="n">
        <v>2024</v>
      </c>
      <c r="D11" s="79" t="n">
        <v>2</v>
      </c>
      <c r="E11" s="80" t="n">
        <v>45473</v>
      </c>
      <c r="F11" s="78" t="s">
        <v>253</v>
      </c>
      <c r="G11" s="78" t="s">
        <v>254</v>
      </c>
      <c r="H11" s="78" t="s">
        <v>250</v>
      </c>
      <c r="I11" s="81" t="n">
        <v>2516.669</v>
      </c>
      <c r="J11" s="81" t="n">
        <v>1752.308</v>
      </c>
      <c r="K11" s="81" t="n">
        <v>1456409000</v>
      </c>
      <c r="L11" s="82" t="n">
        <v>15.29</v>
      </c>
      <c r="M11" s="81" t="n">
        <v>95.2971</v>
      </c>
      <c r="N11" s="81" t="n">
        <v>0</v>
      </c>
      <c r="O11" s="81" t="n">
        <v>17969.895</v>
      </c>
      <c r="P11" s="82" t="n">
        <v>0</v>
      </c>
      <c r="Q11" s="82" t="n">
        <v>1240</v>
      </c>
      <c r="R11" s="47" t="n">
        <v>9</v>
      </c>
      <c r="S11" s="66" t="s">
        <v>271</v>
      </c>
    </row>
    <row r="12" customFormat="false" ht="15" hidden="false" customHeight="false" outlineLevel="0" collapsed="false">
      <c r="A12" s="78" t="s">
        <v>196</v>
      </c>
      <c r="B12" s="78" t="s">
        <v>272</v>
      </c>
      <c r="C12" s="79" t="n">
        <v>2024</v>
      </c>
      <c r="D12" s="79" t="n">
        <v>1</v>
      </c>
      <c r="E12" s="80" t="n">
        <v>45382</v>
      </c>
      <c r="F12" s="78" t="s">
        <v>253</v>
      </c>
      <c r="G12" s="78" t="s">
        <v>254</v>
      </c>
      <c r="H12" s="78" t="s">
        <v>250</v>
      </c>
      <c r="I12" s="81" t="n">
        <v>1937.807</v>
      </c>
      <c r="J12" s="81" t="n">
        <v>1207.12</v>
      </c>
      <c r="K12" s="81" t="n">
        <v>1386926000</v>
      </c>
      <c r="L12" s="82" t="n">
        <v>14.55</v>
      </c>
      <c r="M12" s="81" t="n">
        <v>95.2971</v>
      </c>
      <c r="N12" s="81" t="n">
        <v>0</v>
      </c>
      <c r="O12" s="81" t="n">
        <v>17854.479</v>
      </c>
      <c r="P12" s="82" t="n">
        <v>0</v>
      </c>
      <c r="Q12" s="82" t="n">
        <v>1250</v>
      </c>
      <c r="R12" s="47" t="n">
        <v>10</v>
      </c>
      <c r="S12" s="66" t="s">
        <v>273</v>
      </c>
    </row>
    <row r="13" customFormat="false" ht="15" hidden="false" customHeight="false" outlineLevel="0" collapsed="false">
      <c r="A13" s="78" t="s">
        <v>196</v>
      </c>
      <c r="B13" s="78" t="s">
        <v>274</v>
      </c>
      <c r="C13" s="79" t="n">
        <v>2023</v>
      </c>
      <c r="D13" s="79" t="n">
        <v>4</v>
      </c>
      <c r="E13" s="80" t="n">
        <v>45291</v>
      </c>
      <c r="F13" s="78" t="s">
        <v>253</v>
      </c>
      <c r="G13" s="78" t="s">
        <v>254</v>
      </c>
      <c r="H13" s="78" t="s">
        <v>250</v>
      </c>
      <c r="I13" s="81" t="n">
        <v>1864.791</v>
      </c>
      <c r="J13" s="81" t="n">
        <v>1246.186</v>
      </c>
      <c r="K13" s="81" t="n">
        <v>549971000</v>
      </c>
      <c r="L13" s="82" t="n">
        <v>5.77</v>
      </c>
      <c r="M13" s="81" t="n">
        <v>95.2971</v>
      </c>
      <c r="N13" s="81" t="n">
        <v>0</v>
      </c>
      <c r="O13" s="81" t="n">
        <v>16436.179</v>
      </c>
      <c r="P13" s="82" t="n">
        <v>0</v>
      </c>
      <c r="Q13" s="82" t="n">
        <v>914</v>
      </c>
      <c r="R13" s="47" t="n">
        <v>11</v>
      </c>
      <c r="S13" s="66" t="s">
        <v>275</v>
      </c>
    </row>
    <row r="14" customFormat="false" ht="15" hidden="false" customHeight="false" outlineLevel="0" collapsed="false">
      <c r="A14" s="78" t="s">
        <v>196</v>
      </c>
      <c r="B14" s="78" t="s">
        <v>276</v>
      </c>
      <c r="C14" s="79" t="n">
        <v>2023</v>
      </c>
      <c r="D14" s="79" t="n">
        <v>3</v>
      </c>
      <c r="E14" s="80" t="n">
        <v>45199</v>
      </c>
      <c r="F14" s="78" t="s">
        <v>253</v>
      </c>
      <c r="G14" s="78" t="s">
        <v>254</v>
      </c>
      <c r="H14" s="78" t="s">
        <v>250</v>
      </c>
      <c r="I14" s="81" t="n">
        <v>1423.009</v>
      </c>
      <c r="J14" s="81" t="n">
        <v>831.391</v>
      </c>
      <c r="K14" s="81" t="n">
        <v>981982000</v>
      </c>
      <c r="L14" s="82" t="n">
        <v>10.31</v>
      </c>
      <c r="M14" s="81" t="n">
        <v>95.2971</v>
      </c>
      <c r="N14" s="81" t="n">
        <v>0</v>
      </c>
      <c r="O14" s="81" t="n">
        <v>15920.681</v>
      </c>
      <c r="P14" s="82" t="n">
        <v>20</v>
      </c>
      <c r="Q14" s="82" t="n">
        <v>828</v>
      </c>
      <c r="R14" s="47" t="n">
        <v>12</v>
      </c>
      <c r="S14" s="66" t="s">
        <v>277</v>
      </c>
    </row>
    <row r="15" customFormat="false" ht="15" hidden="false" customHeight="false" outlineLevel="0" collapsed="false">
      <c r="A15" s="78" t="s">
        <v>196</v>
      </c>
      <c r="B15" s="78" t="s">
        <v>278</v>
      </c>
      <c r="C15" s="79" t="n">
        <v>2023</v>
      </c>
      <c r="D15" s="79" t="n">
        <v>2</v>
      </c>
      <c r="E15" s="80" t="n">
        <v>45107</v>
      </c>
      <c r="F15" s="78" t="s">
        <v>253</v>
      </c>
      <c r="G15" s="78" t="s">
        <v>254</v>
      </c>
      <c r="H15" s="78" t="s">
        <v>250</v>
      </c>
      <c r="I15" s="81" t="n">
        <v>1313.864</v>
      </c>
      <c r="J15" s="81" t="n">
        <v>777.041</v>
      </c>
      <c r="K15" s="81" t="n">
        <v>714651000</v>
      </c>
      <c r="L15" s="82" t="n">
        <v>7.5</v>
      </c>
      <c r="M15" s="81" t="n">
        <v>95.2971</v>
      </c>
      <c r="N15" s="81" t="n">
        <v>0</v>
      </c>
      <c r="O15" s="81" t="n">
        <v>14902.262</v>
      </c>
      <c r="P15" s="82" t="n">
        <v>0</v>
      </c>
      <c r="Q15" s="82" t="n">
        <v>663</v>
      </c>
      <c r="R15" s="47" t="n">
        <v>13</v>
      </c>
      <c r="S15" s="66" t="s">
        <v>279</v>
      </c>
    </row>
    <row r="16" customFormat="false" ht="15" hidden="false" customHeight="false" outlineLevel="0" collapsed="false">
      <c r="A16" s="78" t="s">
        <v>196</v>
      </c>
      <c r="B16" s="78" t="s">
        <v>280</v>
      </c>
      <c r="C16" s="79" t="n">
        <v>2023</v>
      </c>
      <c r="D16" s="79" t="n">
        <v>1</v>
      </c>
      <c r="E16" s="80" t="n">
        <v>45016</v>
      </c>
      <c r="F16" s="78" t="s">
        <v>253</v>
      </c>
      <c r="G16" s="78" t="s">
        <v>254</v>
      </c>
      <c r="H16" s="78" t="s">
        <v>250</v>
      </c>
      <c r="I16" s="81" t="n">
        <v>1161.307</v>
      </c>
      <c r="J16" s="81" t="n">
        <v>676.914</v>
      </c>
      <c r="K16" s="81" t="n">
        <v>457715000</v>
      </c>
      <c r="L16" s="82" t="n">
        <v>4.8</v>
      </c>
      <c r="M16" s="81" t="n">
        <v>95.2971</v>
      </c>
      <c r="N16" s="81" t="n">
        <v>0</v>
      </c>
      <c r="O16" s="81" t="n">
        <v>16096.464</v>
      </c>
      <c r="P16" s="82" t="n">
        <v>0</v>
      </c>
      <c r="Q16" s="82" t="n">
        <v>384.5</v>
      </c>
      <c r="R16" s="47" t="n">
        <v>14</v>
      </c>
      <c r="S16" s="66" t="s">
        <v>281</v>
      </c>
    </row>
    <row r="17" customFormat="false" ht="15" hidden="false" customHeight="false" outlineLevel="0" collapsed="false">
      <c r="A17" s="78" t="s">
        <v>196</v>
      </c>
      <c r="B17" s="78" t="s">
        <v>282</v>
      </c>
      <c r="C17" s="79" t="n">
        <v>2022</v>
      </c>
      <c r="D17" s="79" t="n">
        <v>4</v>
      </c>
      <c r="E17" s="80" t="n">
        <v>44926</v>
      </c>
      <c r="F17" s="78" t="s">
        <v>253</v>
      </c>
      <c r="G17" s="78" t="s">
        <v>254</v>
      </c>
      <c r="H17" s="78" t="s">
        <v>250</v>
      </c>
      <c r="I17" s="81" t="n">
        <v>1988.088</v>
      </c>
      <c r="J17" s="81" t="n">
        <v>1172.923</v>
      </c>
      <c r="K17" s="81" t="n">
        <v>664877000</v>
      </c>
      <c r="L17" s="82" t="n">
        <v>6.97</v>
      </c>
      <c r="M17" s="81" t="n">
        <v>95.2971</v>
      </c>
      <c r="N17" s="81" t="n">
        <v>0</v>
      </c>
      <c r="O17" s="81" t="n">
        <v>15638.337</v>
      </c>
      <c r="P17" s="82" t="n">
        <v>0</v>
      </c>
      <c r="Q17" s="82" t="n">
        <v>384</v>
      </c>
      <c r="R17" s="47" t="n">
        <v>15</v>
      </c>
      <c r="S17" s="66" t="s">
        <v>283</v>
      </c>
    </row>
    <row r="18" customFormat="false" ht="15" hidden="false" customHeight="false" outlineLevel="0" collapsed="false">
      <c r="A18" s="78" t="s">
        <v>196</v>
      </c>
      <c r="B18" s="78" t="s">
        <v>284</v>
      </c>
      <c r="C18" s="79" t="n">
        <v>2022</v>
      </c>
      <c r="D18" s="79" t="n">
        <v>3</v>
      </c>
      <c r="E18" s="80" t="n">
        <v>44834</v>
      </c>
      <c r="F18" s="78" t="s">
        <v>253</v>
      </c>
      <c r="G18" s="78" t="s">
        <v>254</v>
      </c>
      <c r="H18" s="78" t="s">
        <v>250</v>
      </c>
      <c r="I18" s="81" t="n">
        <v>2150.386</v>
      </c>
      <c r="J18" s="81" t="n">
        <v>1237.369</v>
      </c>
      <c r="K18" s="81" t="n">
        <v>1482338000</v>
      </c>
      <c r="L18" s="82" t="n">
        <v>15.56</v>
      </c>
      <c r="M18" s="81" t="n">
        <v>95.2971</v>
      </c>
      <c r="N18" s="81" t="n">
        <v>0</v>
      </c>
      <c r="O18" s="81" t="n">
        <v>14966.209</v>
      </c>
      <c r="P18" s="82" t="n">
        <v>10.88</v>
      </c>
      <c r="Q18" s="82" t="n">
        <v>473</v>
      </c>
      <c r="R18" s="47" t="n">
        <v>16</v>
      </c>
      <c r="S18" s="66" t="s">
        <v>285</v>
      </c>
    </row>
    <row r="19" customFormat="false" ht="15" hidden="false" customHeight="false" outlineLevel="0" collapsed="false">
      <c r="A19" s="78" t="s">
        <v>196</v>
      </c>
      <c r="B19" s="78" t="s">
        <v>286</v>
      </c>
      <c r="C19" s="79" t="n">
        <v>2022</v>
      </c>
      <c r="D19" s="79" t="n">
        <v>2</v>
      </c>
      <c r="E19" s="80" t="n">
        <v>44742</v>
      </c>
      <c r="F19" s="78" t="s">
        <v>253</v>
      </c>
      <c r="G19" s="78" t="s">
        <v>254</v>
      </c>
      <c r="H19" s="78" t="s">
        <v>250</v>
      </c>
      <c r="I19" s="81" t="n">
        <v>1936.635</v>
      </c>
      <c r="J19" s="81" t="n">
        <v>1127.221</v>
      </c>
      <c r="K19" s="81" t="n">
        <v>999096000</v>
      </c>
      <c r="L19" s="82" t="n">
        <v>10.48</v>
      </c>
      <c r="M19" s="81" t="n">
        <v>95.2971</v>
      </c>
      <c r="N19" s="81" t="n">
        <v>0</v>
      </c>
      <c r="O19" s="81" t="n">
        <v>13480.162</v>
      </c>
      <c r="P19" s="82" t="n">
        <v>0</v>
      </c>
      <c r="Q19" s="82" t="n">
        <v>408</v>
      </c>
      <c r="R19" s="47" t="n">
        <v>17</v>
      </c>
      <c r="S19" s="66" t="s">
        <v>287</v>
      </c>
    </row>
    <row r="20" customFormat="false" ht="15" hidden="false" customHeight="false" outlineLevel="0" collapsed="false">
      <c r="A20" s="78" t="s">
        <v>196</v>
      </c>
      <c r="B20" s="78" t="s">
        <v>288</v>
      </c>
      <c r="C20" s="79" t="n">
        <v>2022</v>
      </c>
      <c r="D20" s="79" t="n">
        <v>1</v>
      </c>
      <c r="E20" s="80" t="n">
        <v>44651</v>
      </c>
      <c r="F20" s="78" t="s">
        <v>253</v>
      </c>
      <c r="G20" s="78" t="s">
        <v>254</v>
      </c>
      <c r="H20" s="78" t="s">
        <v>250</v>
      </c>
      <c r="I20" s="81" t="n">
        <v>1723.522</v>
      </c>
      <c r="J20" s="81" t="n">
        <v>928.463</v>
      </c>
      <c r="K20" s="81" t="n">
        <v>909834000</v>
      </c>
      <c r="L20" s="82" t="n">
        <v>9.55</v>
      </c>
      <c r="M20" s="81" t="n">
        <v>95.2971</v>
      </c>
      <c r="N20" s="81" t="n">
        <v>0</v>
      </c>
      <c r="O20" s="81" t="n">
        <v>13518.277</v>
      </c>
      <c r="P20" s="82" t="n">
        <v>0</v>
      </c>
      <c r="Q20" s="82" t="n">
        <v>437</v>
      </c>
      <c r="R20" s="47" t="n">
        <v>18</v>
      </c>
      <c r="S20" s="66" t="s">
        <v>289</v>
      </c>
    </row>
    <row r="21" customFormat="false" ht="15" hidden="false" customHeight="false" outlineLevel="0" collapsed="false">
      <c r="A21" s="78" t="s">
        <v>196</v>
      </c>
      <c r="B21" s="78" t="s">
        <v>290</v>
      </c>
      <c r="C21" s="79" t="n">
        <v>2021</v>
      </c>
      <c r="D21" s="79" t="n">
        <v>4</v>
      </c>
      <c r="E21" s="80" t="n">
        <v>44561</v>
      </c>
      <c r="F21" s="78" t="s">
        <v>253</v>
      </c>
      <c r="G21" s="78" t="s">
        <v>254</v>
      </c>
      <c r="H21" s="78" t="s">
        <v>250</v>
      </c>
      <c r="I21" s="81" t="n">
        <v>1816.978</v>
      </c>
      <c r="J21" s="81" t="n">
        <v>977.712</v>
      </c>
      <c r="K21" s="81" t="n">
        <v>623680000</v>
      </c>
      <c r="L21" s="82" t="n">
        <v>6.55</v>
      </c>
      <c r="M21" s="81" t="n">
        <v>95.2971</v>
      </c>
      <c r="N21" s="81" t="n">
        <v>0</v>
      </c>
      <c r="O21" s="81" t="n">
        <v>12603.287</v>
      </c>
      <c r="P21" s="82" t="n">
        <v>0</v>
      </c>
      <c r="Q21" s="82" t="n">
        <v>517</v>
      </c>
      <c r="R21" s="47" t="n">
        <v>19</v>
      </c>
      <c r="S21" s="66" t="s">
        <v>291</v>
      </c>
    </row>
    <row r="22" customFormat="false" ht="15" hidden="false" customHeight="false" outlineLevel="0" collapsed="false">
      <c r="A22" s="78" t="s">
        <v>196</v>
      </c>
      <c r="B22" s="78" t="s">
        <v>292</v>
      </c>
      <c r="C22" s="79" t="n">
        <v>2021</v>
      </c>
      <c r="D22" s="79" t="n">
        <v>3</v>
      </c>
      <c r="E22" s="80" t="n">
        <v>44469</v>
      </c>
      <c r="F22" s="78" t="s">
        <v>253</v>
      </c>
      <c r="G22" s="78" t="s">
        <v>254</v>
      </c>
      <c r="H22" s="78" t="s">
        <v>250</v>
      </c>
      <c r="I22" s="81" t="n">
        <v>1758.193</v>
      </c>
      <c r="J22" s="81" t="n">
        <v>959.238</v>
      </c>
      <c r="K22" s="81" t="n">
        <v>630757000</v>
      </c>
      <c r="L22" s="82" t="n">
        <v>6.62</v>
      </c>
      <c r="M22" s="81" t="n">
        <v>95.2971</v>
      </c>
      <c r="N22" s="81" t="n">
        <v>0</v>
      </c>
      <c r="O22" s="81" t="n">
        <v>11985.796</v>
      </c>
      <c r="P22" s="82" t="n">
        <v>6.12</v>
      </c>
      <c r="Q22" s="82" t="n">
        <v>388</v>
      </c>
      <c r="R22" s="47" t="n">
        <v>20</v>
      </c>
      <c r="S22" s="66" t="s">
        <v>293</v>
      </c>
    </row>
    <row r="23" customFormat="false" ht="15" hidden="false" customHeight="false" outlineLevel="0" collapsed="false">
      <c r="A23" s="78" t="s">
        <v>196</v>
      </c>
      <c r="B23" s="78" t="s">
        <v>294</v>
      </c>
      <c r="C23" s="79" t="n">
        <v>2021</v>
      </c>
      <c r="D23" s="79" t="n">
        <v>2</v>
      </c>
      <c r="E23" s="80" t="n">
        <v>44377</v>
      </c>
      <c r="F23" s="78" t="s">
        <v>253</v>
      </c>
      <c r="G23" s="78" t="s">
        <v>254</v>
      </c>
      <c r="H23" s="78" t="s">
        <v>250</v>
      </c>
      <c r="I23" s="81" t="n">
        <v>1490.057</v>
      </c>
      <c r="J23" s="81" t="n">
        <v>778.49</v>
      </c>
      <c r="K23" s="81" t="n">
        <v>384805000</v>
      </c>
      <c r="L23" s="82" t="n">
        <v>4.03</v>
      </c>
      <c r="M23" s="81" t="n">
        <v>95.2971</v>
      </c>
      <c r="N23" s="81" t="n">
        <v>0</v>
      </c>
      <c r="O23" s="81" t="n">
        <v>11938.541</v>
      </c>
      <c r="P23" s="82" t="n">
        <v>0</v>
      </c>
      <c r="Q23" s="82" t="n">
        <v>392.5</v>
      </c>
      <c r="R23" s="47" t="n">
        <v>21</v>
      </c>
      <c r="S23" s="66" t="s">
        <v>295</v>
      </c>
    </row>
    <row r="24" customFormat="false" ht="15" hidden="false" customHeight="false" outlineLevel="0" collapsed="false">
      <c r="A24" s="78" t="s">
        <v>196</v>
      </c>
      <c r="B24" s="78" t="s">
        <v>296</v>
      </c>
      <c r="C24" s="79" t="n">
        <v>2021</v>
      </c>
      <c r="D24" s="79" t="n">
        <v>1</v>
      </c>
      <c r="E24" s="80" t="n">
        <v>44286</v>
      </c>
      <c r="F24" s="78" t="s">
        <v>253</v>
      </c>
      <c r="G24" s="78" t="s">
        <v>254</v>
      </c>
      <c r="H24" s="78" t="s">
        <v>250</v>
      </c>
      <c r="I24" s="81" t="n">
        <v>1276.761</v>
      </c>
      <c r="J24" s="81" t="n">
        <v>639.392</v>
      </c>
      <c r="K24" s="81" t="n">
        <v>433278000</v>
      </c>
      <c r="L24" s="82" t="n">
        <v>4.55</v>
      </c>
      <c r="M24" s="81" t="n">
        <v>95.2971</v>
      </c>
      <c r="N24" s="81" t="n">
        <v>0</v>
      </c>
      <c r="O24" s="81" t="n">
        <v>11555.111</v>
      </c>
      <c r="P24" s="82" t="n">
        <v>0</v>
      </c>
      <c r="Q24" s="82" t="n">
        <v>329.5</v>
      </c>
      <c r="R24" s="47" t="n">
        <v>22</v>
      </c>
      <c r="S24" s="66" t="s">
        <v>297</v>
      </c>
    </row>
    <row r="25" customFormat="false" ht="15" hidden="false" customHeight="false" outlineLevel="0" collapsed="false">
      <c r="A25" s="78" t="s">
        <v>196</v>
      </c>
      <c r="B25" s="78" t="s">
        <v>298</v>
      </c>
      <c r="C25" s="79" t="n">
        <v>2020</v>
      </c>
      <c r="D25" s="79" t="n">
        <v>4</v>
      </c>
      <c r="E25" s="80" t="n">
        <v>44196</v>
      </c>
      <c r="F25" s="78" t="s">
        <v>253</v>
      </c>
      <c r="G25" s="78" t="s">
        <v>254</v>
      </c>
      <c r="H25" s="78" t="s">
        <v>250</v>
      </c>
      <c r="I25" s="81" t="n">
        <v>1263.927</v>
      </c>
      <c r="J25" s="81" t="n">
        <v>617.71</v>
      </c>
      <c r="K25" s="81" t="n">
        <v>243780000</v>
      </c>
      <c r="L25" s="82" t="n">
        <v>2.56</v>
      </c>
      <c r="M25" s="81" t="n">
        <v>95.2971</v>
      </c>
      <c r="N25" s="81" t="n">
        <v>0</v>
      </c>
      <c r="O25" s="81" t="n">
        <v>11121.041</v>
      </c>
      <c r="P25" s="82" t="n">
        <v>0</v>
      </c>
      <c r="Q25" s="82" t="n">
        <v>297</v>
      </c>
      <c r="R25" s="47" t="n">
        <v>23</v>
      </c>
      <c r="S25" s="66" t="s">
        <v>299</v>
      </c>
    </row>
    <row r="26" customFormat="false" ht="15" hidden="false" customHeight="false" outlineLevel="0" collapsed="false">
      <c r="A26" s="78" t="s">
        <v>196</v>
      </c>
      <c r="B26" s="78" t="s">
        <v>300</v>
      </c>
      <c r="C26" s="79" t="n">
        <v>2020</v>
      </c>
      <c r="D26" s="79" t="n">
        <v>3</v>
      </c>
      <c r="E26" s="80" t="n">
        <v>44104</v>
      </c>
      <c r="F26" s="78" t="s">
        <v>253</v>
      </c>
      <c r="G26" s="78" t="s">
        <v>254</v>
      </c>
      <c r="H26" s="78" t="s">
        <v>250</v>
      </c>
      <c r="I26" s="81" t="n">
        <v>1197.928</v>
      </c>
      <c r="J26" s="81" t="n">
        <v>609.637</v>
      </c>
      <c r="K26" s="81" t="n">
        <v>296393000</v>
      </c>
      <c r="L26" s="82" t="n">
        <v>3.11</v>
      </c>
      <c r="M26" s="81" t="n">
        <v>95.2971</v>
      </c>
      <c r="N26" s="81" t="n">
        <v>0</v>
      </c>
      <c r="O26" s="81" t="n">
        <v>10876.707</v>
      </c>
      <c r="P26" s="82"/>
      <c r="Q26" s="82" t="n">
        <v>280</v>
      </c>
      <c r="R26" s="47" t="n">
        <v>24</v>
      </c>
      <c r="S26" s="66" t="s">
        <v>301</v>
      </c>
    </row>
    <row r="27" customFormat="false" ht="15" hidden="false" customHeight="false" outlineLevel="0" collapsed="false">
      <c r="A27" s="78" t="s">
        <v>208</v>
      </c>
      <c r="B27" s="78" t="s">
        <v>247</v>
      </c>
      <c r="C27" s="79" t="n">
        <v>2026</v>
      </c>
      <c r="D27" s="79" t="n">
        <v>3</v>
      </c>
      <c r="E27" s="80" t="n">
        <v>46295</v>
      </c>
      <c r="F27" s="78" t="s">
        <v>248</v>
      </c>
      <c r="G27" s="78" t="s">
        <v>249</v>
      </c>
      <c r="H27" s="78" t="s">
        <v>250</v>
      </c>
      <c r="I27" s="81"/>
      <c r="J27" s="81"/>
      <c r="K27" s="81"/>
      <c r="L27" s="82" t="n">
        <v>1.4114</v>
      </c>
      <c r="M27" s="81"/>
      <c r="N27" s="81"/>
      <c r="O27" s="81"/>
      <c r="P27" s="82"/>
      <c r="Q27" s="82"/>
      <c r="R27" s="47" t="n">
        <v>0</v>
      </c>
      <c r="S27" s="66" t="s">
        <v>302</v>
      </c>
    </row>
    <row r="28" customFormat="false" ht="15" hidden="false" customHeight="false" outlineLevel="0" collapsed="false">
      <c r="A28" s="78" t="s">
        <v>208</v>
      </c>
      <c r="B28" s="78" t="s">
        <v>252</v>
      </c>
      <c r="C28" s="79" t="n">
        <v>2026</v>
      </c>
      <c r="D28" s="79" t="n">
        <v>2</v>
      </c>
      <c r="E28" s="80" t="n">
        <v>46203</v>
      </c>
      <c r="F28" s="78" t="s">
        <v>253</v>
      </c>
      <c r="G28" s="78" t="s">
        <v>254</v>
      </c>
      <c r="H28" s="78" t="s">
        <v>250</v>
      </c>
      <c r="I28" s="81" t="n">
        <v>68732.662</v>
      </c>
      <c r="J28" s="81" t="n">
        <v>22322.79</v>
      </c>
      <c r="K28" s="81" t="n">
        <v>42259962000</v>
      </c>
      <c r="L28" s="82" t="n">
        <v>3.39</v>
      </c>
      <c r="M28" s="81" t="n">
        <v>12576.9849</v>
      </c>
      <c r="N28" s="81" t="n">
        <v>30551000</v>
      </c>
      <c r="O28" s="81" t="n">
        <v>443920.249</v>
      </c>
      <c r="P28" s="82" t="n">
        <v>0</v>
      </c>
      <c r="Q28" s="82" t="n">
        <v>164.5</v>
      </c>
      <c r="R28" s="47" t="n">
        <v>1</v>
      </c>
      <c r="S28" s="66" t="s">
        <v>303</v>
      </c>
    </row>
    <row r="29" customFormat="false" ht="15" hidden="false" customHeight="false" outlineLevel="0" collapsed="false">
      <c r="A29" s="78" t="s">
        <v>208</v>
      </c>
      <c r="B29" s="78" t="s">
        <v>256</v>
      </c>
      <c r="C29" s="79" t="n">
        <v>2026</v>
      </c>
      <c r="D29" s="79" t="n">
        <v>1</v>
      </c>
      <c r="E29" s="80" t="n">
        <v>46112</v>
      </c>
      <c r="F29" s="78" t="s">
        <v>253</v>
      </c>
      <c r="G29" s="78" t="s">
        <v>254</v>
      </c>
      <c r="H29" s="78" t="s">
        <v>250</v>
      </c>
      <c r="I29" s="81" t="n">
        <v>61037.902</v>
      </c>
      <c r="J29" s="81" t="n">
        <v>17818.49</v>
      </c>
      <c r="K29" s="81" t="n">
        <v>16171474000</v>
      </c>
      <c r="L29" s="82" t="n">
        <v>1.29</v>
      </c>
      <c r="M29" s="81" t="n">
        <v>12578.5246</v>
      </c>
      <c r="N29" s="81" t="n">
        <v>0</v>
      </c>
      <c r="O29" s="81" t="n">
        <v>406700.597</v>
      </c>
      <c r="P29" s="82" t="n">
        <v>0</v>
      </c>
      <c r="Q29" s="82" t="n">
        <v>56.5</v>
      </c>
      <c r="R29" s="47" t="n">
        <v>2</v>
      </c>
      <c r="S29" s="66" t="s">
        <v>304</v>
      </c>
    </row>
    <row r="30" customFormat="false" ht="15" hidden="false" customHeight="false" outlineLevel="0" collapsed="false">
      <c r="A30" s="78" t="s">
        <v>208</v>
      </c>
      <c r="B30" s="78" t="s">
        <v>258</v>
      </c>
      <c r="C30" s="79" t="n">
        <v>2025</v>
      </c>
      <c r="D30" s="79" t="n">
        <v>4</v>
      </c>
      <c r="E30" s="80" t="n">
        <v>46022</v>
      </c>
      <c r="F30" s="78" t="s">
        <v>253</v>
      </c>
      <c r="G30" s="78" t="s">
        <v>254</v>
      </c>
      <c r="H30" s="78" t="s">
        <v>250</v>
      </c>
      <c r="I30" s="81" t="n">
        <v>61809.545</v>
      </c>
      <c r="J30" s="81" t="n">
        <v>18958.438</v>
      </c>
      <c r="K30" s="81" t="n">
        <v>10054918000</v>
      </c>
      <c r="L30" s="82" t="n">
        <v>0.8</v>
      </c>
      <c r="M30" s="81" t="n">
        <v>12588.1563</v>
      </c>
      <c r="N30" s="81" t="n">
        <v>0</v>
      </c>
      <c r="O30" s="81" t="n">
        <v>379768.265</v>
      </c>
      <c r="P30" s="82" t="n">
        <v>0</v>
      </c>
      <c r="Q30" s="82" t="n">
        <v>49.25</v>
      </c>
      <c r="R30" s="47" t="n">
        <v>3</v>
      </c>
      <c r="S30" s="66" t="s">
        <v>305</v>
      </c>
    </row>
    <row r="31" customFormat="false" ht="15" hidden="false" customHeight="false" outlineLevel="0" collapsed="false">
      <c r="A31" s="78" t="s">
        <v>208</v>
      </c>
      <c r="B31" s="78" t="s">
        <v>260</v>
      </c>
      <c r="C31" s="79" t="n">
        <v>2025</v>
      </c>
      <c r="D31" s="79" t="n">
        <v>3</v>
      </c>
      <c r="E31" s="80" t="n">
        <v>45930</v>
      </c>
      <c r="F31" s="78" t="s">
        <v>253</v>
      </c>
      <c r="G31" s="78" t="s">
        <v>254</v>
      </c>
      <c r="H31" s="78" t="s">
        <v>250</v>
      </c>
      <c r="I31" s="81" t="n">
        <v>59127.04</v>
      </c>
      <c r="J31" s="81" t="n">
        <v>17623.318</v>
      </c>
      <c r="K31" s="81" t="n">
        <v>14982060000</v>
      </c>
      <c r="L31" s="82" t="n">
        <v>1.2</v>
      </c>
      <c r="M31" s="81" t="n">
        <v>12556.3274</v>
      </c>
      <c r="N31" s="81" t="n">
        <v>0</v>
      </c>
      <c r="O31" s="81" t="n">
        <v>361060.219</v>
      </c>
      <c r="P31" s="82" t="n">
        <v>0</v>
      </c>
      <c r="Q31" s="82" t="n">
        <v>45.55</v>
      </c>
      <c r="R31" s="47" t="n">
        <v>4</v>
      </c>
      <c r="S31" s="66" t="s">
        <v>306</v>
      </c>
    </row>
    <row r="32" customFormat="false" ht="15" hidden="false" customHeight="false" outlineLevel="0" collapsed="false">
      <c r="A32" s="78" t="s">
        <v>208</v>
      </c>
      <c r="B32" s="78" t="s">
        <v>262</v>
      </c>
      <c r="C32" s="79" t="n">
        <v>2025</v>
      </c>
      <c r="D32" s="79" t="n">
        <v>2</v>
      </c>
      <c r="E32" s="80" t="n">
        <v>45838</v>
      </c>
      <c r="F32" s="78" t="s">
        <v>253</v>
      </c>
      <c r="G32" s="78" t="s">
        <v>254</v>
      </c>
      <c r="H32" s="78" t="s">
        <v>250</v>
      </c>
      <c r="I32" s="81" t="n">
        <v>58757.657</v>
      </c>
      <c r="J32" s="81" t="n">
        <v>16878.098</v>
      </c>
      <c r="K32" s="81" t="n">
        <v>8902530000</v>
      </c>
      <c r="L32" s="82" t="n">
        <v>0.71</v>
      </c>
      <c r="M32" s="81" t="n">
        <v>12556.5077</v>
      </c>
      <c r="N32" s="81" t="n">
        <v>0</v>
      </c>
      <c r="O32" s="81" t="n">
        <v>336871.499</v>
      </c>
      <c r="P32" s="82" t="n">
        <v>2.85016443</v>
      </c>
      <c r="Q32" s="82" t="n">
        <v>44.2</v>
      </c>
      <c r="R32" s="47" t="n">
        <v>5</v>
      </c>
      <c r="S32" s="66" t="s">
        <v>307</v>
      </c>
    </row>
    <row r="33" customFormat="false" ht="15" hidden="false" customHeight="false" outlineLevel="0" collapsed="false">
      <c r="A33" s="78" t="s">
        <v>208</v>
      </c>
      <c r="B33" s="78" t="s">
        <v>264</v>
      </c>
      <c r="C33" s="79" t="n">
        <v>2025</v>
      </c>
      <c r="D33" s="79" t="n">
        <v>1</v>
      </c>
      <c r="E33" s="80" t="n">
        <v>45747</v>
      </c>
      <c r="F33" s="78" t="s">
        <v>253</v>
      </c>
      <c r="G33" s="78" t="s">
        <v>254</v>
      </c>
      <c r="H33" s="78" t="s">
        <v>250</v>
      </c>
      <c r="I33" s="81" t="n">
        <v>57858.957</v>
      </c>
      <c r="J33" s="81" t="n">
        <v>15446.645</v>
      </c>
      <c r="K33" s="81" t="n">
        <v>7776741000</v>
      </c>
      <c r="L33" s="82" t="n">
        <v>0.62</v>
      </c>
      <c r="M33" s="81" t="n">
        <v>12558.359</v>
      </c>
      <c r="N33" s="81" t="n">
        <v>0</v>
      </c>
      <c r="O33" s="81" t="n">
        <v>390604.898</v>
      </c>
      <c r="P33" s="82" t="n">
        <v>0</v>
      </c>
      <c r="Q33" s="82" t="n">
        <v>44.65</v>
      </c>
      <c r="R33" s="47" t="n">
        <v>6</v>
      </c>
      <c r="S33" s="66" t="s">
        <v>308</v>
      </c>
    </row>
    <row r="34" customFormat="false" ht="15" hidden="false" customHeight="false" outlineLevel="0" collapsed="false">
      <c r="A34" s="78" t="s">
        <v>208</v>
      </c>
      <c r="B34" s="78" t="s">
        <v>266</v>
      </c>
      <c r="C34" s="79" t="n">
        <v>2024</v>
      </c>
      <c r="D34" s="79" t="n">
        <v>4</v>
      </c>
      <c r="E34" s="80" t="n">
        <v>45657</v>
      </c>
      <c r="F34" s="78" t="s">
        <v>253</v>
      </c>
      <c r="G34" s="78" t="s">
        <v>254</v>
      </c>
      <c r="H34" s="78" t="s">
        <v>250</v>
      </c>
      <c r="I34" s="81" t="n">
        <v>60386.11</v>
      </c>
      <c r="J34" s="81" t="n">
        <v>18342.581</v>
      </c>
      <c r="K34" s="81" t="n">
        <v>8496583000</v>
      </c>
      <c r="L34" s="82" t="n">
        <v>0.68</v>
      </c>
      <c r="M34" s="81" t="n">
        <v>12560.7164</v>
      </c>
      <c r="N34" s="81" t="n">
        <v>0</v>
      </c>
      <c r="O34" s="81" t="n">
        <v>377928.391</v>
      </c>
      <c r="P34" s="82" t="n">
        <v>0</v>
      </c>
      <c r="Q34" s="82" t="n">
        <v>43.05</v>
      </c>
      <c r="R34" s="47" t="n">
        <v>7</v>
      </c>
      <c r="S34" s="66" t="s">
        <v>309</v>
      </c>
    </row>
    <row r="35" customFormat="false" ht="15" hidden="false" customHeight="false" outlineLevel="0" collapsed="false">
      <c r="A35" s="78" t="s">
        <v>208</v>
      </c>
      <c r="B35" s="78" t="s">
        <v>268</v>
      </c>
      <c r="C35" s="79" t="n">
        <v>2024</v>
      </c>
      <c r="D35" s="79" t="n">
        <v>3</v>
      </c>
      <c r="E35" s="80" t="n">
        <v>45565</v>
      </c>
      <c r="F35" s="78" t="s">
        <v>253</v>
      </c>
      <c r="G35" s="78" t="s">
        <v>254</v>
      </c>
      <c r="H35" s="78" t="s">
        <v>250</v>
      </c>
      <c r="I35" s="81" t="n">
        <v>60485.085</v>
      </c>
      <c r="J35" s="81" t="n">
        <v>20428.845</v>
      </c>
      <c r="K35" s="81" t="n">
        <v>14472042000</v>
      </c>
      <c r="L35" s="82" t="n">
        <v>1.16</v>
      </c>
      <c r="M35" s="81" t="n">
        <v>12528.4664</v>
      </c>
      <c r="N35" s="81" t="n">
        <v>0</v>
      </c>
      <c r="O35" s="81" t="n">
        <v>368203.702</v>
      </c>
      <c r="P35" s="82" t="n">
        <v>3.00011747</v>
      </c>
      <c r="Q35" s="82" t="n">
        <v>53.8</v>
      </c>
      <c r="R35" s="47" t="n">
        <v>8</v>
      </c>
      <c r="S35" s="66" t="s">
        <v>310</v>
      </c>
    </row>
    <row r="36" customFormat="false" ht="15" hidden="false" customHeight="false" outlineLevel="0" collapsed="false">
      <c r="A36" s="78" t="s">
        <v>208</v>
      </c>
      <c r="B36" s="78" t="s">
        <v>270</v>
      </c>
      <c r="C36" s="79" t="n">
        <v>2024</v>
      </c>
      <c r="D36" s="79" t="n">
        <v>2</v>
      </c>
      <c r="E36" s="80" t="n">
        <v>45473</v>
      </c>
      <c r="F36" s="78" t="s">
        <v>253</v>
      </c>
      <c r="G36" s="78" t="s">
        <v>254</v>
      </c>
      <c r="H36" s="78" t="s">
        <v>250</v>
      </c>
      <c r="I36" s="81" t="n">
        <v>56799.29</v>
      </c>
      <c r="J36" s="81" t="n">
        <v>19983.224</v>
      </c>
      <c r="K36" s="81" t="n">
        <v>13786163000</v>
      </c>
      <c r="L36" s="82" t="n">
        <v>1.11</v>
      </c>
      <c r="M36" s="81" t="n">
        <v>12528.5889</v>
      </c>
      <c r="N36" s="81" t="n">
        <v>0</v>
      </c>
      <c r="O36" s="81" t="n">
        <v>355779.378</v>
      </c>
      <c r="P36" s="82" t="n">
        <v>0</v>
      </c>
      <c r="Q36" s="82" t="n">
        <v>55.7</v>
      </c>
      <c r="R36" s="47" t="n">
        <v>9</v>
      </c>
      <c r="S36" s="66" t="s">
        <v>311</v>
      </c>
    </row>
    <row r="37" customFormat="false" ht="15" hidden="false" customHeight="false" outlineLevel="0" collapsed="false">
      <c r="A37" s="78" t="s">
        <v>208</v>
      </c>
      <c r="B37" s="78" t="s">
        <v>272</v>
      </c>
      <c r="C37" s="79" t="n">
        <v>2024</v>
      </c>
      <c r="D37" s="79" t="n">
        <v>1</v>
      </c>
      <c r="E37" s="80" t="n">
        <v>45382</v>
      </c>
      <c r="F37" s="78" t="s">
        <v>253</v>
      </c>
      <c r="G37" s="78" t="s">
        <v>254</v>
      </c>
      <c r="H37" s="78" t="s">
        <v>250</v>
      </c>
      <c r="I37" s="81" t="n">
        <v>54632.099</v>
      </c>
      <c r="J37" s="81" t="n">
        <v>16899.43</v>
      </c>
      <c r="K37" s="81" t="n">
        <v>10456142000</v>
      </c>
      <c r="L37" s="82" t="n">
        <v>0.84</v>
      </c>
      <c r="M37" s="81" t="n">
        <v>12529.034</v>
      </c>
      <c r="N37" s="81" t="n">
        <v>0</v>
      </c>
      <c r="O37" s="81" t="n">
        <v>377912.126</v>
      </c>
      <c r="P37" s="82" t="n">
        <v>0</v>
      </c>
      <c r="Q37" s="82" t="n">
        <v>52.2</v>
      </c>
      <c r="R37" s="47" t="n">
        <v>10</v>
      </c>
      <c r="S37" s="66" t="s">
        <v>312</v>
      </c>
    </row>
    <row r="38" customFormat="false" ht="15" hidden="false" customHeight="false" outlineLevel="0" collapsed="false">
      <c r="A38" s="78" t="s">
        <v>208</v>
      </c>
      <c r="B38" s="78" t="s">
        <v>274</v>
      </c>
      <c r="C38" s="79" t="n">
        <v>2023</v>
      </c>
      <c r="D38" s="79" t="n">
        <v>4</v>
      </c>
      <c r="E38" s="80" t="n">
        <v>45291</v>
      </c>
      <c r="F38" s="78" t="s">
        <v>253</v>
      </c>
      <c r="G38" s="78" t="s">
        <v>254</v>
      </c>
      <c r="H38" s="78" t="s">
        <v>250</v>
      </c>
      <c r="I38" s="81" t="n">
        <v>54958.278</v>
      </c>
      <c r="J38" s="81" t="n">
        <v>17806.294</v>
      </c>
      <c r="K38" s="81" t="n">
        <v>13194797000</v>
      </c>
      <c r="L38" s="82" t="n">
        <v>1.06</v>
      </c>
      <c r="M38" s="81" t="n">
        <v>12529.8222</v>
      </c>
      <c r="N38" s="81" t="n">
        <v>0</v>
      </c>
      <c r="O38" s="81" t="n">
        <v>359237.713</v>
      </c>
      <c r="P38" s="82" t="n">
        <v>0</v>
      </c>
      <c r="Q38" s="82" t="n">
        <v>52.6</v>
      </c>
      <c r="R38" s="47" t="n">
        <v>11</v>
      </c>
      <c r="S38" s="66" t="s">
        <v>313</v>
      </c>
    </row>
    <row r="39" customFormat="false" ht="15" hidden="false" customHeight="false" outlineLevel="0" collapsed="false">
      <c r="A39" s="78" t="s">
        <v>208</v>
      </c>
      <c r="B39" s="78" t="s">
        <v>276</v>
      </c>
      <c r="C39" s="79" t="n">
        <v>2023</v>
      </c>
      <c r="D39" s="79" t="n">
        <v>3</v>
      </c>
      <c r="E39" s="80" t="n">
        <v>45199</v>
      </c>
      <c r="F39" s="78" t="s">
        <v>253</v>
      </c>
      <c r="G39" s="78" t="s">
        <v>254</v>
      </c>
      <c r="H39" s="78" t="s">
        <v>250</v>
      </c>
      <c r="I39" s="81" t="n">
        <v>57068.867</v>
      </c>
      <c r="J39" s="81" t="n">
        <v>20460.952</v>
      </c>
      <c r="K39" s="81" t="n">
        <v>15970917000</v>
      </c>
      <c r="L39" s="82" t="n">
        <v>1.29</v>
      </c>
      <c r="M39" s="81" t="n">
        <v>12503.1392</v>
      </c>
      <c r="N39" s="81" t="n">
        <v>0</v>
      </c>
      <c r="O39" s="81" t="n">
        <v>349677.213</v>
      </c>
      <c r="P39" s="82" t="n">
        <v>0</v>
      </c>
      <c r="Q39" s="82" t="n">
        <v>45.2</v>
      </c>
      <c r="R39" s="47" t="n">
        <v>12</v>
      </c>
      <c r="S39" s="66" t="s">
        <v>314</v>
      </c>
    </row>
    <row r="40" customFormat="false" ht="15" hidden="false" customHeight="false" outlineLevel="0" collapsed="false">
      <c r="A40" s="78" t="s">
        <v>208</v>
      </c>
      <c r="B40" s="78" t="s">
        <v>278</v>
      </c>
      <c r="C40" s="79" t="n">
        <v>2023</v>
      </c>
      <c r="D40" s="79" t="n">
        <v>2</v>
      </c>
      <c r="E40" s="80" t="n">
        <v>45107</v>
      </c>
      <c r="F40" s="78" t="s">
        <v>253</v>
      </c>
      <c r="G40" s="78" t="s">
        <v>254</v>
      </c>
      <c r="H40" s="78" t="s">
        <v>250</v>
      </c>
      <c r="I40" s="81" t="n">
        <v>56296.408</v>
      </c>
      <c r="J40" s="81" t="n">
        <v>20252.152</v>
      </c>
      <c r="K40" s="81" t="n">
        <v>15640917000</v>
      </c>
      <c r="L40" s="82" t="n">
        <v>1.27</v>
      </c>
      <c r="M40" s="81" t="n">
        <v>12503.1392</v>
      </c>
      <c r="N40" s="81" t="n">
        <v>0</v>
      </c>
      <c r="O40" s="81" t="n">
        <v>326545.196</v>
      </c>
      <c r="P40" s="82" t="n">
        <v>3.60046348</v>
      </c>
      <c r="Q40" s="82" t="n">
        <v>48.5</v>
      </c>
      <c r="R40" s="47" t="n">
        <v>13</v>
      </c>
      <c r="S40" s="66" t="s">
        <v>315</v>
      </c>
    </row>
    <row r="41" customFormat="false" ht="15" hidden="false" customHeight="false" outlineLevel="0" collapsed="false">
      <c r="A41" s="78" t="s">
        <v>208</v>
      </c>
      <c r="B41" s="78" t="s">
        <v>280</v>
      </c>
      <c r="C41" s="79" t="n">
        <v>2023</v>
      </c>
      <c r="D41" s="79" t="n">
        <v>1</v>
      </c>
      <c r="E41" s="80" t="n">
        <v>45016</v>
      </c>
      <c r="F41" s="78" t="s">
        <v>253</v>
      </c>
      <c r="G41" s="78" t="s">
        <v>254</v>
      </c>
      <c r="H41" s="78" t="s">
        <v>250</v>
      </c>
      <c r="I41" s="81" t="n">
        <v>54209.447</v>
      </c>
      <c r="J41" s="81" t="n">
        <v>19224.44</v>
      </c>
      <c r="K41" s="81" t="n">
        <v>16183002000</v>
      </c>
      <c r="L41" s="82" t="n">
        <v>1.31</v>
      </c>
      <c r="M41" s="81" t="n">
        <v>12504.749</v>
      </c>
      <c r="N41" s="81" t="n">
        <v>0</v>
      </c>
      <c r="O41" s="81" t="n">
        <v>355205.636</v>
      </c>
      <c r="P41" s="82" t="n">
        <v>0</v>
      </c>
      <c r="Q41" s="82" t="n">
        <v>52.9</v>
      </c>
      <c r="R41" s="47" t="n">
        <v>14</v>
      </c>
      <c r="S41" s="66" t="s">
        <v>316</v>
      </c>
    </row>
    <row r="42" customFormat="false" ht="15" hidden="false" customHeight="false" outlineLevel="0" collapsed="false">
      <c r="A42" s="78" t="s">
        <v>208</v>
      </c>
      <c r="B42" s="78" t="s">
        <v>282</v>
      </c>
      <c r="C42" s="79" t="n">
        <v>2022</v>
      </c>
      <c r="D42" s="79" t="n">
        <v>4</v>
      </c>
      <c r="E42" s="80" t="n">
        <v>44926</v>
      </c>
      <c r="F42" s="78" t="s">
        <v>253</v>
      </c>
      <c r="G42" s="78" t="s">
        <v>254</v>
      </c>
      <c r="H42" s="78" t="s">
        <v>250</v>
      </c>
      <c r="I42" s="81" t="n">
        <v>67835.715</v>
      </c>
      <c r="J42" s="81" t="n">
        <v>29123.939</v>
      </c>
      <c r="K42" s="81" t="n">
        <v>19067756000</v>
      </c>
      <c r="L42" s="82" t="n">
        <v>1.55</v>
      </c>
      <c r="M42" s="81" t="n">
        <v>12504.749</v>
      </c>
      <c r="N42" s="81" t="n">
        <v>0</v>
      </c>
      <c r="O42" s="81" t="n">
        <v>335107.26</v>
      </c>
      <c r="P42" s="82" t="n">
        <v>0</v>
      </c>
      <c r="Q42" s="82" t="n">
        <v>40.7</v>
      </c>
      <c r="R42" s="47" t="n">
        <v>15</v>
      </c>
      <c r="S42" s="66" t="s">
        <v>317</v>
      </c>
    </row>
    <row r="43" customFormat="false" ht="15" hidden="false" customHeight="false" outlineLevel="0" collapsed="false">
      <c r="A43" s="78" t="s">
        <v>208</v>
      </c>
      <c r="B43" s="78" t="s">
        <v>284</v>
      </c>
      <c r="C43" s="79" t="n">
        <v>2022</v>
      </c>
      <c r="D43" s="79" t="n">
        <v>3</v>
      </c>
      <c r="E43" s="80" t="n">
        <v>44834</v>
      </c>
      <c r="F43" s="78" t="s">
        <v>253</v>
      </c>
      <c r="G43" s="78" t="s">
        <v>254</v>
      </c>
      <c r="H43" s="78" t="s">
        <v>250</v>
      </c>
      <c r="I43" s="81" t="n">
        <v>75391.589</v>
      </c>
      <c r="J43" s="81" t="n">
        <v>35663.931</v>
      </c>
      <c r="K43" s="81" t="n">
        <v>26996184000</v>
      </c>
      <c r="L43" s="82" t="n">
        <v>2.19</v>
      </c>
      <c r="M43" s="81" t="n">
        <v>12482.1235</v>
      </c>
      <c r="N43" s="81" t="n">
        <v>0</v>
      </c>
      <c r="O43" s="81" t="n">
        <v>314810.397</v>
      </c>
      <c r="P43" s="82" t="n">
        <v>0</v>
      </c>
      <c r="Q43" s="82" t="n">
        <v>35.75</v>
      </c>
      <c r="R43" s="47" t="n">
        <v>16</v>
      </c>
      <c r="S43" s="66" t="s">
        <v>318</v>
      </c>
    </row>
    <row r="44" customFormat="false" ht="15" hidden="false" customHeight="false" outlineLevel="0" collapsed="false">
      <c r="A44" s="78" t="s">
        <v>208</v>
      </c>
      <c r="B44" s="78" t="s">
        <v>286</v>
      </c>
      <c r="C44" s="79" t="n">
        <v>2022</v>
      </c>
      <c r="D44" s="79" t="n">
        <v>2</v>
      </c>
      <c r="E44" s="80" t="n">
        <v>44742</v>
      </c>
      <c r="F44" s="78" t="s">
        <v>253</v>
      </c>
      <c r="G44" s="78" t="s">
        <v>254</v>
      </c>
      <c r="H44" s="78" t="s">
        <v>250</v>
      </c>
      <c r="I44" s="81" t="n">
        <v>72055.14</v>
      </c>
      <c r="J44" s="81" t="n">
        <v>33472.177</v>
      </c>
      <c r="K44" s="81" t="n">
        <v>21326816000</v>
      </c>
      <c r="L44" s="82" t="n">
        <v>1.74</v>
      </c>
      <c r="M44" s="81" t="n">
        <v>12482.1235</v>
      </c>
      <c r="N44" s="81" t="n">
        <v>0</v>
      </c>
      <c r="O44" s="81" t="n">
        <v>282882.332</v>
      </c>
      <c r="P44" s="82" t="n">
        <v>3</v>
      </c>
      <c r="Q44" s="82" t="n">
        <v>39.15</v>
      </c>
      <c r="R44" s="47" t="n">
        <v>17</v>
      </c>
      <c r="S44" s="66" t="s">
        <v>319</v>
      </c>
    </row>
    <row r="45" customFormat="false" ht="15" hidden="false" customHeight="false" outlineLevel="0" collapsed="false">
      <c r="A45" s="78" t="s">
        <v>208</v>
      </c>
      <c r="B45" s="78" t="s">
        <v>288</v>
      </c>
      <c r="C45" s="79" t="n">
        <v>2022</v>
      </c>
      <c r="D45" s="79" t="n">
        <v>1</v>
      </c>
      <c r="E45" s="80" t="n">
        <v>44651</v>
      </c>
      <c r="F45" s="78" t="s">
        <v>253</v>
      </c>
      <c r="G45" s="78" t="s">
        <v>254</v>
      </c>
      <c r="H45" s="78" t="s">
        <v>250</v>
      </c>
      <c r="I45" s="81" t="n">
        <v>63422.82</v>
      </c>
      <c r="J45" s="81" t="n">
        <v>27504.33</v>
      </c>
      <c r="K45" s="81" t="n">
        <v>19807535000</v>
      </c>
      <c r="L45" s="82" t="n">
        <v>1.61</v>
      </c>
      <c r="M45" s="81" t="n">
        <v>12482.1235</v>
      </c>
      <c r="N45" s="81" t="n">
        <v>0</v>
      </c>
      <c r="O45" s="81" t="n">
        <v>301990.838</v>
      </c>
      <c r="P45" s="82" t="n">
        <v>0</v>
      </c>
      <c r="Q45" s="82" t="n">
        <v>54</v>
      </c>
      <c r="R45" s="47" t="n">
        <v>18</v>
      </c>
      <c r="S45" s="66" t="s">
        <v>320</v>
      </c>
    </row>
    <row r="46" customFormat="false" ht="15" hidden="false" customHeight="false" outlineLevel="0" collapsed="false">
      <c r="A46" s="78" t="s">
        <v>208</v>
      </c>
      <c r="B46" s="78" t="s">
        <v>290</v>
      </c>
      <c r="C46" s="79" t="n">
        <v>2021</v>
      </c>
      <c r="D46" s="79" t="n">
        <v>4</v>
      </c>
      <c r="E46" s="80" t="n">
        <v>44561</v>
      </c>
      <c r="F46" s="78" t="s">
        <v>253</v>
      </c>
      <c r="G46" s="78" t="s">
        <v>254</v>
      </c>
      <c r="H46" s="78" t="s">
        <v>250</v>
      </c>
      <c r="I46" s="81" t="n">
        <v>59099.588</v>
      </c>
      <c r="J46" s="81" t="n">
        <v>23103.344</v>
      </c>
      <c r="K46" s="81" t="n">
        <v>15949030000</v>
      </c>
      <c r="L46" s="82" t="n">
        <v>1.31</v>
      </c>
      <c r="M46" s="81" t="n">
        <v>12483.2476</v>
      </c>
      <c r="N46" s="81" t="n">
        <v>0</v>
      </c>
      <c r="O46" s="81" t="n">
        <v>280979.703</v>
      </c>
      <c r="P46" s="82" t="n">
        <v>0</v>
      </c>
      <c r="Q46" s="82" t="n">
        <v>65</v>
      </c>
      <c r="R46" s="47" t="n">
        <v>19</v>
      </c>
      <c r="S46" s="66" t="s">
        <v>321</v>
      </c>
    </row>
    <row r="47" customFormat="false" ht="15" hidden="false" customHeight="false" outlineLevel="0" collapsed="false">
      <c r="A47" s="78" t="s">
        <v>208</v>
      </c>
      <c r="B47" s="78" t="s">
        <v>292</v>
      </c>
      <c r="C47" s="79" t="n">
        <v>2021</v>
      </c>
      <c r="D47" s="79" t="n">
        <v>3</v>
      </c>
      <c r="E47" s="80" t="n">
        <v>44469</v>
      </c>
      <c r="F47" s="78" t="s">
        <v>253</v>
      </c>
      <c r="G47" s="78" t="s">
        <v>254</v>
      </c>
      <c r="H47" s="78" t="s">
        <v>250</v>
      </c>
      <c r="I47" s="81" t="n">
        <v>55906.677</v>
      </c>
      <c r="J47" s="81" t="n">
        <v>20544.011</v>
      </c>
      <c r="K47" s="81" t="n">
        <v>17460235000</v>
      </c>
      <c r="L47" s="82" t="n">
        <v>1.43</v>
      </c>
      <c r="M47" s="81" t="n">
        <v>12423.2695</v>
      </c>
      <c r="N47" s="81" t="n">
        <v>16078737</v>
      </c>
      <c r="O47" s="81" t="n">
        <v>257448.802</v>
      </c>
      <c r="P47" s="82" t="n">
        <v>1.5998882</v>
      </c>
      <c r="Q47" s="82" t="n">
        <v>64</v>
      </c>
      <c r="R47" s="47" t="n">
        <v>20</v>
      </c>
      <c r="S47" s="66" t="s">
        <v>322</v>
      </c>
    </row>
    <row r="48" customFormat="false" ht="15" hidden="false" customHeight="false" outlineLevel="0" collapsed="false">
      <c r="A48" s="78" t="s">
        <v>208</v>
      </c>
      <c r="B48" s="78" t="s">
        <v>294</v>
      </c>
      <c r="C48" s="79" t="n">
        <v>2021</v>
      </c>
      <c r="D48" s="79" t="n">
        <v>2</v>
      </c>
      <c r="E48" s="80" t="n">
        <v>44377</v>
      </c>
      <c r="F48" s="78" t="s">
        <v>253</v>
      </c>
      <c r="G48" s="78" t="s">
        <v>254</v>
      </c>
      <c r="H48" s="78" t="s">
        <v>250</v>
      </c>
      <c r="I48" s="81" t="n">
        <v>50907.741</v>
      </c>
      <c r="J48" s="81" t="n">
        <v>15907.972</v>
      </c>
      <c r="K48" s="81" t="n">
        <v>11943075000</v>
      </c>
      <c r="L48" s="82" t="n">
        <v>0.98</v>
      </c>
      <c r="M48" s="81" t="n">
        <v>12423.2695</v>
      </c>
      <c r="N48" s="81" t="n">
        <v>16078737</v>
      </c>
      <c r="O48" s="81" t="n">
        <v>240085.927</v>
      </c>
      <c r="P48" s="82" t="n">
        <v>0</v>
      </c>
      <c r="Q48" s="82" t="n">
        <v>53.1</v>
      </c>
      <c r="R48" s="47" t="n">
        <v>21</v>
      </c>
      <c r="S48" s="66" t="s">
        <v>323</v>
      </c>
    </row>
    <row r="49" customFormat="false" ht="15" hidden="false" customHeight="false" outlineLevel="0" collapsed="false">
      <c r="A49" s="78" t="s">
        <v>208</v>
      </c>
      <c r="B49" s="78" t="s">
        <v>296</v>
      </c>
      <c r="C49" s="79" t="n">
        <v>2021</v>
      </c>
      <c r="D49" s="79" t="n">
        <v>1</v>
      </c>
      <c r="E49" s="80" t="n">
        <v>44286</v>
      </c>
      <c r="F49" s="78" t="s">
        <v>253</v>
      </c>
      <c r="G49" s="78" t="s">
        <v>254</v>
      </c>
      <c r="H49" s="78" t="s">
        <v>250</v>
      </c>
      <c r="I49" s="81" t="n">
        <v>47097.012</v>
      </c>
      <c r="J49" s="81" t="n">
        <v>12494.302</v>
      </c>
      <c r="K49" s="81" t="n">
        <v>10427915000</v>
      </c>
      <c r="L49" s="82" t="n">
        <v>0.85</v>
      </c>
      <c r="M49" s="81" t="n">
        <v>12422.4015</v>
      </c>
      <c r="N49" s="81" t="n">
        <v>16078737</v>
      </c>
      <c r="O49" s="81" t="n">
        <v>249577.37</v>
      </c>
      <c r="P49" s="82" t="n">
        <v>0</v>
      </c>
      <c r="Q49" s="82" t="n">
        <v>50.2</v>
      </c>
      <c r="R49" s="47" t="n">
        <v>22</v>
      </c>
      <c r="S49" s="66" t="s">
        <v>324</v>
      </c>
    </row>
    <row r="50" customFormat="false" ht="15" hidden="false" customHeight="false" outlineLevel="0" collapsed="false">
      <c r="A50" s="78" t="s">
        <v>208</v>
      </c>
      <c r="B50" s="78" t="s">
        <v>298</v>
      </c>
      <c r="C50" s="79" t="n">
        <v>2020</v>
      </c>
      <c r="D50" s="79" t="n">
        <v>4</v>
      </c>
      <c r="E50" s="80" t="n">
        <v>44196</v>
      </c>
      <c r="F50" s="78" t="s">
        <v>253</v>
      </c>
      <c r="G50" s="78" t="s">
        <v>254</v>
      </c>
      <c r="H50" s="78" t="s">
        <v>250</v>
      </c>
      <c r="I50" s="81" t="n">
        <v>45296.353</v>
      </c>
      <c r="J50" s="81" t="n">
        <v>10848.092</v>
      </c>
      <c r="K50" s="81" t="n">
        <v>11195504000</v>
      </c>
      <c r="L50" s="82" t="n">
        <v>0.92</v>
      </c>
      <c r="M50" s="81" t="n">
        <v>12422.4015</v>
      </c>
      <c r="N50" s="81" t="n">
        <v>16078737</v>
      </c>
      <c r="O50" s="81" t="n">
        <v>235659.746</v>
      </c>
      <c r="P50" s="82" t="n">
        <v>0</v>
      </c>
      <c r="Q50" s="82" t="n">
        <v>47.15</v>
      </c>
      <c r="R50" s="47" t="n">
        <v>23</v>
      </c>
      <c r="S50" s="66" t="s">
        <v>325</v>
      </c>
    </row>
    <row r="51" customFormat="false" ht="15" hidden="false" customHeight="false" outlineLevel="0" collapsed="false">
      <c r="A51" s="78" t="s">
        <v>208</v>
      </c>
      <c r="B51" s="78" t="s">
        <v>300</v>
      </c>
      <c r="C51" s="79" t="n">
        <v>2020</v>
      </c>
      <c r="D51" s="79" t="n">
        <v>3</v>
      </c>
      <c r="E51" s="80" t="n">
        <v>44104</v>
      </c>
      <c r="F51" s="78" t="s">
        <v>253</v>
      </c>
      <c r="G51" s="78" t="s">
        <v>254</v>
      </c>
      <c r="H51" s="78" t="s">
        <v>250</v>
      </c>
      <c r="I51" s="81" t="n">
        <v>44870.454</v>
      </c>
      <c r="J51" s="81" t="n">
        <v>9769.269</v>
      </c>
      <c r="K51" s="81" t="n">
        <v>9106271000</v>
      </c>
      <c r="L51" s="82" t="n">
        <v>0.75</v>
      </c>
      <c r="M51" s="81" t="n">
        <v>12422.4015</v>
      </c>
      <c r="N51" s="81" t="n">
        <v>16078737</v>
      </c>
      <c r="O51" s="81" t="n">
        <v>220761.456</v>
      </c>
      <c r="P51" s="82"/>
      <c r="Q51" s="82" t="n">
        <v>28.55</v>
      </c>
      <c r="R51" s="47" t="n">
        <v>24</v>
      </c>
      <c r="S51" s="66" t="s">
        <v>326</v>
      </c>
    </row>
    <row r="52" customFormat="false" ht="15" hidden="false" customHeight="false" outlineLevel="0" collapsed="false">
      <c r="A52" s="78" t="s">
        <v>327</v>
      </c>
      <c r="B52" s="78" t="s">
        <v>247</v>
      </c>
      <c r="C52" s="79" t="n">
        <v>2026</v>
      </c>
      <c r="D52" s="79" t="n">
        <v>3</v>
      </c>
      <c r="E52" s="80" t="n">
        <v>46295</v>
      </c>
      <c r="F52" s="78" t="s">
        <v>248</v>
      </c>
      <c r="G52" s="78" t="s">
        <v>249</v>
      </c>
      <c r="H52" s="78" t="s">
        <v>250</v>
      </c>
      <c r="I52" s="81"/>
      <c r="J52" s="81"/>
      <c r="K52" s="81"/>
      <c r="L52" s="82" t="n">
        <v>5.29072</v>
      </c>
      <c r="M52" s="81"/>
      <c r="N52" s="81"/>
      <c r="O52" s="81"/>
      <c r="P52" s="82"/>
      <c r="Q52" s="82"/>
      <c r="R52" s="47" t="n">
        <v>0</v>
      </c>
      <c r="S52" s="66" t="s">
        <v>328</v>
      </c>
    </row>
    <row r="53" customFormat="false" ht="15" hidden="false" customHeight="false" outlineLevel="0" collapsed="false">
      <c r="A53" s="78" t="s">
        <v>327</v>
      </c>
      <c r="B53" s="78" t="s">
        <v>252</v>
      </c>
      <c r="C53" s="79" t="n">
        <v>2026</v>
      </c>
      <c r="D53" s="79" t="n">
        <v>2</v>
      </c>
      <c r="E53" s="80" t="n">
        <v>46203</v>
      </c>
      <c r="F53" s="78" t="s">
        <v>253</v>
      </c>
      <c r="G53" s="78" t="s">
        <v>254</v>
      </c>
      <c r="H53" s="78" t="s">
        <v>250</v>
      </c>
      <c r="I53" s="81" t="n">
        <v>44456.327</v>
      </c>
      <c r="J53" s="81" t="n">
        <v>17116.269</v>
      </c>
      <c r="K53" s="81" t="n">
        <v>9418316000</v>
      </c>
      <c r="L53" s="82" t="n">
        <v>4.59</v>
      </c>
      <c r="M53" s="81" t="n">
        <v>514.6827</v>
      </c>
      <c r="N53" s="81" t="n">
        <v>3833324</v>
      </c>
      <c r="O53" s="81" t="n">
        <v>176751.31</v>
      </c>
      <c r="P53" s="82" t="n">
        <v>5.99852571</v>
      </c>
      <c r="Q53" s="82" t="n">
        <v>1140</v>
      </c>
      <c r="R53" s="47" t="n">
        <v>1</v>
      </c>
      <c r="S53" s="66" t="s">
        <v>329</v>
      </c>
    </row>
    <row r="54" customFormat="false" ht="15" hidden="false" customHeight="false" outlineLevel="0" collapsed="false">
      <c r="A54" s="78" t="s">
        <v>327</v>
      </c>
      <c r="B54" s="78" t="s">
        <v>256</v>
      </c>
      <c r="C54" s="79" t="n">
        <v>2026</v>
      </c>
      <c r="D54" s="79" t="n">
        <v>1</v>
      </c>
      <c r="E54" s="80" t="n">
        <v>46112</v>
      </c>
      <c r="F54" s="78" t="s">
        <v>253</v>
      </c>
      <c r="G54" s="78" t="s">
        <v>254</v>
      </c>
      <c r="H54" s="78" t="s">
        <v>250</v>
      </c>
      <c r="I54" s="81" t="n">
        <v>38165.648</v>
      </c>
      <c r="J54" s="81" t="n">
        <v>14541.815</v>
      </c>
      <c r="K54" s="81" t="n">
        <v>8000823000</v>
      </c>
      <c r="L54" s="82" t="n">
        <v>3.9</v>
      </c>
      <c r="M54" s="81" t="n">
        <v>518.2415</v>
      </c>
      <c r="N54" s="81" t="n">
        <v>16568120</v>
      </c>
      <c r="O54" s="81" t="n">
        <v>166871.112</v>
      </c>
      <c r="P54" s="82" t="n">
        <v>0</v>
      </c>
      <c r="Q54" s="82" t="n">
        <v>243.5</v>
      </c>
      <c r="R54" s="47" t="n">
        <v>2</v>
      </c>
      <c r="S54" s="66" t="s">
        <v>330</v>
      </c>
    </row>
    <row r="55" customFormat="false" ht="15" hidden="false" customHeight="false" outlineLevel="0" collapsed="false">
      <c r="A55" s="78" t="s">
        <v>327</v>
      </c>
      <c r="B55" s="78" t="s">
        <v>258</v>
      </c>
      <c r="C55" s="79" t="n">
        <v>2025</v>
      </c>
      <c r="D55" s="79" t="n">
        <v>4</v>
      </c>
      <c r="E55" s="80" t="n">
        <v>46022</v>
      </c>
      <c r="F55" s="78" t="s">
        <v>253</v>
      </c>
      <c r="G55" s="78" t="s">
        <v>254</v>
      </c>
      <c r="H55" s="78" t="s">
        <v>250</v>
      </c>
      <c r="I55" s="81" t="n">
        <v>35968.221</v>
      </c>
      <c r="J55" s="81" t="n">
        <v>13417.22</v>
      </c>
      <c r="K55" s="81" t="n">
        <v>6750776000</v>
      </c>
      <c r="L55" s="82" t="n">
        <v>3.29</v>
      </c>
      <c r="M55" s="81" t="n">
        <v>518.2415</v>
      </c>
      <c r="N55" s="81" t="n">
        <v>16568120</v>
      </c>
      <c r="O55" s="81" t="n">
        <v>170877.823</v>
      </c>
      <c r="P55" s="82" t="n">
        <v>0</v>
      </c>
      <c r="Q55" s="82" t="n">
        <v>231</v>
      </c>
      <c r="R55" s="47" t="n">
        <v>3</v>
      </c>
      <c r="S55" s="66" t="s">
        <v>331</v>
      </c>
    </row>
    <row r="56" customFormat="false" ht="15" hidden="false" customHeight="false" outlineLevel="0" collapsed="false">
      <c r="A56" s="78" t="s">
        <v>327</v>
      </c>
      <c r="B56" s="78" t="s">
        <v>260</v>
      </c>
      <c r="C56" s="79" t="n">
        <v>2025</v>
      </c>
      <c r="D56" s="79" t="n">
        <v>3</v>
      </c>
      <c r="E56" s="80" t="n">
        <v>45930</v>
      </c>
      <c r="F56" s="78" t="s">
        <v>253</v>
      </c>
      <c r="G56" s="78" t="s">
        <v>254</v>
      </c>
      <c r="H56" s="78" t="s">
        <v>250</v>
      </c>
      <c r="I56" s="81" t="n">
        <v>33086.712</v>
      </c>
      <c r="J56" s="81" t="n">
        <v>11974.482</v>
      </c>
      <c r="K56" s="81" t="n">
        <v>6356104000</v>
      </c>
      <c r="L56" s="82" t="n">
        <v>3.1</v>
      </c>
      <c r="M56" s="81" t="n">
        <v>518.2415</v>
      </c>
      <c r="N56" s="81" t="n">
        <v>16568120</v>
      </c>
      <c r="O56" s="81" t="n">
        <v>157266.371</v>
      </c>
      <c r="P56" s="82" t="n">
        <v>0</v>
      </c>
      <c r="Q56" s="82" t="n">
        <v>170</v>
      </c>
      <c r="R56" s="47" t="n">
        <v>4</v>
      </c>
      <c r="S56" s="66" t="s">
        <v>332</v>
      </c>
    </row>
    <row r="57" customFormat="false" ht="15" hidden="false" customHeight="false" outlineLevel="0" collapsed="false">
      <c r="A57" s="78" t="s">
        <v>327</v>
      </c>
      <c r="B57" s="78" t="s">
        <v>262</v>
      </c>
      <c r="C57" s="79" t="n">
        <v>2025</v>
      </c>
      <c r="D57" s="79" t="n">
        <v>2</v>
      </c>
      <c r="E57" s="80" t="n">
        <v>45838</v>
      </c>
      <c r="F57" s="78" t="s">
        <v>253</v>
      </c>
      <c r="G57" s="78" t="s">
        <v>254</v>
      </c>
      <c r="H57" s="78" t="s">
        <v>250</v>
      </c>
      <c r="I57" s="81" t="n">
        <v>32771.388</v>
      </c>
      <c r="J57" s="81" t="n">
        <v>11652.187</v>
      </c>
      <c r="K57" s="81" t="n">
        <v>4997745000</v>
      </c>
      <c r="L57" s="82" t="n">
        <v>9.74</v>
      </c>
      <c r="M57" s="81" t="n">
        <v>518.2415</v>
      </c>
      <c r="N57" s="81" t="n">
        <v>4142030</v>
      </c>
      <c r="O57" s="81" t="n">
        <v>146917.248</v>
      </c>
      <c r="P57" s="82" t="n">
        <v>19.99501481</v>
      </c>
      <c r="Q57" s="82" t="n">
        <v>485</v>
      </c>
      <c r="R57" s="47" t="n">
        <v>5</v>
      </c>
      <c r="S57" s="66" t="s">
        <v>333</v>
      </c>
    </row>
    <row r="58" customFormat="false" ht="15" hidden="false" customHeight="false" outlineLevel="0" collapsed="false">
      <c r="A58" s="78" t="s">
        <v>327</v>
      </c>
      <c r="B58" s="78" t="s">
        <v>264</v>
      </c>
      <c r="C58" s="79" t="n">
        <v>2025</v>
      </c>
      <c r="D58" s="79" t="n">
        <v>1</v>
      </c>
      <c r="E58" s="80" t="n">
        <v>45747</v>
      </c>
      <c r="F58" s="78" t="s">
        <v>253</v>
      </c>
      <c r="G58" s="78" t="s">
        <v>254</v>
      </c>
      <c r="H58" s="78" t="s">
        <v>250</v>
      </c>
      <c r="I58" s="81" t="n">
        <v>31103.695</v>
      </c>
      <c r="J58" s="81" t="n">
        <v>11085.933</v>
      </c>
      <c r="K58" s="81" t="n">
        <v>5529604000</v>
      </c>
      <c r="L58" s="82" t="n">
        <v>10.77</v>
      </c>
      <c r="M58" s="81" t="n">
        <v>518.8164</v>
      </c>
      <c r="N58" s="81" t="n">
        <v>4142030</v>
      </c>
      <c r="O58" s="81" t="n">
        <v>159496.863</v>
      </c>
      <c r="P58" s="82" t="n">
        <v>0</v>
      </c>
      <c r="Q58" s="82" t="n">
        <v>481</v>
      </c>
      <c r="R58" s="47" t="n">
        <v>6</v>
      </c>
      <c r="S58" s="66" t="s">
        <v>334</v>
      </c>
    </row>
    <row r="59" customFormat="false" ht="15" hidden="false" customHeight="false" outlineLevel="0" collapsed="false">
      <c r="A59" s="78" t="s">
        <v>327</v>
      </c>
      <c r="B59" s="78" t="s">
        <v>266</v>
      </c>
      <c r="C59" s="79" t="n">
        <v>2024</v>
      </c>
      <c r="D59" s="79" t="n">
        <v>4</v>
      </c>
      <c r="E59" s="80" t="n">
        <v>45657</v>
      </c>
      <c r="F59" s="78" t="s">
        <v>253</v>
      </c>
      <c r="G59" s="78" t="s">
        <v>254</v>
      </c>
      <c r="H59" s="78" t="s">
        <v>250</v>
      </c>
      <c r="I59" s="81" t="n">
        <v>30005.958</v>
      </c>
      <c r="J59" s="81" t="n">
        <v>9953.188</v>
      </c>
      <c r="K59" s="81" t="n">
        <v>3645776000</v>
      </c>
      <c r="L59" s="82" t="n">
        <v>7.07</v>
      </c>
      <c r="M59" s="81" t="n">
        <v>518.8164</v>
      </c>
      <c r="N59" s="81" t="n">
        <v>4142030</v>
      </c>
      <c r="O59" s="81" t="n">
        <v>160461.209</v>
      </c>
      <c r="P59" s="82" t="n">
        <v>0</v>
      </c>
      <c r="Q59" s="82" t="n">
        <v>541</v>
      </c>
      <c r="R59" s="47" t="n">
        <v>7</v>
      </c>
      <c r="S59" s="66" t="s">
        <v>335</v>
      </c>
    </row>
    <row r="60" customFormat="false" ht="15" hidden="false" customHeight="false" outlineLevel="0" collapsed="false">
      <c r="A60" s="78" t="s">
        <v>327</v>
      </c>
      <c r="B60" s="78" t="s">
        <v>268</v>
      </c>
      <c r="C60" s="79" t="n">
        <v>2024</v>
      </c>
      <c r="D60" s="79" t="n">
        <v>3</v>
      </c>
      <c r="E60" s="80" t="n">
        <v>45565</v>
      </c>
      <c r="F60" s="78" t="s">
        <v>253</v>
      </c>
      <c r="G60" s="78" t="s">
        <v>254</v>
      </c>
      <c r="H60" s="78" t="s">
        <v>250</v>
      </c>
      <c r="I60" s="81" t="n">
        <v>31738.287</v>
      </c>
      <c r="J60" s="81" t="n">
        <v>11177.925</v>
      </c>
      <c r="K60" s="81" t="n">
        <v>5649171000</v>
      </c>
      <c r="L60" s="82" t="n">
        <v>11.01</v>
      </c>
      <c r="M60" s="81" t="n">
        <v>508.2851</v>
      </c>
      <c r="N60" s="81" t="n">
        <v>4142030</v>
      </c>
      <c r="O60" s="81" t="n">
        <v>152910.919</v>
      </c>
      <c r="P60" s="82" t="n">
        <v>0</v>
      </c>
      <c r="Q60" s="82" t="n">
        <v>623</v>
      </c>
      <c r="R60" s="47" t="n">
        <v>8</v>
      </c>
      <c r="S60" s="66" t="s">
        <v>336</v>
      </c>
    </row>
    <row r="61" customFormat="false" ht="15" hidden="false" customHeight="false" outlineLevel="0" collapsed="false">
      <c r="A61" s="78" t="s">
        <v>327</v>
      </c>
      <c r="B61" s="78" t="s">
        <v>270</v>
      </c>
      <c r="C61" s="79" t="n">
        <v>2024</v>
      </c>
      <c r="D61" s="79" t="n">
        <v>2</v>
      </c>
      <c r="E61" s="80" t="n">
        <v>45473</v>
      </c>
      <c r="F61" s="78" t="s">
        <v>253</v>
      </c>
      <c r="G61" s="78" t="s">
        <v>254</v>
      </c>
      <c r="H61" s="78" t="s">
        <v>250</v>
      </c>
      <c r="I61" s="81" t="n">
        <v>31417.937</v>
      </c>
      <c r="J61" s="81" t="n">
        <v>11038.249</v>
      </c>
      <c r="K61" s="81" t="n">
        <v>5452709000</v>
      </c>
      <c r="L61" s="82" t="n">
        <v>13.02</v>
      </c>
      <c r="M61" s="81" t="n">
        <v>423.1737</v>
      </c>
      <c r="N61" s="81" t="n">
        <v>3985760</v>
      </c>
      <c r="O61" s="81" t="n">
        <v>143954.739</v>
      </c>
      <c r="P61" s="82" t="n">
        <v>19.97238355</v>
      </c>
      <c r="Q61" s="82" t="n">
        <v>730</v>
      </c>
      <c r="R61" s="47" t="n">
        <v>9</v>
      </c>
      <c r="S61" s="66" t="s">
        <v>337</v>
      </c>
    </row>
    <row r="62" customFormat="false" ht="15" hidden="false" customHeight="false" outlineLevel="0" collapsed="false">
      <c r="A62" s="78" t="s">
        <v>327</v>
      </c>
      <c r="B62" s="78" t="s">
        <v>272</v>
      </c>
      <c r="C62" s="79" t="n">
        <v>2024</v>
      </c>
      <c r="D62" s="79" t="n">
        <v>1</v>
      </c>
      <c r="E62" s="80" t="n">
        <v>45382</v>
      </c>
      <c r="F62" s="78" t="s">
        <v>253</v>
      </c>
      <c r="G62" s="78" t="s">
        <v>254</v>
      </c>
      <c r="H62" s="78" t="s">
        <v>250</v>
      </c>
      <c r="I62" s="81" t="n">
        <v>28505.147</v>
      </c>
      <c r="J62" s="81" t="n">
        <v>9634.127</v>
      </c>
      <c r="K62" s="81" t="n">
        <v>4608828000</v>
      </c>
      <c r="L62" s="82" t="n">
        <v>11.02</v>
      </c>
      <c r="M62" s="81" t="n">
        <v>423.5407</v>
      </c>
      <c r="N62" s="81" t="n">
        <v>3985760</v>
      </c>
      <c r="O62" s="81" t="n">
        <v>136468.998</v>
      </c>
      <c r="P62" s="82" t="n">
        <v>0</v>
      </c>
      <c r="Q62" s="82" t="n">
        <v>591</v>
      </c>
      <c r="R62" s="47" t="n">
        <v>10</v>
      </c>
      <c r="S62" s="66" t="s">
        <v>338</v>
      </c>
    </row>
    <row r="63" customFormat="false" ht="15" hidden="false" customHeight="false" outlineLevel="0" collapsed="false">
      <c r="A63" s="78" t="s">
        <v>327</v>
      </c>
      <c r="B63" s="78" t="s">
        <v>274</v>
      </c>
      <c r="C63" s="79" t="n">
        <v>2023</v>
      </c>
      <c r="D63" s="79" t="n">
        <v>4</v>
      </c>
      <c r="E63" s="80" t="n">
        <v>45291</v>
      </c>
      <c r="F63" s="78" t="s">
        <v>253</v>
      </c>
      <c r="G63" s="78" t="s">
        <v>254</v>
      </c>
      <c r="H63" s="78" t="s">
        <v>250</v>
      </c>
      <c r="I63" s="81" t="n">
        <v>27361.435</v>
      </c>
      <c r="J63" s="81" t="n">
        <v>9431.041</v>
      </c>
      <c r="K63" s="81" t="n">
        <v>4756956000</v>
      </c>
      <c r="L63" s="82" t="n">
        <v>11.37</v>
      </c>
      <c r="M63" s="81" t="n">
        <v>423.1455</v>
      </c>
      <c r="N63" s="81" t="n">
        <v>3985760</v>
      </c>
      <c r="O63" s="81" t="n">
        <v>134612.467</v>
      </c>
      <c r="P63" s="82" t="n">
        <v>0</v>
      </c>
      <c r="Q63" s="82" t="n">
        <v>597</v>
      </c>
      <c r="R63" s="47" t="n">
        <v>11</v>
      </c>
      <c r="S63" s="66" t="s">
        <v>339</v>
      </c>
    </row>
    <row r="64" customFormat="false" ht="15" hidden="false" customHeight="false" outlineLevel="0" collapsed="false">
      <c r="A64" s="78" t="s">
        <v>327</v>
      </c>
      <c r="B64" s="78" t="s">
        <v>276</v>
      </c>
      <c r="C64" s="79" t="n">
        <v>2023</v>
      </c>
      <c r="D64" s="79" t="n">
        <v>3</v>
      </c>
      <c r="E64" s="80" t="n">
        <v>45199</v>
      </c>
      <c r="F64" s="78" t="s">
        <v>253</v>
      </c>
      <c r="G64" s="78" t="s">
        <v>254</v>
      </c>
      <c r="H64" s="78" t="s">
        <v>250</v>
      </c>
      <c r="I64" s="81" t="n">
        <v>27395.845</v>
      </c>
      <c r="J64" s="81" t="n">
        <v>9105.765</v>
      </c>
      <c r="K64" s="81" t="n">
        <v>4850617000</v>
      </c>
      <c r="L64" s="82" t="n">
        <v>11.6</v>
      </c>
      <c r="M64" s="81" t="n">
        <v>423.1453</v>
      </c>
      <c r="N64" s="81" t="n">
        <v>3985760</v>
      </c>
      <c r="O64" s="81" t="n">
        <v>136744.054</v>
      </c>
      <c r="P64" s="82" t="n">
        <v>9.99383643</v>
      </c>
      <c r="Q64" s="82" t="n">
        <v>525</v>
      </c>
      <c r="R64" s="47" t="n">
        <v>12</v>
      </c>
      <c r="S64" s="66" t="s">
        <v>340</v>
      </c>
    </row>
    <row r="65" customFormat="false" ht="15" hidden="false" customHeight="false" outlineLevel="0" collapsed="false">
      <c r="A65" s="78" t="s">
        <v>327</v>
      </c>
      <c r="B65" s="78" t="s">
        <v>278</v>
      </c>
      <c r="C65" s="79" t="n">
        <v>2023</v>
      </c>
      <c r="D65" s="79" t="n">
        <v>2</v>
      </c>
      <c r="E65" s="80" t="n">
        <v>45107</v>
      </c>
      <c r="F65" s="78" t="s">
        <v>253</v>
      </c>
      <c r="G65" s="78" t="s">
        <v>254</v>
      </c>
      <c r="H65" s="78" t="s">
        <v>250</v>
      </c>
      <c r="I65" s="81" t="n">
        <v>26756.512</v>
      </c>
      <c r="J65" s="81" t="n">
        <v>8876.66</v>
      </c>
      <c r="K65" s="81" t="n">
        <v>3729747000</v>
      </c>
      <c r="L65" s="82" t="n">
        <v>8.92</v>
      </c>
      <c r="M65" s="81" t="n">
        <v>422.1072</v>
      </c>
      <c r="N65" s="81" t="n">
        <v>3985760</v>
      </c>
      <c r="O65" s="81" t="n">
        <v>126803.482</v>
      </c>
      <c r="P65" s="82" t="n">
        <v>0</v>
      </c>
      <c r="Q65" s="82" t="n">
        <v>491.5</v>
      </c>
      <c r="R65" s="47" t="n">
        <v>13</v>
      </c>
      <c r="S65" s="66" t="s">
        <v>341</v>
      </c>
    </row>
    <row r="66" customFormat="false" ht="15" hidden="false" customHeight="false" outlineLevel="0" collapsed="false">
      <c r="A66" s="78" t="s">
        <v>327</v>
      </c>
      <c r="B66" s="78" t="s">
        <v>280</v>
      </c>
      <c r="C66" s="79" t="n">
        <v>2023</v>
      </c>
      <c r="D66" s="79" t="n">
        <v>1</v>
      </c>
      <c r="E66" s="80" t="n">
        <v>45016</v>
      </c>
      <c r="F66" s="78" t="s">
        <v>253</v>
      </c>
      <c r="G66" s="78" t="s">
        <v>254</v>
      </c>
      <c r="H66" s="78" t="s">
        <v>250</v>
      </c>
      <c r="I66" s="81" t="n">
        <v>26095.544</v>
      </c>
      <c r="J66" s="81" t="n">
        <v>8612.361</v>
      </c>
      <c r="K66" s="81" t="n">
        <v>4131526000</v>
      </c>
      <c r="L66" s="82" t="n">
        <v>9.9</v>
      </c>
      <c r="M66" s="81" t="n">
        <v>421.4542</v>
      </c>
      <c r="N66" s="81" t="n">
        <v>3985760</v>
      </c>
      <c r="O66" s="81" t="n">
        <v>121134.494</v>
      </c>
      <c r="P66" s="82" t="n">
        <v>0</v>
      </c>
      <c r="Q66" s="82" t="n">
        <v>529</v>
      </c>
      <c r="R66" s="47" t="n">
        <v>14</v>
      </c>
      <c r="S66" s="66" t="s">
        <v>342</v>
      </c>
    </row>
    <row r="67" customFormat="false" ht="15" hidden="false" customHeight="false" outlineLevel="0" collapsed="false">
      <c r="A67" s="78" t="s">
        <v>327</v>
      </c>
      <c r="B67" s="78" t="s">
        <v>282</v>
      </c>
      <c r="C67" s="79" t="n">
        <v>2022</v>
      </c>
      <c r="D67" s="79" t="n">
        <v>4</v>
      </c>
      <c r="E67" s="80" t="n">
        <v>44926</v>
      </c>
      <c r="F67" s="78" t="s">
        <v>253</v>
      </c>
      <c r="G67" s="78" t="s">
        <v>254</v>
      </c>
      <c r="H67" s="78" t="s">
        <v>250</v>
      </c>
      <c r="I67" s="81" t="n">
        <v>28835.178</v>
      </c>
      <c r="J67" s="81" t="n">
        <v>10525.01</v>
      </c>
      <c r="K67" s="81" t="n">
        <v>4163471000</v>
      </c>
      <c r="L67" s="82" t="n">
        <v>9.48</v>
      </c>
      <c r="M67" s="81" t="n">
        <v>421.2608</v>
      </c>
      <c r="N67" s="81" t="n">
        <v>3985760</v>
      </c>
      <c r="O67" s="81" t="n">
        <v>121344.357</v>
      </c>
      <c r="P67" s="82" t="n">
        <v>0</v>
      </c>
      <c r="Q67" s="82" t="n">
        <v>451</v>
      </c>
      <c r="R67" s="47" t="n">
        <v>15</v>
      </c>
      <c r="S67" s="66" t="s">
        <v>343</v>
      </c>
    </row>
    <row r="68" customFormat="false" ht="15" hidden="false" customHeight="false" outlineLevel="0" collapsed="false">
      <c r="A68" s="78" t="s">
        <v>327</v>
      </c>
      <c r="B68" s="78" t="s">
        <v>284</v>
      </c>
      <c r="C68" s="79" t="n">
        <v>2022</v>
      </c>
      <c r="D68" s="79" t="n">
        <v>3</v>
      </c>
      <c r="E68" s="80" t="n">
        <v>44834</v>
      </c>
      <c r="F68" s="78" t="s">
        <v>253</v>
      </c>
      <c r="G68" s="78" t="s">
        <v>254</v>
      </c>
      <c r="H68" s="78" t="s">
        <v>250</v>
      </c>
      <c r="I68" s="81" t="n">
        <v>30795.422</v>
      </c>
      <c r="J68" s="81" t="n">
        <v>11855.299</v>
      </c>
      <c r="K68" s="81" t="n">
        <v>6397381000</v>
      </c>
      <c r="L68" s="82" t="n">
        <v>12.1</v>
      </c>
      <c r="M68" s="81" t="n">
        <v>421.2608</v>
      </c>
      <c r="N68" s="81" t="n">
        <v>3985760</v>
      </c>
      <c r="O68" s="81" t="n">
        <v>119783.564</v>
      </c>
      <c r="P68" s="82" t="n">
        <v>10.10281345</v>
      </c>
      <c r="Q68" s="82" t="n">
        <v>269</v>
      </c>
      <c r="R68" s="47" t="n">
        <v>16</v>
      </c>
      <c r="S68" s="66" t="s">
        <v>344</v>
      </c>
    </row>
    <row r="69" customFormat="false" ht="15" hidden="false" customHeight="false" outlineLevel="0" collapsed="false">
      <c r="A69" s="78" t="s">
        <v>327</v>
      </c>
      <c r="B69" s="78" t="s">
        <v>286</v>
      </c>
      <c r="C69" s="79" t="n">
        <v>2022</v>
      </c>
      <c r="D69" s="79" t="n">
        <v>2</v>
      </c>
      <c r="E69" s="80" t="n">
        <v>44742</v>
      </c>
      <c r="F69" s="78" t="s">
        <v>253</v>
      </c>
      <c r="G69" s="78" t="s">
        <v>254</v>
      </c>
      <c r="H69" s="78" t="s">
        <v>250</v>
      </c>
      <c r="I69" s="81" t="n">
        <v>31322.107</v>
      </c>
      <c r="J69" s="81" t="n">
        <v>12152.977</v>
      </c>
      <c r="K69" s="81" t="n">
        <v>5927320000</v>
      </c>
      <c r="L69" s="82" t="n">
        <v>11.05</v>
      </c>
      <c r="M69" s="81" t="n">
        <v>544.06</v>
      </c>
      <c r="N69" s="81" t="n">
        <v>10507710</v>
      </c>
      <c r="O69" s="81" t="n">
        <v>110734.272</v>
      </c>
      <c r="P69" s="82" t="n">
        <v>0</v>
      </c>
      <c r="Q69" s="82" t="n">
        <v>308</v>
      </c>
      <c r="R69" s="47" t="n">
        <v>17</v>
      </c>
      <c r="S69" s="66" t="s">
        <v>345</v>
      </c>
    </row>
    <row r="70" customFormat="false" ht="15" hidden="false" customHeight="false" outlineLevel="0" collapsed="false">
      <c r="A70" s="78" t="s">
        <v>327</v>
      </c>
      <c r="B70" s="78" t="s">
        <v>288</v>
      </c>
      <c r="C70" s="79" t="n">
        <v>2022</v>
      </c>
      <c r="D70" s="79" t="n">
        <v>1</v>
      </c>
      <c r="E70" s="80" t="n">
        <v>44651</v>
      </c>
      <c r="F70" s="78" t="s">
        <v>253</v>
      </c>
      <c r="G70" s="78" t="s">
        <v>254</v>
      </c>
      <c r="H70" s="78" t="s">
        <v>250</v>
      </c>
      <c r="I70" s="81" t="n">
        <v>30134.218</v>
      </c>
      <c r="J70" s="81" t="n">
        <v>11485.468</v>
      </c>
      <c r="K70" s="81" t="n">
        <v>6242293000</v>
      </c>
      <c r="L70" s="82" t="n">
        <v>11.59</v>
      </c>
      <c r="M70" s="81" t="n">
        <v>543.6982</v>
      </c>
      <c r="N70" s="81" t="n">
        <v>5007710</v>
      </c>
      <c r="O70" s="81" t="n">
        <v>104668.281</v>
      </c>
      <c r="P70" s="82" t="n">
        <v>0</v>
      </c>
      <c r="Q70" s="82" t="n">
        <v>434</v>
      </c>
      <c r="R70" s="47" t="n">
        <v>18</v>
      </c>
      <c r="S70" s="66" t="s">
        <v>346</v>
      </c>
    </row>
    <row r="71" customFormat="false" ht="15" hidden="false" customHeight="false" outlineLevel="0" collapsed="false">
      <c r="A71" s="78" t="s">
        <v>327</v>
      </c>
      <c r="B71" s="78" t="s">
        <v>290</v>
      </c>
      <c r="C71" s="79" t="n">
        <v>2021</v>
      </c>
      <c r="D71" s="79" t="n">
        <v>4</v>
      </c>
      <c r="E71" s="80" t="n">
        <v>44561</v>
      </c>
      <c r="F71" s="78" t="s">
        <v>253</v>
      </c>
      <c r="G71" s="78" t="s">
        <v>254</v>
      </c>
      <c r="H71" s="78" t="s">
        <v>250</v>
      </c>
      <c r="I71" s="81" t="n">
        <v>25690.047</v>
      </c>
      <c r="J71" s="81" t="n">
        <v>10277.127</v>
      </c>
      <c r="K71" s="81" t="n">
        <v>4736464000</v>
      </c>
      <c r="L71" s="82" t="n">
        <v>9.63</v>
      </c>
      <c r="M71" s="81" t="n">
        <v>495.9189</v>
      </c>
      <c r="N71" s="81" t="n">
        <v>4000000</v>
      </c>
      <c r="O71" s="81" t="n">
        <v>79416.558</v>
      </c>
      <c r="P71" s="82" t="n">
        <v>0</v>
      </c>
      <c r="Q71" s="82" t="n">
        <v>479.5</v>
      </c>
      <c r="R71" s="47" t="n">
        <v>19</v>
      </c>
      <c r="S71" s="66" t="s">
        <v>347</v>
      </c>
    </row>
    <row r="72" customFormat="false" ht="15" hidden="false" customHeight="false" outlineLevel="0" collapsed="false">
      <c r="A72" s="78" t="s">
        <v>327</v>
      </c>
      <c r="B72" s="78" t="s">
        <v>292</v>
      </c>
      <c r="C72" s="79" t="n">
        <v>2021</v>
      </c>
      <c r="D72" s="79" t="n">
        <v>3</v>
      </c>
      <c r="E72" s="80" t="n">
        <v>44469</v>
      </c>
      <c r="F72" s="78" t="s">
        <v>253</v>
      </c>
      <c r="G72" s="78" t="s">
        <v>254</v>
      </c>
      <c r="H72" s="78" t="s">
        <v>250</v>
      </c>
      <c r="I72" s="81" t="n">
        <v>29388.741</v>
      </c>
      <c r="J72" s="81" t="n">
        <v>12083.258</v>
      </c>
      <c r="K72" s="81" t="n">
        <v>6829687000</v>
      </c>
      <c r="L72" s="82" t="n">
        <v>13.88</v>
      </c>
      <c r="M72" s="81" t="n">
        <v>495.9189</v>
      </c>
      <c r="N72" s="81" t="n">
        <v>4000000</v>
      </c>
      <c r="O72" s="81" t="n">
        <v>74941.127</v>
      </c>
      <c r="P72" s="82" t="n">
        <v>10.08131421</v>
      </c>
      <c r="Q72" s="82" t="n">
        <v>442.5</v>
      </c>
      <c r="R72" s="47" t="n">
        <v>20</v>
      </c>
      <c r="S72" s="66" t="s">
        <v>348</v>
      </c>
    </row>
    <row r="73" customFormat="false" ht="15" hidden="false" customHeight="false" outlineLevel="0" collapsed="false">
      <c r="A73" s="78" t="s">
        <v>327</v>
      </c>
      <c r="B73" s="78" t="s">
        <v>294</v>
      </c>
      <c r="C73" s="79" t="n">
        <v>2021</v>
      </c>
      <c r="D73" s="79" t="n">
        <v>2</v>
      </c>
      <c r="E73" s="80" t="n">
        <v>44377</v>
      </c>
      <c r="F73" s="78" t="s">
        <v>253</v>
      </c>
      <c r="G73" s="78" t="s">
        <v>254</v>
      </c>
      <c r="H73" s="78" t="s">
        <v>250</v>
      </c>
      <c r="I73" s="81" t="n">
        <v>27711.544</v>
      </c>
      <c r="J73" s="81" t="n">
        <v>11338.39</v>
      </c>
      <c r="K73" s="81" t="n">
        <v>6312398000</v>
      </c>
      <c r="L73" s="82" t="n">
        <v>12.82</v>
      </c>
      <c r="M73" s="81" t="n">
        <v>498.8839</v>
      </c>
      <c r="N73" s="81" t="n">
        <v>6965000</v>
      </c>
      <c r="O73" s="81" t="n">
        <v>68808.966</v>
      </c>
      <c r="P73" s="82" t="n">
        <v>0</v>
      </c>
      <c r="Q73" s="82" t="n">
        <v>0</v>
      </c>
      <c r="R73" s="47" t="n">
        <v>21</v>
      </c>
      <c r="S73" s="66" t="s">
        <v>349</v>
      </c>
    </row>
    <row r="74" customFormat="false" ht="15" hidden="false" customHeight="false" outlineLevel="0" collapsed="false">
      <c r="A74" s="78" t="s">
        <v>327</v>
      </c>
      <c r="B74" s="78" t="s">
        <v>296</v>
      </c>
      <c r="C74" s="79" t="n">
        <v>2021</v>
      </c>
      <c r="D74" s="79" t="n">
        <v>1</v>
      </c>
      <c r="E74" s="80" t="n">
        <v>44286</v>
      </c>
      <c r="F74" s="78" t="s">
        <v>253</v>
      </c>
      <c r="G74" s="78" t="s">
        <v>254</v>
      </c>
      <c r="H74" s="78" t="s">
        <v>250</v>
      </c>
      <c r="I74" s="81" t="n">
        <v>23749.028</v>
      </c>
      <c r="J74" s="81" t="n">
        <v>9295.535</v>
      </c>
      <c r="K74" s="81" t="n">
        <v>5023997000</v>
      </c>
      <c r="L74" s="82" t="n">
        <v>10.17</v>
      </c>
      <c r="M74" s="81" t="n">
        <v>496.9841</v>
      </c>
      <c r="N74" s="81" t="n">
        <v>2965000</v>
      </c>
      <c r="O74" s="81" t="n">
        <v>73775.545</v>
      </c>
      <c r="P74" s="82" t="n">
        <v>0</v>
      </c>
      <c r="Q74" s="82" t="n">
        <v>553</v>
      </c>
      <c r="R74" s="47" t="n">
        <v>22</v>
      </c>
      <c r="S74" s="66" t="s">
        <v>350</v>
      </c>
    </row>
    <row r="75" customFormat="false" ht="15" hidden="false" customHeight="false" outlineLevel="0" collapsed="false">
      <c r="A75" s="78" t="s">
        <v>327</v>
      </c>
      <c r="B75" s="78" t="s">
        <v>298</v>
      </c>
      <c r="C75" s="79" t="n">
        <v>2020</v>
      </c>
      <c r="D75" s="79" t="n">
        <v>4</v>
      </c>
      <c r="E75" s="80" t="n">
        <v>44196</v>
      </c>
      <c r="F75" s="78" t="s">
        <v>253</v>
      </c>
      <c r="G75" s="78" t="s">
        <v>254</v>
      </c>
      <c r="H75" s="78" t="s">
        <v>250</v>
      </c>
      <c r="I75" s="81" t="n">
        <v>22225.455</v>
      </c>
      <c r="J75" s="81" t="n">
        <v>8444.124</v>
      </c>
      <c r="K75" s="81" t="n">
        <v>3707295000</v>
      </c>
      <c r="L75" s="82" t="n">
        <v>7.55</v>
      </c>
      <c r="M75" s="81" t="n">
        <v>496.9433</v>
      </c>
      <c r="N75" s="81" t="n">
        <v>2965000</v>
      </c>
      <c r="O75" s="81" t="n">
        <v>69460.862</v>
      </c>
      <c r="P75" s="82" t="n">
        <v>0</v>
      </c>
      <c r="Q75" s="82" t="n">
        <v>518</v>
      </c>
      <c r="R75" s="47" t="n">
        <v>23</v>
      </c>
      <c r="S75" s="66" t="s">
        <v>351</v>
      </c>
    </row>
    <row r="76" customFormat="false" ht="15" hidden="false" customHeight="false" outlineLevel="0" collapsed="false">
      <c r="A76" s="78" t="s">
        <v>327</v>
      </c>
      <c r="B76" s="78" t="s">
        <v>300</v>
      </c>
      <c r="C76" s="79" t="n">
        <v>2020</v>
      </c>
      <c r="D76" s="79" t="n">
        <v>3</v>
      </c>
      <c r="E76" s="80" t="n">
        <v>44104</v>
      </c>
      <c r="F76" s="78" t="s">
        <v>253</v>
      </c>
      <c r="G76" s="78" t="s">
        <v>254</v>
      </c>
      <c r="H76" s="78" t="s">
        <v>250</v>
      </c>
      <c r="I76" s="81" t="n">
        <v>21953.457</v>
      </c>
      <c r="J76" s="81" t="n">
        <v>8202.696</v>
      </c>
      <c r="K76" s="81" t="n">
        <v>3627326000</v>
      </c>
      <c r="L76" s="82" t="n">
        <v>7.37</v>
      </c>
      <c r="M76" s="81" t="n">
        <v>495.8754</v>
      </c>
      <c r="N76" s="81" t="n">
        <v>2965000</v>
      </c>
      <c r="O76" s="81" t="n">
        <v>66912.518</v>
      </c>
      <c r="P76" s="82"/>
      <c r="Q76" s="82" t="n">
        <v>351.5</v>
      </c>
      <c r="R76" s="47" t="n">
        <v>24</v>
      </c>
      <c r="S76" s="66" t="s">
        <v>352</v>
      </c>
    </row>
    <row r="77" customFormat="false" ht="15" hidden="false" customHeight="false" outlineLevel="0" collapsed="false">
      <c r="A77" s="78" t="s">
        <v>167</v>
      </c>
      <c r="B77" s="78" t="s">
        <v>247</v>
      </c>
      <c r="C77" s="79" t="n">
        <v>2026</v>
      </c>
      <c r="D77" s="79" t="n">
        <v>3</v>
      </c>
      <c r="E77" s="80" t="n">
        <v>46295</v>
      </c>
      <c r="F77" s="78" t="s">
        <v>248</v>
      </c>
      <c r="G77" s="78" t="s">
        <v>249</v>
      </c>
      <c r="H77" s="78" t="s">
        <v>250</v>
      </c>
      <c r="I77" s="81"/>
      <c r="J77" s="81"/>
      <c r="K77" s="81"/>
      <c r="L77" s="82" t="n">
        <v>28.19147</v>
      </c>
      <c r="M77" s="81"/>
      <c r="N77" s="81"/>
      <c r="O77" s="81"/>
      <c r="P77" s="82"/>
      <c r="Q77" s="82"/>
      <c r="R77" s="47" t="n">
        <v>0</v>
      </c>
      <c r="S77" s="66" t="s">
        <v>353</v>
      </c>
    </row>
    <row r="78" customFormat="false" ht="15" hidden="false" customHeight="false" outlineLevel="0" collapsed="false">
      <c r="A78" s="78" t="s">
        <v>167</v>
      </c>
      <c r="B78" s="78" t="s">
        <v>252</v>
      </c>
      <c r="C78" s="79" t="n">
        <v>2026</v>
      </c>
      <c r="D78" s="79" t="n">
        <v>2</v>
      </c>
      <c r="E78" s="80" t="n">
        <v>46203</v>
      </c>
      <c r="F78" s="78" t="s">
        <v>253</v>
      </c>
      <c r="G78" s="78" t="s">
        <v>254</v>
      </c>
      <c r="H78" s="78" t="s">
        <v>250</v>
      </c>
      <c r="I78" s="81" t="n">
        <v>1270380.25</v>
      </c>
      <c r="J78" s="81" t="n">
        <v>860310.695</v>
      </c>
      <c r="K78" s="81" t="n">
        <v>706561938000</v>
      </c>
      <c r="L78" s="82" t="n">
        <v>27.25</v>
      </c>
      <c r="M78" s="81" t="n">
        <v>25932.3701</v>
      </c>
      <c r="N78" s="81" t="n">
        <v>0</v>
      </c>
      <c r="O78" s="81" t="n">
        <v>6432518.334</v>
      </c>
      <c r="P78" s="82" t="n">
        <v>6.00003573</v>
      </c>
      <c r="Q78" s="82" t="n">
        <v>2410</v>
      </c>
      <c r="R78" s="47" t="n">
        <v>1</v>
      </c>
      <c r="S78" s="66" t="s">
        <v>354</v>
      </c>
    </row>
    <row r="79" customFormat="false" ht="15" hidden="false" customHeight="false" outlineLevel="0" collapsed="false">
      <c r="A79" s="78" t="s">
        <v>167</v>
      </c>
      <c r="B79" s="78" t="s">
        <v>256</v>
      </c>
      <c r="C79" s="79" t="n">
        <v>2026</v>
      </c>
      <c r="D79" s="79" t="n">
        <v>1</v>
      </c>
      <c r="E79" s="80" t="n">
        <v>46112</v>
      </c>
      <c r="F79" s="78" t="s">
        <v>253</v>
      </c>
      <c r="G79" s="78" t="s">
        <v>254</v>
      </c>
      <c r="H79" s="78" t="s">
        <v>250</v>
      </c>
      <c r="I79" s="81" t="n">
        <v>1134103.44</v>
      </c>
      <c r="J79" s="81" t="n">
        <v>751295.421</v>
      </c>
      <c r="K79" s="81" t="n">
        <v>572479752000</v>
      </c>
      <c r="L79" s="82" t="n">
        <v>22.08</v>
      </c>
      <c r="M79" s="81" t="n">
        <v>25932.5245</v>
      </c>
      <c r="N79" s="81" t="n">
        <v>0</v>
      </c>
      <c r="O79" s="81" t="n">
        <v>5890960.252</v>
      </c>
      <c r="P79" s="82" t="n">
        <v>6.00003573</v>
      </c>
      <c r="Q79" s="82" t="n">
        <v>1760</v>
      </c>
      <c r="R79" s="47" t="n">
        <v>2</v>
      </c>
      <c r="S79" s="66" t="s">
        <v>355</v>
      </c>
    </row>
    <row r="80" customFormat="false" ht="15" hidden="false" customHeight="false" outlineLevel="0" collapsed="false">
      <c r="A80" s="78" t="s">
        <v>167</v>
      </c>
      <c r="B80" s="78" t="s">
        <v>258</v>
      </c>
      <c r="C80" s="79" t="n">
        <v>2025</v>
      </c>
      <c r="D80" s="79" t="n">
        <v>4</v>
      </c>
      <c r="E80" s="80" t="n">
        <v>46022</v>
      </c>
      <c r="F80" s="78" t="s">
        <v>253</v>
      </c>
      <c r="G80" s="78" t="s">
        <v>254</v>
      </c>
      <c r="H80" s="78" t="s">
        <v>250</v>
      </c>
      <c r="I80" s="81" t="n">
        <v>1046090.421</v>
      </c>
      <c r="J80" s="81" t="n">
        <v>651986.836</v>
      </c>
      <c r="K80" s="81" t="n">
        <v>505743990000</v>
      </c>
      <c r="L80" s="82" t="n">
        <v>19.51</v>
      </c>
      <c r="M80" s="81" t="n">
        <v>25932.5245</v>
      </c>
      <c r="N80" s="81" t="n">
        <v>0</v>
      </c>
      <c r="O80" s="81" t="n">
        <v>5419595.994</v>
      </c>
      <c r="P80" s="82" t="n">
        <v>5.00001118</v>
      </c>
      <c r="Q80" s="82" t="n">
        <v>1550</v>
      </c>
      <c r="R80" s="47" t="n">
        <v>3</v>
      </c>
      <c r="S80" s="66" t="s">
        <v>356</v>
      </c>
    </row>
    <row r="81" customFormat="false" ht="15" hidden="false" customHeight="false" outlineLevel="0" collapsed="false">
      <c r="A81" s="78" t="s">
        <v>167</v>
      </c>
      <c r="B81" s="78" t="s">
        <v>260</v>
      </c>
      <c r="C81" s="79" t="n">
        <v>2025</v>
      </c>
      <c r="D81" s="79" t="n">
        <v>3</v>
      </c>
      <c r="E81" s="80" t="n">
        <v>45930</v>
      </c>
      <c r="F81" s="78" t="s">
        <v>253</v>
      </c>
      <c r="G81" s="78" t="s">
        <v>254</v>
      </c>
      <c r="H81" s="78" t="s">
        <v>250</v>
      </c>
      <c r="I81" s="81" t="n">
        <v>989918.318</v>
      </c>
      <c r="J81" s="81" t="n">
        <v>588542.829</v>
      </c>
      <c r="K81" s="81" t="n">
        <v>452301407000</v>
      </c>
      <c r="L81" s="82" t="n">
        <v>17.44</v>
      </c>
      <c r="M81" s="81" t="n">
        <v>25932.5245</v>
      </c>
      <c r="N81" s="81" t="n">
        <v>0</v>
      </c>
      <c r="O81" s="81" t="n">
        <v>4998306.972</v>
      </c>
      <c r="P81" s="82" t="n">
        <v>5.00001754</v>
      </c>
      <c r="Q81" s="82" t="n">
        <v>1305</v>
      </c>
      <c r="R81" s="47" t="n">
        <v>4</v>
      </c>
      <c r="S81" s="66" t="s">
        <v>357</v>
      </c>
    </row>
    <row r="82" customFormat="false" ht="15" hidden="false" customHeight="false" outlineLevel="0" collapsed="false">
      <c r="A82" s="78" t="s">
        <v>167</v>
      </c>
      <c r="B82" s="78" t="s">
        <v>262</v>
      </c>
      <c r="C82" s="79" t="n">
        <v>2025</v>
      </c>
      <c r="D82" s="79" t="n">
        <v>2</v>
      </c>
      <c r="E82" s="80" t="n">
        <v>45838</v>
      </c>
      <c r="F82" s="78" t="s">
        <v>253</v>
      </c>
      <c r="G82" s="78" t="s">
        <v>254</v>
      </c>
      <c r="H82" s="78" t="s">
        <v>250</v>
      </c>
      <c r="I82" s="81" t="n">
        <v>933791.869</v>
      </c>
      <c r="J82" s="81" t="n">
        <v>547369.238</v>
      </c>
      <c r="K82" s="81" t="n">
        <v>398273102000</v>
      </c>
      <c r="L82" s="82" t="n">
        <v>15.36</v>
      </c>
      <c r="M82" s="81" t="n">
        <v>25932.6155</v>
      </c>
      <c r="N82" s="81" t="n">
        <v>0</v>
      </c>
      <c r="O82" s="81" t="n">
        <v>4581073.975</v>
      </c>
      <c r="P82" s="82" t="n">
        <v>4.50002042</v>
      </c>
      <c r="Q82" s="82" t="n">
        <v>1060</v>
      </c>
      <c r="R82" s="47" t="n">
        <v>5</v>
      </c>
      <c r="S82" s="66" t="s">
        <v>358</v>
      </c>
    </row>
    <row r="83" customFormat="false" ht="15" hidden="false" customHeight="false" outlineLevel="0" collapsed="false">
      <c r="A83" s="78" t="s">
        <v>167</v>
      </c>
      <c r="B83" s="78" t="s">
        <v>264</v>
      </c>
      <c r="C83" s="79" t="n">
        <v>2025</v>
      </c>
      <c r="D83" s="79" t="n">
        <v>1</v>
      </c>
      <c r="E83" s="80" t="n">
        <v>45747</v>
      </c>
      <c r="F83" s="78" t="s">
        <v>253</v>
      </c>
      <c r="G83" s="78" t="s">
        <v>254</v>
      </c>
      <c r="H83" s="78" t="s">
        <v>250</v>
      </c>
      <c r="I83" s="81" t="n">
        <v>839253.664</v>
      </c>
      <c r="J83" s="81" t="n">
        <v>493395.076</v>
      </c>
      <c r="K83" s="81" t="n">
        <v>361564128000</v>
      </c>
      <c r="L83" s="82" t="n">
        <v>13.95</v>
      </c>
      <c r="M83" s="81" t="n">
        <v>25932.7332</v>
      </c>
      <c r="N83" s="81" t="n">
        <v>0</v>
      </c>
      <c r="O83" s="81" t="n">
        <v>4564162.58</v>
      </c>
      <c r="P83" s="82" t="n">
        <v>4.50002042</v>
      </c>
      <c r="Q83" s="82" t="n">
        <v>910</v>
      </c>
      <c r="R83" s="47" t="n">
        <v>6</v>
      </c>
      <c r="S83" s="66" t="s">
        <v>359</v>
      </c>
    </row>
    <row r="84" customFormat="false" ht="15" hidden="false" customHeight="false" outlineLevel="0" collapsed="false">
      <c r="A84" s="78" t="s">
        <v>167</v>
      </c>
      <c r="B84" s="78" t="s">
        <v>266</v>
      </c>
      <c r="C84" s="79" t="n">
        <v>2024</v>
      </c>
      <c r="D84" s="79" t="n">
        <v>4</v>
      </c>
      <c r="E84" s="80" t="n">
        <v>45657</v>
      </c>
      <c r="F84" s="78" t="s">
        <v>253</v>
      </c>
      <c r="G84" s="78" t="s">
        <v>254</v>
      </c>
      <c r="H84" s="78" t="s">
        <v>250</v>
      </c>
      <c r="I84" s="81" t="n">
        <v>868461.178</v>
      </c>
      <c r="J84" s="81" t="n">
        <v>512378.151</v>
      </c>
      <c r="K84" s="81" t="n">
        <v>374679727000</v>
      </c>
      <c r="L84" s="82" t="n">
        <v>14.45</v>
      </c>
      <c r="M84" s="81" t="n">
        <v>25932.7332</v>
      </c>
      <c r="N84" s="81" t="n">
        <v>0</v>
      </c>
      <c r="O84" s="81" t="n">
        <v>4288545.167</v>
      </c>
      <c r="P84" s="82" t="n">
        <v>3.99963706</v>
      </c>
      <c r="Q84" s="82" t="n">
        <v>1075</v>
      </c>
      <c r="R84" s="47" t="n">
        <v>7</v>
      </c>
      <c r="S84" s="66" t="s">
        <v>360</v>
      </c>
    </row>
    <row r="85" customFormat="false" ht="15" hidden="false" customHeight="false" outlineLevel="0" collapsed="false">
      <c r="A85" s="78" t="s">
        <v>167</v>
      </c>
      <c r="B85" s="78" t="s">
        <v>268</v>
      </c>
      <c r="C85" s="79" t="n">
        <v>2024</v>
      </c>
      <c r="D85" s="79" t="n">
        <v>3</v>
      </c>
      <c r="E85" s="80" t="n">
        <v>45565</v>
      </c>
      <c r="F85" s="78" t="s">
        <v>253</v>
      </c>
      <c r="G85" s="78" t="s">
        <v>254</v>
      </c>
      <c r="H85" s="78" t="s">
        <v>250</v>
      </c>
      <c r="I85" s="81" t="n">
        <v>759692.143</v>
      </c>
      <c r="J85" s="81" t="n">
        <v>439345.666</v>
      </c>
      <c r="K85" s="81" t="n">
        <v>325257571000</v>
      </c>
      <c r="L85" s="82" t="n">
        <v>12.55</v>
      </c>
      <c r="M85" s="81" t="n">
        <v>25932.7332</v>
      </c>
      <c r="N85" s="81" t="n">
        <v>0</v>
      </c>
      <c r="O85" s="81" t="n">
        <v>3990019.153</v>
      </c>
      <c r="P85" s="82" t="n">
        <v>4.0001382</v>
      </c>
      <c r="Q85" s="82" t="n">
        <v>957</v>
      </c>
      <c r="R85" s="47" t="n">
        <v>8</v>
      </c>
      <c r="S85" s="66" t="s">
        <v>361</v>
      </c>
    </row>
    <row r="86" customFormat="false" ht="15" hidden="false" customHeight="false" outlineLevel="0" collapsed="false">
      <c r="A86" s="78" t="s">
        <v>167</v>
      </c>
      <c r="B86" s="78" t="s">
        <v>270</v>
      </c>
      <c r="C86" s="79" t="n">
        <v>2024</v>
      </c>
      <c r="D86" s="79" t="n">
        <v>2</v>
      </c>
      <c r="E86" s="80" t="n">
        <v>45473</v>
      </c>
      <c r="F86" s="78" t="s">
        <v>253</v>
      </c>
      <c r="G86" s="78" t="s">
        <v>254</v>
      </c>
      <c r="H86" s="78" t="s">
        <v>250</v>
      </c>
      <c r="I86" s="81" t="n">
        <v>673510.177</v>
      </c>
      <c r="J86" s="81" t="n">
        <v>358124.478</v>
      </c>
      <c r="K86" s="81" t="n">
        <v>247845528000</v>
      </c>
      <c r="L86" s="82" t="n">
        <v>9.56</v>
      </c>
      <c r="M86" s="81" t="n">
        <v>25933.6292</v>
      </c>
      <c r="N86" s="81" t="n">
        <v>3249000</v>
      </c>
      <c r="O86" s="81" t="n">
        <v>3791402.874</v>
      </c>
      <c r="P86" s="82" t="n">
        <v>3.49978969</v>
      </c>
      <c r="Q86" s="82" t="n">
        <v>966</v>
      </c>
      <c r="R86" s="47" t="n">
        <v>9</v>
      </c>
      <c r="S86" s="66" t="s">
        <v>362</v>
      </c>
    </row>
    <row r="87" customFormat="false" ht="15" hidden="false" customHeight="false" outlineLevel="0" collapsed="false">
      <c r="A87" s="78" t="s">
        <v>167</v>
      </c>
      <c r="B87" s="78" t="s">
        <v>272</v>
      </c>
      <c r="C87" s="79" t="n">
        <v>2024</v>
      </c>
      <c r="D87" s="79" t="n">
        <v>1</v>
      </c>
      <c r="E87" s="80" t="n">
        <v>45382</v>
      </c>
      <c r="F87" s="78" t="s">
        <v>253</v>
      </c>
      <c r="G87" s="78" t="s">
        <v>254</v>
      </c>
      <c r="H87" s="78" t="s">
        <v>250</v>
      </c>
      <c r="I87" s="81" t="n">
        <v>592644.201</v>
      </c>
      <c r="J87" s="81" t="n">
        <v>314505.269</v>
      </c>
      <c r="K87" s="81" t="n">
        <v>225484877000</v>
      </c>
      <c r="L87" s="82" t="n">
        <v>8.7</v>
      </c>
      <c r="M87" s="81" t="n">
        <v>25935.031</v>
      </c>
      <c r="N87" s="81" t="n">
        <v>0</v>
      </c>
      <c r="O87" s="81" t="n">
        <v>3635731.93</v>
      </c>
      <c r="P87" s="82" t="n">
        <v>3.49978969</v>
      </c>
      <c r="Q87" s="82" t="n">
        <v>779</v>
      </c>
      <c r="R87" s="47" t="n">
        <v>10</v>
      </c>
      <c r="S87" s="66" t="s">
        <v>363</v>
      </c>
    </row>
    <row r="88" customFormat="false" ht="15" hidden="false" customHeight="false" outlineLevel="0" collapsed="false">
      <c r="A88" s="78" t="s">
        <v>167</v>
      </c>
      <c r="B88" s="78" t="s">
        <v>274</v>
      </c>
      <c r="C88" s="79" t="n">
        <v>2023</v>
      </c>
      <c r="D88" s="79" t="n">
        <v>4</v>
      </c>
      <c r="E88" s="80" t="n">
        <v>45291</v>
      </c>
      <c r="F88" s="78" t="s">
        <v>253</v>
      </c>
      <c r="G88" s="78" t="s">
        <v>254</v>
      </c>
      <c r="H88" s="78" t="s">
        <v>250</v>
      </c>
      <c r="I88" s="81" t="n">
        <v>625528.856</v>
      </c>
      <c r="J88" s="81" t="n">
        <v>331767.925</v>
      </c>
      <c r="K88" s="81" t="n">
        <v>238712143000</v>
      </c>
      <c r="L88" s="82" t="n">
        <v>9.21</v>
      </c>
      <c r="M88" s="81" t="n">
        <v>25932.071</v>
      </c>
      <c r="N88" s="81" t="n">
        <v>0</v>
      </c>
      <c r="O88" s="81" t="n">
        <v>3458913.627</v>
      </c>
      <c r="P88" s="82" t="n">
        <v>3</v>
      </c>
      <c r="Q88" s="82" t="n">
        <v>593</v>
      </c>
      <c r="R88" s="47" t="n">
        <v>11</v>
      </c>
      <c r="S88" s="66" t="s">
        <v>364</v>
      </c>
    </row>
    <row r="89" customFormat="false" ht="15" hidden="false" customHeight="false" outlineLevel="0" collapsed="false">
      <c r="A89" s="78" t="s">
        <v>167</v>
      </c>
      <c r="B89" s="78" t="s">
        <v>276</v>
      </c>
      <c r="C89" s="79" t="n">
        <v>2023</v>
      </c>
      <c r="D89" s="79" t="n">
        <v>3</v>
      </c>
      <c r="E89" s="80" t="n">
        <v>45199</v>
      </c>
      <c r="F89" s="78" t="s">
        <v>253</v>
      </c>
      <c r="G89" s="78" t="s">
        <v>254</v>
      </c>
      <c r="H89" s="78" t="s">
        <v>250</v>
      </c>
      <c r="I89" s="81" t="n">
        <v>546732.758</v>
      </c>
      <c r="J89" s="81" t="n">
        <v>296642.464</v>
      </c>
      <c r="K89" s="81" t="n">
        <v>210999939000</v>
      </c>
      <c r="L89" s="82" t="n">
        <v>8.14</v>
      </c>
      <c r="M89" s="81" t="n">
        <v>25932.071</v>
      </c>
      <c r="N89" s="81" t="n">
        <v>0</v>
      </c>
      <c r="O89" s="81" t="n">
        <v>3348349.657</v>
      </c>
      <c r="P89" s="82" t="n">
        <v>3</v>
      </c>
      <c r="Q89" s="82" t="n">
        <v>523</v>
      </c>
      <c r="R89" s="47" t="n">
        <v>12</v>
      </c>
      <c r="S89" s="66" t="s">
        <v>365</v>
      </c>
    </row>
    <row r="90" customFormat="false" ht="15" hidden="false" customHeight="false" outlineLevel="0" collapsed="false">
      <c r="A90" s="78" t="s">
        <v>167</v>
      </c>
      <c r="B90" s="78" t="s">
        <v>278</v>
      </c>
      <c r="C90" s="79" t="n">
        <v>2023</v>
      </c>
      <c r="D90" s="79" t="n">
        <v>2</v>
      </c>
      <c r="E90" s="80" t="n">
        <v>45107</v>
      </c>
      <c r="F90" s="78" t="s">
        <v>253</v>
      </c>
      <c r="G90" s="78" t="s">
        <v>254</v>
      </c>
      <c r="H90" s="78" t="s">
        <v>250</v>
      </c>
      <c r="I90" s="81" t="n">
        <v>480841.254</v>
      </c>
      <c r="J90" s="81" t="n">
        <v>260199.847</v>
      </c>
      <c r="K90" s="81" t="n">
        <v>181799021000</v>
      </c>
      <c r="L90" s="82" t="n">
        <v>7.01</v>
      </c>
      <c r="M90" s="81" t="n">
        <v>25932.071</v>
      </c>
      <c r="N90" s="81" t="n">
        <v>0</v>
      </c>
      <c r="O90" s="81" t="n">
        <v>3188750.455</v>
      </c>
      <c r="P90" s="82" t="n">
        <v>2.74982072</v>
      </c>
      <c r="Q90" s="82" t="n">
        <v>576</v>
      </c>
      <c r="R90" s="47" t="n">
        <v>13</v>
      </c>
      <c r="S90" s="66" t="s">
        <v>366</v>
      </c>
    </row>
    <row r="91" customFormat="false" ht="15" hidden="false" customHeight="false" outlineLevel="0" collapsed="false">
      <c r="A91" s="78" t="s">
        <v>167</v>
      </c>
      <c r="B91" s="78" t="s">
        <v>280</v>
      </c>
      <c r="C91" s="79" t="n">
        <v>2023</v>
      </c>
      <c r="D91" s="79" t="n">
        <v>1</v>
      </c>
      <c r="E91" s="80" t="n">
        <v>45016</v>
      </c>
      <c r="F91" s="78" t="s">
        <v>253</v>
      </c>
      <c r="G91" s="78" t="s">
        <v>254</v>
      </c>
      <c r="H91" s="78" t="s">
        <v>250</v>
      </c>
      <c r="I91" s="81" t="n">
        <v>508632.973</v>
      </c>
      <c r="J91" s="81" t="n">
        <v>286500.392</v>
      </c>
      <c r="K91" s="81" t="n">
        <v>206986561000</v>
      </c>
      <c r="L91" s="82" t="n">
        <v>7.98</v>
      </c>
      <c r="M91" s="81" t="n">
        <v>25932.4905</v>
      </c>
      <c r="N91" s="81" t="n">
        <v>0</v>
      </c>
      <c r="O91" s="81" t="n">
        <v>3078233.958</v>
      </c>
      <c r="P91" s="82" t="n">
        <v>2.74982072</v>
      </c>
      <c r="Q91" s="82" t="n">
        <v>533</v>
      </c>
      <c r="R91" s="47" t="n">
        <v>14</v>
      </c>
      <c r="S91" s="66" t="s">
        <v>367</v>
      </c>
    </row>
    <row r="92" customFormat="false" ht="15" hidden="false" customHeight="false" outlineLevel="0" collapsed="false">
      <c r="A92" s="78" t="s">
        <v>167</v>
      </c>
      <c r="B92" s="78" t="s">
        <v>282</v>
      </c>
      <c r="C92" s="79" t="n">
        <v>2022</v>
      </c>
      <c r="D92" s="79" t="n">
        <v>4</v>
      </c>
      <c r="E92" s="80" t="n">
        <v>44926</v>
      </c>
      <c r="F92" s="78" t="s">
        <v>253</v>
      </c>
      <c r="G92" s="78" t="s">
        <v>254</v>
      </c>
      <c r="H92" s="78" t="s">
        <v>250</v>
      </c>
      <c r="I92" s="81" t="n">
        <v>625531.868</v>
      </c>
      <c r="J92" s="81" t="n">
        <v>389184.929</v>
      </c>
      <c r="K92" s="81" t="n">
        <v>295904177000</v>
      </c>
      <c r="L92" s="82" t="n">
        <v>11.41</v>
      </c>
      <c r="M92" s="81" t="n">
        <v>25930.3805</v>
      </c>
      <c r="N92" s="81" t="n">
        <v>0</v>
      </c>
      <c r="O92" s="81" t="n">
        <v>2945653.195</v>
      </c>
      <c r="P92" s="82" t="n">
        <v>2.75</v>
      </c>
      <c r="Q92" s="82" t="n">
        <v>448.5</v>
      </c>
      <c r="R92" s="47" t="n">
        <v>15</v>
      </c>
      <c r="S92" s="66" t="s">
        <v>368</v>
      </c>
    </row>
    <row r="93" customFormat="false" ht="15" hidden="false" customHeight="false" outlineLevel="0" collapsed="false">
      <c r="A93" s="78" t="s">
        <v>167</v>
      </c>
      <c r="B93" s="78" t="s">
        <v>284</v>
      </c>
      <c r="C93" s="79" t="n">
        <v>2022</v>
      </c>
      <c r="D93" s="79" t="n">
        <v>3</v>
      </c>
      <c r="E93" s="80" t="n">
        <v>44834</v>
      </c>
      <c r="F93" s="78" t="s">
        <v>253</v>
      </c>
      <c r="G93" s="78" t="s">
        <v>254</v>
      </c>
      <c r="H93" s="78" t="s">
        <v>250</v>
      </c>
      <c r="I93" s="81" t="n">
        <v>613142.743</v>
      </c>
      <c r="J93" s="81" t="n">
        <v>370498.717</v>
      </c>
      <c r="K93" s="81" t="n">
        <v>280865780000</v>
      </c>
      <c r="L93" s="82" t="n">
        <v>10.83</v>
      </c>
      <c r="M93" s="81" t="n">
        <v>25930.3805</v>
      </c>
      <c r="N93" s="81" t="n">
        <v>0</v>
      </c>
      <c r="O93" s="81" t="n">
        <v>2737974.306</v>
      </c>
      <c r="P93" s="82" t="n">
        <v>2.75</v>
      </c>
      <c r="Q93" s="82" t="n">
        <v>422</v>
      </c>
      <c r="R93" s="47" t="n">
        <v>16</v>
      </c>
      <c r="S93" s="66" t="s">
        <v>369</v>
      </c>
    </row>
    <row r="94" customFormat="false" ht="15" hidden="false" customHeight="false" outlineLevel="0" collapsed="false">
      <c r="A94" s="78" t="s">
        <v>167</v>
      </c>
      <c r="B94" s="78" t="s">
        <v>286</v>
      </c>
      <c r="C94" s="79" t="n">
        <v>2022</v>
      </c>
      <c r="D94" s="79" t="n">
        <v>2</v>
      </c>
      <c r="E94" s="80" t="n">
        <v>44742</v>
      </c>
      <c r="F94" s="78" t="s">
        <v>253</v>
      </c>
      <c r="G94" s="78" t="s">
        <v>254</v>
      </c>
      <c r="H94" s="78" t="s">
        <v>250</v>
      </c>
      <c r="I94" s="81" t="n">
        <v>534140.808</v>
      </c>
      <c r="J94" s="81" t="n">
        <v>315467.994</v>
      </c>
      <c r="K94" s="81" t="n">
        <v>237027317000</v>
      </c>
      <c r="L94" s="82" t="n">
        <v>9.14</v>
      </c>
      <c r="M94" s="81" t="n">
        <v>25930.3805</v>
      </c>
      <c r="N94" s="81" t="n">
        <v>0</v>
      </c>
      <c r="O94" s="81" t="n">
        <v>2496353.192</v>
      </c>
      <c r="P94" s="82" t="n">
        <v>2.75</v>
      </c>
      <c r="Q94" s="82" t="n">
        <v>476</v>
      </c>
      <c r="R94" s="47" t="n">
        <v>17</v>
      </c>
      <c r="S94" s="66" t="s">
        <v>370</v>
      </c>
    </row>
    <row r="95" customFormat="false" ht="15" hidden="false" customHeight="false" outlineLevel="0" collapsed="false">
      <c r="A95" s="78" t="s">
        <v>167</v>
      </c>
      <c r="B95" s="78" t="s">
        <v>288</v>
      </c>
      <c r="C95" s="79" t="n">
        <v>2022</v>
      </c>
      <c r="D95" s="79" t="n">
        <v>1</v>
      </c>
      <c r="E95" s="80" t="n">
        <v>44651</v>
      </c>
      <c r="F95" s="78" t="s">
        <v>253</v>
      </c>
      <c r="G95" s="78" t="s">
        <v>254</v>
      </c>
      <c r="H95" s="78" t="s">
        <v>250</v>
      </c>
      <c r="I95" s="81" t="n">
        <v>491075.873</v>
      </c>
      <c r="J95" s="81" t="n">
        <v>273203.166</v>
      </c>
      <c r="K95" s="81" t="n">
        <v>202732975000</v>
      </c>
      <c r="L95" s="82" t="n">
        <v>7.82</v>
      </c>
      <c r="M95" s="81" t="n">
        <v>25931.7675</v>
      </c>
      <c r="N95" s="81" t="n">
        <v>1387000</v>
      </c>
      <c r="O95" s="81" t="n">
        <v>2314430.096</v>
      </c>
      <c r="P95" s="82" t="n">
        <v>2.75</v>
      </c>
      <c r="Q95" s="82" t="n">
        <v>597</v>
      </c>
      <c r="R95" s="47" t="n">
        <v>18</v>
      </c>
      <c r="S95" s="66" t="s">
        <v>371</v>
      </c>
    </row>
    <row r="96" customFormat="false" ht="15" hidden="false" customHeight="false" outlineLevel="0" collapsed="false">
      <c r="A96" s="78" t="s">
        <v>167</v>
      </c>
      <c r="B96" s="78" t="s">
        <v>290</v>
      </c>
      <c r="C96" s="79" t="n">
        <v>2021</v>
      </c>
      <c r="D96" s="79" t="n">
        <v>4</v>
      </c>
      <c r="E96" s="80" t="n">
        <v>44561</v>
      </c>
      <c r="F96" s="78" t="s">
        <v>253</v>
      </c>
      <c r="G96" s="78" t="s">
        <v>254</v>
      </c>
      <c r="H96" s="78" t="s">
        <v>250</v>
      </c>
      <c r="I96" s="81" t="n">
        <v>438189.306</v>
      </c>
      <c r="J96" s="81" t="n">
        <v>230679.228</v>
      </c>
      <c r="K96" s="81" t="n">
        <v>166232291000</v>
      </c>
      <c r="L96" s="82" t="n">
        <v>6.42</v>
      </c>
      <c r="M96" s="81" t="n">
        <v>25930.3805</v>
      </c>
      <c r="N96" s="81" t="n">
        <v>0</v>
      </c>
      <c r="O96" s="81" t="n">
        <v>2168286.553</v>
      </c>
      <c r="P96" s="82" t="n">
        <v>2.75</v>
      </c>
      <c r="Q96" s="82" t="n">
        <v>615</v>
      </c>
      <c r="R96" s="47" t="n">
        <v>19</v>
      </c>
      <c r="S96" s="66" t="s">
        <v>372</v>
      </c>
    </row>
    <row r="97" customFormat="false" ht="15" hidden="false" customHeight="false" outlineLevel="0" collapsed="false">
      <c r="A97" s="78" t="s">
        <v>167</v>
      </c>
      <c r="B97" s="78" t="s">
        <v>292</v>
      </c>
      <c r="C97" s="79" t="n">
        <v>2021</v>
      </c>
      <c r="D97" s="79" t="n">
        <v>3</v>
      </c>
      <c r="E97" s="80" t="n">
        <v>44469</v>
      </c>
      <c r="F97" s="78" t="s">
        <v>253</v>
      </c>
      <c r="G97" s="78" t="s">
        <v>254</v>
      </c>
      <c r="H97" s="78" t="s">
        <v>250</v>
      </c>
      <c r="I97" s="81" t="n">
        <v>414670.379</v>
      </c>
      <c r="J97" s="81" t="n">
        <v>212848.684</v>
      </c>
      <c r="K97" s="81" t="n">
        <v>156258287000</v>
      </c>
      <c r="L97" s="82" t="n">
        <v>6.03</v>
      </c>
      <c r="M97" s="81" t="n">
        <v>25930.3805</v>
      </c>
      <c r="N97" s="81" t="n">
        <v>0</v>
      </c>
      <c r="O97" s="81" t="n">
        <v>2076020.062</v>
      </c>
      <c r="P97" s="82" t="n">
        <v>2.75</v>
      </c>
      <c r="Q97" s="82" t="n">
        <v>580</v>
      </c>
      <c r="R97" s="47" t="n">
        <v>20</v>
      </c>
      <c r="S97" s="66" t="s">
        <v>373</v>
      </c>
    </row>
    <row r="98" customFormat="false" ht="15" hidden="false" customHeight="false" outlineLevel="0" collapsed="false">
      <c r="A98" s="78" t="s">
        <v>167</v>
      </c>
      <c r="B98" s="78" t="s">
        <v>294</v>
      </c>
      <c r="C98" s="79" t="n">
        <v>2021</v>
      </c>
      <c r="D98" s="79" t="n">
        <v>2</v>
      </c>
      <c r="E98" s="80" t="n">
        <v>44377</v>
      </c>
      <c r="F98" s="78" t="s">
        <v>253</v>
      </c>
      <c r="G98" s="78" t="s">
        <v>254</v>
      </c>
      <c r="H98" s="78" t="s">
        <v>250</v>
      </c>
      <c r="I98" s="81" t="n">
        <v>372145.122</v>
      </c>
      <c r="J98" s="81" t="n">
        <v>186234.135</v>
      </c>
      <c r="K98" s="81" t="n">
        <v>134358942000</v>
      </c>
      <c r="L98" s="82" t="n">
        <v>5.18</v>
      </c>
      <c r="M98" s="81" t="n">
        <v>25930.3805</v>
      </c>
      <c r="N98" s="81" t="n">
        <v>0</v>
      </c>
      <c r="O98" s="81" t="n">
        <v>1991785.801</v>
      </c>
      <c r="P98" s="82" t="n">
        <v>2.5</v>
      </c>
      <c r="Q98" s="82" t="n">
        <v>595</v>
      </c>
      <c r="R98" s="47" t="n">
        <v>21</v>
      </c>
      <c r="S98" s="66" t="s">
        <v>374</v>
      </c>
    </row>
    <row r="99" customFormat="false" ht="15" hidden="false" customHeight="false" outlineLevel="0" collapsed="false">
      <c r="A99" s="78" t="s">
        <v>167</v>
      </c>
      <c r="B99" s="78" t="s">
        <v>296</v>
      </c>
      <c r="C99" s="79" t="n">
        <v>2021</v>
      </c>
      <c r="D99" s="79" t="n">
        <v>1</v>
      </c>
      <c r="E99" s="80" t="n">
        <v>44286</v>
      </c>
      <c r="F99" s="78" t="s">
        <v>253</v>
      </c>
      <c r="G99" s="78" t="s">
        <v>254</v>
      </c>
      <c r="H99" s="78" t="s">
        <v>250</v>
      </c>
      <c r="I99" s="81" t="n">
        <v>362410.23</v>
      </c>
      <c r="J99" s="81" t="n">
        <v>189775.219</v>
      </c>
      <c r="K99" s="81" t="n">
        <v>139690493000</v>
      </c>
      <c r="L99" s="82" t="n">
        <v>5.39</v>
      </c>
      <c r="M99" s="81" t="n">
        <v>25930.3805</v>
      </c>
      <c r="N99" s="81" t="n">
        <v>0</v>
      </c>
      <c r="O99" s="81" t="n">
        <v>1938936.396</v>
      </c>
      <c r="P99" s="82" t="n">
        <v>2.5</v>
      </c>
      <c r="Q99" s="82" t="n">
        <v>587</v>
      </c>
      <c r="R99" s="47" t="n">
        <v>22</v>
      </c>
      <c r="S99" s="66" t="s">
        <v>375</v>
      </c>
    </row>
    <row r="100" customFormat="false" ht="15" hidden="false" customHeight="false" outlineLevel="0" collapsed="false">
      <c r="A100" s="78" t="s">
        <v>167</v>
      </c>
      <c r="B100" s="78" t="s">
        <v>298</v>
      </c>
      <c r="C100" s="79" t="n">
        <v>2020</v>
      </c>
      <c r="D100" s="79" t="n">
        <v>4</v>
      </c>
      <c r="E100" s="80" t="n">
        <v>44196</v>
      </c>
      <c r="F100" s="78" t="s">
        <v>253</v>
      </c>
      <c r="G100" s="78" t="s">
        <v>254</v>
      </c>
      <c r="H100" s="78" t="s">
        <v>250</v>
      </c>
      <c r="I100" s="81" t="n">
        <v>361533.057</v>
      </c>
      <c r="J100" s="81" t="n">
        <v>195188.826</v>
      </c>
      <c r="K100" s="81" t="n">
        <v>142766434000</v>
      </c>
      <c r="L100" s="82" t="n">
        <v>5.5</v>
      </c>
      <c r="M100" s="81" t="n">
        <v>25930.3805</v>
      </c>
      <c r="N100" s="81" t="n">
        <v>0</v>
      </c>
      <c r="O100" s="81" t="n">
        <v>1849657.256</v>
      </c>
      <c r="P100" s="82" t="n">
        <v>2.5</v>
      </c>
      <c r="Q100" s="82" t="n">
        <v>530</v>
      </c>
      <c r="R100" s="47" t="n">
        <v>23</v>
      </c>
      <c r="S100" s="66" t="s">
        <v>376</v>
      </c>
    </row>
    <row r="101" customFormat="false" ht="15" hidden="false" customHeight="false" outlineLevel="0" collapsed="false">
      <c r="A101" s="78" t="s">
        <v>167</v>
      </c>
      <c r="B101" s="78" t="s">
        <v>300</v>
      </c>
      <c r="C101" s="79" t="n">
        <v>2020</v>
      </c>
      <c r="D101" s="79" t="n">
        <v>3</v>
      </c>
      <c r="E101" s="80" t="n">
        <v>44104</v>
      </c>
      <c r="F101" s="78" t="s">
        <v>253</v>
      </c>
      <c r="G101" s="78" t="s">
        <v>254</v>
      </c>
      <c r="H101" s="78" t="s">
        <v>250</v>
      </c>
      <c r="I101" s="81" t="n">
        <v>356426.204</v>
      </c>
      <c r="J101" s="81" t="n">
        <v>190480.67</v>
      </c>
      <c r="K101" s="81" t="n">
        <v>137310040000</v>
      </c>
      <c r="L101" s="82" t="n">
        <v>5.3</v>
      </c>
      <c r="M101" s="81" t="n">
        <v>25930.3805</v>
      </c>
      <c r="N101" s="81" t="n">
        <v>0</v>
      </c>
      <c r="O101" s="81" t="n">
        <v>1787361.029</v>
      </c>
      <c r="P101" s="82"/>
      <c r="Q101" s="82" t="n">
        <v>433</v>
      </c>
      <c r="R101" s="47" t="n">
        <v>24</v>
      </c>
      <c r="S101" s="66" t="s">
        <v>377</v>
      </c>
    </row>
    <row r="102" customFormat="false" ht="15" hidden="false" customHeight="false" outlineLevel="0" collapsed="false">
      <c r="A102" s="78" t="s">
        <v>224</v>
      </c>
      <c r="B102" s="78" t="s">
        <v>247</v>
      </c>
      <c r="C102" s="79" t="n">
        <v>2026</v>
      </c>
      <c r="D102" s="79" t="n">
        <v>3</v>
      </c>
      <c r="E102" s="80" t="n">
        <v>46295</v>
      </c>
      <c r="F102" s="78" t="s">
        <v>248</v>
      </c>
      <c r="G102" s="78" t="s">
        <v>249</v>
      </c>
      <c r="H102" s="78" t="s">
        <v>250</v>
      </c>
      <c r="I102" s="81"/>
      <c r="J102" s="81"/>
      <c r="K102" s="81"/>
      <c r="L102" s="82" t="n">
        <v>8.09903</v>
      </c>
      <c r="M102" s="81"/>
      <c r="N102" s="81"/>
      <c r="O102" s="81"/>
      <c r="P102" s="82"/>
      <c r="Q102" s="82"/>
      <c r="R102" s="47" t="n">
        <v>0</v>
      </c>
      <c r="S102" s="66" t="s">
        <v>378</v>
      </c>
    </row>
    <row r="103" customFormat="false" ht="15" hidden="false" customHeight="false" outlineLevel="0" collapsed="false">
      <c r="A103" s="78" t="s">
        <v>224</v>
      </c>
      <c r="B103" s="78" t="s">
        <v>252</v>
      </c>
      <c r="C103" s="79" t="n">
        <v>2026</v>
      </c>
      <c r="D103" s="79" t="n">
        <v>2</v>
      </c>
      <c r="E103" s="80" t="n">
        <v>46203</v>
      </c>
      <c r="F103" s="78" t="s">
        <v>253</v>
      </c>
      <c r="G103" s="78" t="s">
        <v>254</v>
      </c>
      <c r="H103" s="78" t="s">
        <v>250</v>
      </c>
      <c r="I103" s="81" t="n">
        <v>59843.265</v>
      </c>
      <c r="J103" s="81" t="n">
        <v>39645.28</v>
      </c>
      <c r="K103" s="81" t="n">
        <v>24317032000</v>
      </c>
      <c r="L103" s="82" t="n">
        <v>5.4</v>
      </c>
      <c r="M103" s="81" t="n">
        <v>4500.0002</v>
      </c>
      <c r="N103" s="81" t="n">
        <v>0</v>
      </c>
      <c r="O103" s="81" t="n">
        <v>165009.628</v>
      </c>
      <c r="P103" s="82" t="n">
        <v>0</v>
      </c>
      <c r="Q103" s="82" t="n">
        <v>207.5</v>
      </c>
      <c r="R103" s="47" t="n">
        <v>1</v>
      </c>
      <c r="S103" s="66" t="s">
        <v>379</v>
      </c>
    </row>
    <row r="104" customFormat="false" ht="15" hidden="false" customHeight="false" outlineLevel="0" collapsed="false">
      <c r="A104" s="78" t="s">
        <v>224</v>
      </c>
      <c r="B104" s="78" t="s">
        <v>256</v>
      </c>
      <c r="C104" s="79" t="n">
        <v>2026</v>
      </c>
      <c r="D104" s="79" t="n">
        <v>1</v>
      </c>
      <c r="E104" s="80" t="n">
        <v>46112</v>
      </c>
      <c r="F104" s="78" t="s">
        <v>253</v>
      </c>
      <c r="G104" s="78" t="s">
        <v>254</v>
      </c>
      <c r="H104" s="78" t="s">
        <v>250</v>
      </c>
      <c r="I104" s="81" t="n">
        <v>38253.064</v>
      </c>
      <c r="J104" s="81" t="n">
        <v>20415.002</v>
      </c>
      <c r="K104" s="81" t="n">
        <v>10114310000</v>
      </c>
      <c r="L104" s="82" t="n">
        <v>2.25</v>
      </c>
      <c r="M104" s="81" t="n">
        <v>4500.0002</v>
      </c>
      <c r="N104" s="81" t="n">
        <v>0</v>
      </c>
      <c r="O104" s="81" t="n">
        <v>116650.942</v>
      </c>
      <c r="P104" s="82" t="n">
        <v>0.5</v>
      </c>
      <c r="Q104" s="82" t="n">
        <v>90.2</v>
      </c>
      <c r="R104" s="47" t="n">
        <v>2</v>
      </c>
      <c r="S104" s="66" t="s">
        <v>380</v>
      </c>
    </row>
    <row r="105" customFormat="false" ht="15" hidden="false" customHeight="false" outlineLevel="0" collapsed="false">
      <c r="A105" s="78" t="s">
        <v>224</v>
      </c>
      <c r="B105" s="78" t="s">
        <v>258</v>
      </c>
      <c r="C105" s="79" t="n">
        <v>2025</v>
      </c>
      <c r="D105" s="79" t="n">
        <v>4</v>
      </c>
      <c r="E105" s="80" t="n">
        <v>46022</v>
      </c>
      <c r="F105" s="78" t="s">
        <v>253</v>
      </c>
      <c r="G105" s="78" t="s">
        <v>254</v>
      </c>
      <c r="H105" s="78" t="s">
        <v>250</v>
      </c>
      <c r="I105" s="81" t="n">
        <v>26625.074</v>
      </c>
      <c r="J105" s="81" t="n">
        <v>11146.215</v>
      </c>
      <c r="K105" s="81" t="n">
        <v>3422354000</v>
      </c>
      <c r="L105" s="82" t="n">
        <v>0.76</v>
      </c>
      <c r="M105" s="81" t="n">
        <v>4500.0002</v>
      </c>
      <c r="N105" s="81" t="n">
        <v>0</v>
      </c>
      <c r="O105" s="81" t="n">
        <v>107935.967</v>
      </c>
      <c r="P105" s="82" t="n">
        <v>0</v>
      </c>
      <c r="Q105" s="82" t="n">
        <v>82.6</v>
      </c>
      <c r="R105" s="47" t="n">
        <v>3</v>
      </c>
      <c r="S105" s="66" t="s">
        <v>381</v>
      </c>
    </row>
    <row r="106" customFormat="false" ht="15" hidden="false" customHeight="false" outlineLevel="0" collapsed="false">
      <c r="A106" s="78" t="s">
        <v>224</v>
      </c>
      <c r="B106" s="78" t="s">
        <v>260</v>
      </c>
      <c r="C106" s="79" t="n">
        <v>2025</v>
      </c>
      <c r="D106" s="79" t="n">
        <v>3</v>
      </c>
      <c r="E106" s="80" t="n">
        <v>45930</v>
      </c>
      <c r="F106" s="78" t="s">
        <v>253</v>
      </c>
      <c r="G106" s="78" t="s">
        <v>254</v>
      </c>
      <c r="H106" s="78" t="s">
        <v>250</v>
      </c>
      <c r="I106" s="81" t="n">
        <v>21770.523</v>
      </c>
      <c r="J106" s="81" t="n">
        <v>10165.529</v>
      </c>
      <c r="K106" s="81" t="n">
        <v>2943150000</v>
      </c>
      <c r="L106" s="82" t="n">
        <v>0.65</v>
      </c>
      <c r="M106" s="81" t="n">
        <v>4500.0002</v>
      </c>
      <c r="N106" s="81" t="n">
        <v>0</v>
      </c>
      <c r="O106" s="81" t="n">
        <v>94863.498</v>
      </c>
      <c r="P106" s="82" t="n">
        <v>0</v>
      </c>
      <c r="Q106" s="82" t="n">
        <v>34.05</v>
      </c>
      <c r="R106" s="47" t="n">
        <v>4</v>
      </c>
      <c r="S106" s="66" t="s">
        <v>382</v>
      </c>
    </row>
    <row r="107" customFormat="false" ht="15" hidden="false" customHeight="false" outlineLevel="0" collapsed="false">
      <c r="A107" s="78" t="s">
        <v>224</v>
      </c>
      <c r="B107" s="78" t="s">
        <v>262</v>
      </c>
      <c r="C107" s="79" t="n">
        <v>2025</v>
      </c>
      <c r="D107" s="79" t="n">
        <v>2</v>
      </c>
      <c r="E107" s="80" t="n">
        <v>45838</v>
      </c>
      <c r="F107" s="78" t="s">
        <v>253</v>
      </c>
      <c r="G107" s="78" t="s">
        <v>254</v>
      </c>
      <c r="H107" s="78" t="s">
        <v>250</v>
      </c>
      <c r="I107" s="81" t="n">
        <v>21017.957</v>
      </c>
      <c r="J107" s="81" t="n">
        <v>4762.616</v>
      </c>
      <c r="K107" s="81" t="n">
        <v>-1312433000</v>
      </c>
      <c r="L107" s="82" t="n">
        <v>-0.29</v>
      </c>
      <c r="M107" s="81" t="n">
        <v>4500.0002</v>
      </c>
      <c r="N107" s="81" t="n">
        <v>0</v>
      </c>
      <c r="O107" s="81" t="n">
        <v>87662.743</v>
      </c>
      <c r="P107" s="82" t="n">
        <v>0</v>
      </c>
      <c r="Q107" s="82" t="n">
        <v>20.15</v>
      </c>
      <c r="R107" s="47" t="n">
        <v>5</v>
      </c>
      <c r="S107" s="66" t="s">
        <v>383</v>
      </c>
    </row>
    <row r="108" customFormat="false" ht="15" hidden="false" customHeight="false" outlineLevel="0" collapsed="false">
      <c r="A108" s="78" t="s">
        <v>224</v>
      </c>
      <c r="B108" s="78" t="s">
        <v>264</v>
      </c>
      <c r="C108" s="79" t="n">
        <v>2025</v>
      </c>
      <c r="D108" s="79" t="n">
        <v>1</v>
      </c>
      <c r="E108" s="80" t="n">
        <v>45747</v>
      </c>
      <c r="F108" s="78" t="s">
        <v>253</v>
      </c>
      <c r="G108" s="78" t="s">
        <v>254</v>
      </c>
      <c r="H108" s="78" t="s">
        <v>250</v>
      </c>
      <c r="I108" s="81" t="n">
        <v>19992.617</v>
      </c>
      <c r="J108" s="81" t="n">
        <v>5121.768</v>
      </c>
      <c r="K108" s="81" t="n">
        <v>-1091142000</v>
      </c>
      <c r="L108" s="82" t="n">
        <v>-0.24</v>
      </c>
      <c r="M108" s="81" t="n">
        <v>4500.0002</v>
      </c>
      <c r="N108" s="81" t="n">
        <v>0</v>
      </c>
      <c r="O108" s="81" t="n">
        <v>90434.304</v>
      </c>
      <c r="P108" s="82" t="n">
        <v>0</v>
      </c>
      <c r="Q108" s="82" t="n">
        <v>17.55</v>
      </c>
      <c r="R108" s="47" t="n">
        <v>6</v>
      </c>
      <c r="S108" s="66" t="s">
        <v>384</v>
      </c>
    </row>
    <row r="109" customFormat="false" ht="15" hidden="false" customHeight="false" outlineLevel="0" collapsed="false">
      <c r="A109" s="78" t="s">
        <v>224</v>
      </c>
      <c r="B109" s="78" t="s">
        <v>266</v>
      </c>
      <c r="C109" s="79" t="n">
        <v>2024</v>
      </c>
      <c r="D109" s="79" t="n">
        <v>4</v>
      </c>
      <c r="E109" s="80" t="n">
        <v>45657</v>
      </c>
      <c r="F109" s="78" t="s">
        <v>253</v>
      </c>
      <c r="G109" s="78" t="s">
        <v>254</v>
      </c>
      <c r="H109" s="78" t="s">
        <v>250</v>
      </c>
      <c r="I109" s="81" t="n">
        <v>18692.003</v>
      </c>
      <c r="J109" s="81" t="n">
        <v>5081.24</v>
      </c>
      <c r="K109" s="81" t="n">
        <v>-648237000</v>
      </c>
      <c r="L109" s="82" t="n">
        <v>-0.15</v>
      </c>
      <c r="M109" s="81" t="n">
        <v>4500.0002</v>
      </c>
      <c r="N109" s="81" t="n">
        <v>0</v>
      </c>
      <c r="O109" s="81" t="n">
        <v>91651.488</v>
      </c>
      <c r="P109" s="82" t="n">
        <v>0</v>
      </c>
      <c r="Q109" s="82" t="n">
        <v>14.8</v>
      </c>
      <c r="R109" s="47" t="n">
        <v>7</v>
      </c>
      <c r="S109" s="66" t="s">
        <v>385</v>
      </c>
    </row>
    <row r="110" customFormat="false" ht="15" hidden="false" customHeight="false" outlineLevel="0" collapsed="false">
      <c r="A110" s="78" t="s">
        <v>224</v>
      </c>
      <c r="B110" s="78" t="s">
        <v>268</v>
      </c>
      <c r="C110" s="79" t="n">
        <v>2024</v>
      </c>
      <c r="D110" s="79" t="n">
        <v>3</v>
      </c>
      <c r="E110" s="80" t="n">
        <v>45565</v>
      </c>
      <c r="F110" s="78" t="s">
        <v>253</v>
      </c>
      <c r="G110" s="78" t="s">
        <v>254</v>
      </c>
      <c r="H110" s="78" t="s">
        <v>250</v>
      </c>
      <c r="I110" s="81" t="n">
        <v>21312.431</v>
      </c>
      <c r="J110" s="81" t="n">
        <v>6246.337</v>
      </c>
      <c r="K110" s="81" t="n">
        <v>-9437000</v>
      </c>
      <c r="L110" s="82" t="n">
        <v>0</v>
      </c>
      <c r="M110" s="81" t="n">
        <v>4500.0002</v>
      </c>
      <c r="N110" s="81" t="n">
        <v>0</v>
      </c>
      <c r="O110" s="81" t="n">
        <v>97569.716</v>
      </c>
      <c r="P110" s="82" t="n">
        <v>0</v>
      </c>
      <c r="Q110" s="82" t="n">
        <v>21.35</v>
      </c>
      <c r="R110" s="47" t="n">
        <v>8</v>
      </c>
      <c r="S110" s="66" t="s">
        <v>386</v>
      </c>
    </row>
    <row r="111" customFormat="false" ht="15" hidden="false" customHeight="false" outlineLevel="0" collapsed="false">
      <c r="A111" s="78" t="s">
        <v>224</v>
      </c>
      <c r="B111" s="78" t="s">
        <v>270</v>
      </c>
      <c r="C111" s="79" t="n">
        <v>2024</v>
      </c>
      <c r="D111" s="79" t="n">
        <v>2</v>
      </c>
      <c r="E111" s="80" t="n">
        <v>45473</v>
      </c>
      <c r="F111" s="78" t="s">
        <v>253</v>
      </c>
      <c r="G111" s="78" t="s">
        <v>254</v>
      </c>
      <c r="H111" s="78" t="s">
        <v>250</v>
      </c>
      <c r="I111" s="81" t="n">
        <v>21483.983</v>
      </c>
      <c r="J111" s="81" t="n">
        <v>7111.803</v>
      </c>
      <c r="K111" s="81" t="n">
        <v>1723022000</v>
      </c>
      <c r="L111" s="82" t="n">
        <v>0.41</v>
      </c>
      <c r="M111" s="81" t="n">
        <v>4180.0002</v>
      </c>
      <c r="N111" s="81" t="n">
        <v>0</v>
      </c>
      <c r="O111" s="81" t="n">
        <v>91613.794</v>
      </c>
      <c r="P111" s="82" t="n">
        <v>0</v>
      </c>
      <c r="Q111" s="82" t="n">
        <v>25.7</v>
      </c>
      <c r="R111" s="47" t="n">
        <v>9</v>
      </c>
      <c r="S111" s="66" t="s">
        <v>387</v>
      </c>
    </row>
    <row r="112" customFormat="false" ht="15" hidden="false" customHeight="false" outlineLevel="0" collapsed="false">
      <c r="A112" s="78" t="s">
        <v>224</v>
      </c>
      <c r="B112" s="78" t="s">
        <v>272</v>
      </c>
      <c r="C112" s="79" t="n">
        <v>2024</v>
      </c>
      <c r="D112" s="79" t="n">
        <v>1</v>
      </c>
      <c r="E112" s="80" t="n">
        <v>45382</v>
      </c>
      <c r="F112" s="78" t="s">
        <v>253</v>
      </c>
      <c r="G112" s="78" t="s">
        <v>254</v>
      </c>
      <c r="H112" s="78" t="s">
        <v>250</v>
      </c>
      <c r="I112" s="81" t="n">
        <v>20121.351</v>
      </c>
      <c r="J112" s="81" t="n">
        <v>5561.729</v>
      </c>
      <c r="K112" s="81" t="n">
        <v>-464347000</v>
      </c>
      <c r="L112" s="82" t="n">
        <v>-0.11</v>
      </c>
      <c r="M112" s="81" t="n">
        <v>4180.0002</v>
      </c>
      <c r="N112" s="81" t="n">
        <v>0</v>
      </c>
      <c r="O112" s="81" t="n">
        <v>90962.066</v>
      </c>
      <c r="P112" s="82" t="n">
        <v>0</v>
      </c>
      <c r="Q112" s="82" t="n">
        <v>27.2</v>
      </c>
      <c r="R112" s="47" t="n">
        <v>10</v>
      </c>
      <c r="S112" s="66" t="s">
        <v>388</v>
      </c>
    </row>
    <row r="113" customFormat="false" ht="15" hidden="false" customHeight="false" outlineLevel="0" collapsed="false">
      <c r="A113" s="78" t="s">
        <v>224</v>
      </c>
      <c r="B113" s="78" t="s">
        <v>274</v>
      </c>
      <c r="C113" s="79" t="n">
        <v>2023</v>
      </c>
      <c r="D113" s="79" t="n">
        <v>4</v>
      </c>
      <c r="E113" s="80" t="n">
        <v>45291</v>
      </c>
      <c r="F113" s="78" t="s">
        <v>253</v>
      </c>
      <c r="G113" s="78" t="s">
        <v>254</v>
      </c>
      <c r="H113" s="78" t="s">
        <v>250</v>
      </c>
      <c r="I113" s="81" t="n">
        <v>19173.669</v>
      </c>
      <c r="J113" s="81" t="n">
        <v>5457.778</v>
      </c>
      <c r="K113" s="81" t="n">
        <v>-374886000</v>
      </c>
      <c r="L113" s="82" t="n">
        <v>-0.1</v>
      </c>
      <c r="M113" s="81" t="n">
        <v>4180.0002</v>
      </c>
      <c r="N113" s="81" t="n">
        <v>0</v>
      </c>
      <c r="O113" s="81" t="n">
        <v>92296.817</v>
      </c>
      <c r="P113" s="82" t="n">
        <v>0</v>
      </c>
      <c r="Q113" s="82" t="n">
        <v>30.45</v>
      </c>
      <c r="R113" s="47" t="n">
        <v>11</v>
      </c>
      <c r="S113" s="66" t="s">
        <v>389</v>
      </c>
    </row>
    <row r="114" customFormat="false" ht="15" hidden="false" customHeight="false" outlineLevel="0" collapsed="false">
      <c r="A114" s="78" t="s">
        <v>224</v>
      </c>
      <c r="B114" s="78" t="s">
        <v>276</v>
      </c>
      <c r="C114" s="79" t="n">
        <v>2023</v>
      </c>
      <c r="D114" s="79" t="n">
        <v>3</v>
      </c>
      <c r="E114" s="80" t="n">
        <v>45199</v>
      </c>
      <c r="F114" s="78" t="s">
        <v>253</v>
      </c>
      <c r="G114" s="78" t="s">
        <v>254</v>
      </c>
      <c r="H114" s="78" t="s">
        <v>250</v>
      </c>
      <c r="I114" s="81" t="n">
        <v>19505.815</v>
      </c>
      <c r="J114" s="81" t="n">
        <v>6184.572</v>
      </c>
      <c r="K114" s="81" t="n">
        <v>-114113000</v>
      </c>
      <c r="L114" s="82" t="n">
        <v>-0.03</v>
      </c>
      <c r="M114" s="81" t="n">
        <v>3980.0002</v>
      </c>
      <c r="N114" s="81" t="n">
        <v>0</v>
      </c>
      <c r="O114" s="81" t="n">
        <v>86783.489</v>
      </c>
      <c r="P114" s="82" t="n">
        <v>1</v>
      </c>
      <c r="Q114" s="82" t="n">
        <v>25.3</v>
      </c>
      <c r="R114" s="47" t="n">
        <v>12</v>
      </c>
      <c r="S114" s="66" t="s">
        <v>390</v>
      </c>
    </row>
    <row r="115" customFormat="false" ht="15" hidden="false" customHeight="false" outlineLevel="0" collapsed="false">
      <c r="A115" s="78" t="s">
        <v>224</v>
      </c>
      <c r="B115" s="78" t="s">
        <v>278</v>
      </c>
      <c r="C115" s="79" t="n">
        <v>2023</v>
      </c>
      <c r="D115" s="79" t="n">
        <v>2</v>
      </c>
      <c r="E115" s="80" t="n">
        <v>45107</v>
      </c>
      <c r="F115" s="78" t="s">
        <v>253</v>
      </c>
      <c r="G115" s="78" t="s">
        <v>254</v>
      </c>
      <c r="H115" s="78" t="s">
        <v>250</v>
      </c>
      <c r="I115" s="81" t="n">
        <v>18810.867</v>
      </c>
      <c r="J115" s="81" t="n">
        <v>5893.789</v>
      </c>
      <c r="K115" s="81" t="n">
        <v>353644000</v>
      </c>
      <c r="L115" s="82" t="n">
        <v>0.09</v>
      </c>
      <c r="M115" s="81" t="n">
        <v>3980.0002</v>
      </c>
      <c r="N115" s="81" t="n">
        <v>0</v>
      </c>
      <c r="O115" s="81" t="n">
        <v>88716.295</v>
      </c>
      <c r="P115" s="82" t="n">
        <v>0</v>
      </c>
      <c r="Q115" s="82" t="n">
        <v>27.45</v>
      </c>
      <c r="R115" s="47" t="n">
        <v>13</v>
      </c>
      <c r="S115" s="66" t="s">
        <v>391</v>
      </c>
    </row>
    <row r="116" customFormat="false" ht="15" hidden="false" customHeight="false" outlineLevel="0" collapsed="false">
      <c r="A116" s="78" t="s">
        <v>224</v>
      </c>
      <c r="B116" s="78" t="s">
        <v>280</v>
      </c>
      <c r="C116" s="79" t="n">
        <v>2023</v>
      </c>
      <c r="D116" s="79" t="n">
        <v>1</v>
      </c>
      <c r="E116" s="80" t="n">
        <v>45016</v>
      </c>
      <c r="F116" s="78" t="s">
        <v>253</v>
      </c>
      <c r="G116" s="78" t="s">
        <v>254</v>
      </c>
      <c r="H116" s="78" t="s">
        <v>250</v>
      </c>
      <c r="I116" s="81" t="n">
        <v>17515.727</v>
      </c>
      <c r="J116" s="81" t="n">
        <v>4859.587</v>
      </c>
      <c r="K116" s="81" t="n">
        <v>-1011167000</v>
      </c>
      <c r="L116" s="82" t="n">
        <v>-0.25</v>
      </c>
      <c r="M116" s="81" t="n">
        <v>3980.0002</v>
      </c>
      <c r="N116" s="81" t="n">
        <v>0</v>
      </c>
      <c r="O116" s="81" t="n">
        <v>90999.102</v>
      </c>
      <c r="P116" s="82" t="n">
        <v>0</v>
      </c>
      <c r="Q116" s="82" t="n">
        <v>26.5</v>
      </c>
      <c r="R116" s="47" t="n">
        <v>14</v>
      </c>
      <c r="S116" s="66" t="s">
        <v>392</v>
      </c>
    </row>
    <row r="117" customFormat="false" ht="15" hidden="false" customHeight="false" outlineLevel="0" collapsed="false">
      <c r="A117" s="78" t="s">
        <v>224</v>
      </c>
      <c r="B117" s="78" t="s">
        <v>282</v>
      </c>
      <c r="C117" s="79" t="n">
        <v>2022</v>
      </c>
      <c r="D117" s="79" t="n">
        <v>4</v>
      </c>
      <c r="E117" s="80" t="n">
        <v>44926</v>
      </c>
      <c r="F117" s="78" t="s">
        <v>253</v>
      </c>
      <c r="G117" s="78" t="s">
        <v>254</v>
      </c>
      <c r="H117" s="78" t="s">
        <v>250</v>
      </c>
      <c r="I117" s="81" t="n">
        <v>19223.813</v>
      </c>
      <c r="J117" s="81" t="n">
        <v>7200.399</v>
      </c>
      <c r="K117" s="81" t="n">
        <v>546332000</v>
      </c>
      <c r="L117" s="82" t="n">
        <v>0.14</v>
      </c>
      <c r="M117" s="81" t="n">
        <v>3980.0002</v>
      </c>
      <c r="N117" s="81" t="n">
        <v>0</v>
      </c>
      <c r="O117" s="81" t="n">
        <v>94162.996</v>
      </c>
      <c r="P117" s="82" t="n">
        <v>0</v>
      </c>
      <c r="Q117" s="82" t="n">
        <v>19.6</v>
      </c>
      <c r="R117" s="47" t="n">
        <v>15</v>
      </c>
      <c r="S117" s="66" t="s">
        <v>393</v>
      </c>
    </row>
    <row r="118" customFormat="false" ht="15" hidden="false" customHeight="false" outlineLevel="0" collapsed="false">
      <c r="A118" s="78" t="s">
        <v>224</v>
      </c>
      <c r="B118" s="78" t="s">
        <v>284</v>
      </c>
      <c r="C118" s="79" t="n">
        <v>2022</v>
      </c>
      <c r="D118" s="79" t="n">
        <v>3</v>
      </c>
      <c r="E118" s="80" t="n">
        <v>44834</v>
      </c>
      <c r="F118" s="78" t="s">
        <v>253</v>
      </c>
      <c r="G118" s="78" t="s">
        <v>254</v>
      </c>
      <c r="H118" s="78" t="s">
        <v>250</v>
      </c>
      <c r="I118" s="81" t="n">
        <v>22145.43</v>
      </c>
      <c r="J118" s="81" t="n">
        <v>10085.493</v>
      </c>
      <c r="K118" s="81" t="n">
        <v>2669036000</v>
      </c>
      <c r="L118" s="82" t="n">
        <v>0.67</v>
      </c>
      <c r="M118" s="81" t="n">
        <v>3980.0002</v>
      </c>
      <c r="N118" s="81" t="n">
        <v>0</v>
      </c>
      <c r="O118" s="81" t="n">
        <v>91131.32</v>
      </c>
      <c r="P118" s="82" t="n">
        <v>0</v>
      </c>
      <c r="Q118" s="82" t="n">
        <v>19.75</v>
      </c>
      <c r="R118" s="47" t="n">
        <v>16</v>
      </c>
      <c r="S118" s="66" t="s">
        <v>394</v>
      </c>
    </row>
    <row r="119" customFormat="false" ht="15" hidden="false" customHeight="false" outlineLevel="0" collapsed="false">
      <c r="A119" s="78" t="s">
        <v>224</v>
      </c>
      <c r="B119" s="78" t="s">
        <v>286</v>
      </c>
      <c r="C119" s="79" t="n">
        <v>2022</v>
      </c>
      <c r="D119" s="79" t="n">
        <v>2</v>
      </c>
      <c r="E119" s="80" t="n">
        <v>44742</v>
      </c>
      <c r="F119" s="78" t="s">
        <v>253</v>
      </c>
      <c r="G119" s="78" t="s">
        <v>254</v>
      </c>
      <c r="H119" s="78" t="s">
        <v>250</v>
      </c>
      <c r="I119" s="81" t="n">
        <v>26646.696</v>
      </c>
      <c r="J119" s="81" t="n">
        <v>12888.155</v>
      </c>
      <c r="K119" s="81" t="n">
        <v>5153051000</v>
      </c>
      <c r="L119" s="82" t="n">
        <v>1.29</v>
      </c>
      <c r="M119" s="81" t="n">
        <v>3980.0002</v>
      </c>
      <c r="N119" s="81" t="n">
        <v>0</v>
      </c>
      <c r="O119" s="81" t="n">
        <v>86525.294</v>
      </c>
      <c r="P119" s="82" t="n">
        <v>1</v>
      </c>
      <c r="Q119" s="82" t="n">
        <v>21.7</v>
      </c>
      <c r="R119" s="47" t="n">
        <v>17</v>
      </c>
      <c r="S119" s="66" t="s">
        <v>395</v>
      </c>
    </row>
    <row r="120" customFormat="false" ht="15" hidden="false" customHeight="false" outlineLevel="0" collapsed="false">
      <c r="A120" s="78" t="s">
        <v>224</v>
      </c>
      <c r="B120" s="78" t="s">
        <v>288</v>
      </c>
      <c r="C120" s="79" t="n">
        <v>2022</v>
      </c>
      <c r="D120" s="79" t="n">
        <v>1</v>
      </c>
      <c r="E120" s="80" t="n">
        <v>44651</v>
      </c>
      <c r="F120" s="78" t="s">
        <v>253</v>
      </c>
      <c r="G120" s="78" t="s">
        <v>254</v>
      </c>
      <c r="H120" s="78" t="s">
        <v>250</v>
      </c>
      <c r="I120" s="81" t="n">
        <v>26513.851</v>
      </c>
      <c r="J120" s="81" t="n">
        <v>12877.036</v>
      </c>
      <c r="K120" s="81" t="n">
        <v>4558746000</v>
      </c>
      <c r="L120" s="82" t="n">
        <v>1.15</v>
      </c>
      <c r="M120" s="81" t="n">
        <v>3980.0002</v>
      </c>
      <c r="N120" s="81" t="n">
        <v>0</v>
      </c>
      <c r="O120" s="81" t="n">
        <v>82648.569</v>
      </c>
      <c r="P120" s="82" t="n">
        <v>0</v>
      </c>
      <c r="Q120" s="82" t="n">
        <v>31.2</v>
      </c>
      <c r="R120" s="47" t="n">
        <v>18</v>
      </c>
      <c r="S120" s="66" t="s">
        <v>396</v>
      </c>
    </row>
    <row r="121" customFormat="false" ht="15" hidden="false" customHeight="false" outlineLevel="0" collapsed="false">
      <c r="A121" s="78" t="s">
        <v>224</v>
      </c>
      <c r="B121" s="78" t="s">
        <v>290</v>
      </c>
      <c r="C121" s="79" t="n">
        <v>2021</v>
      </c>
      <c r="D121" s="79" t="n">
        <v>4</v>
      </c>
      <c r="E121" s="80" t="n">
        <v>44561</v>
      </c>
      <c r="F121" s="78" t="s">
        <v>253</v>
      </c>
      <c r="G121" s="78" t="s">
        <v>254</v>
      </c>
      <c r="H121" s="78" t="s">
        <v>250</v>
      </c>
      <c r="I121" s="81" t="n">
        <v>25995.677</v>
      </c>
      <c r="J121" s="81" t="n">
        <v>11720.309</v>
      </c>
      <c r="K121" s="81" t="n">
        <v>4194078000</v>
      </c>
      <c r="L121" s="82" t="n">
        <v>1.06</v>
      </c>
      <c r="M121" s="81" t="n">
        <v>3980.0002</v>
      </c>
      <c r="N121" s="81" t="n">
        <v>0</v>
      </c>
      <c r="O121" s="81" t="n">
        <v>82444.113</v>
      </c>
      <c r="P121" s="82" t="n">
        <v>0</v>
      </c>
      <c r="Q121" s="82" t="n">
        <v>34</v>
      </c>
      <c r="R121" s="47" t="n">
        <v>19</v>
      </c>
      <c r="S121" s="66" t="s">
        <v>397</v>
      </c>
    </row>
    <row r="122" customFormat="false" ht="15" hidden="false" customHeight="false" outlineLevel="0" collapsed="false">
      <c r="A122" s="78" t="s">
        <v>224</v>
      </c>
      <c r="B122" s="78" t="s">
        <v>292</v>
      </c>
      <c r="C122" s="79" t="n">
        <v>2021</v>
      </c>
      <c r="D122" s="79" t="n">
        <v>3</v>
      </c>
      <c r="E122" s="80" t="n">
        <v>44469</v>
      </c>
      <c r="F122" s="78" t="s">
        <v>253</v>
      </c>
      <c r="G122" s="78" t="s">
        <v>254</v>
      </c>
      <c r="H122" s="78" t="s">
        <v>250</v>
      </c>
      <c r="I122" s="81" t="n">
        <v>27014.73</v>
      </c>
      <c r="J122" s="81" t="n">
        <v>12097.191</v>
      </c>
      <c r="K122" s="81" t="n">
        <v>4478033000</v>
      </c>
      <c r="L122" s="82" t="n">
        <v>1.13</v>
      </c>
      <c r="M122" s="81" t="n">
        <v>3980.0002</v>
      </c>
      <c r="N122" s="81" t="n">
        <v>0</v>
      </c>
      <c r="O122" s="81" t="n">
        <v>76111.166</v>
      </c>
      <c r="P122" s="82" t="n">
        <v>0.2</v>
      </c>
      <c r="Q122" s="82" t="n">
        <v>26.5</v>
      </c>
      <c r="R122" s="47" t="n">
        <v>20</v>
      </c>
      <c r="S122" s="66" t="s">
        <v>398</v>
      </c>
    </row>
    <row r="123" customFormat="false" ht="15" hidden="false" customHeight="false" outlineLevel="0" collapsed="false">
      <c r="A123" s="78" t="s">
        <v>224</v>
      </c>
      <c r="B123" s="78" t="s">
        <v>294</v>
      </c>
      <c r="C123" s="79" t="n">
        <v>2021</v>
      </c>
      <c r="D123" s="79" t="n">
        <v>2</v>
      </c>
      <c r="E123" s="80" t="n">
        <v>44377</v>
      </c>
      <c r="F123" s="78" t="s">
        <v>253</v>
      </c>
      <c r="G123" s="78" t="s">
        <v>254</v>
      </c>
      <c r="H123" s="78" t="s">
        <v>250</v>
      </c>
      <c r="I123" s="81" t="n">
        <v>25234.159</v>
      </c>
      <c r="J123" s="81" t="n">
        <v>10652.949</v>
      </c>
      <c r="K123" s="81" t="n">
        <v>3336369000</v>
      </c>
      <c r="L123" s="82" t="n">
        <v>0.84</v>
      </c>
      <c r="M123" s="81" t="n">
        <v>3980.0002</v>
      </c>
      <c r="N123" s="81" t="n">
        <v>0</v>
      </c>
      <c r="O123" s="81" t="n">
        <v>76189.006</v>
      </c>
      <c r="P123" s="82" t="n">
        <v>0</v>
      </c>
      <c r="Q123" s="82" t="n">
        <v>34.85</v>
      </c>
      <c r="R123" s="47" t="n">
        <v>21</v>
      </c>
      <c r="S123" s="66" t="s">
        <v>399</v>
      </c>
    </row>
    <row r="124" customFormat="false" ht="15" hidden="false" customHeight="false" outlineLevel="0" collapsed="false">
      <c r="A124" s="78" t="s">
        <v>224</v>
      </c>
      <c r="B124" s="78" t="s">
        <v>296</v>
      </c>
      <c r="C124" s="79" t="n">
        <v>2021</v>
      </c>
      <c r="D124" s="79" t="n">
        <v>1</v>
      </c>
      <c r="E124" s="80" t="n">
        <v>44286</v>
      </c>
      <c r="F124" s="78" t="s">
        <v>253</v>
      </c>
      <c r="G124" s="78" t="s">
        <v>254</v>
      </c>
      <c r="H124" s="78" t="s">
        <v>250</v>
      </c>
      <c r="I124" s="81" t="n">
        <v>21325.358</v>
      </c>
      <c r="J124" s="81" t="n">
        <v>8010.618</v>
      </c>
      <c r="K124" s="81" t="n">
        <v>1586163000</v>
      </c>
      <c r="L124" s="82" t="n">
        <v>0.4</v>
      </c>
      <c r="M124" s="81" t="n">
        <v>3980.0002</v>
      </c>
      <c r="N124" s="81" t="n">
        <v>0</v>
      </c>
      <c r="O124" s="81" t="n">
        <v>68155.287</v>
      </c>
      <c r="P124" s="82" t="n">
        <v>0</v>
      </c>
      <c r="Q124" s="82" t="n">
        <v>29.5</v>
      </c>
      <c r="R124" s="47" t="n">
        <v>22</v>
      </c>
      <c r="S124" s="66" t="s">
        <v>400</v>
      </c>
    </row>
    <row r="125" customFormat="false" ht="15" hidden="false" customHeight="false" outlineLevel="0" collapsed="false">
      <c r="A125" s="78" t="s">
        <v>224</v>
      </c>
      <c r="B125" s="78" t="s">
        <v>298</v>
      </c>
      <c r="C125" s="79" t="n">
        <v>2020</v>
      </c>
      <c r="D125" s="79" t="n">
        <v>4</v>
      </c>
      <c r="E125" s="80" t="n">
        <v>44196</v>
      </c>
      <c r="F125" s="78" t="s">
        <v>253</v>
      </c>
      <c r="G125" s="78" t="s">
        <v>254</v>
      </c>
      <c r="H125" s="78" t="s">
        <v>250</v>
      </c>
      <c r="I125" s="81" t="n">
        <v>20347.852</v>
      </c>
      <c r="J125" s="81" t="n">
        <v>6192.481</v>
      </c>
      <c r="K125" s="81" t="n">
        <v>350410000</v>
      </c>
      <c r="L125" s="82" t="n">
        <v>0.09</v>
      </c>
      <c r="M125" s="81" t="n">
        <v>3980.0002</v>
      </c>
      <c r="N125" s="81" t="n">
        <v>0</v>
      </c>
      <c r="O125" s="81" t="n">
        <v>65449.119</v>
      </c>
      <c r="P125" s="82" t="n">
        <v>0</v>
      </c>
      <c r="Q125" s="82" t="n">
        <v>29.05</v>
      </c>
      <c r="R125" s="47" t="n">
        <v>23</v>
      </c>
      <c r="S125" s="66" t="s">
        <v>401</v>
      </c>
    </row>
    <row r="126" customFormat="false" ht="15" hidden="false" customHeight="false" outlineLevel="0" collapsed="false">
      <c r="A126" s="78" t="s">
        <v>224</v>
      </c>
      <c r="B126" s="78" t="s">
        <v>300</v>
      </c>
      <c r="C126" s="79" t="n">
        <v>2020</v>
      </c>
      <c r="D126" s="79" t="n">
        <v>3</v>
      </c>
      <c r="E126" s="80" t="n">
        <v>44104</v>
      </c>
      <c r="F126" s="78" t="s">
        <v>253</v>
      </c>
      <c r="G126" s="78" t="s">
        <v>254</v>
      </c>
      <c r="H126" s="78" t="s">
        <v>250</v>
      </c>
      <c r="I126" s="81" t="n">
        <v>16033.721</v>
      </c>
      <c r="J126" s="81" t="n">
        <v>4323.031</v>
      </c>
      <c r="K126" s="81" t="n">
        <v>331124000</v>
      </c>
      <c r="L126" s="82" t="n">
        <v>0.08</v>
      </c>
      <c r="M126" s="81" t="n">
        <v>3980.0002</v>
      </c>
      <c r="N126" s="81" t="n">
        <v>0</v>
      </c>
      <c r="O126" s="81" t="n">
        <v>60413.681</v>
      </c>
      <c r="P126" s="82"/>
      <c r="Q126" s="82" t="n">
        <v>13.95</v>
      </c>
      <c r="R126" s="47" t="n">
        <v>24</v>
      </c>
      <c r="S126" s="66" t="s">
        <v>402</v>
      </c>
    </row>
    <row r="127" customFormat="false" ht="15" hidden="false" customHeight="false" outlineLevel="0" collapsed="false">
      <c r="A127" s="78" t="s">
        <v>193</v>
      </c>
      <c r="B127" s="78" t="s">
        <v>247</v>
      </c>
      <c r="C127" s="79" t="n">
        <v>2026</v>
      </c>
      <c r="D127" s="79" t="n">
        <v>3</v>
      </c>
      <c r="E127" s="80" t="n">
        <v>46295</v>
      </c>
      <c r="F127" s="78" t="s">
        <v>248</v>
      </c>
      <c r="G127" s="78" t="s">
        <v>249</v>
      </c>
      <c r="H127" s="78" t="s">
        <v>250</v>
      </c>
      <c r="I127" s="81"/>
      <c r="J127" s="81"/>
      <c r="K127" s="81"/>
      <c r="L127" s="82" t="n">
        <v>8.21666</v>
      </c>
      <c r="M127" s="81"/>
      <c r="N127" s="81"/>
      <c r="O127" s="81"/>
      <c r="P127" s="82"/>
      <c r="Q127" s="82"/>
      <c r="R127" s="47" t="n">
        <v>0</v>
      </c>
      <c r="S127" s="66" t="s">
        <v>403</v>
      </c>
    </row>
    <row r="128" customFormat="false" ht="15" hidden="false" customHeight="false" outlineLevel="0" collapsed="false">
      <c r="A128" s="78" t="s">
        <v>193</v>
      </c>
      <c r="B128" s="78" t="s">
        <v>252</v>
      </c>
      <c r="C128" s="79" t="n">
        <v>2026</v>
      </c>
      <c r="D128" s="79" t="n">
        <v>2</v>
      </c>
      <c r="E128" s="80" t="n">
        <v>46203</v>
      </c>
      <c r="F128" s="78" t="s">
        <v>253</v>
      </c>
      <c r="G128" s="78" t="s">
        <v>254</v>
      </c>
      <c r="H128" s="78" t="s">
        <v>250</v>
      </c>
      <c r="I128" s="81" t="n">
        <v>144214.433</v>
      </c>
      <c r="J128" s="81" t="n">
        <v>13873.129</v>
      </c>
      <c r="K128" s="81" t="n">
        <v>6606413000</v>
      </c>
      <c r="L128" s="82" t="n">
        <v>9.86</v>
      </c>
      <c r="M128" s="81" t="n">
        <v>669.8889</v>
      </c>
      <c r="N128" s="81" t="n">
        <v>0</v>
      </c>
      <c r="O128" s="81" t="n">
        <v>66520.674</v>
      </c>
      <c r="P128" s="82" t="n">
        <v>0</v>
      </c>
      <c r="Q128" s="82" t="n">
        <v>344</v>
      </c>
      <c r="R128" s="47" t="n">
        <v>1</v>
      </c>
      <c r="S128" s="66" t="s">
        <v>404</v>
      </c>
    </row>
    <row r="129" customFormat="false" ht="15" hidden="false" customHeight="false" outlineLevel="0" collapsed="false">
      <c r="A129" s="78" t="s">
        <v>193</v>
      </c>
      <c r="B129" s="78" t="s">
        <v>256</v>
      </c>
      <c r="C129" s="79" t="n">
        <v>2026</v>
      </c>
      <c r="D129" s="79" t="n">
        <v>1</v>
      </c>
      <c r="E129" s="80" t="n">
        <v>46112</v>
      </c>
      <c r="F129" s="78" t="s">
        <v>253</v>
      </c>
      <c r="G129" s="78" t="s">
        <v>254</v>
      </c>
      <c r="H129" s="78" t="s">
        <v>250</v>
      </c>
      <c r="I129" s="81" t="n">
        <v>105057.33</v>
      </c>
      <c r="J129" s="81" t="n">
        <v>12614.63</v>
      </c>
      <c r="K129" s="81" t="n">
        <v>5268403000</v>
      </c>
      <c r="L129" s="82" t="n">
        <v>7.86</v>
      </c>
      <c r="M129" s="81" t="n">
        <v>669.8889</v>
      </c>
      <c r="N129" s="81" t="n">
        <v>0</v>
      </c>
      <c r="O129" s="81" t="n">
        <v>64567.23</v>
      </c>
      <c r="P129" s="82" t="n">
        <v>0</v>
      </c>
      <c r="Q129" s="82" t="n">
        <v>222.5</v>
      </c>
      <c r="R129" s="47" t="n">
        <v>2</v>
      </c>
      <c r="S129" s="66" t="s">
        <v>405</v>
      </c>
    </row>
    <row r="130" customFormat="false" ht="15" hidden="false" customHeight="false" outlineLevel="0" collapsed="false">
      <c r="A130" s="78" t="s">
        <v>193</v>
      </c>
      <c r="B130" s="78" t="s">
        <v>258</v>
      </c>
      <c r="C130" s="79" t="n">
        <v>2025</v>
      </c>
      <c r="D130" s="79" t="n">
        <v>4</v>
      </c>
      <c r="E130" s="80" t="n">
        <v>46022</v>
      </c>
      <c r="F130" s="78" t="s">
        <v>253</v>
      </c>
      <c r="G130" s="78" t="s">
        <v>254</v>
      </c>
      <c r="H130" s="78" t="s">
        <v>250</v>
      </c>
      <c r="I130" s="81" t="n">
        <v>89349.64</v>
      </c>
      <c r="J130" s="81" t="n">
        <v>9188.814</v>
      </c>
      <c r="K130" s="81" t="n">
        <v>2968601000</v>
      </c>
      <c r="L130" s="82" t="n">
        <v>4.43</v>
      </c>
      <c r="M130" s="81" t="n">
        <v>669.8889</v>
      </c>
      <c r="N130" s="81" t="n">
        <v>0</v>
      </c>
      <c r="O130" s="81" t="n">
        <v>59100.16</v>
      </c>
      <c r="P130" s="82" t="n">
        <v>0</v>
      </c>
      <c r="Q130" s="82" t="n">
        <v>249.5</v>
      </c>
      <c r="R130" s="47" t="n">
        <v>3</v>
      </c>
      <c r="S130" s="66" t="s">
        <v>406</v>
      </c>
    </row>
    <row r="131" customFormat="false" ht="15" hidden="false" customHeight="false" outlineLevel="0" collapsed="false">
      <c r="A131" s="78" t="s">
        <v>193</v>
      </c>
      <c r="B131" s="78" t="s">
        <v>260</v>
      </c>
      <c r="C131" s="79" t="n">
        <v>2025</v>
      </c>
      <c r="D131" s="79" t="n">
        <v>3</v>
      </c>
      <c r="E131" s="80" t="n">
        <v>45930</v>
      </c>
      <c r="F131" s="78" t="s">
        <v>253</v>
      </c>
      <c r="G131" s="78" t="s">
        <v>254</v>
      </c>
      <c r="H131" s="78" t="s">
        <v>250</v>
      </c>
      <c r="I131" s="81" t="n">
        <v>79581.474</v>
      </c>
      <c r="J131" s="81" t="n">
        <v>7883.025</v>
      </c>
      <c r="K131" s="81" t="n">
        <v>3055597000</v>
      </c>
      <c r="L131" s="82" t="n">
        <v>4.56</v>
      </c>
      <c r="M131" s="81" t="n">
        <v>669.8889</v>
      </c>
      <c r="N131" s="81" t="n">
        <v>0</v>
      </c>
      <c r="O131" s="81" t="n">
        <v>55473.452</v>
      </c>
      <c r="P131" s="82" t="n">
        <v>10</v>
      </c>
      <c r="Q131" s="82" t="n">
        <v>299</v>
      </c>
      <c r="R131" s="47" t="n">
        <v>4</v>
      </c>
      <c r="S131" s="66" t="s">
        <v>407</v>
      </c>
    </row>
    <row r="132" customFormat="false" ht="15" hidden="false" customHeight="false" outlineLevel="0" collapsed="false">
      <c r="A132" s="78" t="s">
        <v>193</v>
      </c>
      <c r="B132" s="78" t="s">
        <v>262</v>
      </c>
      <c r="C132" s="79" t="n">
        <v>2025</v>
      </c>
      <c r="D132" s="79" t="n">
        <v>2</v>
      </c>
      <c r="E132" s="80" t="n">
        <v>45838</v>
      </c>
      <c r="F132" s="78" t="s">
        <v>253</v>
      </c>
      <c r="G132" s="78" t="s">
        <v>254</v>
      </c>
      <c r="H132" s="78" t="s">
        <v>250</v>
      </c>
      <c r="I132" s="81" t="n">
        <v>102258.116</v>
      </c>
      <c r="J132" s="81" t="n">
        <v>9632.946</v>
      </c>
      <c r="K132" s="81" t="n">
        <v>3049557000</v>
      </c>
      <c r="L132" s="82" t="n">
        <v>4.55</v>
      </c>
      <c r="M132" s="81" t="n">
        <v>669.8889</v>
      </c>
      <c r="N132" s="81" t="n">
        <v>0</v>
      </c>
      <c r="O132" s="81" t="n">
        <v>51995.535</v>
      </c>
      <c r="P132" s="82" t="n">
        <v>0</v>
      </c>
      <c r="Q132" s="82" t="n">
        <v>283</v>
      </c>
      <c r="R132" s="47" t="n">
        <v>5</v>
      </c>
      <c r="S132" s="66" t="s">
        <v>408</v>
      </c>
    </row>
    <row r="133" customFormat="false" ht="15" hidden="false" customHeight="false" outlineLevel="0" collapsed="false">
      <c r="A133" s="78" t="s">
        <v>193</v>
      </c>
      <c r="B133" s="78" t="s">
        <v>264</v>
      </c>
      <c r="C133" s="79" t="n">
        <v>2025</v>
      </c>
      <c r="D133" s="79" t="n">
        <v>1</v>
      </c>
      <c r="E133" s="80" t="n">
        <v>45747</v>
      </c>
      <c r="F133" s="78" t="s">
        <v>253</v>
      </c>
      <c r="G133" s="78" t="s">
        <v>254</v>
      </c>
      <c r="H133" s="78" t="s">
        <v>250</v>
      </c>
      <c r="I133" s="81" t="n">
        <v>65747.43</v>
      </c>
      <c r="J133" s="81" t="n">
        <v>8480.311</v>
      </c>
      <c r="K133" s="81" t="n">
        <v>3116119000</v>
      </c>
      <c r="L133" s="82" t="n">
        <v>4.65</v>
      </c>
      <c r="M133" s="81" t="n">
        <v>669.8889</v>
      </c>
      <c r="N133" s="81" t="n">
        <v>0</v>
      </c>
      <c r="O133" s="81" t="n">
        <v>56959.796</v>
      </c>
      <c r="P133" s="82" t="n">
        <v>0</v>
      </c>
      <c r="Q133" s="82" t="n">
        <v>242</v>
      </c>
      <c r="R133" s="47" t="n">
        <v>6</v>
      </c>
      <c r="S133" s="66" t="s">
        <v>409</v>
      </c>
    </row>
    <row r="134" customFormat="false" ht="15" hidden="false" customHeight="false" outlineLevel="0" collapsed="false">
      <c r="A134" s="78" t="s">
        <v>193</v>
      </c>
      <c r="B134" s="78" t="s">
        <v>266</v>
      </c>
      <c r="C134" s="79" t="n">
        <v>2024</v>
      </c>
      <c r="D134" s="79" t="n">
        <v>4</v>
      </c>
      <c r="E134" s="80" t="n">
        <v>45657</v>
      </c>
      <c r="F134" s="78" t="s">
        <v>253</v>
      </c>
      <c r="G134" s="78" t="s">
        <v>254</v>
      </c>
      <c r="H134" s="78" t="s">
        <v>250</v>
      </c>
      <c r="I134" s="81" t="n">
        <v>65615.165</v>
      </c>
      <c r="J134" s="81" t="n">
        <v>6638.606</v>
      </c>
      <c r="K134" s="81" t="n">
        <v>2875586000</v>
      </c>
      <c r="L134" s="82" t="n">
        <v>4.31</v>
      </c>
      <c r="M134" s="81" t="n">
        <v>669.8889</v>
      </c>
      <c r="N134" s="81" t="n">
        <v>0</v>
      </c>
      <c r="O134" s="81" t="n">
        <v>53683.149</v>
      </c>
      <c r="P134" s="82" t="n">
        <v>0</v>
      </c>
      <c r="Q134" s="82" t="n">
        <v>272.5</v>
      </c>
      <c r="R134" s="47" t="n">
        <v>7</v>
      </c>
      <c r="S134" s="66" t="s">
        <v>410</v>
      </c>
    </row>
    <row r="135" customFormat="false" ht="15" hidden="false" customHeight="false" outlineLevel="0" collapsed="false">
      <c r="A135" s="78" t="s">
        <v>193</v>
      </c>
      <c r="B135" s="78" t="s">
        <v>268</v>
      </c>
      <c r="C135" s="79" t="n">
        <v>2024</v>
      </c>
      <c r="D135" s="79" t="n">
        <v>3</v>
      </c>
      <c r="E135" s="80" t="n">
        <v>45565</v>
      </c>
      <c r="F135" s="78" t="s">
        <v>253</v>
      </c>
      <c r="G135" s="78" t="s">
        <v>254</v>
      </c>
      <c r="H135" s="78" t="s">
        <v>250</v>
      </c>
      <c r="I135" s="81" t="n">
        <v>70445.855</v>
      </c>
      <c r="J135" s="81" t="n">
        <v>7240.434</v>
      </c>
      <c r="K135" s="81" t="n">
        <v>1927469000</v>
      </c>
      <c r="L135" s="82" t="n">
        <v>2.91</v>
      </c>
      <c r="M135" s="81" t="n">
        <v>669.8889</v>
      </c>
      <c r="N135" s="81" t="n">
        <v>0</v>
      </c>
      <c r="O135" s="81" t="n">
        <v>50811.773</v>
      </c>
      <c r="P135" s="82" t="n">
        <v>6.35794327</v>
      </c>
      <c r="Q135" s="82" t="n">
        <v>258.5</v>
      </c>
      <c r="R135" s="47" t="n">
        <v>8</v>
      </c>
      <c r="S135" s="66" t="s">
        <v>411</v>
      </c>
    </row>
    <row r="136" customFormat="false" ht="15" hidden="false" customHeight="false" outlineLevel="0" collapsed="false">
      <c r="A136" s="78" t="s">
        <v>193</v>
      </c>
      <c r="B136" s="78" t="s">
        <v>270</v>
      </c>
      <c r="C136" s="79" t="n">
        <v>2024</v>
      </c>
      <c r="D136" s="79" t="n">
        <v>2</v>
      </c>
      <c r="E136" s="80" t="n">
        <v>45473</v>
      </c>
      <c r="F136" s="78" t="s">
        <v>253</v>
      </c>
      <c r="G136" s="78" t="s">
        <v>254</v>
      </c>
      <c r="H136" s="78" t="s">
        <v>250</v>
      </c>
      <c r="I136" s="81" t="n">
        <v>73923.373</v>
      </c>
      <c r="J136" s="81" t="n">
        <v>7980.081</v>
      </c>
      <c r="K136" s="81" t="n">
        <v>2961709000</v>
      </c>
      <c r="L136" s="82" t="n">
        <v>4.66</v>
      </c>
      <c r="M136" s="81" t="n">
        <v>635.6889</v>
      </c>
      <c r="N136" s="81" t="n">
        <v>0</v>
      </c>
      <c r="O136" s="81" t="n">
        <v>38669.224</v>
      </c>
      <c r="P136" s="82" t="n">
        <v>0</v>
      </c>
      <c r="Q136" s="82" t="n">
        <v>305.5</v>
      </c>
      <c r="R136" s="47" t="n">
        <v>9</v>
      </c>
      <c r="S136" s="66" t="s">
        <v>412</v>
      </c>
    </row>
    <row r="137" customFormat="false" ht="15" hidden="false" customHeight="false" outlineLevel="0" collapsed="false">
      <c r="A137" s="78" t="s">
        <v>193</v>
      </c>
      <c r="B137" s="78" t="s">
        <v>272</v>
      </c>
      <c r="C137" s="79" t="n">
        <v>2024</v>
      </c>
      <c r="D137" s="79" t="n">
        <v>1</v>
      </c>
      <c r="E137" s="80" t="n">
        <v>45382</v>
      </c>
      <c r="F137" s="78" t="s">
        <v>253</v>
      </c>
      <c r="G137" s="78" t="s">
        <v>254</v>
      </c>
      <c r="H137" s="78" t="s">
        <v>250</v>
      </c>
      <c r="I137" s="81" t="n">
        <v>55164.386</v>
      </c>
      <c r="J137" s="81" t="n">
        <v>6233.366</v>
      </c>
      <c r="K137" s="81" t="n">
        <v>2023776000</v>
      </c>
      <c r="L137" s="82" t="n">
        <v>3.18</v>
      </c>
      <c r="M137" s="81" t="n">
        <v>635.6889</v>
      </c>
      <c r="N137" s="81" t="n">
        <v>0</v>
      </c>
      <c r="O137" s="81" t="n">
        <v>39680.092</v>
      </c>
      <c r="P137" s="82" t="n">
        <v>0</v>
      </c>
      <c r="Q137" s="82" t="n">
        <v>316</v>
      </c>
      <c r="R137" s="47" t="n">
        <v>10</v>
      </c>
      <c r="S137" s="66" t="s">
        <v>413</v>
      </c>
    </row>
    <row r="138" customFormat="false" ht="15" hidden="false" customHeight="false" outlineLevel="0" collapsed="false">
      <c r="A138" s="78" t="s">
        <v>193</v>
      </c>
      <c r="B138" s="78" t="s">
        <v>274</v>
      </c>
      <c r="C138" s="79" t="n">
        <v>2023</v>
      </c>
      <c r="D138" s="79" t="n">
        <v>4</v>
      </c>
      <c r="E138" s="80" t="n">
        <v>45291</v>
      </c>
      <c r="F138" s="78" t="s">
        <v>253</v>
      </c>
      <c r="G138" s="78" t="s">
        <v>254</v>
      </c>
      <c r="H138" s="78" t="s">
        <v>250</v>
      </c>
      <c r="I138" s="81" t="n">
        <v>45596.208</v>
      </c>
      <c r="J138" s="81" t="n">
        <v>5027.834</v>
      </c>
      <c r="K138" s="81" t="n">
        <v>1349949000</v>
      </c>
      <c r="L138" s="82" t="n">
        <v>2.12</v>
      </c>
      <c r="M138" s="81" t="n">
        <v>635.6889</v>
      </c>
      <c r="N138" s="81" t="n">
        <v>0</v>
      </c>
      <c r="O138" s="81" t="n">
        <v>37472.81</v>
      </c>
      <c r="P138" s="82" t="n">
        <v>0</v>
      </c>
      <c r="Q138" s="82" t="n">
        <v>266</v>
      </c>
      <c r="R138" s="47" t="n">
        <v>11</v>
      </c>
      <c r="S138" s="66" t="s">
        <v>414</v>
      </c>
    </row>
    <row r="139" customFormat="false" ht="15" hidden="false" customHeight="false" outlineLevel="0" collapsed="false">
      <c r="A139" s="78" t="s">
        <v>193</v>
      </c>
      <c r="B139" s="78" t="s">
        <v>276</v>
      </c>
      <c r="C139" s="79" t="n">
        <v>2023</v>
      </c>
      <c r="D139" s="79" t="n">
        <v>3</v>
      </c>
      <c r="E139" s="80" t="n">
        <v>45199</v>
      </c>
      <c r="F139" s="78" t="s">
        <v>253</v>
      </c>
      <c r="G139" s="78" t="s">
        <v>254</v>
      </c>
      <c r="H139" s="78" t="s">
        <v>250</v>
      </c>
      <c r="I139" s="81" t="n">
        <v>37013.385</v>
      </c>
      <c r="J139" s="81" t="n">
        <v>4912.395</v>
      </c>
      <c r="K139" s="81" t="n">
        <v>1478792000</v>
      </c>
      <c r="L139" s="82" t="n">
        <v>2.33</v>
      </c>
      <c r="M139" s="81" t="n">
        <v>635.6889</v>
      </c>
      <c r="N139" s="81" t="n">
        <v>0</v>
      </c>
      <c r="O139" s="81" t="n">
        <v>36095.549</v>
      </c>
      <c r="P139" s="82" t="n">
        <v>6.2</v>
      </c>
      <c r="Q139" s="82" t="n">
        <v>281.5</v>
      </c>
      <c r="R139" s="47" t="n">
        <v>12</v>
      </c>
      <c r="S139" s="66" t="s">
        <v>415</v>
      </c>
    </row>
    <row r="140" customFormat="false" ht="15" hidden="false" customHeight="false" outlineLevel="0" collapsed="false">
      <c r="A140" s="78" t="s">
        <v>193</v>
      </c>
      <c r="B140" s="78" t="s">
        <v>278</v>
      </c>
      <c r="C140" s="79" t="n">
        <v>2023</v>
      </c>
      <c r="D140" s="79" t="n">
        <v>2</v>
      </c>
      <c r="E140" s="80" t="n">
        <v>45107</v>
      </c>
      <c r="F140" s="78" t="s">
        <v>253</v>
      </c>
      <c r="G140" s="78" t="s">
        <v>254</v>
      </c>
      <c r="H140" s="78" t="s">
        <v>250</v>
      </c>
      <c r="I140" s="81" t="n">
        <v>26133.8</v>
      </c>
      <c r="J140" s="81" t="n">
        <v>3089.603</v>
      </c>
      <c r="K140" s="81" t="n">
        <v>889526000</v>
      </c>
      <c r="L140" s="82" t="n">
        <v>1.4</v>
      </c>
      <c r="M140" s="81" t="n">
        <v>635.6889</v>
      </c>
      <c r="N140" s="81" t="n">
        <v>0</v>
      </c>
      <c r="O140" s="81" t="n">
        <v>33896.131</v>
      </c>
      <c r="P140" s="82" t="n">
        <v>0</v>
      </c>
      <c r="Q140" s="82" t="n">
        <v>243.5</v>
      </c>
      <c r="R140" s="47" t="n">
        <v>13</v>
      </c>
      <c r="S140" s="66" t="s">
        <v>416</v>
      </c>
    </row>
    <row r="141" customFormat="false" ht="15" hidden="false" customHeight="false" outlineLevel="0" collapsed="false">
      <c r="A141" s="78" t="s">
        <v>193</v>
      </c>
      <c r="B141" s="78" t="s">
        <v>280</v>
      </c>
      <c r="C141" s="79" t="n">
        <v>2023</v>
      </c>
      <c r="D141" s="79" t="n">
        <v>1</v>
      </c>
      <c r="E141" s="80" t="n">
        <v>45016</v>
      </c>
      <c r="F141" s="78" t="s">
        <v>253</v>
      </c>
      <c r="G141" s="78" t="s">
        <v>254</v>
      </c>
      <c r="H141" s="78" t="s">
        <v>250</v>
      </c>
      <c r="I141" s="81" t="n">
        <v>28030.016</v>
      </c>
      <c r="J141" s="81" t="n">
        <v>3545.609</v>
      </c>
      <c r="K141" s="81" t="n">
        <v>1024712000</v>
      </c>
      <c r="L141" s="82" t="n">
        <v>1.61</v>
      </c>
      <c r="M141" s="81" t="n">
        <v>635.6889</v>
      </c>
      <c r="N141" s="81" t="n">
        <v>0</v>
      </c>
      <c r="O141" s="81" t="n">
        <v>37140.104</v>
      </c>
      <c r="P141" s="82" t="n">
        <v>0</v>
      </c>
      <c r="Q141" s="82" t="n">
        <v>133.5</v>
      </c>
      <c r="R141" s="47" t="n">
        <v>14</v>
      </c>
      <c r="S141" s="66" t="s">
        <v>417</v>
      </c>
    </row>
    <row r="142" customFormat="false" ht="15" hidden="false" customHeight="false" outlineLevel="0" collapsed="false">
      <c r="A142" s="78" t="s">
        <v>193</v>
      </c>
      <c r="B142" s="78" t="s">
        <v>282</v>
      </c>
      <c r="C142" s="79" t="n">
        <v>2022</v>
      </c>
      <c r="D142" s="79" t="n">
        <v>4</v>
      </c>
      <c r="E142" s="80" t="n">
        <v>44926</v>
      </c>
      <c r="F142" s="78" t="s">
        <v>253</v>
      </c>
      <c r="G142" s="78" t="s">
        <v>254</v>
      </c>
      <c r="H142" s="78" t="s">
        <v>250</v>
      </c>
      <c r="I142" s="81" t="n">
        <v>27799.638</v>
      </c>
      <c r="J142" s="81" t="n">
        <v>2597.068</v>
      </c>
      <c r="K142" s="81" t="n">
        <v>1320675000</v>
      </c>
      <c r="L142" s="82" t="n">
        <v>2.07</v>
      </c>
      <c r="M142" s="81" t="n">
        <v>635.6889</v>
      </c>
      <c r="N142" s="81" t="n">
        <v>0</v>
      </c>
      <c r="O142" s="81" t="n">
        <v>35933.474</v>
      </c>
      <c r="P142" s="82" t="n">
        <v>0</v>
      </c>
      <c r="Q142" s="82" t="n">
        <v>106.5</v>
      </c>
      <c r="R142" s="47" t="n">
        <v>15</v>
      </c>
      <c r="S142" s="66" t="s">
        <v>418</v>
      </c>
    </row>
    <row r="143" customFormat="false" ht="15" hidden="false" customHeight="false" outlineLevel="0" collapsed="false">
      <c r="A143" s="78" t="s">
        <v>193</v>
      </c>
      <c r="B143" s="78" t="s">
        <v>284</v>
      </c>
      <c r="C143" s="79" t="n">
        <v>2022</v>
      </c>
      <c r="D143" s="79" t="n">
        <v>3</v>
      </c>
      <c r="E143" s="80" t="n">
        <v>44834</v>
      </c>
      <c r="F143" s="78" t="s">
        <v>253</v>
      </c>
      <c r="G143" s="78" t="s">
        <v>254</v>
      </c>
      <c r="H143" s="78" t="s">
        <v>250</v>
      </c>
      <c r="I143" s="81" t="n">
        <v>24192.106</v>
      </c>
      <c r="J143" s="81" t="n">
        <v>3000.83</v>
      </c>
      <c r="K143" s="81" t="n">
        <v>1169192000</v>
      </c>
      <c r="L143" s="82" t="n">
        <v>1.84</v>
      </c>
      <c r="M143" s="81" t="n">
        <v>635.6889</v>
      </c>
      <c r="N143" s="81" t="n">
        <v>705000</v>
      </c>
      <c r="O143" s="81" t="n">
        <v>34620.655</v>
      </c>
      <c r="P143" s="82" t="n">
        <v>12</v>
      </c>
      <c r="Q143" s="82" t="n">
        <v>88.3</v>
      </c>
      <c r="R143" s="47" t="n">
        <v>16</v>
      </c>
      <c r="S143" s="66" t="s">
        <v>419</v>
      </c>
    </row>
    <row r="144" customFormat="false" ht="15" hidden="false" customHeight="false" outlineLevel="0" collapsed="false">
      <c r="A144" s="78" t="s">
        <v>193</v>
      </c>
      <c r="B144" s="78" t="s">
        <v>286</v>
      </c>
      <c r="C144" s="79" t="n">
        <v>2022</v>
      </c>
      <c r="D144" s="79" t="n">
        <v>2</v>
      </c>
      <c r="E144" s="80" t="n">
        <v>44742</v>
      </c>
      <c r="F144" s="78" t="s">
        <v>253</v>
      </c>
      <c r="G144" s="78" t="s">
        <v>254</v>
      </c>
      <c r="H144" s="78" t="s">
        <v>250</v>
      </c>
      <c r="I144" s="81" t="n">
        <v>22661.655</v>
      </c>
      <c r="J144" s="81" t="n">
        <v>3142.711</v>
      </c>
      <c r="K144" s="81" t="n">
        <v>981736000</v>
      </c>
      <c r="L144" s="82" t="n">
        <v>1.55</v>
      </c>
      <c r="M144" s="81" t="n">
        <v>635.6889</v>
      </c>
      <c r="N144" s="81" t="n">
        <v>705000</v>
      </c>
      <c r="O144" s="81" t="n">
        <v>33376.05</v>
      </c>
      <c r="P144" s="82" t="n">
        <v>0</v>
      </c>
      <c r="Q144" s="82" t="n">
        <v>88.7</v>
      </c>
      <c r="R144" s="47" t="n">
        <v>17</v>
      </c>
      <c r="S144" s="66" t="s">
        <v>420</v>
      </c>
    </row>
    <row r="145" customFormat="false" ht="15" hidden="false" customHeight="false" outlineLevel="0" collapsed="false">
      <c r="A145" s="78" t="s">
        <v>193</v>
      </c>
      <c r="B145" s="78" t="s">
        <v>288</v>
      </c>
      <c r="C145" s="79" t="n">
        <v>2022</v>
      </c>
      <c r="D145" s="79" t="n">
        <v>1</v>
      </c>
      <c r="E145" s="80" t="n">
        <v>44651</v>
      </c>
      <c r="F145" s="78" t="s">
        <v>253</v>
      </c>
      <c r="G145" s="78" t="s">
        <v>254</v>
      </c>
      <c r="H145" s="78" t="s">
        <v>250</v>
      </c>
      <c r="I145" s="81" t="n">
        <v>32610.245</v>
      </c>
      <c r="J145" s="81" t="n">
        <v>7875.469</v>
      </c>
      <c r="K145" s="81" t="n">
        <v>3066918000</v>
      </c>
      <c r="L145" s="82" t="n">
        <v>4.83</v>
      </c>
      <c r="M145" s="81" t="n">
        <v>635.6889</v>
      </c>
      <c r="N145" s="81" t="n">
        <v>705000</v>
      </c>
      <c r="O145" s="81" t="n">
        <v>40589.071</v>
      </c>
      <c r="P145" s="82" t="n">
        <v>0</v>
      </c>
      <c r="Q145" s="82" t="n">
        <v>130</v>
      </c>
      <c r="R145" s="47" t="n">
        <v>18</v>
      </c>
      <c r="S145" s="66" t="s">
        <v>421</v>
      </c>
    </row>
    <row r="146" customFormat="false" ht="15" hidden="false" customHeight="false" outlineLevel="0" collapsed="false">
      <c r="A146" s="78" t="s">
        <v>193</v>
      </c>
      <c r="B146" s="78" t="s">
        <v>290</v>
      </c>
      <c r="C146" s="79" t="n">
        <v>2021</v>
      </c>
      <c r="D146" s="79" t="n">
        <v>4</v>
      </c>
      <c r="E146" s="80" t="n">
        <v>44561</v>
      </c>
      <c r="F146" s="78" t="s">
        <v>253</v>
      </c>
      <c r="G146" s="78" t="s">
        <v>254</v>
      </c>
      <c r="H146" s="78" t="s">
        <v>250</v>
      </c>
      <c r="I146" s="81" t="n">
        <v>30456.56</v>
      </c>
      <c r="J146" s="81" t="n">
        <v>6996.093</v>
      </c>
      <c r="K146" s="81" t="n">
        <v>3700358000</v>
      </c>
      <c r="L146" s="82" t="n">
        <v>5.83</v>
      </c>
      <c r="M146" s="81" t="n">
        <v>635.6889</v>
      </c>
      <c r="N146" s="81" t="n">
        <v>705000</v>
      </c>
      <c r="O146" s="81" t="n">
        <v>37487.984</v>
      </c>
      <c r="P146" s="82" t="n">
        <v>0</v>
      </c>
      <c r="Q146" s="82" t="n">
        <v>155.5</v>
      </c>
      <c r="R146" s="47" t="n">
        <v>19</v>
      </c>
      <c r="S146" s="66" t="s">
        <v>422</v>
      </c>
    </row>
    <row r="147" customFormat="false" ht="15" hidden="false" customHeight="false" outlineLevel="0" collapsed="false">
      <c r="A147" s="78" t="s">
        <v>193</v>
      </c>
      <c r="B147" s="78" t="s">
        <v>292</v>
      </c>
      <c r="C147" s="79" t="n">
        <v>2021</v>
      </c>
      <c r="D147" s="79" t="n">
        <v>3</v>
      </c>
      <c r="E147" s="80" t="n">
        <v>44469</v>
      </c>
      <c r="F147" s="78" t="s">
        <v>253</v>
      </c>
      <c r="G147" s="78" t="s">
        <v>254</v>
      </c>
      <c r="H147" s="78" t="s">
        <v>250</v>
      </c>
      <c r="I147" s="81" t="n">
        <v>31294.579</v>
      </c>
      <c r="J147" s="81" t="n">
        <v>7262.884</v>
      </c>
      <c r="K147" s="81" t="n">
        <v>3590838000</v>
      </c>
      <c r="L147" s="82" t="n">
        <v>5.66</v>
      </c>
      <c r="M147" s="81" t="n">
        <v>635.6889</v>
      </c>
      <c r="N147" s="81" t="n">
        <v>3000000</v>
      </c>
      <c r="O147" s="81" t="n">
        <v>33154.257</v>
      </c>
      <c r="P147" s="82" t="n">
        <v>5</v>
      </c>
      <c r="Q147" s="82" t="n">
        <v>86.8</v>
      </c>
      <c r="R147" s="47" t="n">
        <v>20</v>
      </c>
      <c r="S147" s="66" t="s">
        <v>423</v>
      </c>
    </row>
    <row r="148" customFormat="false" ht="15" hidden="false" customHeight="false" outlineLevel="0" collapsed="false">
      <c r="A148" s="78" t="s">
        <v>193</v>
      </c>
      <c r="B148" s="78" t="s">
        <v>294</v>
      </c>
      <c r="C148" s="79" t="n">
        <v>2021</v>
      </c>
      <c r="D148" s="79" t="n">
        <v>2</v>
      </c>
      <c r="E148" s="80" t="n">
        <v>44377</v>
      </c>
      <c r="F148" s="78" t="s">
        <v>253</v>
      </c>
      <c r="G148" s="78" t="s">
        <v>254</v>
      </c>
      <c r="H148" s="78" t="s">
        <v>250</v>
      </c>
      <c r="I148" s="81" t="n">
        <v>31787.258</v>
      </c>
      <c r="J148" s="81" t="n">
        <v>8496.576</v>
      </c>
      <c r="K148" s="81" t="n">
        <v>3287454000</v>
      </c>
      <c r="L148" s="82" t="n">
        <v>5.17</v>
      </c>
      <c r="M148" s="81" t="n">
        <v>635.6889</v>
      </c>
      <c r="N148" s="81" t="n">
        <v>0</v>
      </c>
      <c r="O148" s="81" t="n">
        <v>30601.393</v>
      </c>
      <c r="P148" s="82" t="n">
        <v>0</v>
      </c>
      <c r="Q148" s="82" t="n">
        <v>107.5</v>
      </c>
      <c r="R148" s="47" t="n">
        <v>21</v>
      </c>
      <c r="S148" s="66" t="s">
        <v>424</v>
      </c>
    </row>
    <row r="149" customFormat="false" ht="15" hidden="false" customHeight="false" outlineLevel="0" collapsed="false">
      <c r="A149" s="78" t="s">
        <v>193</v>
      </c>
      <c r="B149" s="78" t="s">
        <v>296</v>
      </c>
      <c r="C149" s="79" t="n">
        <v>2021</v>
      </c>
      <c r="D149" s="79" t="n">
        <v>1</v>
      </c>
      <c r="E149" s="80" t="n">
        <v>44286</v>
      </c>
      <c r="F149" s="78" t="s">
        <v>253</v>
      </c>
      <c r="G149" s="78" t="s">
        <v>254</v>
      </c>
      <c r="H149" s="78" t="s">
        <v>250</v>
      </c>
      <c r="I149" s="81" t="n">
        <v>28366.96</v>
      </c>
      <c r="J149" s="81" t="n">
        <v>6834.479</v>
      </c>
      <c r="K149" s="81" t="n">
        <v>2759310000</v>
      </c>
      <c r="L149" s="82" t="n">
        <v>4.34</v>
      </c>
      <c r="M149" s="81" t="n">
        <v>635.6889</v>
      </c>
      <c r="N149" s="81" t="n">
        <v>0</v>
      </c>
      <c r="O149" s="81" t="n">
        <v>30758.585</v>
      </c>
      <c r="P149" s="82" t="n">
        <v>0</v>
      </c>
      <c r="Q149" s="82" t="n">
        <v>99.8</v>
      </c>
      <c r="R149" s="47" t="n">
        <v>22</v>
      </c>
      <c r="S149" s="66" t="s">
        <v>425</v>
      </c>
    </row>
    <row r="150" customFormat="false" ht="15" hidden="false" customHeight="false" outlineLevel="0" collapsed="false">
      <c r="A150" s="78" t="s">
        <v>193</v>
      </c>
      <c r="B150" s="78" t="s">
        <v>298</v>
      </c>
      <c r="C150" s="79" t="n">
        <v>2020</v>
      </c>
      <c r="D150" s="79" t="n">
        <v>4</v>
      </c>
      <c r="E150" s="80" t="n">
        <v>44196</v>
      </c>
      <c r="F150" s="78" t="s">
        <v>253</v>
      </c>
      <c r="G150" s="78" t="s">
        <v>254</v>
      </c>
      <c r="H150" s="78" t="s">
        <v>250</v>
      </c>
      <c r="I150" s="81" t="n">
        <v>23457.829</v>
      </c>
      <c r="J150" s="81" t="n">
        <v>4172.639</v>
      </c>
      <c r="K150" s="81" t="n">
        <v>1101549000</v>
      </c>
      <c r="L150" s="82" t="n">
        <v>1.73</v>
      </c>
      <c r="M150" s="81" t="n">
        <v>635.6889</v>
      </c>
      <c r="N150" s="81" t="n">
        <v>0</v>
      </c>
      <c r="O150" s="81" t="n">
        <v>27395.191</v>
      </c>
      <c r="P150" s="82" t="n">
        <v>0</v>
      </c>
      <c r="Q150" s="82" t="n">
        <v>77.8</v>
      </c>
      <c r="R150" s="47" t="n">
        <v>23</v>
      </c>
      <c r="S150" s="66" t="s">
        <v>426</v>
      </c>
    </row>
    <row r="151" customFormat="false" ht="15" hidden="false" customHeight="false" outlineLevel="0" collapsed="false">
      <c r="A151" s="78" t="s">
        <v>193</v>
      </c>
      <c r="B151" s="78" t="s">
        <v>300</v>
      </c>
      <c r="C151" s="79" t="n">
        <v>2020</v>
      </c>
      <c r="D151" s="79" t="n">
        <v>3</v>
      </c>
      <c r="E151" s="80" t="n">
        <v>44104</v>
      </c>
      <c r="F151" s="78" t="s">
        <v>253</v>
      </c>
      <c r="G151" s="78" t="s">
        <v>254</v>
      </c>
      <c r="H151" s="78" t="s">
        <v>250</v>
      </c>
      <c r="I151" s="81" t="n">
        <v>23003.636</v>
      </c>
      <c r="J151" s="81" t="n">
        <v>3981.726</v>
      </c>
      <c r="K151" s="81" t="n">
        <v>1424622000</v>
      </c>
      <c r="L151" s="82" t="n">
        <v>2.24</v>
      </c>
      <c r="M151" s="81" t="n">
        <v>635.6889</v>
      </c>
      <c r="N151" s="81" t="n">
        <v>0</v>
      </c>
      <c r="O151" s="81" t="n">
        <v>25570.471</v>
      </c>
      <c r="P151" s="82"/>
      <c r="Q151" s="82" t="n">
        <v>75.5</v>
      </c>
      <c r="R151" s="47" t="n">
        <v>24</v>
      </c>
      <c r="S151" s="66" t="s">
        <v>427</v>
      </c>
    </row>
    <row r="152" customFormat="false" ht="15" hidden="false" customHeight="false" outlineLevel="0" collapsed="false">
      <c r="A152" s="78" t="s">
        <v>171</v>
      </c>
      <c r="B152" s="78" t="s">
        <v>247</v>
      </c>
      <c r="C152" s="79" t="n">
        <v>2026</v>
      </c>
      <c r="D152" s="79" t="n">
        <v>3</v>
      </c>
      <c r="E152" s="80" t="n">
        <v>46295</v>
      </c>
      <c r="F152" s="78" t="s">
        <v>248</v>
      </c>
      <c r="G152" s="78" t="s">
        <v>249</v>
      </c>
      <c r="H152" s="78" t="s">
        <v>250</v>
      </c>
      <c r="I152" s="81"/>
      <c r="J152" s="81"/>
      <c r="K152" s="81"/>
      <c r="L152" s="82" t="n">
        <v>20.84785</v>
      </c>
      <c r="M152" s="81"/>
      <c r="N152" s="81"/>
      <c r="O152" s="81"/>
      <c r="P152" s="82"/>
      <c r="Q152" s="82"/>
      <c r="R152" s="47" t="n">
        <v>0</v>
      </c>
      <c r="S152" s="66" t="s">
        <v>428</v>
      </c>
    </row>
    <row r="153" customFormat="false" ht="15" hidden="false" customHeight="false" outlineLevel="0" collapsed="false">
      <c r="A153" s="78" t="s">
        <v>171</v>
      </c>
      <c r="B153" s="78" t="s">
        <v>252</v>
      </c>
      <c r="C153" s="79" t="n">
        <v>2026</v>
      </c>
      <c r="D153" s="79" t="n">
        <v>2</v>
      </c>
      <c r="E153" s="80" t="n">
        <v>46203</v>
      </c>
      <c r="F153" s="78" t="s">
        <v>253</v>
      </c>
      <c r="G153" s="78" t="s">
        <v>254</v>
      </c>
      <c r="H153" s="78" t="s">
        <v>250</v>
      </c>
      <c r="I153" s="81" t="n">
        <v>82549.073</v>
      </c>
      <c r="J153" s="81" t="n">
        <v>65617.46</v>
      </c>
      <c r="K153" s="81" t="n">
        <v>50192038000</v>
      </c>
      <c r="L153" s="82" t="n">
        <v>14.66</v>
      </c>
      <c r="M153" s="81" t="n">
        <v>3450.2059</v>
      </c>
      <c r="N153" s="81" t="n">
        <v>0</v>
      </c>
      <c r="O153" s="81" t="n">
        <v>322560.603</v>
      </c>
      <c r="P153" s="82" t="n">
        <v>0</v>
      </c>
      <c r="Q153" s="82" t="n">
        <v>452.5</v>
      </c>
      <c r="R153" s="47" t="n">
        <v>1</v>
      </c>
      <c r="S153" s="66" t="s">
        <v>429</v>
      </c>
    </row>
    <row r="154" customFormat="false" ht="15" hidden="false" customHeight="false" outlineLevel="0" collapsed="false">
      <c r="A154" s="78" t="s">
        <v>171</v>
      </c>
      <c r="B154" s="78" t="s">
        <v>256</v>
      </c>
      <c r="C154" s="79" t="n">
        <v>2026</v>
      </c>
      <c r="D154" s="79" t="n">
        <v>1</v>
      </c>
      <c r="E154" s="80" t="n">
        <v>46112</v>
      </c>
      <c r="F154" s="78" t="s">
        <v>253</v>
      </c>
      <c r="G154" s="78" t="s">
        <v>254</v>
      </c>
      <c r="H154" s="78" t="s">
        <v>250</v>
      </c>
      <c r="I154" s="81" t="n">
        <v>49086.932</v>
      </c>
      <c r="J154" s="81" t="n">
        <v>33325.482</v>
      </c>
      <c r="K154" s="81" t="n">
        <v>26059487000</v>
      </c>
      <c r="L154" s="82" t="n">
        <v>8.41</v>
      </c>
      <c r="M154" s="81" t="n">
        <v>3098.6279</v>
      </c>
      <c r="N154" s="81" t="n">
        <v>0</v>
      </c>
      <c r="O154" s="81" t="n">
        <v>192900.167</v>
      </c>
      <c r="P154" s="82" t="n">
        <v>0</v>
      </c>
      <c r="Q154" s="82" t="n">
        <v>198.5</v>
      </c>
      <c r="R154" s="47" t="n">
        <v>2</v>
      </c>
      <c r="S154" s="66" t="s">
        <v>430</v>
      </c>
    </row>
    <row r="155" customFormat="false" ht="15" hidden="false" customHeight="false" outlineLevel="0" collapsed="false">
      <c r="A155" s="78" t="s">
        <v>171</v>
      </c>
      <c r="B155" s="78" t="s">
        <v>258</v>
      </c>
      <c r="C155" s="79" t="n">
        <v>2025</v>
      </c>
      <c r="D155" s="79" t="n">
        <v>4</v>
      </c>
      <c r="E155" s="80" t="n">
        <v>46022</v>
      </c>
      <c r="F155" s="78" t="s">
        <v>253</v>
      </c>
      <c r="G155" s="78" t="s">
        <v>254</v>
      </c>
      <c r="H155" s="78" t="s">
        <v>250</v>
      </c>
      <c r="I155" s="81" t="n">
        <v>30093.618</v>
      </c>
      <c r="J155" s="81" t="n">
        <v>14760.844</v>
      </c>
      <c r="K155" s="81" t="n">
        <v>11093190000</v>
      </c>
      <c r="L155" s="82" t="n">
        <v>3.58</v>
      </c>
      <c r="M155" s="81" t="n">
        <v>3098.6279</v>
      </c>
      <c r="N155" s="81" t="n">
        <v>0</v>
      </c>
      <c r="O155" s="81" t="n">
        <v>170399.852</v>
      </c>
      <c r="P155" s="82" t="n">
        <v>0</v>
      </c>
      <c r="Q155" s="82" t="n">
        <v>193</v>
      </c>
      <c r="R155" s="47" t="n">
        <v>3</v>
      </c>
      <c r="S155" s="66" t="s">
        <v>431</v>
      </c>
    </row>
    <row r="156" customFormat="false" ht="15" hidden="false" customHeight="false" outlineLevel="0" collapsed="false">
      <c r="A156" s="78" t="s">
        <v>171</v>
      </c>
      <c r="B156" s="78" t="s">
        <v>260</v>
      </c>
      <c r="C156" s="79" t="n">
        <v>2025</v>
      </c>
      <c r="D156" s="79" t="n">
        <v>3</v>
      </c>
      <c r="E156" s="80" t="n">
        <v>45930</v>
      </c>
      <c r="F156" s="78" t="s">
        <v>253</v>
      </c>
      <c r="G156" s="78" t="s">
        <v>254</v>
      </c>
      <c r="H156" s="78" t="s">
        <v>250</v>
      </c>
      <c r="I156" s="81" t="n">
        <v>18778.868</v>
      </c>
      <c r="J156" s="81" t="n">
        <v>3463.871</v>
      </c>
      <c r="K156" s="81" t="n">
        <v>1563334000</v>
      </c>
      <c r="L156" s="82" t="n">
        <v>0.5</v>
      </c>
      <c r="M156" s="81" t="n">
        <v>3098.6279</v>
      </c>
      <c r="N156" s="81" t="n">
        <v>0</v>
      </c>
      <c r="O156" s="81" t="n">
        <v>157342.861</v>
      </c>
      <c r="P156" s="82" t="n">
        <v>0</v>
      </c>
      <c r="Q156" s="82" t="n">
        <v>73</v>
      </c>
      <c r="R156" s="47" t="n">
        <v>4</v>
      </c>
      <c r="S156" s="66" t="s">
        <v>432</v>
      </c>
    </row>
    <row r="157" customFormat="false" ht="15" hidden="false" customHeight="false" outlineLevel="0" collapsed="false">
      <c r="A157" s="78" t="s">
        <v>171</v>
      </c>
      <c r="B157" s="78" t="s">
        <v>262</v>
      </c>
      <c r="C157" s="79" t="n">
        <v>2025</v>
      </c>
      <c r="D157" s="79" t="n">
        <v>2</v>
      </c>
      <c r="E157" s="80" t="n">
        <v>45838</v>
      </c>
      <c r="F157" s="78" t="s">
        <v>253</v>
      </c>
      <c r="G157" s="78" t="s">
        <v>254</v>
      </c>
      <c r="H157" s="78" t="s">
        <v>250</v>
      </c>
      <c r="I157" s="81" t="n">
        <v>10526.094</v>
      </c>
      <c r="J157" s="81" t="n">
        <v>-2163.843</v>
      </c>
      <c r="K157" s="81" t="n">
        <v>-4102113000</v>
      </c>
      <c r="L157" s="82" t="n">
        <v>-1.32</v>
      </c>
      <c r="M157" s="81" t="n">
        <v>3098.6279</v>
      </c>
      <c r="N157" s="81" t="n">
        <v>0</v>
      </c>
      <c r="O157" s="81" t="n">
        <v>154665.851</v>
      </c>
      <c r="P157" s="82" t="n">
        <v>0</v>
      </c>
      <c r="Q157" s="82" t="n">
        <v>51.2</v>
      </c>
      <c r="R157" s="47" t="n">
        <v>5</v>
      </c>
      <c r="S157" s="66" t="s">
        <v>433</v>
      </c>
    </row>
    <row r="158" customFormat="false" ht="15" hidden="false" customHeight="false" outlineLevel="0" collapsed="false">
      <c r="A158" s="78" t="s">
        <v>171</v>
      </c>
      <c r="B158" s="78" t="s">
        <v>264</v>
      </c>
      <c r="C158" s="79" t="n">
        <v>2025</v>
      </c>
      <c r="D158" s="79" t="n">
        <v>1</v>
      </c>
      <c r="E158" s="80" t="n">
        <v>45747</v>
      </c>
      <c r="F158" s="78" t="s">
        <v>253</v>
      </c>
      <c r="G158" s="78" t="s">
        <v>254</v>
      </c>
      <c r="H158" s="78" t="s">
        <v>250</v>
      </c>
      <c r="I158" s="81" t="n">
        <v>7187.94</v>
      </c>
      <c r="J158" s="81" t="n">
        <v>-1074.672</v>
      </c>
      <c r="K158" s="81" t="n">
        <v>-1940639000</v>
      </c>
      <c r="L158" s="82" t="n">
        <v>-0.63</v>
      </c>
      <c r="M158" s="81" t="n">
        <v>3098.6279</v>
      </c>
      <c r="N158" s="81" t="n">
        <v>0</v>
      </c>
      <c r="O158" s="81" t="n">
        <v>163871.441</v>
      </c>
      <c r="P158" s="82" t="n">
        <v>0</v>
      </c>
      <c r="Q158" s="82" t="n">
        <v>37.4</v>
      </c>
      <c r="R158" s="47" t="n">
        <v>6</v>
      </c>
      <c r="S158" s="66" t="s">
        <v>434</v>
      </c>
    </row>
    <row r="159" customFormat="false" ht="15" hidden="false" customHeight="false" outlineLevel="0" collapsed="false">
      <c r="A159" s="78" t="s">
        <v>171</v>
      </c>
      <c r="B159" s="78" t="s">
        <v>266</v>
      </c>
      <c r="C159" s="79" t="n">
        <v>2024</v>
      </c>
      <c r="D159" s="79" t="n">
        <v>4</v>
      </c>
      <c r="E159" s="80" t="n">
        <v>45657</v>
      </c>
      <c r="F159" s="78" t="s">
        <v>253</v>
      </c>
      <c r="G159" s="78" t="s">
        <v>254</v>
      </c>
      <c r="H159" s="78" t="s">
        <v>250</v>
      </c>
      <c r="I159" s="81" t="n">
        <v>6575.094</v>
      </c>
      <c r="J159" s="81" t="n">
        <v>-694.55</v>
      </c>
      <c r="K159" s="81" t="n">
        <v>-1573687000</v>
      </c>
      <c r="L159" s="82" t="n">
        <v>-0.51</v>
      </c>
      <c r="M159" s="81" t="n">
        <v>3098.6279</v>
      </c>
      <c r="N159" s="81" t="n">
        <v>0</v>
      </c>
      <c r="O159" s="81" t="n">
        <v>165053.275</v>
      </c>
      <c r="P159" s="82" t="n">
        <v>0</v>
      </c>
      <c r="Q159" s="82" t="n">
        <v>29.25</v>
      </c>
      <c r="R159" s="47" t="n">
        <v>7</v>
      </c>
      <c r="S159" s="66" t="s">
        <v>435</v>
      </c>
    </row>
    <row r="160" customFormat="false" ht="15" hidden="false" customHeight="false" outlineLevel="0" collapsed="false">
      <c r="A160" s="78" t="s">
        <v>171</v>
      </c>
      <c r="B160" s="78" t="s">
        <v>268</v>
      </c>
      <c r="C160" s="79" t="n">
        <v>2024</v>
      </c>
      <c r="D160" s="79" t="n">
        <v>3</v>
      </c>
      <c r="E160" s="80" t="n">
        <v>45565</v>
      </c>
      <c r="F160" s="78" t="s">
        <v>253</v>
      </c>
      <c r="G160" s="78" t="s">
        <v>254</v>
      </c>
      <c r="H160" s="78" t="s">
        <v>250</v>
      </c>
      <c r="I160" s="81" t="n">
        <v>8132.593</v>
      </c>
      <c r="J160" s="81" t="n">
        <v>263.625</v>
      </c>
      <c r="K160" s="81" t="n">
        <v>-1486690000</v>
      </c>
      <c r="L160" s="82" t="n">
        <v>-0.48</v>
      </c>
      <c r="M160" s="81" t="n">
        <v>3098.6279</v>
      </c>
      <c r="N160" s="81" t="n">
        <v>0</v>
      </c>
      <c r="O160" s="81" t="n">
        <v>164753.756</v>
      </c>
      <c r="P160" s="82" t="n">
        <v>0</v>
      </c>
      <c r="Q160" s="82" t="n">
        <v>47.35</v>
      </c>
      <c r="R160" s="47" t="n">
        <v>8</v>
      </c>
      <c r="S160" s="66" t="s">
        <v>436</v>
      </c>
    </row>
    <row r="161" customFormat="false" ht="15" hidden="false" customHeight="false" outlineLevel="0" collapsed="false">
      <c r="A161" s="78" t="s">
        <v>171</v>
      </c>
      <c r="B161" s="78" t="s">
        <v>270</v>
      </c>
      <c r="C161" s="79" t="n">
        <v>2024</v>
      </c>
      <c r="D161" s="79" t="n">
        <v>2</v>
      </c>
      <c r="E161" s="80" t="n">
        <v>45473</v>
      </c>
      <c r="F161" s="78" t="s">
        <v>253</v>
      </c>
      <c r="G161" s="78" t="s">
        <v>254</v>
      </c>
      <c r="H161" s="78" t="s">
        <v>250</v>
      </c>
      <c r="I161" s="81" t="n">
        <v>9921.043</v>
      </c>
      <c r="J161" s="81" t="n">
        <v>286.964</v>
      </c>
      <c r="K161" s="81" t="n">
        <v>-814485000</v>
      </c>
      <c r="L161" s="82" t="n">
        <v>-0.26</v>
      </c>
      <c r="M161" s="81"/>
      <c r="N161" s="81"/>
      <c r="O161" s="81"/>
      <c r="P161" s="82" t="n">
        <v>0</v>
      </c>
      <c r="Q161" s="82" t="n">
        <v>69.7</v>
      </c>
      <c r="R161" s="47" t="n">
        <v>9</v>
      </c>
      <c r="S161" s="66" t="s">
        <v>437</v>
      </c>
    </row>
    <row r="162" customFormat="false" ht="15" hidden="false" customHeight="false" outlineLevel="0" collapsed="false">
      <c r="A162" s="78" t="s">
        <v>171</v>
      </c>
      <c r="B162" s="78" t="s">
        <v>272</v>
      </c>
      <c r="C162" s="79" t="n">
        <v>2024</v>
      </c>
      <c r="D162" s="79" t="n">
        <v>1</v>
      </c>
      <c r="E162" s="80" t="n">
        <v>45382</v>
      </c>
      <c r="F162" s="78" t="s">
        <v>253</v>
      </c>
      <c r="G162" s="78" t="s">
        <v>254</v>
      </c>
      <c r="H162" s="78" t="s">
        <v>250</v>
      </c>
      <c r="I162" s="81" t="n">
        <v>9502.937</v>
      </c>
      <c r="J162" s="81" t="n">
        <v>-276.624</v>
      </c>
      <c r="K162" s="81" t="n">
        <v>-1208488000</v>
      </c>
      <c r="L162" s="82" t="n">
        <v>-0.39</v>
      </c>
      <c r="M162" s="81" t="n">
        <v>3098.2509</v>
      </c>
      <c r="N162" s="81" t="n">
        <v>0</v>
      </c>
      <c r="O162" s="81" t="n">
        <v>167821.174</v>
      </c>
      <c r="P162" s="82" t="n">
        <v>0</v>
      </c>
      <c r="Q162" s="82" t="n">
        <v>67.7</v>
      </c>
      <c r="R162" s="47" t="n">
        <v>10</v>
      </c>
      <c r="S162" s="66" t="s">
        <v>438</v>
      </c>
    </row>
    <row r="163" customFormat="false" ht="15" hidden="false" customHeight="false" outlineLevel="0" collapsed="false">
      <c r="A163" s="78" t="s">
        <v>171</v>
      </c>
      <c r="B163" s="78" t="s">
        <v>274</v>
      </c>
      <c r="C163" s="79" t="n">
        <v>2023</v>
      </c>
      <c r="D163" s="79" t="n">
        <v>4</v>
      </c>
      <c r="E163" s="80" t="n">
        <v>45291</v>
      </c>
      <c r="F163" s="78" t="s">
        <v>253</v>
      </c>
      <c r="G163" s="78" t="s">
        <v>254</v>
      </c>
      <c r="H163" s="78" t="s">
        <v>250</v>
      </c>
      <c r="I163" s="81" t="n">
        <v>8703.978</v>
      </c>
      <c r="J163" s="81" t="n">
        <v>-1187.708</v>
      </c>
      <c r="K163" s="81" t="n">
        <v>-2479502000</v>
      </c>
      <c r="L163" s="82" t="n">
        <v>-0.8</v>
      </c>
      <c r="M163" s="81" t="n">
        <v>3098.1209</v>
      </c>
      <c r="N163" s="81" t="n">
        <v>0</v>
      </c>
      <c r="O163" s="81" t="n">
        <v>166924.155</v>
      </c>
      <c r="P163" s="82" t="n">
        <v>0</v>
      </c>
      <c r="Q163" s="82" t="n">
        <v>78</v>
      </c>
      <c r="R163" s="47" t="n">
        <v>11</v>
      </c>
      <c r="S163" s="66" t="s">
        <v>439</v>
      </c>
    </row>
    <row r="164" customFormat="false" ht="15" hidden="false" customHeight="false" outlineLevel="0" collapsed="false">
      <c r="A164" s="78" t="s">
        <v>171</v>
      </c>
      <c r="B164" s="78" t="s">
        <v>276</v>
      </c>
      <c r="C164" s="79" t="n">
        <v>2023</v>
      </c>
      <c r="D164" s="79" t="n">
        <v>3</v>
      </c>
      <c r="E164" s="80" t="n">
        <v>45199</v>
      </c>
      <c r="F164" s="78" t="s">
        <v>253</v>
      </c>
      <c r="G164" s="78" t="s">
        <v>254</v>
      </c>
      <c r="H164" s="78" t="s">
        <v>250</v>
      </c>
      <c r="I164" s="81" t="n">
        <v>7736.374</v>
      </c>
      <c r="J164" s="81" t="n">
        <v>-1952.67</v>
      </c>
      <c r="K164" s="81" t="n">
        <v>-2504571000</v>
      </c>
      <c r="L164" s="82" t="n">
        <v>-0.81</v>
      </c>
      <c r="M164" s="81" t="n">
        <v>3098.0689</v>
      </c>
      <c r="N164" s="81" t="n">
        <v>0</v>
      </c>
      <c r="O164" s="81" t="n">
        <v>172009.061</v>
      </c>
      <c r="P164" s="82" t="n">
        <v>0</v>
      </c>
      <c r="Q164" s="82" t="n">
        <v>65.6</v>
      </c>
      <c r="R164" s="47" t="n">
        <v>12</v>
      </c>
      <c r="S164" s="66" t="s">
        <v>440</v>
      </c>
    </row>
    <row r="165" customFormat="false" ht="15" hidden="false" customHeight="false" outlineLevel="0" collapsed="false">
      <c r="A165" s="78" t="s">
        <v>171</v>
      </c>
      <c r="B165" s="78" t="s">
        <v>278</v>
      </c>
      <c r="C165" s="79" t="n">
        <v>2023</v>
      </c>
      <c r="D165" s="79" t="n">
        <v>2</v>
      </c>
      <c r="E165" s="80" t="n">
        <v>45107</v>
      </c>
      <c r="F165" s="78" t="s">
        <v>253</v>
      </c>
      <c r="G165" s="78" t="s">
        <v>254</v>
      </c>
      <c r="H165" s="78" t="s">
        <v>250</v>
      </c>
      <c r="I165" s="81" t="n">
        <v>7027.071</v>
      </c>
      <c r="J165" s="81" t="n">
        <v>-788.302</v>
      </c>
      <c r="K165" s="81" t="n">
        <v>-770874000</v>
      </c>
      <c r="L165" s="82" t="n">
        <v>-0.25</v>
      </c>
      <c r="M165" s="81" t="n">
        <v>3098.0429</v>
      </c>
      <c r="N165" s="81" t="n">
        <v>0</v>
      </c>
      <c r="O165" s="81" t="n">
        <v>172633.829</v>
      </c>
      <c r="P165" s="82" t="n">
        <v>2.13036346</v>
      </c>
      <c r="Q165" s="82" t="n">
        <v>70.8</v>
      </c>
      <c r="R165" s="47" t="n">
        <v>13</v>
      </c>
      <c r="S165" s="66" t="s">
        <v>441</v>
      </c>
    </row>
    <row r="166" customFormat="false" ht="15" hidden="false" customHeight="false" outlineLevel="0" collapsed="false">
      <c r="A166" s="78" t="s">
        <v>171</v>
      </c>
      <c r="B166" s="78" t="s">
        <v>280</v>
      </c>
      <c r="C166" s="79" t="n">
        <v>2023</v>
      </c>
      <c r="D166" s="79" t="n">
        <v>1</v>
      </c>
      <c r="E166" s="80" t="n">
        <v>45016</v>
      </c>
      <c r="F166" s="78" t="s">
        <v>253</v>
      </c>
      <c r="G166" s="78" t="s">
        <v>254</v>
      </c>
      <c r="H166" s="78" t="s">
        <v>250</v>
      </c>
      <c r="I166" s="81" t="n">
        <v>6424.883</v>
      </c>
      <c r="J166" s="81" t="n">
        <v>-554.16</v>
      </c>
      <c r="K166" s="81" t="n">
        <v>-1684687000</v>
      </c>
      <c r="L166" s="82" t="n">
        <v>-0.54</v>
      </c>
      <c r="M166" s="81" t="n">
        <v>3098.0429</v>
      </c>
      <c r="N166" s="81" t="n">
        <v>0</v>
      </c>
      <c r="O166" s="81" t="n">
        <v>172301.376</v>
      </c>
      <c r="P166" s="82" t="n">
        <v>0</v>
      </c>
      <c r="Q166" s="82" t="n">
        <v>66.5</v>
      </c>
      <c r="R166" s="47" t="n">
        <v>14</v>
      </c>
      <c r="S166" s="66" t="s">
        <v>442</v>
      </c>
    </row>
    <row r="167" customFormat="false" ht="15" hidden="false" customHeight="false" outlineLevel="0" collapsed="false">
      <c r="A167" s="78" t="s">
        <v>171</v>
      </c>
      <c r="B167" s="78" t="s">
        <v>282</v>
      </c>
      <c r="C167" s="79" t="n">
        <v>2022</v>
      </c>
      <c r="D167" s="79" t="n">
        <v>4</v>
      </c>
      <c r="E167" s="80" t="n">
        <v>44926</v>
      </c>
      <c r="F167" s="78" t="s">
        <v>253</v>
      </c>
      <c r="G167" s="78" t="s">
        <v>254</v>
      </c>
      <c r="H167" s="78" t="s">
        <v>250</v>
      </c>
      <c r="I167" s="81" t="n">
        <v>7953.553</v>
      </c>
      <c r="J167" s="81" t="n">
        <v>1036.908</v>
      </c>
      <c r="K167" s="81" t="n">
        <v>-1146420000</v>
      </c>
      <c r="L167" s="82" t="n">
        <v>-0.37</v>
      </c>
      <c r="M167" s="81" t="n">
        <v>3098.0079</v>
      </c>
      <c r="N167" s="81" t="n">
        <v>0</v>
      </c>
      <c r="O167" s="81" t="n">
        <v>180958.05</v>
      </c>
      <c r="P167" s="82" t="n">
        <v>0</v>
      </c>
      <c r="Q167" s="82" t="n">
        <v>51.2</v>
      </c>
      <c r="R167" s="47" t="n">
        <v>15</v>
      </c>
      <c r="S167" s="66" t="s">
        <v>443</v>
      </c>
    </row>
    <row r="168" customFormat="false" ht="15" hidden="false" customHeight="false" outlineLevel="0" collapsed="false">
      <c r="A168" s="78" t="s">
        <v>171</v>
      </c>
      <c r="B168" s="78" t="s">
        <v>284</v>
      </c>
      <c r="C168" s="79" t="n">
        <v>2022</v>
      </c>
      <c r="D168" s="79" t="n">
        <v>3</v>
      </c>
      <c r="E168" s="80" t="n">
        <v>44834</v>
      </c>
      <c r="F168" s="78" t="s">
        <v>253</v>
      </c>
      <c r="G168" s="78" t="s">
        <v>254</v>
      </c>
      <c r="H168" s="78" t="s">
        <v>250</v>
      </c>
      <c r="I168" s="81" t="n">
        <v>11021.725</v>
      </c>
      <c r="J168" s="81" t="n">
        <v>3596.56</v>
      </c>
      <c r="K168" s="81" t="n">
        <v>2640591000</v>
      </c>
      <c r="L168" s="82" t="n">
        <v>0.85</v>
      </c>
      <c r="M168" s="81" t="n">
        <v>3097.6779</v>
      </c>
      <c r="N168" s="81" t="n">
        <v>0</v>
      </c>
      <c r="O168" s="81" t="n">
        <v>183672.406</v>
      </c>
      <c r="P168" s="82" t="n">
        <v>0</v>
      </c>
      <c r="Q168" s="82" t="n">
        <v>48.95</v>
      </c>
      <c r="R168" s="47" t="n">
        <v>16</v>
      </c>
      <c r="S168" s="66" t="s">
        <v>444</v>
      </c>
    </row>
    <row r="169" customFormat="false" ht="15" hidden="false" customHeight="false" outlineLevel="0" collapsed="false">
      <c r="A169" s="78" t="s">
        <v>171</v>
      </c>
      <c r="B169" s="78" t="s">
        <v>286</v>
      </c>
      <c r="C169" s="79" t="n">
        <v>2022</v>
      </c>
      <c r="D169" s="79" t="n">
        <v>2</v>
      </c>
      <c r="E169" s="80" t="n">
        <v>44742</v>
      </c>
      <c r="F169" s="78" t="s">
        <v>253</v>
      </c>
      <c r="G169" s="78" t="s">
        <v>254</v>
      </c>
      <c r="H169" s="78" t="s">
        <v>250</v>
      </c>
      <c r="I169" s="81" t="n">
        <v>18030.672</v>
      </c>
      <c r="J169" s="81" t="n">
        <v>7958.199</v>
      </c>
      <c r="K169" s="81" t="n">
        <v>6574723000</v>
      </c>
      <c r="L169" s="82" t="n">
        <v>2.12</v>
      </c>
      <c r="M169" s="81" t="n">
        <v>3097.1219</v>
      </c>
      <c r="N169" s="81" t="n">
        <v>0</v>
      </c>
      <c r="O169" s="81" t="n">
        <v>177797.022</v>
      </c>
      <c r="P169" s="82" t="n">
        <v>3.70281307</v>
      </c>
      <c r="Q169" s="82" t="n">
        <v>49.4</v>
      </c>
      <c r="R169" s="47" t="n">
        <v>17</v>
      </c>
      <c r="S169" s="66" t="s">
        <v>445</v>
      </c>
    </row>
    <row r="170" customFormat="false" ht="15" hidden="false" customHeight="false" outlineLevel="0" collapsed="false">
      <c r="A170" s="78" t="s">
        <v>171</v>
      </c>
      <c r="B170" s="78" t="s">
        <v>288</v>
      </c>
      <c r="C170" s="79" t="n">
        <v>2022</v>
      </c>
      <c r="D170" s="79" t="n">
        <v>1</v>
      </c>
      <c r="E170" s="80" t="n">
        <v>44651</v>
      </c>
      <c r="F170" s="78" t="s">
        <v>253</v>
      </c>
      <c r="G170" s="78" t="s">
        <v>254</v>
      </c>
      <c r="H170" s="78" t="s">
        <v>250</v>
      </c>
      <c r="I170" s="81" t="n">
        <v>19946.325</v>
      </c>
      <c r="J170" s="81" t="n">
        <v>8750.427</v>
      </c>
      <c r="K170" s="81" t="n">
        <v>6550137000</v>
      </c>
      <c r="L170" s="82" t="n">
        <v>2.11</v>
      </c>
      <c r="M170" s="81" t="n">
        <v>3097.0709</v>
      </c>
      <c r="N170" s="81" t="n">
        <v>0</v>
      </c>
      <c r="O170" s="81" t="n">
        <v>181014.516</v>
      </c>
      <c r="P170" s="82" t="n">
        <v>0</v>
      </c>
      <c r="Q170" s="82" t="n">
        <v>69.2</v>
      </c>
      <c r="R170" s="47" t="n">
        <v>18</v>
      </c>
      <c r="S170" s="66" t="s">
        <v>446</v>
      </c>
    </row>
    <row r="171" customFormat="false" ht="15" hidden="false" customHeight="false" outlineLevel="0" collapsed="false">
      <c r="A171" s="78" t="s">
        <v>171</v>
      </c>
      <c r="B171" s="78" t="s">
        <v>290</v>
      </c>
      <c r="C171" s="79" t="n">
        <v>2021</v>
      </c>
      <c r="D171" s="79" t="n">
        <v>4</v>
      </c>
      <c r="E171" s="80" t="n">
        <v>44561</v>
      </c>
      <c r="F171" s="78" t="s">
        <v>253</v>
      </c>
      <c r="G171" s="78" t="s">
        <v>254</v>
      </c>
      <c r="H171" s="78" t="s">
        <v>250</v>
      </c>
      <c r="I171" s="81" t="n">
        <v>21398.949</v>
      </c>
      <c r="J171" s="81" t="n">
        <v>10563.413</v>
      </c>
      <c r="K171" s="81" t="n">
        <v>6454120000</v>
      </c>
      <c r="L171" s="82" t="n">
        <v>2.09</v>
      </c>
      <c r="M171" s="81" t="n">
        <v>3096.8749</v>
      </c>
      <c r="N171" s="81" t="n">
        <v>0</v>
      </c>
      <c r="O171" s="81" t="n">
        <v>172978.068</v>
      </c>
      <c r="P171" s="82" t="n">
        <v>0</v>
      </c>
      <c r="Q171" s="82" t="n">
        <v>78.1</v>
      </c>
      <c r="R171" s="47" t="n">
        <v>19</v>
      </c>
      <c r="S171" s="66" t="s">
        <v>447</v>
      </c>
    </row>
    <row r="172" customFormat="false" ht="15" hidden="false" customHeight="false" outlineLevel="0" collapsed="false">
      <c r="A172" s="78" t="s">
        <v>171</v>
      </c>
      <c r="B172" s="78" t="s">
        <v>292</v>
      </c>
      <c r="C172" s="79" t="n">
        <v>2021</v>
      </c>
      <c r="D172" s="79" t="n">
        <v>3</v>
      </c>
      <c r="E172" s="80" t="n">
        <v>44469</v>
      </c>
      <c r="F172" s="78" t="s">
        <v>253</v>
      </c>
      <c r="G172" s="78" t="s">
        <v>254</v>
      </c>
      <c r="H172" s="78" t="s">
        <v>250</v>
      </c>
      <c r="I172" s="81" t="n">
        <v>23837.128</v>
      </c>
      <c r="J172" s="81" t="n">
        <v>11735.197</v>
      </c>
      <c r="K172" s="81" t="n">
        <v>7527195000</v>
      </c>
      <c r="L172" s="82" t="n">
        <v>2.44</v>
      </c>
      <c r="M172" s="81" t="n">
        <v>3097.0839</v>
      </c>
      <c r="N172" s="81" t="n">
        <v>6590000</v>
      </c>
      <c r="O172" s="81" t="n">
        <v>166512.713</v>
      </c>
      <c r="P172" s="82" t="n">
        <v>1.29660236</v>
      </c>
      <c r="Q172" s="82" t="n">
        <v>65.9</v>
      </c>
      <c r="R172" s="47" t="n">
        <v>20</v>
      </c>
      <c r="S172" s="66" t="s">
        <v>448</v>
      </c>
    </row>
    <row r="173" customFormat="false" ht="15" hidden="false" customHeight="false" outlineLevel="0" collapsed="false">
      <c r="A173" s="78" t="s">
        <v>171</v>
      </c>
      <c r="B173" s="78" t="s">
        <v>294</v>
      </c>
      <c r="C173" s="79" t="n">
        <v>2021</v>
      </c>
      <c r="D173" s="79" t="n">
        <v>2</v>
      </c>
      <c r="E173" s="80" t="n">
        <v>44377</v>
      </c>
      <c r="F173" s="78" t="s">
        <v>253</v>
      </c>
      <c r="G173" s="78" t="s">
        <v>254</v>
      </c>
      <c r="H173" s="78" t="s">
        <v>250</v>
      </c>
      <c r="I173" s="81" t="n">
        <v>22637.468</v>
      </c>
      <c r="J173" s="81" t="n">
        <v>9583.326</v>
      </c>
      <c r="K173" s="81" t="n">
        <v>6163367000</v>
      </c>
      <c r="L173" s="82" t="n">
        <v>2</v>
      </c>
      <c r="M173" s="81" t="n">
        <v>3097.0119</v>
      </c>
      <c r="N173" s="81" t="n">
        <v>12098000</v>
      </c>
      <c r="O173" s="81" t="n">
        <v>158647.283</v>
      </c>
      <c r="P173" s="82" t="n">
        <v>0</v>
      </c>
      <c r="Q173" s="82" t="n">
        <v>79.7</v>
      </c>
      <c r="R173" s="47" t="n">
        <v>21</v>
      </c>
      <c r="S173" s="66" t="s">
        <v>449</v>
      </c>
    </row>
    <row r="174" customFormat="false" ht="15" hidden="false" customHeight="false" outlineLevel="0" collapsed="false">
      <c r="A174" s="78" t="s">
        <v>171</v>
      </c>
      <c r="B174" s="78" t="s">
        <v>296</v>
      </c>
      <c r="C174" s="79" t="n">
        <v>2021</v>
      </c>
      <c r="D174" s="79" t="n">
        <v>1</v>
      </c>
      <c r="E174" s="80" t="n">
        <v>44286</v>
      </c>
      <c r="F174" s="78" t="s">
        <v>253</v>
      </c>
      <c r="G174" s="78" t="s">
        <v>254</v>
      </c>
      <c r="H174" s="78" t="s">
        <v>250</v>
      </c>
      <c r="I174" s="81" t="n">
        <v>17730.613</v>
      </c>
      <c r="J174" s="81" t="n">
        <v>5162.012</v>
      </c>
      <c r="K174" s="81" t="n">
        <v>2704333000</v>
      </c>
      <c r="L174" s="82" t="n">
        <v>0.88</v>
      </c>
      <c r="M174" s="81" t="n">
        <v>3096.4349</v>
      </c>
      <c r="N174" s="81" t="n">
        <v>12098000</v>
      </c>
      <c r="O174" s="81" t="n">
        <v>157319.61</v>
      </c>
      <c r="P174" s="82" t="n">
        <v>0</v>
      </c>
      <c r="Q174" s="82" t="n">
        <v>91.9</v>
      </c>
      <c r="R174" s="47" t="n">
        <v>22</v>
      </c>
      <c r="S174" s="66" t="s">
        <v>450</v>
      </c>
    </row>
    <row r="175" customFormat="false" ht="15" hidden="false" customHeight="false" outlineLevel="0" collapsed="false">
      <c r="A175" s="78" t="s">
        <v>171</v>
      </c>
      <c r="B175" s="78" t="s">
        <v>298</v>
      </c>
      <c r="C175" s="79" t="n">
        <v>2020</v>
      </c>
      <c r="D175" s="79" t="n">
        <v>4</v>
      </c>
      <c r="E175" s="80" t="n">
        <v>44196</v>
      </c>
      <c r="F175" s="78" t="s">
        <v>253</v>
      </c>
      <c r="G175" s="78" t="s">
        <v>254</v>
      </c>
      <c r="H175" s="78" t="s">
        <v>250</v>
      </c>
      <c r="I175" s="81" t="n">
        <v>14773.42</v>
      </c>
      <c r="J175" s="81" t="n">
        <v>3251.465</v>
      </c>
      <c r="K175" s="81" t="n">
        <v>924149000</v>
      </c>
      <c r="L175" s="82" t="n">
        <v>0.3</v>
      </c>
      <c r="M175" s="81" t="n">
        <v>3093.5939</v>
      </c>
      <c r="N175" s="81" t="n">
        <v>20000000</v>
      </c>
      <c r="O175" s="81" t="n">
        <v>153812.027</v>
      </c>
      <c r="P175" s="82" t="n">
        <v>0</v>
      </c>
      <c r="Q175" s="82" t="n">
        <v>86.8</v>
      </c>
      <c r="R175" s="47" t="n">
        <v>23</v>
      </c>
      <c r="S175" s="66" t="s">
        <v>451</v>
      </c>
    </row>
    <row r="176" customFormat="false" ht="15" hidden="false" customHeight="false" outlineLevel="0" collapsed="false">
      <c r="A176" s="78" t="s">
        <v>171</v>
      </c>
      <c r="B176" s="78" t="s">
        <v>300</v>
      </c>
      <c r="C176" s="79" t="n">
        <v>2020</v>
      </c>
      <c r="D176" s="79" t="n">
        <v>3</v>
      </c>
      <c r="E176" s="80" t="n">
        <v>44104</v>
      </c>
      <c r="F176" s="78" t="s">
        <v>253</v>
      </c>
      <c r="G176" s="78" t="s">
        <v>254</v>
      </c>
      <c r="H176" s="78" t="s">
        <v>250</v>
      </c>
      <c r="I176" s="81" t="n">
        <v>15323.867</v>
      </c>
      <c r="J176" s="81" t="n">
        <v>3961.743</v>
      </c>
      <c r="K176" s="81" t="n">
        <v>1613376000</v>
      </c>
      <c r="L176" s="82" t="n">
        <v>0.53</v>
      </c>
      <c r="M176" s="81" t="n">
        <v>3092.6119</v>
      </c>
      <c r="N176" s="81" t="n">
        <v>20000000</v>
      </c>
      <c r="O176" s="81" t="n">
        <v>153398.569</v>
      </c>
      <c r="P176" s="82"/>
      <c r="Q176" s="82" t="n">
        <v>57.5</v>
      </c>
      <c r="R176" s="47" t="n">
        <v>24</v>
      </c>
      <c r="S176" s="66" t="s">
        <v>452</v>
      </c>
    </row>
    <row r="177" customFormat="false" ht="15" hidden="false" customHeight="false" outlineLevel="0" collapsed="false">
      <c r="A177" s="78" t="s">
        <v>453</v>
      </c>
      <c r="B177" s="78" t="s">
        <v>247</v>
      </c>
      <c r="C177" s="79" t="n">
        <v>2026</v>
      </c>
      <c r="D177" s="79" t="n">
        <v>3</v>
      </c>
      <c r="E177" s="80" t="n">
        <v>46295</v>
      </c>
      <c r="F177" s="78" t="s">
        <v>248</v>
      </c>
      <c r="G177" s="78" t="s">
        <v>249</v>
      </c>
      <c r="H177" s="78" t="s">
        <v>250</v>
      </c>
      <c r="I177" s="81"/>
      <c r="J177" s="81"/>
      <c r="K177" s="81"/>
      <c r="L177" s="82" t="n">
        <v>0.44998</v>
      </c>
      <c r="M177" s="81"/>
      <c r="N177" s="81"/>
      <c r="O177" s="81"/>
      <c r="P177" s="82"/>
      <c r="Q177" s="82"/>
      <c r="R177" s="47" t="n">
        <v>0</v>
      </c>
      <c r="S177" s="66" t="s">
        <v>454</v>
      </c>
    </row>
    <row r="178" customFormat="false" ht="15" hidden="false" customHeight="false" outlineLevel="0" collapsed="false">
      <c r="A178" s="78" t="s">
        <v>453</v>
      </c>
      <c r="B178" s="78" t="s">
        <v>252</v>
      </c>
      <c r="C178" s="79" t="n">
        <v>2026</v>
      </c>
      <c r="D178" s="79" t="n">
        <v>2</v>
      </c>
      <c r="E178" s="80" t="n">
        <v>46203</v>
      </c>
      <c r="F178" s="78" t="s">
        <v>253</v>
      </c>
      <c r="G178" s="78" t="s">
        <v>254</v>
      </c>
      <c r="H178" s="78" t="s">
        <v>250</v>
      </c>
      <c r="I178" s="81" t="n">
        <v>70891.194</v>
      </c>
      <c r="J178" s="81" t="n">
        <v>9248.151</v>
      </c>
      <c r="K178" s="81" t="n">
        <v>1343092000</v>
      </c>
      <c r="L178" s="82" t="n">
        <v>0.18</v>
      </c>
      <c r="M178" s="81" t="n">
        <v>7547.099</v>
      </c>
      <c r="N178" s="81" t="n">
        <v>0</v>
      </c>
      <c r="O178" s="81" t="n">
        <v>154397.339</v>
      </c>
      <c r="P178" s="82" t="n">
        <v>0</v>
      </c>
      <c r="Q178" s="82" t="n">
        <v>32.7</v>
      </c>
      <c r="R178" s="47" t="n">
        <v>1</v>
      </c>
      <c r="S178" s="66" t="s">
        <v>455</v>
      </c>
    </row>
    <row r="179" customFormat="false" ht="15" hidden="false" customHeight="false" outlineLevel="0" collapsed="false">
      <c r="A179" s="78" t="s">
        <v>453</v>
      </c>
      <c r="B179" s="78" t="s">
        <v>256</v>
      </c>
      <c r="C179" s="79" t="n">
        <v>2026</v>
      </c>
      <c r="D179" s="79" t="n">
        <v>1</v>
      </c>
      <c r="E179" s="80" t="n">
        <v>46112</v>
      </c>
      <c r="F179" s="78" t="s">
        <v>253</v>
      </c>
      <c r="G179" s="78" t="s">
        <v>254</v>
      </c>
      <c r="H179" s="78" t="s">
        <v>250</v>
      </c>
      <c r="I179" s="81" t="n">
        <v>69031.355</v>
      </c>
      <c r="J179" s="81" t="n">
        <v>8183.487</v>
      </c>
      <c r="K179" s="81" t="n">
        <v>-1143537000</v>
      </c>
      <c r="L179" s="82" t="n">
        <v>-0.15</v>
      </c>
      <c r="M179" s="81" t="n">
        <v>7547.099</v>
      </c>
      <c r="N179" s="81" t="n">
        <v>0</v>
      </c>
      <c r="O179" s="81" t="n">
        <v>149525.667</v>
      </c>
      <c r="P179" s="82" t="n">
        <v>0</v>
      </c>
      <c r="Q179" s="82" t="n">
        <v>14.5</v>
      </c>
      <c r="R179" s="47" t="n">
        <v>2</v>
      </c>
      <c r="S179" s="66" t="s">
        <v>456</v>
      </c>
    </row>
    <row r="180" customFormat="false" ht="15" hidden="false" customHeight="false" outlineLevel="0" collapsed="false">
      <c r="A180" s="78" t="s">
        <v>453</v>
      </c>
      <c r="B180" s="78" t="s">
        <v>258</v>
      </c>
      <c r="C180" s="79" t="n">
        <v>2025</v>
      </c>
      <c r="D180" s="79" t="n">
        <v>4</v>
      </c>
      <c r="E180" s="80" t="n">
        <v>46022</v>
      </c>
      <c r="F180" s="78" t="s">
        <v>253</v>
      </c>
      <c r="G180" s="78" t="s">
        <v>254</v>
      </c>
      <c r="H180" s="78" t="s">
        <v>250</v>
      </c>
      <c r="I180" s="81" t="n">
        <v>70141.567</v>
      </c>
      <c r="J180" s="81" t="n">
        <v>7524.762</v>
      </c>
      <c r="K180" s="81" t="n">
        <v>2882023000</v>
      </c>
      <c r="L180" s="82" t="n">
        <v>0.38</v>
      </c>
      <c r="M180" s="81" t="n">
        <v>7547.099</v>
      </c>
      <c r="N180" s="81" t="n">
        <v>0</v>
      </c>
      <c r="O180" s="81" t="n">
        <v>151999.444</v>
      </c>
      <c r="P180" s="82" t="n">
        <v>0</v>
      </c>
      <c r="Q180" s="82" t="n">
        <v>12.25</v>
      </c>
      <c r="R180" s="47" t="n">
        <v>3</v>
      </c>
      <c r="S180" s="66" t="s">
        <v>457</v>
      </c>
    </row>
    <row r="181" customFormat="false" ht="15" hidden="false" customHeight="false" outlineLevel="0" collapsed="false">
      <c r="A181" s="78" t="s">
        <v>453</v>
      </c>
      <c r="B181" s="78" t="s">
        <v>260</v>
      </c>
      <c r="C181" s="79" t="n">
        <v>2025</v>
      </c>
      <c r="D181" s="79" t="n">
        <v>3</v>
      </c>
      <c r="E181" s="80" t="n">
        <v>45930</v>
      </c>
      <c r="F181" s="78" t="s">
        <v>253</v>
      </c>
      <c r="G181" s="78" t="s">
        <v>254</v>
      </c>
      <c r="H181" s="78" t="s">
        <v>250</v>
      </c>
      <c r="I181" s="81" t="n">
        <v>69907.556</v>
      </c>
      <c r="J181" s="81" t="n">
        <v>6689.609</v>
      </c>
      <c r="K181" s="81" t="n">
        <v>-1280274000</v>
      </c>
      <c r="L181" s="82" t="n">
        <v>-0.17</v>
      </c>
      <c r="M181" s="81" t="n">
        <v>7547.099</v>
      </c>
      <c r="N181" s="81" t="n">
        <v>0</v>
      </c>
      <c r="O181" s="81" t="n">
        <v>147535.287</v>
      </c>
      <c r="P181" s="82" t="n">
        <v>0.30480112</v>
      </c>
      <c r="Q181" s="82" t="n">
        <v>13.65</v>
      </c>
      <c r="R181" s="47" t="n">
        <v>4</v>
      </c>
      <c r="S181" s="66" t="s">
        <v>458</v>
      </c>
    </row>
    <row r="182" customFormat="false" ht="15" hidden="false" customHeight="false" outlineLevel="0" collapsed="false">
      <c r="A182" s="78" t="s">
        <v>453</v>
      </c>
      <c r="B182" s="78" t="s">
        <v>262</v>
      </c>
      <c r="C182" s="79" t="n">
        <v>2025</v>
      </c>
      <c r="D182" s="79" t="n">
        <v>2</v>
      </c>
      <c r="E182" s="80" t="n">
        <v>45838</v>
      </c>
      <c r="F182" s="78" t="s">
        <v>253</v>
      </c>
      <c r="G182" s="78" t="s">
        <v>254</v>
      </c>
      <c r="H182" s="78" t="s">
        <v>250</v>
      </c>
      <c r="I182" s="81" t="n">
        <v>69236.749</v>
      </c>
      <c r="J182" s="81" t="n">
        <v>9361.983</v>
      </c>
      <c r="K182" s="81" t="n">
        <v>1947871000</v>
      </c>
      <c r="L182" s="82" t="n">
        <v>0.26</v>
      </c>
      <c r="M182" s="81" t="n">
        <v>7547.099</v>
      </c>
      <c r="N182" s="81" t="n">
        <v>0</v>
      </c>
      <c r="O182" s="81" t="n">
        <v>147558.293</v>
      </c>
      <c r="P182" s="82" t="n">
        <v>0</v>
      </c>
      <c r="Q182" s="82" t="n">
        <v>12.35</v>
      </c>
      <c r="R182" s="47" t="n">
        <v>5</v>
      </c>
      <c r="S182" s="66" t="s">
        <v>459</v>
      </c>
    </row>
    <row r="183" customFormat="false" ht="15" hidden="false" customHeight="false" outlineLevel="0" collapsed="false">
      <c r="A183" s="78" t="s">
        <v>453</v>
      </c>
      <c r="B183" s="78" t="s">
        <v>264</v>
      </c>
      <c r="C183" s="79" t="n">
        <v>2025</v>
      </c>
      <c r="D183" s="79" t="n">
        <v>1</v>
      </c>
      <c r="E183" s="80" t="n">
        <v>45747</v>
      </c>
      <c r="F183" s="78" t="s">
        <v>253</v>
      </c>
      <c r="G183" s="78" t="s">
        <v>254</v>
      </c>
      <c r="H183" s="78" t="s">
        <v>250</v>
      </c>
      <c r="I183" s="81" t="n">
        <v>72101.871</v>
      </c>
      <c r="J183" s="81" t="n">
        <v>8778.454</v>
      </c>
      <c r="K183" s="81" t="n">
        <v>3293741000</v>
      </c>
      <c r="L183" s="82" t="n">
        <v>0.43</v>
      </c>
      <c r="M183" s="81" t="n">
        <v>7667.881</v>
      </c>
      <c r="N183" s="81" t="n">
        <v>120782000</v>
      </c>
      <c r="O183" s="81" t="n">
        <v>152400.261</v>
      </c>
      <c r="P183" s="82" t="n">
        <v>0</v>
      </c>
      <c r="Q183" s="82" t="n">
        <v>13.45</v>
      </c>
      <c r="R183" s="47" t="n">
        <v>6</v>
      </c>
      <c r="S183" s="66" t="s">
        <v>460</v>
      </c>
    </row>
    <row r="184" customFormat="false" ht="15" hidden="false" customHeight="false" outlineLevel="0" collapsed="false">
      <c r="A184" s="78" t="s">
        <v>453</v>
      </c>
      <c r="B184" s="78" t="s">
        <v>266</v>
      </c>
      <c r="C184" s="79" t="n">
        <v>2024</v>
      </c>
      <c r="D184" s="79" t="n">
        <v>4</v>
      </c>
      <c r="E184" s="80" t="n">
        <v>45657</v>
      </c>
      <c r="F184" s="78" t="s">
        <v>253</v>
      </c>
      <c r="G184" s="78" t="s">
        <v>254</v>
      </c>
      <c r="H184" s="78" t="s">
        <v>250</v>
      </c>
      <c r="I184" s="81" t="n">
        <v>68692.009</v>
      </c>
      <c r="J184" s="81" t="n">
        <v>5445.537</v>
      </c>
      <c r="K184" s="81" t="n">
        <v>1619337000</v>
      </c>
      <c r="L184" s="82" t="n">
        <v>0.21</v>
      </c>
      <c r="M184" s="81" t="n">
        <v>7667.881</v>
      </c>
      <c r="N184" s="81" t="n">
        <v>0</v>
      </c>
      <c r="O184" s="81" t="n">
        <v>153297.72</v>
      </c>
      <c r="P184" s="82" t="n">
        <v>0</v>
      </c>
      <c r="Q184" s="82" t="n">
        <v>14.65</v>
      </c>
      <c r="R184" s="47" t="n">
        <v>7</v>
      </c>
      <c r="S184" s="66" t="s">
        <v>461</v>
      </c>
    </row>
    <row r="185" customFormat="false" ht="15" hidden="false" customHeight="false" outlineLevel="0" collapsed="false">
      <c r="A185" s="78" t="s">
        <v>453</v>
      </c>
      <c r="B185" s="78" t="s">
        <v>268</v>
      </c>
      <c r="C185" s="79" t="n">
        <v>2024</v>
      </c>
      <c r="D185" s="79" t="n">
        <v>3</v>
      </c>
      <c r="E185" s="80" t="n">
        <v>45565</v>
      </c>
      <c r="F185" s="78" t="s">
        <v>253</v>
      </c>
      <c r="G185" s="78" t="s">
        <v>254</v>
      </c>
      <c r="H185" s="78" t="s">
        <v>250</v>
      </c>
      <c r="I185" s="81" t="n">
        <v>77748.135</v>
      </c>
      <c r="J185" s="81" t="n">
        <v>8454.177</v>
      </c>
      <c r="K185" s="81" t="n">
        <v>-925674000</v>
      </c>
      <c r="L185" s="82" t="n">
        <v>-0.12</v>
      </c>
      <c r="M185" s="81" t="n">
        <v>7699.3961</v>
      </c>
      <c r="N185" s="81" t="n">
        <v>31515120</v>
      </c>
      <c r="O185" s="81" t="n">
        <v>150663.124</v>
      </c>
      <c r="P185" s="82" t="n">
        <v>0.9</v>
      </c>
      <c r="Q185" s="82" t="n">
        <v>17.05</v>
      </c>
      <c r="R185" s="47" t="n">
        <v>8</v>
      </c>
      <c r="S185" s="66" t="s">
        <v>462</v>
      </c>
    </row>
    <row r="186" customFormat="false" ht="15" hidden="false" customHeight="false" outlineLevel="0" collapsed="false">
      <c r="A186" s="78" t="s">
        <v>453</v>
      </c>
      <c r="B186" s="78" t="s">
        <v>270</v>
      </c>
      <c r="C186" s="79" t="n">
        <v>2024</v>
      </c>
      <c r="D186" s="79" t="n">
        <v>2</v>
      </c>
      <c r="E186" s="80" t="n">
        <v>45473</v>
      </c>
      <c r="F186" s="78" t="s">
        <v>253</v>
      </c>
      <c r="G186" s="78" t="s">
        <v>254</v>
      </c>
      <c r="H186" s="78" t="s">
        <v>250</v>
      </c>
      <c r="I186" s="81" t="n">
        <v>74327.946</v>
      </c>
      <c r="J186" s="81" t="n">
        <v>8354.64</v>
      </c>
      <c r="K186" s="81" t="n">
        <v>-231320000</v>
      </c>
      <c r="L186" s="82" t="n">
        <v>-0.03</v>
      </c>
      <c r="M186" s="81" t="n">
        <v>7699.3961</v>
      </c>
      <c r="N186" s="81" t="n">
        <v>31515120</v>
      </c>
      <c r="O186" s="81" t="n">
        <v>150719.88</v>
      </c>
      <c r="P186" s="82" t="n">
        <v>0</v>
      </c>
      <c r="Q186" s="82" t="n">
        <v>17.8</v>
      </c>
      <c r="R186" s="47" t="n">
        <v>9</v>
      </c>
      <c r="S186" s="66" t="s">
        <v>463</v>
      </c>
    </row>
    <row r="187" customFormat="false" ht="15" hidden="false" customHeight="false" outlineLevel="0" collapsed="false">
      <c r="A187" s="78" t="s">
        <v>453</v>
      </c>
      <c r="B187" s="78" t="s">
        <v>272</v>
      </c>
      <c r="C187" s="79" t="n">
        <v>2024</v>
      </c>
      <c r="D187" s="79" t="n">
        <v>1</v>
      </c>
      <c r="E187" s="80" t="n">
        <v>45382</v>
      </c>
      <c r="F187" s="78" t="s">
        <v>253</v>
      </c>
      <c r="G187" s="78" t="s">
        <v>254</v>
      </c>
      <c r="H187" s="78" t="s">
        <v>250</v>
      </c>
      <c r="I187" s="81" t="n">
        <v>59477.331</v>
      </c>
      <c r="J187" s="81" t="n">
        <v>1961.642</v>
      </c>
      <c r="K187" s="81" t="n">
        <v>-3526510000</v>
      </c>
      <c r="L187" s="82" t="n">
        <v>-0.46</v>
      </c>
      <c r="M187" s="81" t="n">
        <v>7699.3961</v>
      </c>
      <c r="N187" s="81" t="n">
        <v>31515120</v>
      </c>
      <c r="O187" s="81" t="n">
        <v>150449.364</v>
      </c>
      <c r="P187" s="82" t="n">
        <v>0</v>
      </c>
      <c r="Q187" s="82" t="n">
        <v>17.9</v>
      </c>
      <c r="R187" s="47" t="n">
        <v>10</v>
      </c>
      <c r="S187" s="66" t="s">
        <v>464</v>
      </c>
    </row>
    <row r="188" customFormat="false" ht="15" hidden="false" customHeight="false" outlineLevel="0" collapsed="false">
      <c r="A188" s="78" t="s">
        <v>453</v>
      </c>
      <c r="B188" s="78" t="s">
        <v>274</v>
      </c>
      <c r="C188" s="79" t="n">
        <v>2023</v>
      </c>
      <c r="D188" s="79" t="n">
        <v>4</v>
      </c>
      <c r="E188" s="80" t="n">
        <v>45291</v>
      </c>
      <c r="F188" s="78" t="s">
        <v>253</v>
      </c>
      <c r="G188" s="78" t="s">
        <v>254</v>
      </c>
      <c r="H188" s="78" t="s">
        <v>250</v>
      </c>
      <c r="I188" s="81" t="n">
        <v>63345.797</v>
      </c>
      <c r="J188" s="81" t="n">
        <v>2133.568</v>
      </c>
      <c r="K188" s="81" t="n">
        <v>-1509971000</v>
      </c>
      <c r="L188" s="82" t="n">
        <v>-0.19</v>
      </c>
      <c r="M188" s="81" t="n">
        <v>7699.3961</v>
      </c>
      <c r="N188" s="81" t="n">
        <v>31515120</v>
      </c>
      <c r="O188" s="81" t="n">
        <v>159167.207</v>
      </c>
      <c r="P188" s="82" t="n">
        <v>0</v>
      </c>
      <c r="Q188" s="82" t="n">
        <v>18.15</v>
      </c>
      <c r="R188" s="47" t="n">
        <v>11</v>
      </c>
      <c r="S188" s="66" t="s">
        <v>465</v>
      </c>
    </row>
    <row r="189" customFormat="false" ht="15" hidden="false" customHeight="false" outlineLevel="0" collapsed="false">
      <c r="A189" s="78" t="s">
        <v>453</v>
      </c>
      <c r="B189" s="78" t="s">
        <v>276</v>
      </c>
      <c r="C189" s="79" t="n">
        <v>2023</v>
      </c>
      <c r="D189" s="79" t="n">
        <v>3</v>
      </c>
      <c r="E189" s="80" t="n">
        <v>45199</v>
      </c>
      <c r="F189" s="78" t="s">
        <v>253</v>
      </c>
      <c r="G189" s="78" t="s">
        <v>254</v>
      </c>
      <c r="H189" s="78" t="s">
        <v>250</v>
      </c>
      <c r="I189" s="81" t="n">
        <v>70109.826</v>
      </c>
      <c r="J189" s="81" t="n">
        <v>5341.595</v>
      </c>
      <c r="K189" s="81" t="n">
        <v>-975348000</v>
      </c>
      <c r="L189" s="82" t="n">
        <v>-0.13</v>
      </c>
      <c r="M189" s="81" t="n">
        <v>7699.3961</v>
      </c>
      <c r="N189" s="81" t="n">
        <v>31515120</v>
      </c>
      <c r="O189" s="81" t="n">
        <v>162877.643</v>
      </c>
      <c r="P189" s="82" t="n">
        <v>0.8</v>
      </c>
      <c r="Q189" s="82" t="n">
        <v>16.4</v>
      </c>
      <c r="R189" s="47" t="n">
        <v>12</v>
      </c>
      <c r="S189" s="66" t="s">
        <v>466</v>
      </c>
    </row>
    <row r="190" customFormat="false" ht="15" hidden="false" customHeight="false" outlineLevel="0" collapsed="false">
      <c r="A190" s="78" t="s">
        <v>453</v>
      </c>
      <c r="B190" s="78" t="s">
        <v>278</v>
      </c>
      <c r="C190" s="79" t="n">
        <v>2023</v>
      </c>
      <c r="D190" s="79" t="n">
        <v>2</v>
      </c>
      <c r="E190" s="80" t="n">
        <v>45107</v>
      </c>
      <c r="F190" s="78" t="s">
        <v>253</v>
      </c>
      <c r="G190" s="78" t="s">
        <v>254</v>
      </c>
      <c r="H190" s="78" t="s">
        <v>250</v>
      </c>
      <c r="I190" s="81" t="n">
        <v>63320.505</v>
      </c>
      <c r="J190" s="81" t="n">
        <v>1991.95</v>
      </c>
      <c r="K190" s="81" t="n">
        <v>-4807335000</v>
      </c>
      <c r="L190" s="82" t="n">
        <v>-0.63</v>
      </c>
      <c r="M190" s="81" t="n">
        <v>7699.3961</v>
      </c>
      <c r="N190" s="81" t="n">
        <v>31515120</v>
      </c>
      <c r="O190" s="81" t="n">
        <v>162668.371</v>
      </c>
      <c r="P190" s="82" t="n">
        <v>0</v>
      </c>
      <c r="Q190" s="82" t="n">
        <v>18.6</v>
      </c>
      <c r="R190" s="47" t="n">
        <v>13</v>
      </c>
      <c r="S190" s="66" t="s">
        <v>467</v>
      </c>
    </row>
    <row r="191" customFormat="false" ht="15" hidden="false" customHeight="false" outlineLevel="0" collapsed="false">
      <c r="A191" s="78" t="s">
        <v>453</v>
      </c>
      <c r="B191" s="78" t="s">
        <v>280</v>
      </c>
      <c r="C191" s="79" t="n">
        <v>2023</v>
      </c>
      <c r="D191" s="79" t="n">
        <v>1</v>
      </c>
      <c r="E191" s="80" t="n">
        <v>45016</v>
      </c>
      <c r="F191" s="78" t="s">
        <v>253</v>
      </c>
      <c r="G191" s="78" t="s">
        <v>254</v>
      </c>
      <c r="H191" s="78" t="s">
        <v>250</v>
      </c>
      <c r="I191" s="81" t="n">
        <v>51188.309</v>
      </c>
      <c r="J191" s="81" t="n">
        <v>-4856.745</v>
      </c>
      <c r="K191" s="81" t="n">
        <v>-10910620000</v>
      </c>
      <c r="L191" s="82" t="n">
        <v>-1.42</v>
      </c>
      <c r="M191" s="81" t="n">
        <v>7699.3961</v>
      </c>
      <c r="N191" s="81" t="n">
        <v>31515120</v>
      </c>
      <c r="O191" s="81" t="n">
        <v>168807.722</v>
      </c>
      <c r="P191" s="82" t="n">
        <v>0</v>
      </c>
      <c r="Q191" s="82" t="n">
        <v>18.4</v>
      </c>
      <c r="R191" s="47" t="n">
        <v>14</v>
      </c>
      <c r="S191" s="66" t="s">
        <v>468</v>
      </c>
    </row>
    <row r="192" customFormat="false" ht="15" hidden="false" customHeight="false" outlineLevel="0" collapsed="false">
      <c r="A192" s="78" t="s">
        <v>453</v>
      </c>
      <c r="B192" s="78" t="s">
        <v>282</v>
      </c>
      <c r="C192" s="79" t="n">
        <v>2022</v>
      </c>
      <c r="D192" s="79" t="n">
        <v>4</v>
      </c>
      <c r="E192" s="80" t="n">
        <v>44926</v>
      </c>
      <c r="F192" s="78" t="s">
        <v>253</v>
      </c>
      <c r="G192" s="78" t="s">
        <v>254</v>
      </c>
      <c r="H192" s="78" t="s">
        <v>250</v>
      </c>
      <c r="I192" s="81" t="n">
        <v>52648.029</v>
      </c>
      <c r="J192" s="81" t="n">
        <v>-4587.325</v>
      </c>
      <c r="K192" s="81" t="n">
        <v>-10207671000</v>
      </c>
      <c r="L192" s="82" t="n">
        <v>-1.21</v>
      </c>
      <c r="M192" s="81" t="n">
        <v>7699.3961</v>
      </c>
      <c r="N192" s="81" t="n">
        <v>38737040</v>
      </c>
      <c r="O192" s="81" t="n">
        <v>185099.091</v>
      </c>
      <c r="P192" s="82" t="n">
        <v>0</v>
      </c>
      <c r="Q192" s="82" t="n">
        <v>15</v>
      </c>
      <c r="R192" s="47" t="n">
        <v>15</v>
      </c>
      <c r="S192" s="66" t="s">
        <v>469</v>
      </c>
    </row>
    <row r="193" customFormat="false" ht="15" hidden="false" customHeight="false" outlineLevel="0" collapsed="false">
      <c r="A193" s="78" t="s">
        <v>453</v>
      </c>
      <c r="B193" s="78" t="s">
        <v>284</v>
      </c>
      <c r="C193" s="79" t="n">
        <v>2022</v>
      </c>
      <c r="D193" s="79" t="n">
        <v>3</v>
      </c>
      <c r="E193" s="80" t="n">
        <v>44834</v>
      </c>
      <c r="F193" s="78" t="s">
        <v>253</v>
      </c>
      <c r="G193" s="78" t="s">
        <v>254</v>
      </c>
      <c r="H193" s="78" t="s">
        <v>250</v>
      </c>
      <c r="I193" s="81" t="n">
        <v>49732.341</v>
      </c>
      <c r="J193" s="81" t="n">
        <v>-7264.142</v>
      </c>
      <c r="K193" s="81" t="n">
        <v>-10425620000</v>
      </c>
      <c r="L193" s="82" t="n">
        <v>-1.23</v>
      </c>
      <c r="M193" s="81" t="n">
        <v>7699.3961</v>
      </c>
      <c r="N193" s="81" t="n">
        <v>48421300</v>
      </c>
      <c r="O193" s="81" t="n">
        <v>196538.21</v>
      </c>
      <c r="P193" s="82" t="n">
        <v>1</v>
      </c>
      <c r="Q193" s="82" t="n">
        <v>14.7</v>
      </c>
      <c r="R193" s="47" t="n">
        <v>16</v>
      </c>
      <c r="S193" s="66" t="s">
        <v>470</v>
      </c>
    </row>
    <row r="194" customFormat="false" ht="15" hidden="false" customHeight="false" outlineLevel="0" collapsed="false">
      <c r="A194" s="78" t="s">
        <v>453</v>
      </c>
      <c r="B194" s="78" t="s">
        <v>286</v>
      </c>
      <c r="C194" s="79" t="n">
        <v>2022</v>
      </c>
      <c r="D194" s="79" t="n">
        <v>2</v>
      </c>
      <c r="E194" s="80" t="n">
        <v>44742</v>
      </c>
      <c r="F194" s="78" t="s">
        <v>253</v>
      </c>
      <c r="G194" s="78" t="s">
        <v>254</v>
      </c>
      <c r="H194" s="78" t="s">
        <v>250</v>
      </c>
      <c r="I194" s="81" t="n">
        <v>62884.442</v>
      </c>
      <c r="J194" s="81" t="n">
        <v>1724.758</v>
      </c>
      <c r="K194" s="81" t="n">
        <v>-5632459000</v>
      </c>
      <c r="L194" s="82" t="n">
        <v>-0.59</v>
      </c>
      <c r="M194" s="81" t="n">
        <v>9624.2451</v>
      </c>
      <c r="N194" s="81" t="n">
        <v>48421300</v>
      </c>
      <c r="O194" s="81" t="n">
        <v>223150.062</v>
      </c>
      <c r="P194" s="82" t="n">
        <v>0</v>
      </c>
      <c r="Q194" s="82" t="n">
        <v>16.3</v>
      </c>
      <c r="R194" s="47" t="n">
        <v>17</v>
      </c>
      <c r="S194" s="66" t="s">
        <v>471</v>
      </c>
    </row>
    <row r="195" customFormat="false" ht="15" hidden="false" customHeight="false" outlineLevel="0" collapsed="false">
      <c r="A195" s="78" t="s">
        <v>453</v>
      </c>
      <c r="B195" s="78" t="s">
        <v>288</v>
      </c>
      <c r="C195" s="79" t="n">
        <v>2022</v>
      </c>
      <c r="D195" s="79" t="n">
        <v>1</v>
      </c>
      <c r="E195" s="80" t="n">
        <v>44651</v>
      </c>
      <c r="F195" s="78" t="s">
        <v>253</v>
      </c>
      <c r="G195" s="78" t="s">
        <v>254</v>
      </c>
      <c r="H195" s="78" t="s">
        <v>250</v>
      </c>
      <c r="I195" s="81" t="n">
        <v>81527.862</v>
      </c>
      <c r="J195" s="81" t="n">
        <v>11694.217</v>
      </c>
      <c r="K195" s="81" t="n">
        <v>5164376000</v>
      </c>
      <c r="L195" s="82" t="n">
        <v>0.54</v>
      </c>
      <c r="M195" s="81" t="n">
        <v>9624.2451</v>
      </c>
      <c r="N195" s="81" t="n">
        <v>48421300</v>
      </c>
      <c r="O195" s="81" t="n">
        <v>229820.936</v>
      </c>
      <c r="P195" s="82" t="n">
        <v>0</v>
      </c>
      <c r="Q195" s="82" t="n">
        <v>19.85</v>
      </c>
      <c r="R195" s="47" t="n">
        <v>18</v>
      </c>
      <c r="S195" s="66" t="s">
        <v>472</v>
      </c>
    </row>
    <row r="196" customFormat="false" ht="15" hidden="false" customHeight="false" outlineLevel="0" collapsed="false">
      <c r="A196" s="78" t="s">
        <v>453</v>
      </c>
      <c r="B196" s="78" t="s">
        <v>290</v>
      </c>
      <c r="C196" s="79" t="n">
        <v>2021</v>
      </c>
      <c r="D196" s="79" t="n">
        <v>4</v>
      </c>
      <c r="E196" s="80" t="n">
        <v>44561</v>
      </c>
      <c r="F196" s="78" t="s">
        <v>253</v>
      </c>
      <c r="G196" s="78" t="s">
        <v>254</v>
      </c>
      <c r="H196" s="78" t="s">
        <v>250</v>
      </c>
      <c r="I196" s="81" t="n">
        <v>93034.036</v>
      </c>
      <c r="J196" s="81" t="n">
        <v>17602.355</v>
      </c>
      <c r="K196" s="81" t="n">
        <v>10655334000</v>
      </c>
      <c r="L196" s="82" t="n">
        <v>1.11</v>
      </c>
      <c r="M196" s="81" t="n">
        <v>9624.2451</v>
      </c>
      <c r="N196" s="81" t="n">
        <v>54199200</v>
      </c>
      <c r="O196" s="81" t="n">
        <v>231787.04</v>
      </c>
      <c r="P196" s="82" t="n">
        <v>0</v>
      </c>
      <c r="Q196" s="82" t="n">
        <v>22.9</v>
      </c>
      <c r="R196" s="47" t="n">
        <v>19</v>
      </c>
      <c r="S196" s="66" t="s">
        <v>473</v>
      </c>
    </row>
    <row r="197" customFormat="false" ht="15" hidden="false" customHeight="false" outlineLevel="0" collapsed="false">
      <c r="A197" s="78" t="s">
        <v>453</v>
      </c>
      <c r="B197" s="78" t="s">
        <v>292</v>
      </c>
      <c r="C197" s="79" t="n">
        <v>2021</v>
      </c>
      <c r="D197" s="79" t="n">
        <v>3</v>
      </c>
      <c r="E197" s="80" t="n">
        <v>44469</v>
      </c>
      <c r="F197" s="78" t="s">
        <v>253</v>
      </c>
      <c r="G197" s="78" t="s">
        <v>254</v>
      </c>
      <c r="H197" s="78" t="s">
        <v>250</v>
      </c>
      <c r="I197" s="81" t="n">
        <v>99054.986</v>
      </c>
      <c r="J197" s="81" t="n">
        <v>27413.425</v>
      </c>
      <c r="K197" s="81" t="n">
        <v>19310255000</v>
      </c>
      <c r="L197" s="82" t="n">
        <v>2.03</v>
      </c>
      <c r="M197" s="81" t="n">
        <v>9624.2451</v>
      </c>
      <c r="N197" s="81" t="n">
        <v>54199200</v>
      </c>
      <c r="O197" s="81" t="n">
        <v>229773.257</v>
      </c>
      <c r="P197" s="82" t="n">
        <v>0</v>
      </c>
      <c r="Q197" s="82" t="n">
        <v>17.65</v>
      </c>
      <c r="R197" s="47" t="n">
        <v>20</v>
      </c>
      <c r="S197" s="66" t="s">
        <v>474</v>
      </c>
    </row>
    <row r="198" customFormat="false" ht="15" hidden="false" customHeight="false" outlineLevel="0" collapsed="false">
      <c r="A198" s="78" t="s">
        <v>453</v>
      </c>
      <c r="B198" s="78" t="s">
        <v>294</v>
      </c>
      <c r="C198" s="79" t="n">
        <v>2021</v>
      </c>
      <c r="D198" s="79" t="n">
        <v>2</v>
      </c>
      <c r="E198" s="80" t="n">
        <v>44377</v>
      </c>
      <c r="F198" s="78" t="s">
        <v>253</v>
      </c>
      <c r="G198" s="78" t="s">
        <v>254</v>
      </c>
      <c r="H198" s="78" t="s">
        <v>250</v>
      </c>
      <c r="I198" s="81" t="n">
        <v>95655.5</v>
      </c>
      <c r="J198" s="81" t="n">
        <v>27489.144</v>
      </c>
      <c r="K198" s="81" t="n">
        <v>19530948000</v>
      </c>
      <c r="L198" s="82" t="n">
        <v>2.06</v>
      </c>
      <c r="M198" s="81" t="n">
        <v>9624.2451</v>
      </c>
      <c r="N198" s="81" t="n">
        <v>121022000</v>
      </c>
      <c r="O198" s="81" t="n">
        <v>209765.587</v>
      </c>
      <c r="P198" s="82" t="n">
        <v>0.3</v>
      </c>
      <c r="Q198" s="82" t="n">
        <v>22.65</v>
      </c>
      <c r="R198" s="47" t="n">
        <v>21</v>
      </c>
      <c r="S198" s="66" t="s">
        <v>475</v>
      </c>
    </row>
    <row r="199" customFormat="false" ht="15" hidden="false" customHeight="false" outlineLevel="0" collapsed="false">
      <c r="A199" s="78" t="s">
        <v>453</v>
      </c>
      <c r="B199" s="78" t="s">
        <v>296</v>
      </c>
      <c r="C199" s="79" t="n">
        <v>2021</v>
      </c>
      <c r="D199" s="79" t="n">
        <v>1</v>
      </c>
      <c r="E199" s="80" t="n">
        <v>44286</v>
      </c>
      <c r="F199" s="78" t="s">
        <v>253</v>
      </c>
      <c r="G199" s="78" t="s">
        <v>254</v>
      </c>
      <c r="H199" s="78" t="s">
        <v>250</v>
      </c>
      <c r="I199" s="81" t="n">
        <v>82940.619</v>
      </c>
      <c r="J199" s="81" t="n">
        <v>18262.833</v>
      </c>
      <c r="K199" s="81" t="n">
        <v>11834091000</v>
      </c>
      <c r="L199" s="82" t="n">
        <v>1.25</v>
      </c>
      <c r="M199" s="81" t="n">
        <v>9624.2451</v>
      </c>
      <c r="N199" s="81" t="n">
        <v>121022000</v>
      </c>
      <c r="O199" s="81" t="n">
        <v>191115.034</v>
      </c>
      <c r="P199" s="82" t="n">
        <v>0</v>
      </c>
      <c r="Q199" s="82" t="n">
        <v>21.05</v>
      </c>
      <c r="R199" s="47" t="n">
        <v>22</v>
      </c>
      <c r="S199" s="66" t="s">
        <v>476</v>
      </c>
    </row>
    <row r="200" customFormat="false" ht="15" hidden="false" customHeight="false" outlineLevel="0" collapsed="false">
      <c r="A200" s="78" t="s">
        <v>453</v>
      </c>
      <c r="B200" s="78" t="s">
        <v>298</v>
      </c>
      <c r="C200" s="79" t="n">
        <v>2020</v>
      </c>
      <c r="D200" s="79" t="n">
        <v>4</v>
      </c>
      <c r="E200" s="80" t="n">
        <v>44196</v>
      </c>
      <c r="F200" s="78" t="s">
        <v>253</v>
      </c>
      <c r="G200" s="78" t="s">
        <v>254</v>
      </c>
      <c r="H200" s="78" t="s">
        <v>250</v>
      </c>
      <c r="I200" s="81" t="n">
        <v>80535.02</v>
      </c>
      <c r="J200" s="81" t="n">
        <v>13647.657</v>
      </c>
      <c r="K200" s="81" t="n">
        <v>8435114000</v>
      </c>
      <c r="L200" s="82" t="n">
        <v>0.89</v>
      </c>
      <c r="M200" s="81" t="n">
        <v>9624.2451</v>
      </c>
      <c r="N200" s="81" t="n">
        <v>125000000</v>
      </c>
      <c r="O200" s="81" t="n">
        <v>182804.691</v>
      </c>
      <c r="P200" s="82" t="n">
        <v>0</v>
      </c>
      <c r="Q200" s="82" t="n">
        <v>14</v>
      </c>
      <c r="R200" s="47" t="n">
        <v>23</v>
      </c>
      <c r="S200" s="66" t="s">
        <v>477</v>
      </c>
    </row>
    <row r="201" customFormat="false" ht="15" hidden="false" customHeight="false" outlineLevel="0" collapsed="false">
      <c r="A201" s="78" t="s">
        <v>453</v>
      </c>
      <c r="B201" s="78" t="s">
        <v>300</v>
      </c>
      <c r="C201" s="79" t="n">
        <v>2020</v>
      </c>
      <c r="D201" s="79" t="n">
        <v>3</v>
      </c>
      <c r="E201" s="80" t="n">
        <v>44104</v>
      </c>
      <c r="F201" s="78" t="s">
        <v>253</v>
      </c>
      <c r="G201" s="78" t="s">
        <v>254</v>
      </c>
      <c r="H201" s="78" t="s">
        <v>250</v>
      </c>
      <c r="I201" s="81" t="n">
        <v>73229.997</v>
      </c>
      <c r="J201" s="81" t="n">
        <v>7757.136</v>
      </c>
      <c r="K201" s="81" t="n">
        <v>2893732000</v>
      </c>
      <c r="L201" s="82" t="n">
        <v>0.3</v>
      </c>
      <c r="M201" s="81" t="n">
        <v>9624.2451</v>
      </c>
      <c r="N201" s="81" t="n">
        <v>125000000</v>
      </c>
      <c r="O201" s="81" t="n">
        <v>169931.962</v>
      </c>
      <c r="P201" s="82"/>
      <c r="Q201" s="82" t="n">
        <v>11.2</v>
      </c>
      <c r="R201" s="47" t="n">
        <v>24</v>
      </c>
      <c r="S201" s="66" t="s">
        <v>478</v>
      </c>
    </row>
    <row r="202" customFormat="false" ht="15" hidden="false" customHeight="false" outlineLevel="0" collapsed="false">
      <c r="A202" s="78" t="s">
        <v>210</v>
      </c>
      <c r="B202" s="78" t="s">
        <v>247</v>
      </c>
      <c r="C202" s="79" t="n">
        <v>2026</v>
      </c>
      <c r="D202" s="79" t="n">
        <v>3</v>
      </c>
      <c r="E202" s="80" t="n">
        <v>46295</v>
      </c>
      <c r="F202" s="78" t="s">
        <v>248</v>
      </c>
      <c r="G202" s="78" t="s">
        <v>249</v>
      </c>
      <c r="H202" s="78" t="s">
        <v>250</v>
      </c>
      <c r="I202" s="81"/>
      <c r="J202" s="81"/>
      <c r="K202" s="81"/>
      <c r="L202" s="82" t="n">
        <v>15.43434</v>
      </c>
      <c r="M202" s="81"/>
      <c r="N202" s="81"/>
      <c r="O202" s="81"/>
      <c r="P202" s="82"/>
      <c r="Q202" s="82"/>
      <c r="R202" s="47" t="n">
        <v>0</v>
      </c>
      <c r="S202" s="66" t="s">
        <v>479</v>
      </c>
    </row>
    <row r="203" customFormat="false" ht="15" hidden="false" customHeight="false" outlineLevel="0" collapsed="false">
      <c r="A203" s="78" t="s">
        <v>210</v>
      </c>
      <c r="B203" s="78" t="s">
        <v>252</v>
      </c>
      <c r="C203" s="79" t="n">
        <v>2026</v>
      </c>
      <c r="D203" s="79" t="n">
        <v>2</v>
      </c>
      <c r="E203" s="80" t="n">
        <v>46203</v>
      </c>
      <c r="F203" s="78" t="s">
        <v>253</v>
      </c>
      <c r="G203" s="78" t="s">
        <v>254</v>
      </c>
      <c r="H203" s="78" t="s">
        <v>250</v>
      </c>
      <c r="I203" s="81" t="n">
        <v>152182.611</v>
      </c>
      <c r="J203" s="81" t="n">
        <v>70307.616</v>
      </c>
      <c r="K203" s="81" t="n">
        <v>24334734000</v>
      </c>
      <c r="L203" s="82" t="n">
        <v>15.28</v>
      </c>
      <c r="M203" s="81" t="n">
        <v>1603.8954</v>
      </c>
      <c r="N203" s="81" t="n">
        <v>7794085</v>
      </c>
      <c r="O203" s="81" t="n">
        <v>424190.236</v>
      </c>
      <c r="P203" s="82" t="n">
        <v>0</v>
      </c>
      <c r="Q203" s="82" t="n">
        <v>4245</v>
      </c>
      <c r="R203" s="47" t="n">
        <v>1</v>
      </c>
      <c r="S203" s="66" t="s">
        <v>480</v>
      </c>
    </row>
    <row r="204" customFormat="false" ht="15" hidden="false" customHeight="false" outlineLevel="0" collapsed="false">
      <c r="A204" s="78" t="s">
        <v>210</v>
      </c>
      <c r="B204" s="78" t="s">
        <v>256</v>
      </c>
      <c r="C204" s="79" t="n">
        <v>2026</v>
      </c>
      <c r="D204" s="79" t="n">
        <v>1</v>
      </c>
      <c r="E204" s="80" t="n">
        <v>46112</v>
      </c>
      <c r="F204" s="78" t="s">
        <v>253</v>
      </c>
      <c r="G204" s="78" t="s">
        <v>254</v>
      </c>
      <c r="H204" s="78" t="s">
        <v>250</v>
      </c>
      <c r="I204" s="81" t="n">
        <v>149150.51</v>
      </c>
      <c r="J204" s="81" t="n">
        <v>69055.353</v>
      </c>
      <c r="K204" s="81" t="n">
        <v>24153980000</v>
      </c>
      <c r="L204" s="82" t="n">
        <v>15.17</v>
      </c>
      <c r="M204" s="81" t="n">
        <v>1603.9043</v>
      </c>
      <c r="N204" s="81" t="n">
        <v>7794085</v>
      </c>
      <c r="O204" s="81" t="n">
        <v>390280.147</v>
      </c>
      <c r="P204" s="82" t="n">
        <v>29</v>
      </c>
      <c r="Q204" s="82" t="n">
        <v>1490</v>
      </c>
      <c r="R204" s="47" t="n">
        <v>2</v>
      </c>
      <c r="S204" s="66" t="s">
        <v>481</v>
      </c>
    </row>
    <row r="205" customFormat="false" ht="15" hidden="false" customHeight="false" outlineLevel="0" collapsed="false">
      <c r="A205" s="78" t="s">
        <v>210</v>
      </c>
      <c r="B205" s="78" t="s">
        <v>258</v>
      </c>
      <c r="C205" s="79" t="n">
        <v>2025</v>
      </c>
      <c r="D205" s="79" t="n">
        <v>4</v>
      </c>
      <c r="E205" s="80" t="n">
        <v>46022</v>
      </c>
      <c r="F205" s="78" t="s">
        <v>253</v>
      </c>
      <c r="G205" s="78" t="s">
        <v>254</v>
      </c>
      <c r="H205" s="78" t="s">
        <v>250</v>
      </c>
      <c r="I205" s="81" t="n">
        <v>150188.01</v>
      </c>
      <c r="J205" s="81" t="n">
        <v>69280.908</v>
      </c>
      <c r="K205" s="81" t="n">
        <v>22925050000</v>
      </c>
      <c r="L205" s="82" t="n">
        <v>14.4</v>
      </c>
      <c r="M205" s="81" t="n">
        <v>1603.9122</v>
      </c>
      <c r="N205" s="81" t="n">
        <v>7794085</v>
      </c>
      <c r="O205" s="81" t="n">
        <v>400600.988</v>
      </c>
      <c r="P205" s="82" t="n">
        <v>0</v>
      </c>
      <c r="Q205" s="82" t="n">
        <v>1430</v>
      </c>
      <c r="R205" s="47" t="n">
        <v>3</v>
      </c>
      <c r="S205" s="66" t="s">
        <v>482</v>
      </c>
    </row>
    <row r="206" customFormat="false" ht="15" hidden="false" customHeight="false" outlineLevel="0" collapsed="false">
      <c r="A206" s="78" t="s">
        <v>210</v>
      </c>
      <c r="B206" s="78" t="s">
        <v>260</v>
      </c>
      <c r="C206" s="79" t="n">
        <v>2025</v>
      </c>
      <c r="D206" s="79" t="n">
        <v>3</v>
      </c>
      <c r="E206" s="80" t="n">
        <v>45930</v>
      </c>
      <c r="F206" s="78" t="s">
        <v>253</v>
      </c>
      <c r="G206" s="78" t="s">
        <v>254</v>
      </c>
      <c r="H206" s="78" t="s">
        <v>250</v>
      </c>
      <c r="I206" s="81" t="n">
        <v>142096.864</v>
      </c>
      <c r="J206" s="81" t="n">
        <v>66111.891</v>
      </c>
      <c r="K206" s="81" t="n">
        <v>25221028000</v>
      </c>
      <c r="L206" s="82" t="n">
        <v>15.84</v>
      </c>
      <c r="M206" s="81" t="n">
        <v>1603.9286</v>
      </c>
      <c r="N206" s="81" t="n">
        <v>7794085</v>
      </c>
      <c r="O206" s="81" t="n">
        <v>420132.553</v>
      </c>
      <c r="P206" s="82" t="n">
        <v>25.00021747</v>
      </c>
      <c r="Q206" s="82" t="n">
        <v>1315</v>
      </c>
      <c r="R206" s="47" t="n">
        <v>4</v>
      </c>
      <c r="S206" s="66" t="s">
        <v>483</v>
      </c>
    </row>
    <row r="207" customFormat="false" ht="15" hidden="false" customHeight="false" outlineLevel="0" collapsed="false">
      <c r="A207" s="78" t="s">
        <v>210</v>
      </c>
      <c r="B207" s="78" t="s">
        <v>262</v>
      </c>
      <c r="C207" s="79" t="n">
        <v>2025</v>
      </c>
      <c r="D207" s="79" t="n">
        <v>2</v>
      </c>
      <c r="E207" s="80" t="n">
        <v>45838</v>
      </c>
      <c r="F207" s="78" t="s">
        <v>253</v>
      </c>
      <c r="G207" s="78" t="s">
        <v>254</v>
      </c>
      <c r="H207" s="78" t="s">
        <v>250</v>
      </c>
      <c r="I207" s="81" t="n">
        <v>150368.571</v>
      </c>
      <c r="J207" s="81" t="n">
        <v>73877.65</v>
      </c>
      <c r="K207" s="81" t="n">
        <v>27848264000</v>
      </c>
      <c r="L207" s="82" t="n">
        <v>17.5</v>
      </c>
      <c r="M207" s="81" t="n">
        <v>1601.658</v>
      </c>
      <c r="N207" s="81" t="n">
        <v>7794085</v>
      </c>
      <c r="O207" s="81" t="n">
        <v>376391.299</v>
      </c>
      <c r="P207" s="82" t="n">
        <v>0</v>
      </c>
      <c r="Q207" s="82" t="n">
        <v>1250</v>
      </c>
      <c r="R207" s="47" t="n">
        <v>5</v>
      </c>
      <c r="S207" s="66" t="s">
        <v>484</v>
      </c>
    </row>
    <row r="208" customFormat="false" ht="15" hidden="false" customHeight="false" outlineLevel="0" collapsed="false">
      <c r="A208" s="78" t="s">
        <v>210</v>
      </c>
      <c r="B208" s="78" t="s">
        <v>264</v>
      </c>
      <c r="C208" s="79" t="n">
        <v>2025</v>
      </c>
      <c r="D208" s="79" t="n">
        <v>1</v>
      </c>
      <c r="E208" s="80" t="n">
        <v>45747</v>
      </c>
      <c r="F208" s="78" t="s">
        <v>253</v>
      </c>
      <c r="G208" s="78" t="s">
        <v>254</v>
      </c>
      <c r="H208" s="78" t="s">
        <v>250</v>
      </c>
      <c r="I208" s="81" t="n">
        <v>153312.237</v>
      </c>
      <c r="J208" s="81" t="n">
        <v>73809.492</v>
      </c>
      <c r="K208" s="81" t="n">
        <v>29324913000</v>
      </c>
      <c r="L208" s="82" t="n">
        <v>18.43</v>
      </c>
      <c r="M208" s="81" t="n">
        <v>1601.6624</v>
      </c>
      <c r="N208" s="81" t="n">
        <v>7794085</v>
      </c>
      <c r="O208" s="81" t="n">
        <v>387769.593</v>
      </c>
      <c r="P208" s="82" t="n">
        <v>29</v>
      </c>
      <c r="Q208" s="82" t="n">
        <v>1390</v>
      </c>
      <c r="R208" s="47" t="n">
        <v>6</v>
      </c>
      <c r="S208" s="66" t="s">
        <v>485</v>
      </c>
    </row>
    <row r="209" customFormat="false" ht="15" hidden="false" customHeight="false" outlineLevel="0" collapsed="false">
      <c r="A209" s="78" t="s">
        <v>210</v>
      </c>
      <c r="B209" s="78" t="s">
        <v>266</v>
      </c>
      <c r="C209" s="79" t="n">
        <v>2024</v>
      </c>
      <c r="D209" s="79" t="n">
        <v>4</v>
      </c>
      <c r="E209" s="80" t="n">
        <v>45657</v>
      </c>
      <c r="F209" s="78" t="s">
        <v>253</v>
      </c>
      <c r="G209" s="78" t="s">
        <v>254</v>
      </c>
      <c r="H209" s="78" t="s">
        <v>250</v>
      </c>
      <c r="I209" s="81" t="n">
        <v>138043.124</v>
      </c>
      <c r="J209" s="81" t="n">
        <v>67001.128</v>
      </c>
      <c r="K209" s="81" t="n">
        <v>23789123000</v>
      </c>
      <c r="L209" s="82" t="n">
        <v>14.94</v>
      </c>
      <c r="M209" s="81" t="n">
        <v>1601.688</v>
      </c>
      <c r="N209" s="81" t="n">
        <v>7794085</v>
      </c>
      <c r="O209" s="81" t="n">
        <v>396627.077</v>
      </c>
      <c r="P209" s="82" t="n">
        <v>0</v>
      </c>
      <c r="Q209" s="82" t="n">
        <v>1415</v>
      </c>
      <c r="R209" s="47" t="n">
        <v>7</v>
      </c>
      <c r="S209" s="66" t="s">
        <v>486</v>
      </c>
    </row>
    <row r="210" customFormat="false" ht="15" hidden="false" customHeight="false" outlineLevel="0" collapsed="false">
      <c r="A210" s="78" t="s">
        <v>210</v>
      </c>
      <c r="B210" s="78" t="s">
        <v>268</v>
      </c>
      <c r="C210" s="79" t="n">
        <v>2024</v>
      </c>
      <c r="D210" s="79" t="n">
        <v>3</v>
      </c>
      <c r="E210" s="80" t="n">
        <v>45565</v>
      </c>
      <c r="F210" s="78" t="s">
        <v>253</v>
      </c>
      <c r="G210" s="78" t="s">
        <v>254</v>
      </c>
      <c r="H210" s="78" t="s">
        <v>250</v>
      </c>
      <c r="I210" s="81" t="n">
        <v>131813.494</v>
      </c>
      <c r="J210" s="81" t="n">
        <v>64347.621</v>
      </c>
      <c r="K210" s="81" t="n">
        <v>25346282000</v>
      </c>
      <c r="L210" s="82" t="n">
        <v>15.94</v>
      </c>
      <c r="M210" s="81" t="n">
        <v>1601.6943</v>
      </c>
      <c r="N210" s="81" t="n">
        <v>7794085</v>
      </c>
      <c r="O210" s="81" t="n">
        <v>415151.895</v>
      </c>
      <c r="P210" s="82" t="n">
        <v>30.40530874</v>
      </c>
      <c r="Q210" s="82" t="n">
        <v>1175</v>
      </c>
      <c r="R210" s="47" t="n">
        <v>8</v>
      </c>
      <c r="S210" s="66" t="s">
        <v>487</v>
      </c>
    </row>
    <row r="211" customFormat="false" ht="15" hidden="false" customHeight="false" outlineLevel="0" collapsed="false">
      <c r="A211" s="78" t="s">
        <v>210</v>
      </c>
      <c r="B211" s="78" t="s">
        <v>270</v>
      </c>
      <c r="C211" s="79" t="n">
        <v>2024</v>
      </c>
      <c r="D211" s="79" t="n">
        <v>2</v>
      </c>
      <c r="E211" s="80" t="n">
        <v>45473</v>
      </c>
      <c r="F211" s="78" t="s">
        <v>253</v>
      </c>
      <c r="G211" s="78" t="s">
        <v>254</v>
      </c>
      <c r="H211" s="78" t="s">
        <v>250</v>
      </c>
      <c r="I211" s="81" t="n">
        <v>127271.121</v>
      </c>
      <c r="J211" s="81" t="n">
        <v>62136.422</v>
      </c>
      <c r="K211" s="81" t="n">
        <v>25715520000</v>
      </c>
      <c r="L211" s="82" t="n">
        <v>16.19</v>
      </c>
      <c r="M211" s="81" t="n">
        <v>1599.3441</v>
      </c>
      <c r="N211" s="81" t="n">
        <v>7794085</v>
      </c>
      <c r="O211" s="81" t="n">
        <v>384604.973</v>
      </c>
      <c r="P211" s="82" t="n">
        <v>0</v>
      </c>
      <c r="Q211" s="82" t="n">
        <v>1400</v>
      </c>
      <c r="R211" s="47" t="n">
        <v>9</v>
      </c>
      <c r="S211" s="66" t="s">
        <v>488</v>
      </c>
    </row>
    <row r="212" customFormat="false" ht="15" hidden="false" customHeight="false" outlineLevel="0" collapsed="false">
      <c r="A212" s="78" t="s">
        <v>210</v>
      </c>
      <c r="B212" s="78" t="s">
        <v>272</v>
      </c>
      <c r="C212" s="79" t="n">
        <v>2024</v>
      </c>
      <c r="D212" s="79" t="n">
        <v>1</v>
      </c>
      <c r="E212" s="80" t="n">
        <v>45382</v>
      </c>
      <c r="F212" s="78" t="s">
        <v>253</v>
      </c>
      <c r="G212" s="78" t="s">
        <v>254</v>
      </c>
      <c r="H212" s="78" t="s">
        <v>250</v>
      </c>
      <c r="I212" s="81" t="n">
        <v>133458.147</v>
      </c>
      <c r="J212" s="81" t="n">
        <v>69900.53</v>
      </c>
      <c r="K212" s="81" t="n">
        <v>31535653000</v>
      </c>
      <c r="L212" s="82" t="n">
        <v>19.85</v>
      </c>
      <c r="M212" s="81" t="n">
        <v>1599.6234</v>
      </c>
      <c r="N212" s="81" t="n">
        <v>7794085</v>
      </c>
      <c r="O212" s="81" t="n">
        <v>368929.013</v>
      </c>
      <c r="P212" s="82" t="n">
        <v>24.6</v>
      </c>
      <c r="Q212" s="82" t="n">
        <v>1195</v>
      </c>
      <c r="R212" s="47" t="n">
        <v>10</v>
      </c>
      <c r="S212" s="66" t="s">
        <v>489</v>
      </c>
    </row>
    <row r="213" customFormat="false" ht="15" hidden="false" customHeight="false" outlineLevel="0" collapsed="false">
      <c r="A213" s="78" t="s">
        <v>210</v>
      </c>
      <c r="B213" s="78" t="s">
        <v>274</v>
      </c>
      <c r="C213" s="79" t="n">
        <v>2023</v>
      </c>
      <c r="D213" s="79" t="n">
        <v>4</v>
      </c>
      <c r="E213" s="80" t="n">
        <v>45291</v>
      </c>
      <c r="F213" s="78" t="s">
        <v>253</v>
      </c>
      <c r="G213" s="78" t="s">
        <v>254</v>
      </c>
      <c r="H213" s="78" t="s">
        <v>250</v>
      </c>
      <c r="I213" s="81" t="n">
        <v>129562.005</v>
      </c>
      <c r="J213" s="81" t="n">
        <v>62616.388</v>
      </c>
      <c r="K213" s="81" t="n">
        <v>25662657000</v>
      </c>
      <c r="L213" s="82" t="n">
        <v>16.16</v>
      </c>
      <c r="M213" s="81" t="n">
        <v>1599.6475</v>
      </c>
      <c r="N213" s="81" t="n">
        <v>7794085</v>
      </c>
      <c r="O213" s="81" t="n">
        <v>368205.782</v>
      </c>
      <c r="P213" s="82" t="n">
        <v>0</v>
      </c>
      <c r="Q213" s="82" t="n">
        <v>1015</v>
      </c>
      <c r="R213" s="47" t="n">
        <v>11</v>
      </c>
      <c r="S213" s="66" t="s">
        <v>490</v>
      </c>
    </row>
    <row r="214" customFormat="false" ht="15" hidden="false" customHeight="false" outlineLevel="0" collapsed="false">
      <c r="A214" s="78" t="s">
        <v>210</v>
      </c>
      <c r="B214" s="78" t="s">
        <v>276</v>
      </c>
      <c r="C214" s="79" t="n">
        <v>2023</v>
      </c>
      <c r="D214" s="79" t="n">
        <v>3</v>
      </c>
      <c r="E214" s="80" t="n">
        <v>45199</v>
      </c>
      <c r="F214" s="78" t="s">
        <v>253</v>
      </c>
      <c r="G214" s="78" t="s">
        <v>254</v>
      </c>
      <c r="H214" s="78" t="s">
        <v>250</v>
      </c>
      <c r="I214" s="81" t="n">
        <v>110097.528</v>
      </c>
      <c r="J214" s="81" t="n">
        <v>52192.346</v>
      </c>
      <c r="K214" s="81" t="n">
        <v>18477639000</v>
      </c>
      <c r="L214" s="82" t="n">
        <v>11.64</v>
      </c>
      <c r="M214" s="81" t="n">
        <v>1599.5071</v>
      </c>
      <c r="N214" s="81" t="n">
        <v>7794085</v>
      </c>
      <c r="O214" s="81" t="n">
        <v>392262.645</v>
      </c>
      <c r="P214" s="82" t="n">
        <v>0</v>
      </c>
      <c r="Q214" s="82" t="n">
        <v>735</v>
      </c>
      <c r="R214" s="47" t="n">
        <v>12</v>
      </c>
      <c r="S214" s="66" t="s">
        <v>491</v>
      </c>
    </row>
    <row r="215" customFormat="false" ht="15" hidden="false" customHeight="false" outlineLevel="0" collapsed="false">
      <c r="A215" s="78" t="s">
        <v>210</v>
      </c>
      <c r="B215" s="78" t="s">
        <v>278</v>
      </c>
      <c r="C215" s="79" t="n">
        <v>2023</v>
      </c>
      <c r="D215" s="79" t="n">
        <v>2</v>
      </c>
      <c r="E215" s="80" t="n">
        <v>45107</v>
      </c>
      <c r="F215" s="78" t="s">
        <v>253</v>
      </c>
      <c r="G215" s="78" t="s">
        <v>254</v>
      </c>
      <c r="H215" s="78" t="s">
        <v>250</v>
      </c>
      <c r="I215" s="81" t="n">
        <v>98135.284</v>
      </c>
      <c r="J215" s="81" t="n">
        <v>46646.062</v>
      </c>
      <c r="K215" s="81" t="n">
        <v>15964792000</v>
      </c>
      <c r="L215" s="82" t="n">
        <v>10.07</v>
      </c>
      <c r="M215" s="81" t="n">
        <v>1599.645</v>
      </c>
      <c r="N215" s="81" t="n">
        <v>7794085</v>
      </c>
      <c r="O215" s="81" t="n">
        <v>363818.746</v>
      </c>
      <c r="P215" s="82" t="n">
        <v>76.00660606</v>
      </c>
      <c r="Q215" s="82" t="n">
        <v>688</v>
      </c>
      <c r="R215" s="47" t="n">
        <v>13</v>
      </c>
      <c r="S215" s="66" t="s">
        <v>492</v>
      </c>
    </row>
    <row r="216" customFormat="false" ht="15" hidden="false" customHeight="false" outlineLevel="0" collapsed="false">
      <c r="A216" s="78" t="s">
        <v>210</v>
      </c>
      <c r="B216" s="78" t="s">
        <v>280</v>
      </c>
      <c r="C216" s="79" t="n">
        <v>2023</v>
      </c>
      <c r="D216" s="79" t="n">
        <v>1</v>
      </c>
      <c r="E216" s="80" t="n">
        <v>45016</v>
      </c>
      <c r="F216" s="78" t="s">
        <v>253</v>
      </c>
      <c r="G216" s="78" t="s">
        <v>254</v>
      </c>
      <c r="H216" s="78" t="s">
        <v>250</v>
      </c>
      <c r="I216" s="81" t="n">
        <v>95651.513</v>
      </c>
      <c r="J216" s="81" t="n">
        <v>45912.242</v>
      </c>
      <c r="K216" s="81" t="n">
        <v>16873549000</v>
      </c>
      <c r="L216" s="82" t="n">
        <v>10.64</v>
      </c>
      <c r="M216" s="81" t="n">
        <v>1599.6292</v>
      </c>
      <c r="N216" s="81" t="n">
        <v>7794085</v>
      </c>
      <c r="O216" s="81" t="n">
        <v>336478.182</v>
      </c>
      <c r="P216" s="82" t="n">
        <v>0</v>
      </c>
      <c r="Q216" s="82" t="n">
        <v>787</v>
      </c>
      <c r="R216" s="47" t="n">
        <v>14</v>
      </c>
      <c r="S216" s="66" t="s">
        <v>493</v>
      </c>
    </row>
    <row r="217" customFormat="false" ht="15" hidden="false" customHeight="false" outlineLevel="0" collapsed="false">
      <c r="A217" s="78" t="s">
        <v>210</v>
      </c>
      <c r="B217" s="78" t="s">
        <v>282</v>
      </c>
      <c r="C217" s="79" t="n">
        <v>2022</v>
      </c>
      <c r="D217" s="79" t="n">
        <v>4</v>
      </c>
      <c r="E217" s="80" t="n">
        <v>44926</v>
      </c>
      <c r="F217" s="78" t="s">
        <v>253</v>
      </c>
      <c r="G217" s="78" t="s">
        <v>254</v>
      </c>
      <c r="H217" s="78" t="s">
        <v>250</v>
      </c>
      <c r="I217" s="81" t="n">
        <v>108194.084</v>
      </c>
      <c r="J217" s="81" t="n">
        <v>52261.366</v>
      </c>
      <c r="K217" s="81" t="n">
        <v>18488077000</v>
      </c>
      <c r="L217" s="82" t="n">
        <v>11.64</v>
      </c>
      <c r="M217" s="81" t="n">
        <v>1599.4353</v>
      </c>
      <c r="N217" s="81" t="n">
        <v>7794085</v>
      </c>
      <c r="O217" s="81" t="n">
        <v>440109.29</v>
      </c>
      <c r="P217" s="82" t="n">
        <v>0</v>
      </c>
      <c r="Q217" s="82" t="n">
        <v>625</v>
      </c>
      <c r="R217" s="47" t="n">
        <v>15</v>
      </c>
      <c r="S217" s="66" t="s">
        <v>494</v>
      </c>
    </row>
    <row r="218" customFormat="false" ht="15" hidden="false" customHeight="false" outlineLevel="0" collapsed="false">
      <c r="A218" s="78" t="s">
        <v>210</v>
      </c>
      <c r="B218" s="78" t="s">
        <v>284</v>
      </c>
      <c r="C218" s="79" t="n">
        <v>2022</v>
      </c>
      <c r="D218" s="79" t="n">
        <v>3</v>
      </c>
      <c r="E218" s="80" t="n">
        <v>44834</v>
      </c>
      <c r="F218" s="78" t="s">
        <v>253</v>
      </c>
      <c r="G218" s="78" t="s">
        <v>254</v>
      </c>
      <c r="H218" s="78" t="s">
        <v>250</v>
      </c>
      <c r="I218" s="81" t="n">
        <v>142161.276</v>
      </c>
      <c r="J218" s="81" t="n">
        <v>70095.409</v>
      </c>
      <c r="K218" s="81" t="n">
        <v>30954628000</v>
      </c>
      <c r="L218" s="82" t="n">
        <v>19.54</v>
      </c>
      <c r="M218" s="81" t="n">
        <v>1599.3096</v>
      </c>
      <c r="N218" s="81" t="n">
        <v>7794085</v>
      </c>
      <c r="O218" s="81" t="n">
        <v>425428.069</v>
      </c>
      <c r="P218" s="82" t="n">
        <v>0</v>
      </c>
      <c r="Q218" s="82" t="n">
        <v>551</v>
      </c>
      <c r="R218" s="47" t="n">
        <v>16</v>
      </c>
      <c r="S218" s="66" t="s">
        <v>495</v>
      </c>
    </row>
    <row r="219" customFormat="false" ht="15" hidden="false" customHeight="false" outlineLevel="0" collapsed="false">
      <c r="A219" s="78" t="s">
        <v>210</v>
      </c>
      <c r="B219" s="78" t="s">
        <v>286</v>
      </c>
      <c r="C219" s="79" t="n">
        <v>2022</v>
      </c>
      <c r="D219" s="79" t="n">
        <v>2</v>
      </c>
      <c r="E219" s="80" t="n">
        <v>44742</v>
      </c>
      <c r="F219" s="78" t="s">
        <v>253</v>
      </c>
      <c r="G219" s="78" t="s">
        <v>254</v>
      </c>
      <c r="H219" s="78" t="s">
        <v>250</v>
      </c>
      <c r="I219" s="81" t="n">
        <v>155729.821</v>
      </c>
      <c r="J219" s="81" t="n">
        <v>76764.285</v>
      </c>
      <c r="K219" s="81" t="n">
        <v>35437018000</v>
      </c>
      <c r="L219" s="82" t="n">
        <v>22.39</v>
      </c>
      <c r="M219" s="81" t="n">
        <v>1599.0852</v>
      </c>
      <c r="N219" s="81" t="n">
        <v>7794085</v>
      </c>
      <c r="O219" s="81" t="n">
        <v>390120.582</v>
      </c>
      <c r="P219" s="82" t="n">
        <v>73.0010604</v>
      </c>
      <c r="Q219" s="82" t="n">
        <v>651</v>
      </c>
      <c r="R219" s="47" t="n">
        <v>17</v>
      </c>
      <c r="S219" s="66" t="s">
        <v>496</v>
      </c>
    </row>
    <row r="220" customFormat="false" ht="15" hidden="false" customHeight="false" outlineLevel="0" collapsed="false">
      <c r="A220" s="78" t="s">
        <v>210</v>
      </c>
      <c r="B220" s="78" t="s">
        <v>288</v>
      </c>
      <c r="C220" s="79" t="n">
        <v>2022</v>
      </c>
      <c r="D220" s="79" t="n">
        <v>1</v>
      </c>
      <c r="E220" s="80" t="n">
        <v>44651</v>
      </c>
      <c r="F220" s="78" t="s">
        <v>253</v>
      </c>
      <c r="G220" s="78" t="s">
        <v>254</v>
      </c>
      <c r="H220" s="78" t="s">
        <v>250</v>
      </c>
      <c r="I220" s="81" t="n">
        <v>142710.849</v>
      </c>
      <c r="J220" s="81" t="n">
        <v>71783.375</v>
      </c>
      <c r="K220" s="81" t="n">
        <v>33261383000</v>
      </c>
      <c r="L220" s="82" t="n">
        <v>21.02</v>
      </c>
      <c r="M220" s="81" t="n">
        <v>1599.0298</v>
      </c>
      <c r="N220" s="81" t="n">
        <v>7794085</v>
      </c>
      <c r="O220" s="81" t="n">
        <v>454487.407</v>
      </c>
      <c r="P220" s="82" t="n">
        <v>0</v>
      </c>
      <c r="Q220" s="82" t="n">
        <v>905</v>
      </c>
      <c r="R220" s="47" t="n">
        <v>18</v>
      </c>
      <c r="S220" s="66" t="s">
        <v>497</v>
      </c>
    </row>
    <row r="221" customFormat="false" ht="15" hidden="false" customHeight="false" outlineLevel="0" collapsed="false">
      <c r="A221" s="78" t="s">
        <v>210</v>
      </c>
      <c r="B221" s="78" t="s">
        <v>290</v>
      </c>
      <c r="C221" s="79" t="n">
        <v>2021</v>
      </c>
      <c r="D221" s="79" t="n">
        <v>4</v>
      </c>
      <c r="E221" s="80" t="n">
        <v>44561</v>
      </c>
      <c r="F221" s="78" t="s">
        <v>253</v>
      </c>
      <c r="G221" s="78" t="s">
        <v>254</v>
      </c>
      <c r="H221" s="78" t="s">
        <v>250</v>
      </c>
      <c r="I221" s="81" t="n">
        <v>128653.877</v>
      </c>
      <c r="J221" s="81" t="n">
        <v>63829.667</v>
      </c>
      <c r="K221" s="81" t="n">
        <v>30050902000</v>
      </c>
      <c r="L221" s="82" t="n">
        <v>18.99</v>
      </c>
      <c r="M221" s="81" t="n">
        <v>1598.842</v>
      </c>
      <c r="N221" s="81" t="n">
        <v>7794085</v>
      </c>
      <c r="O221" s="81" t="n">
        <v>432015.296</v>
      </c>
      <c r="P221" s="82" t="n">
        <v>0</v>
      </c>
      <c r="Q221" s="82" t="n">
        <v>1190</v>
      </c>
      <c r="R221" s="47" t="n">
        <v>19</v>
      </c>
      <c r="S221" s="66" t="s">
        <v>498</v>
      </c>
    </row>
    <row r="222" customFormat="false" ht="15" hidden="false" customHeight="false" outlineLevel="0" collapsed="false">
      <c r="A222" s="78" t="s">
        <v>210</v>
      </c>
      <c r="B222" s="78" t="s">
        <v>292</v>
      </c>
      <c r="C222" s="79" t="n">
        <v>2021</v>
      </c>
      <c r="D222" s="79" t="n">
        <v>3</v>
      </c>
      <c r="E222" s="80" t="n">
        <v>44469</v>
      </c>
      <c r="F222" s="78" t="s">
        <v>253</v>
      </c>
      <c r="G222" s="78" t="s">
        <v>254</v>
      </c>
      <c r="H222" s="78" t="s">
        <v>250</v>
      </c>
      <c r="I222" s="81" t="n">
        <v>131074.32</v>
      </c>
      <c r="J222" s="81" t="n">
        <v>61216.107</v>
      </c>
      <c r="K222" s="81" t="n">
        <v>28287255000</v>
      </c>
      <c r="L222" s="82" t="n">
        <v>17.92</v>
      </c>
      <c r="M222" s="81" t="n">
        <v>1598.7603</v>
      </c>
      <c r="N222" s="81" t="n">
        <v>7794085</v>
      </c>
      <c r="O222" s="81" t="n">
        <v>397619.303</v>
      </c>
      <c r="P222" s="82" t="n">
        <v>37</v>
      </c>
      <c r="Q222" s="82" t="n">
        <v>905</v>
      </c>
      <c r="R222" s="47" t="n">
        <v>20</v>
      </c>
      <c r="S222" s="66" t="s">
        <v>499</v>
      </c>
    </row>
    <row r="223" customFormat="false" ht="15" hidden="false" customHeight="false" outlineLevel="0" collapsed="false">
      <c r="A223" s="78" t="s">
        <v>210</v>
      </c>
      <c r="B223" s="78" t="s">
        <v>294</v>
      </c>
      <c r="C223" s="79" t="n">
        <v>2021</v>
      </c>
      <c r="D223" s="79" t="n">
        <v>2</v>
      </c>
      <c r="E223" s="80" t="n">
        <v>44377</v>
      </c>
      <c r="F223" s="78" t="s">
        <v>253</v>
      </c>
      <c r="G223" s="78" t="s">
        <v>254</v>
      </c>
      <c r="H223" s="78" t="s">
        <v>250</v>
      </c>
      <c r="I223" s="81" t="n">
        <v>125653.403</v>
      </c>
      <c r="J223" s="81" t="n">
        <v>58038.437</v>
      </c>
      <c r="K223" s="81" t="n">
        <v>27510672000</v>
      </c>
      <c r="L223" s="82" t="n">
        <v>17.44</v>
      </c>
      <c r="M223" s="81" t="n">
        <v>1590.3358</v>
      </c>
      <c r="N223" s="81" t="n">
        <v>7794085</v>
      </c>
      <c r="O223" s="81" t="n">
        <v>386270.096</v>
      </c>
      <c r="P223" s="82" t="n">
        <v>0</v>
      </c>
      <c r="Q223" s="82" t="n">
        <v>962</v>
      </c>
      <c r="R223" s="47" t="n">
        <v>21</v>
      </c>
      <c r="S223" s="66" t="s">
        <v>500</v>
      </c>
    </row>
    <row r="224" customFormat="false" ht="15" hidden="false" customHeight="false" outlineLevel="0" collapsed="false">
      <c r="A224" s="78" t="s">
        <v>210</v>
      </c>
      <c r="B224" s="78" t="s">
        <v>296</v>
      </c>
      <c r="C224" s="79" t="n">
        <v>2021</v>
      </c>
      <c r="D224" s="79" t="n">
        <v>1</v>
      </c>
      <c r="E224" s="80" t="n">
        <v>44286</v>
      </c>
      <c r="F224" s="78" t="s">
        <v>253</v>
      </c>
      <c r="G224" s="78" t="s">
        <v>254</v>
      </c>
      <c r="H224" s="78" t="s">
        <v>250</v>
      </c>
      <c r="I224" s="81" t="n">
        <v>108032.982</v>
      </c>
      <c r="J224" s="81" t="n">
        <v>48520.384</v>
      </c>
      <c r="K224" s="81" t="n">
        <v>25572233000</v>
      </c>
      <c r="L224" s="82" t="n">
        <v>16.21</v>
      </c>
      <c r="M224" s="81" t="n">
        <v>1590.2506</v>
      </c>
      <c r="N224" s="81" t="n">
        <v>7794085</v>
      </c>
      <c r="O224" s="81" t="n">
        <v>411747.869</v>
      </c>
      <c r="P224" s="82" t="n">
        <v>0</v>
      </c>
      <c r="Q224" s="82" t="n">
        <v>969</v>
      </c>
      <c r="R224" s="47" t="n">
        <v>22</v>
      </c>
      <c r="S224" s="66" t="s">
        <v>501</v>
      </c>
    </row>
    <row r="225" customFormat="false" ht="15" hidden="false" customHeight="false" outlineLevel="0" collapsed="false">
      <c r="A225" s="78" t="s">
        <v>210</v>
      </c>
      <c r="B225" s="78" t="s">
        <v>298</v>
      </c>
      <c r="C225" s="79" t="n">
        <v>2020</v>
      </c>
      <c r="D225" s="79" t="n">
        <v>4</v>
      </c>
      <c r="E225" s="80" t="n">
        <v>44196</v>
      </c>
      <c r="F225" s="78" t="s">
        <v>253</v>
      </c>
      <c r="G225" s="78" t="s">
        <v>254</v>
      </c>
      <c r="H225" s="78" t="s">
        <v>250</v>
      </c>
      <c r="I225" s="81" t="n">
        <v>96405.226</v>
      </c>
      <c r="J225" s="81" t="n">
        <v>42863.458</v>
      </c>
      <c r="K225" s="81" t="n">
        <v>14746407000</v>
      </c>
      <c r="L225" s="82" t="n">
        <v>9.36</v>
      </c>
      <c r="M225" s="81" t="n">
        <v>1590.0622</v>
      </c>
      <c r="N225" s="81" t="n">
        <v>7794085</v>
      </c>
      <c r="O225" s="81" t="n">
        <v>371833.821</v>
      </c>
      <c r="P225" s="82" t="n">
        <v>0</v>
      </c>
      <c r="Q225" s="82" t="n">
        <v>747</v>
      </c>
      <c r="R225" s="47" t="n">
        <v>23</v>
      </c>
      <c r="S225" s="66" t="s">
        <v>502</v>
      </c>
    </row>
    <row r="226" customFormat="false" ht="15" hidden="false" customHeight="false" outlineLevel="0" collapsed="false">
      <c r="A226" s="78" t="s">
        <v>210</v>
      </c>
      <c r="B226" s="78" t="s">
        <v>300</v>
      </c>
      <c r="C226" s="79" t="n">
        <v>2020</v>
      </c>
      <c r="D226" s="79" t="n">
        <v>3</v>
      </c>
      <c r="E226" s="80" t="n">
        <v>44104</v>
      </c>
      <c r="F226" s="78" t="s">
        <v>253</v>
      </c>
      <c r="G226" s="78" t="s">
        <v>254</v>
      </c>
      <c r="H226" s="78" t="s">
        <v>250</v>
      </c>
      <c r="I226" s="81" t="n">
        <v>97274.734</v>
      </c>
      <c r="J226" s="81" t="n">
        <v>43028.418</v>
      </c>
      <c r="K226" s="81" t="n">
        <v>13251148000</v>
      </c>
      <c r="L226" s="82" t="n">
        <v>8.42</v>
      </c>
      <c r="M226" s="81" t="n">
        <v>1588.7666</v>
      </c>
      <c r="N226" s="81" t="n">
        <v>7924085</v>
      </c>
      <c r="O226" s="81" t="n">
        <v>338321.833</v>
      </c>
      <c r="P226" s="82"/>
      <c r="Q226" s="82" t="n">
        <v>607</v>
      </c>
      <c r="R226" s="47" t="n">
        <v>24</v>
      </c>
      <c r="S226" s="66" t="s">
        <v>503</v>
      </c>
    </row>
    <row r="227" customFormat="false" ht="15" hidden="false" customHeight="false" outlineLevel="0" collapsed="false">
      <c r="A227" s="78" t="s">
        <v>179</v>
      </c>
      <c r="B227" s="78" t="s">
        <v>247</v>
      </c>
      <c r="C227" s="79" t="n">
        <v>2026</v>
      </c>
      <c r="D227" s="79" t="n">
        <v>3</v>
      </c>
      <c r="E227" s="80" t="n">
        <v>46295</v>
      </c>
      <c r="F227" s="78" t="s">
        <v>248</v>
      </c>
      <c r="G227" s="78" t="s">
        <v>249</v>
      </c>
      <c r="H227" s="78" t="s">
        <v>250</v>
      </c>
      <c r="I227" s="81"/>
      <c r="J227" s="81"/>
      <c r="K227" s="81"/>
      <c r="L227" s="82" t="n">
        <v>1.43429</v>
      </c>
      <c r="M227" s="81"/>
      <c r="N227" s="81"/>
      <c r="O227" s="81"/>
      <c r="P227" s="82"/>
      <c r="Q227" s="82"/>
      <c r="R227" s="47" t="n">
        <v>0</v>
      </c>
      <c r="S227" s="66" t="s">
        <v>504</v>
      </c>
    </row>
    <row r="228" customFormat="false" ht="15" hidden="false" customHeight="false" outlineLevel="0" collapsed="false">
      <c r="A228" s="78" t="s">
        <v>179</v>
      </c>
      <c r="B228" s="78" t="s">
        <v>252</v>
      </c>
      <c r="C228" s="79" t="n">
        <v>2026</v>
      </c>
      <c r="D228" s="79" t="n">
        <v>2</v>
      </c>
      <c r="E228" s="80" t="n">
        <v>46203</v>
      </c>
      <c r="F228" s="78" t="s">
        <v>253</v>
      </c>
      <c r="G228" s="78" t="s">
        <v>254</v>
      </c>
      <c r="H228" s="78" t="s">
        <v>250</v>
      </c>
      <c r="I228" s="81" t="n">
        <v>965.373</v>
      </c>
      <c r="J228" s="81" t="n">
        <v>372.706</v>
      </c>
      <c r="K228" s="81" t="n">
        <v>213588000</v>
      </c>
      <c r="L228" s="82" t="n">
        <v>1.15</v>
      </c>
      <c r="M228" s="81" t="n">
        <v>184.9059</v>
      </c>
      <c r="N228" s="81" t="n">
        <v>0</v>
      </c>
      <c r="O228" s="81" t="n">
        <v>3693.109</v>
      </c>
      <c r="P228" s="82" t="n">
        <v>2.62055653</v>
      </c>
      <c r="Q228" s="82" t="n">
        <v>347</v>
      </c>
      <c r="R228" s="47" t="n">
        <v>1</v>
      </c>
      <c r="S228" s="66" t="s">
        <v>505</v>
      </c>
    </row>
    <row r="229" customFormat="false" ht="15" hidden="false" customHeight="false" outlineLevel="0" collapsed="false">
      <c r="A229" s="78" t="s">
        <v>179</v>
      </c>
      <c r="B229" s="78" t="s">
        <v>256</v>
      </c>
      <c r="C229" s="79" t="n">
        <v>2026</v>
      </c>
      <c r="D229" s="79" t="n">
        <v>1</v>
      </c>
      <c r="E229" s="80" t="n">
        <v>46112</v>
      </c>
      <c r="F229" s="78" t="s">
        <v>253</v>
      </c>
      <c r="G229" s="78" t="s">
        <v>254</v>
      </c>
      <c r="H229" s="78" t="s">
        <v>250</v>
      </c>
      <c r="I229" s="81" t="n">
        <v>959.31</v>
      </c>
      <c r="J229" s="81" t="n">
        <v>365.431</v>
      </c>
      <c r="K229" s="81" t="n">
        <v>195085000</v>
      </c>
      <c r="L229" s="82" t="n">
        <v>1.06</v>
      </c>
      <c r="M229" s="81" t="n">
        <v>184.9059</v>
      </c>
      <c r="N229" s="81" t="n">
        <v>0</v>
      </c>
      <c r="O229" s="81" t="n">
        <v>3667.225</v>
      </c>
      <c r="P229" s="82" t="n">
        <v>0</v>
      </c>
      <c r="Q229" s="82" t="n">
        <v>246.5</v>
      </c>
      <c r="R229" s="47" t="n">
        <v>2</v>
      </c>
      <c r="S229" s="66" t="s">
        <v>506</v>
      </c>
    </row>
    <row r="230" customFormat="false" ht="15" hidden="false" customHeight="false" outlineLevel="0" collapsed="false">
      <c r="A230" s="78" t="s">
        <v>179</v>
      </c>
      <c r="B230" s="78" t="s">
        <v>258</v>
      </c>
      <c r="C230" s="79" t="n">
        <v>2025</v>
      </c>
      <c r="D230" s="79" t="n">
        <v>4</v>
      </c>
      <c r="E230" s="80" t="n">
        <v>46022</v>
      </c>
      <c r="F230" s="78" t="s">
        <v>253</v>
      </c>
      <c r="G230" s="78" t="s">
        <v>254</v>
      </c>
      <c r="H230" s="78" t="s">
        <v>250</v>
      </c>
      <c r="I230" s="81" t="n">
        <v>959.589</v>
      </c>
      <c r="J230" s="81" t="n">
        <v>357.593</v>
      </c>
      <c r="K230" s="81" t="n">
        <v>193882000</v>
      </c>
      <c r="L230" s="82" t="n">
        <v>1.05</v>
      </c>
      <c r="M230" s="81" t="n">
        <v>184.9059</v>
      </c>
      <c r="N230" s="81" t="n">
        <v>0</v>
      </c>
      <c r="O230" s="81" t="n">
        <v>3294.696</v>
      </c>
      <c r="P230" s="82" t="n">
        <v>0</v>
      </c>
      <c r="Q230" s="82" t="n">
        <v>151.5</v>
      </c>
      <c r="R230" s="47" t="n">
        <v>3</v>
      </c>
      <c r="S230" s="66" t="s">
        <v>507</v>
      </c>
    </row>
    <row r="231" customFormat="false" ht="15" hidden="false" customHeight="false" outlineLevel="0" collapsed="false">
      <c r="A231" s="78" t="s">
        <v>179</v>
      </c>
      <c r="B231" s="78" t="s">
        <v>260</v>
      </c>
      <c r="C231" s="79" t="n">
        <v>2025</v>
      </c>
      <c r="D231" s="79" t="n">
        <v>3</v>
      </c>
      <c r="E231" s="80" t="n">
        <v>45930</v>
      </c>
      <c r="F231" s="78" t="s">
        <v>253</v>
      </c>
      <c r="G231" s="78" t="s">
        <v>254</v>
      </c>
      <c r="H231" s="78" t="s">
        <v>250</v>
      </c>
      <c r="I231" s="81" t="n">
        <v>912.804</v>
      </c>
      <c r="J231" s="81" t="n">
        <v>299.917</v>
      </c>
      <c r="K231" s="81" t="n">
        <v>160464000</v>
      </c>
      <c r="L231" s="82" t="n">
        <v>0.86</v>
      </c>
      <c r="M231" s="81" t="n">
        <v>184.9059</v>
      </c>
      <c r="N231" s="81" t="n">
        <v>0</v>
      </c>
      <c r="O231" s="81" t="n">
        <v>3104.723</v>
      </c>
      <c r="P231" s="82" t="n">
        <v>0</v>
      </c>
      <c r="Q231" s="82" t="n">
        <v>161</v>
      </c>
      <c r="R231" s="47" t="n">
        <v>4</v>
      </c>
      <c r="S231" s="66" t="s">
        <v>508</v>
      </c>
    </row>
    <row r="232" customFormat="false" ht="15" hidden="false" customHeight="false" outlineLevel="0" collapsed="false">
      <c r="A232" s="78" t="s">
        <v>179</v>
      </c>
      <c r="B232" s="78" t="s">
        <v>262</v>
      </c>
      <c r="C232" s="79" t="n">
        <v>2025</v>
      </c>
      <c r="D232" s="79" t="n">
        <v>2</v>
      </c>
      <c r="E232" s="80" t="n">
        <v>45838</v>
      </c>
      <c r="F232" s="78" t="s">
        <v>253</v>
      </c>
      <c r="G232" s="78" t="s">
        <v>254</v>
      </c>
      <c r="H232" s="78" t="s">
        <v>250</v>
      </c>
      <c r="I232" s="81" t="n">
        <v>714.087</v>
      </c>
      <c r="J232" s="81" t="n">
        <v>245.545</v>
      </c>
      <c r="K232" s="81" t="n">
        <v>36309000</v>
      </c>
      <c r="L232" s="82" t="n">
        <v>0.2</v>
      </c>
      <c r="M232" s="81" t="n">
        <v>184.9059</v>
      </c>
      <c r="N232" s="81" t="n">
        <v>1012000</v>
      </c>
      <c r="O232" s="81" t="n">
        <v>2832.433</v>
      </c>
      <c r="P232" s="82" t="n">
        <v>3.21761015</v>
      </c>
      <c r="Q232" s="82" t="n">
        <v>125</v>
      </c>
      <c r="R232" s="47" t="n">
        <v>5</v>
      </c>
      <c r="S232" s="66" t="s">
        <v>509</v>
      </c>
    </row>
    <row r="233" customFormat="false" ht="15" hidden="false" customHeight="false" outlineLevel="0" collapsed="false">
      <c r="A233" s="78" t="s">
        <v>179</v>
      </c>
      <c r="B233" s="78" t="s">
        <v>264</v>
      </c>
      <c r="C233" s="79" t="n">
        <v>2025</v>
      </c>
      <c r="D233" s="79" t="n">
        <v>1</v>
      </c>
      <c r="E233" s="80" t="n">
        <v>45747</v>
      </c>
      <c r="F233" s="78" t="s">
        <v>253</v>
      </c>
      <c r="G233" s="78" t="s">
        <v>254</v>
      </c>
      <c r="H233" s="78" t="s">
        <v>250</v>
      </c>
      <c r="I233" s="81" t="n">
        <v>793.663</v>
      </c>
      <c r="J233" s="81" t="n">
        <v>316.671</v>
      </c>
      <c r="K233" s="81" t="n">
        <v>157287000</v>
      </c>
      <c r="L233" s="82" t="n">
        <v>0.85</v>
      </c>
      <c r="M233" s="81" t="n">
        <v>184.9059</v>
      </c>
      <c r="N233" s="81" t="n">
        <v>0</v>
      </c>
      <c r="O233" s="81" t="n">
        <v>3486.629</v>
      </c>
      <c r="P233" s="82" t="n">
        <v>0</v>
      </c>
      <c r="Q233" s="82" t="n">
        <v>113.5</v>
      </c>
      <c r="R233" s="47" t="n">
        <v>6</v>
      </c>
      <c r="S233" s="66" t="s">
        <v>510</v>
      </c>
    </row>
    <row r="234" customFormat="false" ht="15" hidden="false" customHeight="false" outlineLevel="0" collapsed="false">
      <c r="A234" s="78" t="s">
        <v>179</v>
      </c>
      <c r="B234" s="78" t="s">
        <v>266</v>
      </c>
      <c r="C234" s="79" t="n">
        <v>2024</v>
      </c>
      <c r="D234" s="79" t="n">
        <v>4</v>
      </c>
      <c r="E234" s="80" t="n">
        <v>45657</v>
      </c>
      <c r="F234" s="78" t="s">
        <v>253</v>
      </c>
      <c r="G234" s="78" t="s">
        <v>254</v>
      </c>
      <c r="H234" s="78" t="s">
        <v>250</v>
      </c>
      <c r="I234" s="81" t="n">
        <v>722.474</v>
      </c>
      <c r="J234" s="81" t="n">
        <v>260.149</v>
      </c>
      <c r="K234" s="81" t="n">
        <v>132861000</v>
      </c>
      <c r="L234" s="82" t="n">
        <v>0.72</v>
      </c>
      <c r="M234" s="81" t="n">
        <v>184.9059</v>
      </c>
      <c r="N234" s="81" t="n">
        <v>0</v>
      </c>
      <c r="O234" s="81" t="n">
        <v>3329.342</v>
      </c>
      <c r="P234" s="82" t="n">
        <v>0</v>
      </c>
      <c r="Q234" s="82" t="n">
        <v>166.5</v>
      </c>
      <c r="R234" s="47" t="n">
        <v>7</v>
      </c>
      <c r="S234" s="66" t="s">
        <v>511</v>
      </c>
    </row>
    <row r="235" customFormat="false" ht="15" hidden="false" customHeight="false" outlineLevel="0" collapsed="false">
      <c r="A235" s="78" t="s">
        <v>179</v>
      </c>
      <c r="B235" s="78" t="s">
        <v>268</v>
      </c>
      <c r="C235" s="79" t="n">
        <v>2024</v>
      </c>
      <c r="D235" s="79" t="n">
        <v>3</v>
      </c>
      <c r="E235" s="80" t="n">
        <v>45565</v>
      </c>
      <c r="F235" s="78" t="s">
        <v>253</v>
      </c>
      <c r="G235" s="78" t="s">
        <v>254</v>
      </c>
      <c r="H235" s="78" t="s">
        <v>250</v>
      </c>
      <c r="I235" s="81" t="n">
        <v>805.747</v>
      </c>
      <c r="J235" s="81" t="n">
        <v>330.538</v>
      </c>
      <c r="K235" s="81" t="n">
        <v>144407000</v>
      </c>
      <c r="L235" s="82" t="n">
        <v>0.78</v>
      </c>
      <c r="M235" s="81" t="n">
        <v>184.9059</v>
      </c>
      <c r="N235" s="81" t="n">
        <v>0</v>
      </c>
      <c r="O235" s="81" t="n">
        <v>3200.742</v>
      </c>
      <c r="P235" s="82" t="n">
        <v>0</v>
      </c>
      <c r="Q235" s="82" t="n">
        <v>166</v>
      </c>
      <c r="R235" s="47" t="n">
        <v>8</v>
      </c>
      <c r="S235" s="66" t="s">
        <v>512</v>
      </c>
    </row>
    <row r="236" customFormat="false" ht="15" hidden="false" customHeight="false" outlineLevel="0" collapsed="false">
      <c r="A236" s="78" t="s">
        <v>179</v>
      </c>
      <c r="B236" s="78" t="s">
        <v>270</v>
      </c>
      <c r="C236" s="79" t="n">
        <v>2024</v>
      </c>
      <c r="D236" s="79" t="n">
        <v>2</v>
      </c>
      <c r="E236" s="80" t="n">
        <v>45473</v>
      </c>
      <c r="F236" s="78" t="s">
        <v>253</v>
      </c>
      <c r="G236" s="78" t="s">
        <v>254</v>
      </c>
      <c r="H236" s="78" t="s">
        <v>250</v>
      </c>
      <c r="I236" s="81" t="n">
        <v>875.601</v>
      </c>
      <c r="J236" s="81" t="n">
        <v>346.96</v>
      </c>
      <c r="K236" s="81" t="n">
        <v>200826000</v>
      </c>
      <c r="L236" s="82" t="n">
        <v>1.09</v>
      </c>
      <c r="M236" s="81" t="n">
        <v>184.9059</v>
      </c>
      <c r="N236" s="81" t="n">
        <v>0</v>
      </c>
      <c r="O236" s="81" t="n">
        <v>3056.335</v>
      </c>
      <c r="P236" s="82" t="n">
        <v>2.2</v>
      </c>
      <c r="Q236" s="82" t="n">
        <v>165</v>
      </c>
      <c r="R236" s="47" t="n">
        <v>9</v>
      </c>
      <c r="S236" s="66" t="s">
        <v>513</v>
      </c>
    </row>
    <row r="237" customFormat="false" ht="15" hidden="false" customHeight="false" outlineLevel="0" collapsed="false">
      <c r="A237" s="78" t="s">
        <v>179</v>
      </c>
      <c r="B237" s="78" t="s">
        <v>272</v>
      </c>
      <c r="C237" s="79" t="n">
        <v>2024</v>
      </c>
      <c r="D237" s="79" t="n">
        <v>1</v>
      </c>
      <c r="E237" s="80" t="n">
        <v>45382</v>
      </c>
      <c r="F237" s="78" t="s">
        <v>253</v>
      </c>
      <c r="G237" s="78" t="s">
        <v>254</v>
      </c>
      <c r="H237" s="78" t="s">
        <v>250</v>
      </c>
      <c r="I237" s="81" t="n">
        <v>837.395</v>
      </c>
      <c r="J237" s="81" t="n">
        <v>341.317</v>
      </c>
      <c r="K237" s="81" t="n">
        <v>192961000</v>
      </c>
      <c r="L237" s="82" t="n">
        <v>1.04</v>
      </c>
      <c r="M237" s="81" t="n">
        <v>184.9059</v>
      </c>
      <c r="N237" s="81" t="n">
        <v>0</v>
      </c>
      <c r="O237" s="81" t="n">
        <v>3262.302</v>
      </c>
      <c r="P237" s="82" t="n">
        <v>0</v>
      </c>
      <c r="Q237" s="82" t="n">
        <v>169.5</v>
      </c>
      <c r="R237" s="47" t="n">
        <v>10</v>
      </c>
      <c r="S237" s="66" t="s">
        <v>514</v>
      </c>
    </row>
    <row r="238" customFormat="false" ht="15" hidden="false" customHeight="false" outlineLevel="0" collapsed="false">
      <c r="A238" s="78" t="s">
        <v>179</v>
      </c>
      <c r="B238" s="78" t="s">
        <v>274</v>
      </c>
      <c r="C238" s="79" t="n">
        <v>2023</v>
      </c>
      <c r="D238" s="79" t="n">
        <v>4</v>
      </c>
      <c r="E238" s="80" t="n">
        <v>45291</v>
      </c>
      <c r="F238" s="78" t="s">
        <v>253</v>
      </c>
      <c r="G238" s="78" t="s">
        <v>254</v>
      </c>
      <c r="H238" s="78" t="s">
        <v>250</v>
      </c>
      <c r="I238" s="81" t="n">
        <v>936.937</v>
      </c>
      <c r="J238" s="81" t="n">
        <v>411.959</v>
      </c>
      <c r="K238" s="81" t="n">
        <v>188378000</v>
      </c>
      <c r="L238" s="82" t="n">
        <v>1.01</v>
      </c>
      <c r="M238" s="81" t="n">
        <v>184.9059</v>
      </c>
      <c r="N238" s="81" t="n">
        <v>0</v>
      </c>
      <c r="O238" s="81" t="n">
        <v>3069.341</v>
      </c>
      <c r="P238" s="82" t="n">
        <v>0</v>
      </c>
      <c r="Q238" s="82" t="n">
        <v>160.5</v>
      </c>
      <c r="R238" s="47" t="n">
        <v>11</v>
      </c>
      <c r="S238" s="66" t="s">
        <v>515</v>
      </c>
    </row>
    <row r="239" customFormat="false" ht="15" hidden="false" customHeight="false" outlineLevel="0" collapsed="false">
      <c r="A239" s="78" t="s">
        <v>179</v>
      </c>
      <c r="B239" s="78" t="s">
        <v>276</v>
      </c>
      <c r="C239" s="79" t="n">
        <v>2023</v>
      </c>
      <c r="D239" s="79" t="n">
        <v>3</v>
      </c>
      <c r="E239" s="80" t="n">
        <v>45199</v>
      </c>
      <c r="F239" s="78" t="s">
        <v>253</v>
      </c>
      <c r="G239" s="78" t="s">
        <v>254</v>
      </c>
      <c r="H239" s="78" t="s">
        <v>250</v>
      </c>
      <c r="I239" s="81" t="n">
        <v>768.427</v>
      </c>
      <c r="J239" s="81" t="n">
        <v>307.139</v>
      </c>
      <c r="K239" s="81" t="n">
        <v>143945000</v>
      </c>
      <c r="L239" s="82" t="n">
        <v>0.78</v>
      </c>
      <c r="M239" s="81" t="n">
        <v>184.9059</v>
      </c>
      <c r="N239" s="81" t="n">
        <v>0</v>
      </c>
      <c r="O239" s="81" t="n">
        <v>2919.16</v>
      </c>
      <c r="P239" s="82" t="n">
        <v>0</v>
      </c>
      <c r="Q239" s="82" t="n">
        <v>148</v>
      </c>
      <c r="R239" s="47" t="n">
        <v>12</v>
      </c>
      <c r="S239" s="66" t="s">
        <v>516</v>
      </c>
    </row>
    <row r="240" customFormat="false" ht="15" hidden="false" customHeight="false" outlineLevel="0" collapsed="false">
      <c r="A240" s="78" t="s">
        <v>179</v>
      </c>
      <c r="B240" s="78" t="s">
        <v>278</v>
      </c>
      <c r="C240" s="79" t="n">
        <v>2023</v>
      </c>
      <c r="D240" s="79" t="n">
        <v>2</v>
      </c>
      <c r="E240" s="80" t="n">
        <v>45107</v>
      </c>
      <c r="F240" s="78" t="s">
        <v>253</v>
      </c>
      <c r="G240" s="78" t="s">
        <v>254</v>
      </c>
      <c r="H240" s="78" t="s">
        <v>250</v>
      </c>
      <c r="I240" s="81" t="n">
        <v>594.323</v>
      </c>
      <c r="J240" s="81" t="n">
        <v>235.781</v>
      </c>
      <c r="K240" s="81" t="n">
        <v>106159000</v>
      </c>
      <c r="L240" s="82" t="n">
        <v>0.57</v>
      </c>
      <c r="M240" s="81" t="n">
        <v>184.9059</v>
      </c>
      <c r="N240" s="81" t="n">
        <v>0</v>
      </c>
      <c r="O240" s="81" t="n">
        <v>2775.215</v>
      </c>
      <c r="P240" s="82" t="n">
        <v>2.3</v>
      </c>
      <c r="Q240" s="82" t="n">
        <v>116.5</v>
      </c>
      <c r="R240" s="47" t="n">
        <v>13</v>
      </c>
      <c r="S240" s="66" t="s">
        <v>517</v>
      </c>
    </row>
    <row r="241" customFormat="false" ht="15" hidden="false" customHeight="false" outlineLevel="0" collapsed="false">
      <c r="A241" s="78" t="s">
        <v>179</v>
      </c>
      <c r="B241" s="78" t="s">
        <v>280</v>
      </c>
      <c r="C241" s="79" t="n">
        <v>2023</v>
      </c>
      <c r="D241" s="79" t="n">
        <v>1</v>
      </c>
      <c r="E241" s="80" t="n">
        <v>45016</v>
      </c>
      <c r="F241" s="78" t="s">
        <v>253</v>
      </c>
      <c r="G241" s="78" t="s">
        <v>254</v>
      </c>
      <c r="H241" s="78" t="s">
        <v>250</v>
      </c>
      <c r="I241" s="81" t="n">
        <v>394.417</v>
      </c>
      <c r="J241" s="81" t="n">
        <v>154.035</v>
      </c>
      <c r="K241" s="81" t="n">
        <v>11750000</v>
      </c>
      <c r="L241" s="82" t="n">
        <v>0.06</v>
      </c>
      <c r="M241" s="81" t="n">
        <v>184.9059</v>
      </c>
      <c r="N241" s="81" t="n">
        <v>0</v>
      </c>
      <c r="O241" s="81" t="n">
        <v>3094.34</v>
      </c>
      <c r="P241" s="82" t="n">
        <v>0</v>
      </c>
      <c r="Q241" s="82" t="n">
        <v>92.3</v>
      </c>
      <c r="R241" s="47" t="n">
        <v>14</v>
      </c>
      <c r="S241" s="66" t="s">
        <v>518</v>
      </c>
    </row>
    <row r="242" customFormat="false" ht="15" hidden="false" customHeight="false" outlineLevel="0" collapsed="false">
      <c r="A242" s="78" t="s">
        <v>179</v>
      </c>
      <c r="B242" s="78" t="s">
        <v>282</v>
      </c>
      <c r="C242" s="79" t="n">
        <v>2022</v>
      </c>
      <c r="D242" s="79" t="n">
        <v>4</v>
      </c>
      <c r="E242" s="80" t="n">
        <v>44926</v>
      </c>
      <c r="F242" s="78" t="s">
        <v>253</v>
      </c>
      <c r="G242" s="78" t="s">
        <v>254</v>
      </c>
      <c r="H242" s="78" t="s">
        <v>250</v>
      </c>
      <c r="I242" s="81" t="n">
        <v>506.067</v>
      </c>
      <c r="J242" s="81" t="n">
        <v>201.013</v>
      </c>
      <c r="K242" s="81" t="n">
        <v>37033000</v>
      </c>
      <c r="L242" s="82" t="n">
        <v>0.2</v>
      </c>
      <c r="M242" s="81" t="n">
        <v>184.9059</v>
      </c>
      <c r="N242" s="81" t="n">
        <v>0</v>
      </c>
      <c r="O242" s="81" t="n">
        <v>3082.59</v>
      </c>
      <c r="P242" s="82" t="n">
        <v>0</v>
      </c>
      <c r="Q242" s="82" t="n">
        <v>69</v>
      </c>
      <c r="R242" s="47" t="n">
        <v>15</v>
      </c>
      <c r="S242" s="66" t="s">
        <v>519</v>
      </c>
    </row>
    <row r="243" customFormat="false" ht="15" hidden="false" customHeight="false" outlineLevel="0" collapsed="false">
      <c r="A243" s="78" t="s">
        <v>179</v>
      </c>
      <c r="B243" s="78" t="s">
        <v>284</v>
      </c>
      <c r="C243" s="79" t="n">
        <v>2022</v>
      </c>
      <c r="D243" s="79" t="n">
        <v>3</v>
      </c>
      <c r="E243" s="80" t="n">
        <v>44834</v>
      </c>
      <c r="F243" s="78" t="s">
        <v>253</v>
      </c>
      <c r="G243" s="78" t="s">
        <v>254</v>
      </c>
      <c r="H243" s="78" t="s">
        <v>250</v>
      </c>
      <c r="I243" s="81" t="n">
        <v>522.089</v>
      </c>
      <c r="J243" s="81" t="n">
        <v>221.557</v>
      </c>
      <c r="K243" s="81" t="n">
        <v>105773000</v>
      </c>
      <c r="L243" s="82" t="n">
        <v>0.57</v>
      </c>
      <c r="M243" s="81" t="n">
        <v>184.9059</v>
      </c>
      <c r="N243" s="81" t="n">
        <v>0</v>
      </c>
      <c r="O243" s="81" t="n">
        <v>3045.985</v>
      </c>
      <c r="P243" s="82" t="n">
        <v>0</v>
      </c>
      <c r="Q243" s="82" t="n">
        <v>56.6</v>
      </c>
      <c r="R243" s="47" t="n">
        <v>16</v>
      </c>
      <c r="S243" s="66" t="s">
        <v>520</v>
      </c>
    </row>
    <row r="244" customFormat="false" ht="15" hidden="false" customHeight="false" outlineLevel="0" collapsed="false">
      <c r="A244" s="78" t="s">
        <v>179</v>
      </c>
      <c r="B244" s="78" t="s">
        <v>286</v>
      </c>
      <c r="C244" s="79" t="n">
        <v>2022</v>
      </c>
      <c r="D244" s="79" t="n">
        <v>2</v>
      </c>
      <c r="E244" s="80" t="n">
        <v>44742</v>
      </c>
      <c r="F244" s="78" t="s">
        <v>253</v>
      </c>
      <c r="G244" s="78" t="s">
        <v>254</v>
      </c>
      <c r="H244" s="78" t="s">
        <v>250</v>
      </c>
      <c r="I244" s="81" t="n">
        <v>736.276</v>
      </c>
      <c r="J244" s="81" t="n">
        <v>303.299</v>
      </c>
      <c r="K244" s="81" t="n">
        <v>184441000</v>
      </c>
      <c r="L244" s="82" t="n">
        <v>1</v>
      </c>
      <c r="M244" s="81" t="n">
        <v>184.9059</v>
      </c>
      <c r="N244" s="81" t="n">
        <v>0</v>
      </c>
      <c r="O244" s="81" t="n">
        <v>2940.212</v>
      </c>
      <c r="P244" s="82" t="n">
        <v>4</v>
      </c>
      <c r="Q244" s="82" t="n">
        <v>72</v>
      </c>
      <c r="R244" s="47" t="n">
        <v>17</v>
      </c>
      <c r="S244" s="66" t="s">
        <v>521</v>
      </c>
    </row>
    <row r="245" customFormat="false" ht="15" hidden="false" customHeight="false" outlineLevel="0" collapsed="false">
      <c r="A245" s="78" t="s">
        <v>179</v>
      </c>
      <c r="B245" s="78" t="s">
        <v>288</v>
      </c>
      <c r="C245" s="79" t="n">
        <v>2022</v>
      </c>
      <c r="D245" s="79" t="n">
        <v>1</v>
      </c>
      <c r="E245" s="80" t="n">
        <v>44651</v>
      </c>
      <c r="F245" s="78" t="s">
        <v>253</v>
      </c>
      <c r="G245" s="78" t="s">
        <v>254</v>
      </c>
      <c r="H245" s="78" t="s">
        <v>250</v>
      </c>
      <c r="I245" s="81" t="n">
        <v>839.197</v>
      </c>
      <c r="J245" s="81" t="n">
        <v>363.138</v>
      </c>
      <c r="K245" s="81" t="n">
        <v>217481000</v>
      </c>
      <c r="L245" s="82" t="n">
        <v>1.18</v>
      </c>
      <c r="M245" s="81" t="n">
        <v>184.9059</v>
      </c>
      <c r="N245" s="81" t="n">
        <v>0</v>
      </c>
      <c r="O245" s="81" t="n">
        <v>3495.395</v>
      </c>
      <c r="P245" s="82" t="n">
        <v>0</v>
      </c>
      <c r="Q245" s="82" t="n">
        <v>113.5</v>
      </c>
      <c r="R245" s="47" t="n">
        <v>18</v>
      </c>
      <c r="S245" s="66" t="s">
        <v>522</v>
      </c>
    </row>
    <row r="246" customFormat="false" ht="15" hidden="false" customHeight="false" outlineLevel="0" collapsed="false">
      <c r="A246" s="78" t="s">
        <v>179</v>
      </c>
      <c r="B246" s="78" t="s">
        <v>290</v>
      </c>
      <c r="C246" s="79" t="n">
        <v>2021</v>
      </c>
      <c r="D246" s="79" t="n">
        <v>4</v>
      </c>
      <c r="E246" s="80" t="n">
        <v>44561</v>
      </c>
      <c r="F246" s="78" t="s">
        <v>253</v>
      </c>
      <c r="G246" s="78" t="s">
        <v>254</v>
      </c>
      <c r="H246" s="78" t="s">
        <v>250</v>
      </c>
      <c r="I246" s="81" t="n">
        <v>875.843</v>
      </c>
      <c r="J246" s="81" t="n">
        <v>347.262</v>
      </c>
      <c r="K246" s="81" t="n">
        <v>191791000</v>
      </c>
      <c r="L246" s="82" t="n">
        <v>1.03</v>
      </c>
      <c r="M246" s="81" t="n">
        <v>184.9059</v>
      </c>
      <c r="N246" s="81" t="n">
        <v>0</v>
      </c>
      <c r="O246" s="81" t="n">
        <v>3277.914</v>
      </c>
      <c r="P246" s="82" t="n">
        <v>0</v>
      </c>
      <c r="Q246" s="82" t="n">
        <v>144</v>
      </c>
      <c r="R246" s="47" t="n">
        <v>19</v>
      </c>
      <c r="S246" s="66" t="s">
        <v>523</v>
      </c>
    </row>
    <row r="247" customFormat="false" ht="15" hidden="false" customHeight="false" outlineLevel="0" collapsed="false">
      <c r="A247" s="78" t="s">
        <v>179</v>
      </c>
      <c r="B247" s="78" t="s">
        <v>292</v>
      </c>
      <c r="C247" s="79" t="n">
        <v>2021</v>
      </c>
      <c r="D247" s="79" t="n">
        <v>3</v>
      </c>
      <c r="E247" s="80" t="n">
        <v>44469</v>
      </c>
      <c r="F247" s="78" t="s">
        <v>253</v>
      </c>
      <c r="G247" s="78" t="s">
        <v>254</v>
      </c>
      <c r="H247" s="78" t="s">
        <v>250</v>
      </c>
      <c r="I247" s="81" t="n">
        <v>947.399</v>
      </c>
      <c r="J247" s="81" t="n">
        <v>402.279</v>
      </c>
      <c r="K247" s="81" t="n">
        <v>211771000</v>
      </c>
      <c r="L247" s="82" t="n">
        <v>1.15</v>
      </c>
      <c r="M247" s="81" t="n">
        <v>184.9059</v>
      </c>
      <c r="N247" s="81" t="n">
        <v>0</v>
      </c>
      <c r="O247" s="81" t="n">
        <v>3086.103</v>
      </c>
      <c r="P247" s="82" t="n">
        <v>2.59</v>
      </c>
      <c r="Q247" s="82" t="n">
        <v>118</v>
      </c>
      <c r="R247" s="47" t="n">
        <v>20</v>
      </c>
      <c r="S247" s="66" t="s">
        <v>524</v>
      </c>
    </row>
    <row r="248" customFormat="false" ht="15" hidden="false" customHeight="false" outlineLevel="0" collapsed="false">
      <c r="A248" s="78" t="s">
        <v>179</v>
      </c>
      <c r="B248" s="78" t="s">
        <v>294</v>
      </c>
      <c r="C248" s="79" t="n">
        <v>2021</v>
      </c>
      <c r="D248" s="79" t="n">
        <v>2</v>
      </c>
      <c r="E248" s="80" t="n">
        <v>44377</v>
      </c>
      <c r="F248" s="78" t="s">
        <v>253</v>
      </c>
      <c r="G248" s="78" t="s">
        <v>254</v>
      </c>
      <c r="H248" s="78" t="s">
        <v>250</v>
      </c>
      <c r="I248" s="81" t="n">
        <v>896.062</v>
      </c>
      <c r="J248" s="81" t="n">
        <v>390.922</v>
      </c>
      <c r="K248" s="81" t="n">
        <v>226778000</v>
      </c>
      <c r="L248" s="82" t="n">
        <v>1.23</v>
      </c>
      <c r="M248" s="81" t="n">
        <v>184.9059</v>
      </c>
      <c r="N248" s="81" t="n">
        <v>0</v>
      </c>
      <c r="O248" s="81" t="n">
        <v>3353.238</v>
      </c>
      <c r="P248" s="82" t="n">
        <v>0</v>
      </c>
      <c r="Q248" s="82" t="n">
        <v>134</v>
      </c>
      <c r="R248" s="47" t="n">
        <v>21</v>
      </c>
      <c r="S248" s="66" t="s">
        <v>525</v>
      </c>
    </row>
    <row r="249" customFormat="false" ht="15" hidden="false" customHeight="false" outlineLevel="0" collapsed="false">
      <c r="A249" s="78" t="s">
        <v>179</v>
      </c>
      <c r="B249" s="78" t="s">
        <v>296</v>
      </c>
      <c r="C249" s="79" t="n">
        <v>2021</v>
      </c>
      <c r="D249" s="79" t="n">
        <v>1</v>
      </c>
      <c r="E249" s="80" t="n">
        <v>44286</v>
      </c>
      <c r="F249" s="78" t="s">
        <v>253</v>
      </c>
      <c r="G249" s="78" t="s">
        <v>254</v>
      </c>
      <c r="H249" s="78" t="s">
        <v>250</v>
      </c>
      <c r="I249" s="81" t="n">
        <v>889.217</v>
      </c>
      <c r="J249" s="81" t="n">
        <v>379.25</v>
      </c>
      <c r="K249" s="81" t="n">
        <v>224741000</v>
      </c>
      <c r="L249" s="82" t="n">
        <v>1.22</v>
      </c>
      <c r="M249" s="81" t="n">
        <v>184.9059</v>
      </c>
      <c r="N249" s="81" t="n">
        <v>0</v>
      </c>
      <c r="O249" s="81" t="n">
        <v>3126.46</v>
      </c>
      <c r="P249" s="82" t="n">
        <v>0</v>
      </c>
      <c r="Q249" s="82" t="n">
        <v>118.5</v>
      </c>
      <c r="R249" s="47" t="n">
        <v>22</v>
      </c>
      <c r="S249" s="66" t="s">
        <v>526</v>
      </c>
    </row>
    <row r="250" customFormat="false" ht="15" hidden="false" customHeight="false" outlineLevel="0" collapsed="false">
      <c r="A250" s="78" t="s">
        <v>179</v>
      </c>
      <c r="B250" s="78" t="s">
        <v>298</v>
      </c>
      <c r="C250" s="79" t="n">
        <v>2020</v>
      </c>
      <c r="D250" s="79" t="n">
        <v>4</v>
      </c>
      <c r="E250" s="80" t="n">
        <v>44196</v>
      </c>
      <c r="F250" s="78" t="s">
        <v>253</v>
      </c>
      <c r="G250" s="78" t="s">
        <v>254</v>
      </c>
      <c r="H250" s="78" t="s">
        <v>250</v>
      </c>
      <c r="I250" s="81" t="n">
        <v>757.232</v>
      </c>
      <c r="J250" s="81" t="n">
        <v>315.349</v>
      </c>
      <c r="K250" s="81" t="n">
        <v>145795000</v>
      </c>
      <c r="L250" s="82" t="n">
        <v>0.79</v>
      </c>
      <c r="M250" s="81" t="n">
        <v>184.9059</v>
      </c>
      <c r="N250" s="81" t="n">
        <v>0</v>
      </c>
      <c r="O250" s="81" t="n">
        <v>2901.719</v>
      </c>
      <c r="P250" s="82" t="n">
        <v>0</v>
      </c>
      <c r="Q250" s="82" t="n">
        <v>112</v>
      </c>
      <c r="R250" s="47" t="n">
        <v>23</v>
      </c>
      <c r="S250" s="66" t="s">
        <v>527</v>
      </c>
    </row>
    <row r="251" customFormat="false" ht="15" hidden="false" customHeight="false" outlineLevel="0" collapsed="false">
      <c r="A251" s="78" t="s">
        <v>179</v>
      </c>
      <c r="B251" s="78" t="s">
        <v>300</v>
      </c>
      <c r="C251" s="79" t="n">
        <v>2020</v>
      </c>
      <c r="D251" s="79" t="n">
        <v>3</v>
      </c>
      <c r="E251" s="80" t="n">
        <v>44104</v>
      </c>
      <c r="F251" s="78" t="s">
        <v>253</v>
      </c>
      <c r="G251" s="78" t="s">
        <v>254</v>
      </c>
      <c r="H251" s="78" t="s">
        <v>250</v>
      </c>
      <c r="I251" s="81" t="n">
        <v>644.391</v>
      </c>
      <c r="J251" s="81" t="n">
        <v>270.365</v>
      </c>
      <c r="K251" s="81" t="n">
        <v>112847000</v>
      </c>
      <c r="L251" s="82" t="n">
        <v>0.61</v>
      </c>
      <c r="M251" s="81" t="n">
        <v>184.9059</v>
      </c>
      <c r="N251" s="81" t="n">
        <v>0</v>
      </c>
      <c r="O251" s="81" t="n">
        <v>2755.453</v>
      </c>
      <c r="P251" s="82"/>
      <c r="Q251" s="82" t="n">
        <v>78.5</v>
      </c>
      <c r="R251" s="47" t="n">
        <v>24</v>
      </c>
      <c r="S251" s="66" t="s">
        <v>528</v>
      </c>
    </row>
    <row r="252" customFormat="false" ht="15" hidden="false" customHeight="false" outlineLevel="0" collapsed="false">
      <c r="A252" s="78" t="s">
        <v>212</v>
      </c>
      <c r="B252" s="78" t="s">
        <v>252</v>
      </c>
      <c r="C252" s="79" t="n">
        <v>2026</v>
      </c>
      <c r="D252" s="79" t="n">
        <v>2</v>
      </c>
      <c r="E252" s="80" t="n">
        <v>46203</v>
      </c>
      <c r="F252" s="78" t="s">
        <v>253</v>
      </c>
      <c r="G252" s="78" t="s">
        <v>254</v>
      </c>
      <c r="H252" s="78" t="s">
        <v>250</v>
      </c>
      <c r="I252" s="81" t="n">
        <v>2505.685</v>
      </c>
      <c r="J252" s="81" t="n">
        <v>307.826</v>
      </c>
      <c r="K252" s="81" t="n">
        <v>154132000</v>
      </c>
      <c r="L252" s="82" t="n">
        <v>1.64</v>
      </c>
      <c r="M252" s="81" t="n">
        <v>93.946</v>
      </c>
      <c r="N252" s="81" t="n">
        <v>0</v>
      </c>
      <c r="O252" s="81" t="n">
        <v>1363.333</v>
      </c>
      <c r="P252" s="82" t="n">
        <v>0</v>
      </c>
      <c r="Q252" s="82" t="n">
        <v>71.2</v>
      </c>
      <c r="R252" s="47" t="n">
        <v>1</v>
      </c>
      <c r="S252" s="66" t="s">
        <v>529</v>
      </c>
    </row>
    <row r="253" customFormat="false" ht="15" hidden="false" customHeight="false" outlineLevel="0" collapsed="false">
      <c r="A253" s="78" t="s">
        <v>212</v>
      </c>
      <c r="B253" s="78" t="s">
        <v>256</v>
      </c>
      <c r="C253" s="79" t="n">
        <v>2026</v>
      </c>
      <c r="D253" s="79" t="n">
        <v>1</v>
      </c>
      <c r="E253" s="80" t="n">
        <v>46112</v>
      </c>
      <c r="F253" s="78" t="s">
        <v>253</v>
      </c>
      <c r="G253" s="78" t="s">
        <v>254</v>
      </c>
      <c r="H253" s="78" t="s">
        <v>250</v>
      </c>
      <c r="I253" s="81" t="n">
        <v>1569.188</v>
      </c>
      <c r="J253" s="81" t="n">
        <v>167.121</v>
      </c>
      <c r="K253" s="81" t="n">
        <v>107791000</v>
      </c>
      <c r="L253" s="82" t="n">
        <v>1.15</v>
      </c>
      <c r="M253" s="81" t="n">
        <v>93.946</v>
      </c>
      <c r="N253" s="81" t="n">
        <v>0</v>
      </c>
      <c r="O253" s="81" t="n">
        <v>1204.572</v>
      </c>
      <c r="P253" s="82" t="n">
        <v>0</v>
      </c>
      <c r="Q253" s="82" t="n">
        <v>52</v>
      </c>
      <c r="R253" s="47" t="n">
        <v>2</v>
      </c>
      <c r="S253" s="66" t="s">
        <v>530</v>
      </c>
    </row>
    <row r="254" customFormat="false" ht="15" hidden="false" customHeight="false" outlineLevel="0" collapsed="false">
      <c r="A254" s="78" t="s">
        <v>212</v>
      </c>
      <c r="B254" s="78" t="s">
        <v>258</v>
      </c>
      <c r="C254" s="79" t="n">
        <v>2025</v>
      </c>
      <c r="D254" s="79" t="n">
        <v>4</v>
      </c>
      <c r="E254" s="80" t="n">
        <v>46022</v>
      </c>
      <c r="F254" s="78" t="s">
        <v>253</v>
      </c>
      <c r="G254" s="78" t="s">
        <v>254</v>
      </c>
      <c r="H254" s="78" t="s">
        <v>250</v>
      </c>
      <c r="I254" s="81" t="n">
        <v>927.974</v>
      </c>
      <c r="J254" s="81" t="n">
        <v>96.891</v>
      </c>
      <c r="K254" s="81" t="n">
        <v>29162000</v>
      </c>
      <c r="L254" s="82" t="n">
        <v>0.34</v>
      </c>
      <c r="M254" s="81" t="n">
        <v>93.946</v>
      </c>
      <c r="N254" s="81" t="n">
        <v>0</v>
      </c>
      <c r="O254" s="81" t="n">
        <v>1086.602</v>
      </c>
      <c r="P254" s="82" t="n">
        <v>0</v>
      </c>
      <c r="Q254" s="82" t="n">
        <v>58</v>
      </c>
      <c r="R254" s="47" t="n">
        <v>3</v>
      </c>
      <c r="S254" s="66" t="s">
        <v>531</v>
      </c>
    </row>
    <row r="255" customFormat="false" ht="15" hidden="false" customHeight="false" outlineLevel="0" collapsed="false">
      <c r="A255" s="78" t="s">
        <v>212</v>
      </c>
      <c r="B255" s="78" t="s">
        <v>260</v>
      </c>
      <c r="C255" s="79" t="n">
        <v>2025</v>
      </c>
      <c r="D255" s="79" t="n">
        <v>3</v>
      </c>
      <c r="E255" s="80" t="n">
        <v>45930</v>
      </c>
      <c r="F255" s="78" t="s">
        <v>253</v>
      </c>
      <c r="G255" s="78" t="s">
        <v>254</v>
      </c>
      <c r="H255" s="78" t="s">
        <v>250</v>
      </c>
      <c r="I255" s="81" t="n">
        <v>1951.552</v>
      </c>
      <c r="J255" s="81" t="n">
        <v>93.037</v>
      </c>
      <c r="K255" s="81" t="n">
        <v>-36226000</v>
      </c>
      <c r="L255" s="82" t="n">
        <v>-0.43</v>
      </c>
      <c r="M255" s="81" t="n">
        <v>83.946</v>
      </c>
      <c r="N255" s="81" t="n">
        <v>0</v>
      </c>
      <c r="O255" s="81" t="n">
        <v>580.488</v>
      </c>
      <c r="P255" s="82" t="n">
        <v>0</v>
      </c>
      <c r="Q255" s="82" t="n">
        <v>54.6</v>
      </c>
      <c r="R255" s="47" t="n">
        <v>4</v>
      </c>
      <c r="S255" s="66" t="s">
        <v>532</v>
      </c>
    </row>
    <row r="256" customFormat="false" ht="15" hidden="false" customHeight="false" outlineLevel="0" collapsed="false">
      <c r="A256" s="78" t="s">
        <v>212</v>
      </c>
      <c r="B256" s="78" t="s">
        <v>262</v>
      </c>
      <c r="C256" s="79" t="n">
        <v>2025</v>
      </c>
      <c r="D256" s="79" t="n">
        <v>2</v>
      </c>
      <c r="E256" s="80" t="n">
        <v>45838</v>
      </c>
      <c r="F256" s="78" t="s">
        <v>253</v>
      </c>
      <c r="G256" s="78" t="s">
        <v>254</v>
      </c>
      <c r="H256" s="78" t="s">
        <v>250</v>
      </c>
      <c r="I256" s="81" t="n">
        <v>736.097</v>
      </c>
      <c r="J256" s="81" t="n">
        <v>73.176</v>
      </c>
      <c r="K256" s="81" t="n">
        <v>22985000</v>
      </c>
      <c r="L256" s="82" t="n">
        <v>0.27</v>
      </c>
      <c r="M256" s="81" t="n">
        <v>83.946</v>
      </c>
      <c r="N256" s="81" t="n">
        <v>0</v>
      </c>
      <c r="O256" s="81" t="n">
        <v>598.27</v>
      </c>
      <c r="P256" s="82" t="n">
        <v>0</v>
      </c>
      <c r="Q256" s="82" t="n">
        <v>60.5</v>
      </c>
      <c r="R256" s="47" t="n">
        <v>5</v>
      </c>
      <c r="S256" s="66" t="s">
        <v>533</v>
      </c>
    </row>
    <row r="257" customFormat="false" ht="15" hidden="false" customHeight="false" outlineLevel="0" collapsed="false">
      <c r="A257" s="78" t="s">
        <v>212</v>
      </c>
      <c r="B257" s="78" t="s">
        <v>264</v>
      </c>
      <c r="C257" s="79" t="n">
        <v>2025</v>
      </c>
      <c r="D257" s="79" t="n">
        <v>1</v>
      </c>
      <c r="E257" s="80" t="n">
        <v>45747</v>
      </c>
      <c r="F257" s="78" t="s">
        <v>253</v>
      </c>
      <c r="G257" s="78" t="s">
        <v>254</v>
      </c>
      <c r="H257" s="78" t="s">
        <v>250</v>
      </c>
      <c r="I257" s="81" t="n">
        <v>820.337</v>
      </c>
      <c r="J257" s="81" t="n">
        <v>172.492</v>
      </c>
      <c r="K257" s="81" t="n">
        <v>20532000</v>
      </c>
      <c r="L257" s="82" t="n">
        <v>0.24</v>
      </c>
      <c r="M257" s="81" t="n">
        <v>83.946</v>
      </c>
      <c r="N257" s="81" t="n">
        <v>0</v>
      </c>
      <c r="O257" s="81" t="n">
        <v>617.364</v>
      </c>
      <c r="P257" s="82" t="n">
        <v>0</v>
      </c>
      <c r="Q257" s="82" t="n">
        <v>54.7</v>
      </c>
      <c r="R257" s="47" t="n">
        <v>6</v>
      </c>
      <c r="S257" s="66" t="s">
        <v>534</v>
      </c>
    </row>
    <row r="258" customFormat="false" ht="15" hidden="false" customHeight="false" outlineLevel="0" collapsed="false">
      <c r="A258" s="78" t="s">
        <v>212</v>
      </c>
      <c r="B258" s="78" t="s">
        <v>266</v>
      </c>
      <c r="C258" s="79" t="n">
        <v>2024</v>
      </c>
      <c r="D258" s="79" t="n">
        <v>4</v>
      </c>
      <c r="E258" s="80" t="n">
        <v>45657</v>
      </c>
      <c r="F258" s="78" t="s">
        <v>253</v>
      </c>
      <c r="G258" s="78" t="s">
        <v>254</v>
      </c>
      <c r="H258" s="78" t="s">
        <v>250</v>
      </c>
      <c r="I258" s="81" t="n">
        <v>1628.362</v>
      </c>
      <c r="J258" s="81" t="n">
        <v>138.328</v>
      </c>
      <c r="K258" s="81" t="n">
        <v>-130119000</v>
      </c>
      <c r="L258" s="82" t="n">
        <v>-1.55</v>
      </c>
      <c r="M258" s="81" t="n">
        <v>83.946</v>
      </c>
      <c r="N258" s="81" t="n">
        <v>0</v>
      </c>
      <c r="O258" s="81" t="n">
        <v>584.156</v>
      </c>
      <c r="P258" s="82" t="n">
        <v>0</v>
      </c>
      <c r="Q258" s="82" t="n">
        <v>75.1</v>
      </c>
      <c r="R258" s="47" t="n">
        <v>7</v>
      </c>
      <c r="S258" s="66" t="s">
        <v>535</v>
      </c>
    </row>
    <row r="259" customFormat="false" ht="15" hidden="false" customHeight="false" outlineLevel="0" collapsed="false">
      <c r="A259" s="78" t="s">
        <v>212</v>
      </c>
      <c r="B259" s="78" t="s">
        <v>268</v>
      </c>
      <c r="C259" s="79" t="n">
        <v>2024</v>
      </c>
      <c r="D259" s="79" t="n">
        <v>3</v>
      </c>
      <c r="E259" s="80" t="n">
        <v>45565</v>
      </c>
      <c r="F259" s="78" t="s">
        <v>253</v>
      </c>
      <c r="G259" s="78" t="s">
        <v>254</v>
      </c>
      <c r="H259" s="78" t="s">
        <v>250</v>
      </c>
      <c r="I259" s="81" t="n">
        <v>1008.25</v>
      </c>
      <c r="J259" s="81" t="n">
        <v>70.596</v>
      </c>
      <c r="K259" s="81" t="n">
        <v>-94083000</v>
      </c>
      <c r="L259" s="82" t="n">
        <v>-1.12</v>
      </c>
      <c r="M259" s="81" t="n">
        <v>83.946</v>
      </c>
      <c r="N259" s="81" t="n">
        <v>0</v>
      </c>
      <c r="O259" s="81" t="n">
        <v>717.704</v>
      </c>
      <c r="P259" s="82" t="n">
        <v>0</v>
      </c>
      <c r="Q259" s="82" t="n">
        <v>89.2</v>
      </c>
      <c r="R259" s="47" t="n">
        <v>8</v>
      </c>
      <c r="S259" s="66" t="s">
        <v>536</v>
      </c>
    </row>
    <row r="260" customFormat="false" ht="15" hidden="false" customHeight="false" outlineLevel="0" collapsed="false">
      <c r="A260" s="78" t="s">
        <v>212</v>
      </c>
      <c r="B260" s="78" t="s">
        <v>270</v>
      </c>
      <c r="C260" s="79" t="n">
        <v>2024</v>
      </c>
      <c r="D260" s="79" t="n">
        <v>2</v>
      </c>
      <c r="E260" s="80" t="n">
        <v>45473</v>
      </c>
      <c r="F260" s="78" t="s">
        <v>253</v>
      </c>
      <c r="G260" s="78" t="s">
        <v>254</v>
      </c>
      <c r="H260" s="78" t="s">
        <v>250</v>
      </c>
      <c r="I260" s="81" t="n">
        <v>719.381</v>
      </c>
      <c r="J260" s="81" t="n">
        <v>64.159</v>
      </c>
      <c r="K260" s="81" t="n">
        <v>-133045000</v>
      </c>
      <c r="L260" s="82" t="n">
        <v>-1.59</v>
      </c>
      <c r="M260" s="81" t="n">
        <v>83.946</v>
      </c>
      <c r="N260" s="81" t="n">
        <v>0</v>
      </c>
      <c r="O260" s="81" t="n">
        <v>804.648</v>
      </c>
      <c r="P260" s="82" t="n">
        <v>0</v>
      </c>
      <c r="Q260" s="82" t="n">
        <v>124</v>
      </c>
      <c r="R260" s="47" t="n">
        <v>9</v>
      </c>
      <c r="S260" s="66" t="s">
        <v>537</v>
      </c>
    </row>
    <row r="261" customFormat="false" ht="15" hidden="false" customHeight="false" outlineLevel="0" collapsed="false">
      <c r="A261" s="78" t="s">
        <v>212</v>
      </c>
      <c r="B261" s="78" t="s">
        <v>272</v>
      </c>
      <c r="C261" s="79" t="n">
        <v>2024</v>
      </c>
      <c r="D261" s="79" t="n">
        <v>1</v>
      </c>
      <c r="E261" s="80" t="n">
        <v>45382</v>
      </c>
      <c r="F261" s="78" t="s">
        <v>253</v>
      </c>
      <c r="G261" s="78" t="s">
        <v>254</v>
      </c>
      <c r="H261" s="78" t="s">
        <v>250</v>
      </c>
      <c r="I261" s="81" t="n">
        <v>939.815</v>
      </c>
      <c r="J261" s="81" t="n">
        <v>94.951</v>
      </c>
      <c r="K261" s="81" t="n">
        <v>-83964000</v>
      </c>
      <c r="L261" s="82" t="n">
        <v>-1</v>
      </c>
      <c r="M261" s="81" t="n">
        <v>83.946</v>
      </c>
      <c r="N261" s="81" t="n">
        <v>0</v>
      </c>
      <c r="O261" s="81" t="n">
        <v>934.625</v>
      </c>
      <c r="P261" s="82" t="n">
        <v>0</v>
      </c>
      <c r="Q261" s="82" t="n">
        <v>120.5</v>
      </c>
      <c r="R261" s="47" t="n">
        <v>10</v>
      </c>
      <c r="S261" s="66" t="s">
        <v>538</v>
      </c>
    </row>
    <row r="262" customFormat="false" ht="15" hidden="false" customHeight="false" outlineLevel="0" collapsed="false">
      <c r="A262" s="78" t="s">
        <v>212</v>
      </c>
      <c r="B262" s="78" t="s">
        <v>274</v>
      </c>
      <c r="C262" s="79" t="n">
        <v>2023</v>
      </c>
      <c r="D262" s="79" t="n">
        <v>4</v>
      </c>
      <c r="E262" s="80" t="n">
        <v>45291</v>
      </c>
      <c r="F262" s="78" t="s">
        <v>253</v>
      </c>
      <c r="G262" s="78" t="s">
        <v>254</v>
      </c>
      <c r="H262" s="78" t="s">
        <v>250</v>
      </c>
      <c r="I262" s="81" t="n">
        <v>1721.824</v>
      </c>
      <c r="J262" s="81" t="n">
        <v>321.484</v>
      </c>
      <c r="K262" s="81" t="n">
        <v>726000</v>
      </c>
      <c r="L262" s="82" t="n">
        <v>0.19</v>
      </c>
      <c r="M262" s="81" t="n">
        <v>83.946</v>
      </c>
      <c r="N262" s="81" t="n">
        <v>0</v>
      </c>
      <c r="O262" s="81" t="n">
        <v>1011.087</v>
      </c>
      <c r="P262" s="82" t="n">
        <v>0</v>
      </c>
      <c r="Q262" s="82" t="n">
        <v>63.4</v>
      </c>
      <c r="R262" s="47" t="n">
        <v>11</v>
      </c>
      <c r="S262" s="66" t="s">
        <v>539</v>
      </c>
    </row>
    <row r="263" customFormat="false" ht="15" hidden="false" customHeight="false" outlineLevel="0" collapsed="false">
      <c r="A263" s="78" t="s">
        <v>212</v>
      </c>
      <c r="B263" s="78" t="s">
        <v>276</v>
      </c>
      <c r="C263" s="79" t="n">
        <v>2023</v>
      </c>
      <c r="D263" s="79" t="n">
        <v>3</v>
      </c>
      <c r="E263" s="80" t="n">
        <v>45199</v>
      </c>
      <c r="F263" s="78" t="s">
        <v>253</v>
      </c>
      <c r="G263" s="78" t="s">
        <v>254</v>
      </c>
      <c r="H263" s="78" t="s">
        <v>250</v>
      </c>
      <c r="I263" s="81" t="n">
        <v>965.575</v>
      </c>
      <c r="J263" s="81" t="n">
        <v>144.429</v>
      </c>
      <c r="K263" s="81" t="n">
        <v>-34228000</v>
      </c>
      <c r="L263" s="82" t="n">
        <v>-0.58</v>
      </c>
      <c r="M263" s="81" t="n">
        <v>58.946</v>
      </c>
      <c r="N263" s="81" t="n">
        <v>0</v>
      </c>
      <c r="O263" s="81" t="n">
        <v>350.347</v>
      </c>
      <c r="P263" s="82" t="n">
        <v>0</v>
      </c>
      <c r="Q263" s="82" t="n">
        <v>36.9</v>
      </c>
      <c r="R263" s="47" t="n">
        <v>12</v>
      </c>
      <c r="S263" s="66" t="s">
        <v>540</v>
      </c>
    </row>
    <row r="264" customFormat="false" ht="15" hidden="false" customHeight="false" outlineLevel="0" collapsed="false">
      <c r="A264" s="78" t="s">
        <v>212</v>
      </c>
      <c r="B264" s="78" t="s">
        <v>278</v>
      </c>
      <c r="C264" s="79" t="n">
        <v>2023</v>
      </c>
      <c r="D264" s="79" t="n">
        <v>2</v>
      </c>
      <c r="E264" s="80" t="n">
        <v>45107</v>
      </c>
      <c r="F264" s="78" t="s">
        <v>253</v>
      </c>
      <c r="G264" s="78" t="s">
        <v>254</v>
      </c>
      <c r="H264" s="78" t="s">
        <v>250</v>
      </c>
      <c r="I264" s="81" t="n">
        <v>814.62</v>
      </c>
      <c r="J264" s="81" t="n">
        <v>90.879</v>
      </c>
      <c r="K264" s="81" t="n">
        <v>-57149000</v>
      </c>
      <c r="L264" s="82" t="n">
        <v>-0.97</v>
      </c>
      <c r="M264" s="81" t="n">
        <v>58.946</v>
      </c>
      <c r="N264" s="81" t="n">
        <v>0</v>
      </c>
      <c r="O264" s="81" t="n">
        <v>373.878</v>
      </c>
      <c r="P264" s="82" t="n">
        <v>0</v>
      </c>
      <c r="Q264" s="82" t="n">
        <v>35.85</v>
      </c>
      <c r="R264" s="47" t="n">
        <v>13</v>
      </c>
      <c r="S264" s="66" t="s">
        <v>541</v>
      </c>
    </row>
    <row r="265" customFormat="false" ht="15" hidden="false" customHeight="false" outlineLevel="0" collapsed="false">
      <c r="A265" s="78" t="s">
        <v>212</v>
      </c>
      <c r="B265" s="78" t="s">
        <v>280</v>
      </c>
      <c r="C265" s="79" t="n">
        <v>2023</v>
      </c>
      <c r="D265" s="79" t="n">
        <v>1</v>
      </c>
      <c r="E265" s="80" t="n">
        <v>45016</v>
      </c>
      <c r="F265" s="78" t="s">
        <v>253</v>
      </c>
      <c r="G265" s="78" t="s">
        <v>254</v>
      </c>
      <c r="H265" s="78" t="s">
        <v>250</v>
      </c>
      <c r="I265" s="81" t="n">
        <v>774.098</v>
      </c>
      <c r="J265" s="81" t="n">
        <v>71.487</v>
      </c>
      <c r="K265" s="81" t="n">
        <v>-69078000</v>
      </c>
      <c r="L265" s="82" t="n">
        <v>-1.17</v>
      </c>
      <c r="M265" s="81" t="n">
        <v>58.946</v>
      </c>
      <c r="N265" s="81" t="n">
        <v>0</v>
      </c>
      <c r="O265" s="81" t="n">
        <v>442.555</v>
      </c>
      <c r="P265" s="82" t="n">
        <v>0</v>
      </c>
      <c r="Q265" s="82" t="n">
        <v>39.4</v>
      </c>
      <c r="R265" s="47" t="n">
        <v>14</v>
      </c>
      <c r="S265" s="66" t="s">
        <v>542</v>
      </c>
    </row>
    <row r="266" customFormat="false" ht="15" hidden="false" customHeight="false" outlineLevel="0" collapsed="false">
      <c r="A266" s="78" t="s">
        <v>212</v>
      </c>
      <c r="B266" s="78" t="s">
        <v>282</v>
      </c>
      <c r="C266" s="79" t="n">
        <v>2022</v>
      </c>
      <c r="D266" s="79" t="n">
        <v>4</v>
      </c>
      <c r="E266" s="80" t="n">
        <v>44926</v>
      </c>
      <c r="F266" s="78" t="s">
        <v>253</v>
      </c>
      <c r="G266" s="78" t="s">
        <v>254</v>
      </c>
      <c r="H266" s="78" t="s">
        <v>250</v>
      </c>
      <c r="I266" s="81" t="n">
        <v>1084.05</v>
      </c>
      <c r="J266" s="81" t="n">
        <v>85.857</v>
      </c>
      <c r="K266" s="81" t="n">
        <v>-90091000</v>
      </c>
      <c r="L266" s="82" t="n">
        <v>-1.53</v>
      </c>
      <c r="M266" s="81" t="n">
        <v>58.946</v>
      </c>
      <c r="N266" s="81" t="n">
        <v>0</v>
      </c>
      <c r="O266" s="81" t="n">
        <v>510.135</v>
      </c>
      <c r="P266" s="82" t="n">
        <v>0</v>
      </c>
      <c r="Q266" s="82" t="n">
        <v>38</v>
      </c>
      <c r="R266" s="47" t="n">
        <v>15</v>
      </c>
      <c r="S266" s="66" t="s">
        <v>543</v>
      </c>
    </row>
    <row r="267" customFormat="false" ht="15" hidden="false" customHeight="false" outlineLevel="0" collapsed="false">
      <c r="A267" s="78" t="s">
        <v>212</v>
      </c>
      <c r="B267" s="78" t="s">
        <v>284</v>
      </c>
      <c r="C267" s="79" t="n">
        <v>2022</v>
      </c>
      <c r="D267" s="79" t="n">
        <v>3</v>
      </c>
      <c r="E267" s="80" t="n">
        <v>44834</v>
      </c>
      <c r="F267" s="78" t="s">
        <v>253</v>
      </c>
      <c r="G267" s="78" t="s">
        <v>254</v>
      </c>
      <c r="H267" s="78" t="s">
        <v>250</v>
      </c>
      <c r="I267" s="81" t="n">
        <v>1615.905</v>
      </c>
      <c r="J267" s="81" t="n">
        <v>252.777</v>
      </c>
      <c r="K267" s="81" t="n">
        <v>-64050000</v>
      </c>
      <c r="L267" s="82" t="n">
        <v>-1.09</v>
      </c>
      <c r="M267" s="81" t="n">
        <v>58.946</v>
      </c>
      <c r="N267" s="81" t="n">
        <v>0</v>
      </c>
      <c r="O267" s="81" t="n">
        <v>605.131</v>
      </c>
      <c r="P267" s="82" t="n">
        <v>1</v>
      </c>
      <c r="Q267" s="82" t="n">
        <v>25.15</v>
      </c>
      <c r="R267" s="47" t="n">
        <v>16</v>
      </c>
      <c r="S267" s="66" t="s">
        <v>544</v>
      </c>
    </row>
    <row r="268" customFormat="false" ht="15" hidden="false" customHeight="false" outlineLevel="0" collapsed="false">
      <c r="A268" s="78" t="s">
        <v>212</v>
      </c>
      <c r="B268" s="78" t="s">
        <v>286</v>
      </c>
      <c r="C268" s="79" t="n">
        <v>2022</v>
      </c>
      <c r="D268" s="79" t="n">
        <v>2</v>
      </c>
      <c r="E268" s="80" t="n">
        <v>44742</v>
      </c>
      <c r="F268" s="78" t="s">
        <v>253</v>
      </c>
      <c r="G268" s="78" t="s">
        <v>254</v>
      </c>
      <c r="H268" s="78" t="s">
        <v>250</v>
      </c>
      <c r="I268" s="81" t="n">
        <v>1100.07</v>
      </c>
      <c r="J268" s="81" t="n">
        <v>82.444</v>
      </c>
      <c r="K268" s="81" t="n">
        <v>-66698000</v>
      </c>
      <c r="L268" s="82" t="n">
        <v>-1.25</v>
      </c>
      <c r="M268" s="81" t="n">
        <v>53.5873</v>
      </c>
      <c r="N268" s="81" t="n">
        <v>0</v>
      </c>
      <c r="O268" s="81" t="n">
        <v>664.945</v>
      </c>
      <c r="P268" s="82" t="n">
        <v>0</v>
      </c>
      <c r="Q268" s="82" t="n">
        <v>34.65</v>
      </c>
      <c r="R268" s="47" t="n">
        <v>17</v>
      </c>
      <c r="S268" s="66" t="s">
        <v>545</v>
      </c>
    </row>
    <row r="269" customFormat="false" ht="15" hidden="false" customHeight="false" outlineLevel="0" collapsed="false">
      <c r="A269" s="78" t="s">
        <v>212</v>
      </c>
      <c r="B269" s="78" t="s">
        <v>288</v>
      </c>
      <c r="C269" s="79" t="n">
        <v>2022</v>
      </c>
      <c r="D269" s="79" t="n">
        <v>1</v>
      </c>
      <c r="E269" s="80" t="n">
        <v>44651</v>
      </c>
      <c r="F269" s="78" t="s">
        <v>253</v>
      </c>
      <c r="G269" s="78" t="s">
        <v>254</v>
      </c>
      <c r="H269" s="78" t="s">
        <v>250</v>
      </c>
      <c r="I269" s="81" t="n">
        <v>1511.393</v>
      </c>
      <c r="J269" s="81" t="n">
        <v>185.733</v>
      </c>
      <c r="K269" s="81" t="n">
        <v>25026000</v>
      </c>
      <c r="L269" s="82" t="n">
        <v>0.47</v>
      </c>
      <c r="M269" s="81" t="n">
        <v>53.5873</v>
      </c>
      <c r="N269" s="81" t="n">
        <v>0</v>
      </c>
      <c r="O269" s="81" t="n">
        <v>793.029</v>
      </c>
      <c r="P269" s="82" t="n">
        <v>0</v>
      </c>
      <c r="Q269" s="82" t="n">
        <v>67.1</v>
      </c>
      <c r="R269" s="47" t="n">
        <v>18</v>
      </c>
      <c r="S269" s="66" t="s">
        <v>546</v>
      </c>
    </row>
    <row r="270" customFormat="false" ht="15" hidden="false" customHeight="false" outlineLevel="0" collapsed="false">
      <c r="A270" s="78" t="s">
        <v>212</v>
      </c>
      <c r="B270" s="78" t="s">
        <v>290</v>
      </c>
      <c r="C270" s="79" t="n">
        <v>2021</v>
      </c>
      <c r="D270" s="79" t="n">
        <v>4</v>
      </c>
      <c r="E270" s="80" t="n">
        <v>44561</v>
      </c>
      <c r="F270" s="78" t="s">
        <v>253</v>
      </c>
      <c r="G270" s="78" t="s">
        <v>254</v>
      </c>
      <c r="H270" s="78" t="s">
        <v>250</v>
      </c>
      <c r="I270" s="81" t="n">
        <v>2100.66</v>
      </c>
      <c r="J270" s="81" t="n">
        <v>312.998</v>
      </c>
      <c r="K270" s="81" t="n">
        <v>80127000</v>
      </c>
      <c r="L270" s="82" t="n">
        <v>1.49</v>
      </c>
      <c r="M270" s="81" t="n">
        <v>53.5873</v>
      </c>
      <c r="N270" s="81" t="n">
        <v>0</v>
      </c>
      <c r="O270" s="81" t="n">
        <v>753.552</v>
      </c>
      <c r="P270" s="82" t="n">
        <v>0</v>
      </c>
      <c r="Q270" s="82" t="n">
        <v>78.8</v>
      </c>
      <c r="R270" s="47" t="n">
        <v>19</v>
      </c>
      <c r="S270" s="66" t="s">
        <v>547</v>
      </c>
    </row>
    <row r="271" customFormat="false" ht="15" hidden="false" customHeight="false" outlineLevel="0" collapsed="false">
      <c r="A271" s="78" t="s">
        <v>212</v>
      </c>
      <c r="B271" s="78" t="s">
        <v>292</v>
      </c>
      <c r="C271" s="79" t="n">
        <v>2021</v>
      </c>
      <c r="D271" s="79" t="n">
        <v>3</v>
      </c>
      <c r="E271" s="80" t="n">
        <v>44469</v>
      </c>
      <c r="F271" s="78" t="s">
        <v>253</v>
      </c>
      <c r="G271" s="78" t="s">
        <v>254</v>
      </c>
      <c r="H271" s="78" t="s">
        <v>250</v>
      </c>
      <c r="I271" s="81" t="n">
        <v>2225.886</v>
      </c>
      <c r="J271" s="81" t="n">
        <v>342.797</v>
      </c>
      <c r="K271" s="81" t="n">
        <v>87871000</v>
      </c>
      <c r="L271" s="82" t="n">
        <v>1.64</v>
      </c>
      <c r="M271" s="81" t="n">
        <v>53.5873</v>
      </c>
      <c r="N271" s="81" t="n">
        <v>0</v>
      </c>
      <c r="O271" s="81" t="n">
        <v>668.642</v>
      </c>
      <c r="P271" s="82" t="n">
        <v>0</v>
      </c>
      <c r="Q271" s="82" t="n">
        <v>58.6</v>
      </c>
      <c r="R271" s="47" t="n">
        <v>20</v>
      </c>
      <c r="S271" s="66" t="s">
        <v>548</v>
      </c>
    </row>
    <row r="272" customFormat="false" ht="15" hidden="false" customHeight="false" outlineLevel="0" collapsed="false">
      <c r="A272" s="78" t="s">
        <v>212</v>
      </c>
      <c r="B272" s="78" t="s">
        <v>294</v>
      </c>
      <c r="C272" s="79" t="n">
        <v>2021</v>
      </c>
      <c r="D272" s="79" t="n">
        <v>2</v>
      </c>
      <c r="E272" s="80" t="n">
        <v>44377</v>
      </c>
      <c r="F272" s="78" t="s">
        <v>253</v>
      </c>
      <c r="G272" s="78" t="s">
        <v>254</v>
      </c>
      <c r="H272" s="78" t="s">
        <v>250</v>
      </c>
      <c r="I272" s="81" t="n">
        <v>2857.154</v>
      </c>
      <c r="J272" s="81" t="n">
        <v>671.089</v>
      </c>
      <c r="K272" s="81" t="n">
        <v>200324000</v>
      </c>
      <c r="L272" s="82" t="n">
        <v>3.74</v>
      </c>
      <c r="M272" s="81" t="n">
        <v>53.5873</v>
      </c>
      <c r="N272" s="81" t="n">
        <v>0</v>
      </c>
      <c r="O272" s="81" t="n">
        <v>581.761</v>
      </c>
      <c r="P272" s="82" t="n">
        <v>0</v>
      </c>
      <c r="Q272" s="82" t="n">
        <v>77.2</v>
      </c>
      <c r="R272" s="47" t="n">
        <v>21</v>
      </c>
      <c r="S272" s="66" t="s">
        <v>549</v>
      </c>
    </row>
    <row r="273" customFormat="false" ht="15" hidden="false" customHeight="false" outlineLevel="0" collapsed="false">
      <c r="A273" s="78" t="s">
        <v>212</v>
      </c>
      <c r="B273" s="78" t="s">
        <v>296</v>
      </c>
      <c r="C273" s="79" t="n">
        <v>2021</v>
      </c>
      <c r="D273" s="79" t="n">
        <v>1</v>
      </c>
      <c r="E273" s="80" t="n">
        <v>44286</v>
      </c>
      <c r="F273" s="78" t="s">
        <v>253</v>
      </c>
      <c r="G273" s="78" t="s">
        <v>254</v>
      </c>
      <c r="H273" s="78" t="s">
        <v>250</v>
      </c>
      <c r="I273" s="81" t="n">
        <v>1639.356</v>
      </c>
      <c r="J273" s="81" t="n">
        <v>242.754</v>
      </c>
      <c r="K273" s="81" t="n">
        <v>66934000</v>
      </c>
      <c r="L273" s="82" t="n">
        <v>1.25</v>
      </c>
      <c r="M273" s="81" t="n">
        <v>53.5873</v>
      </c>
      <c r="N273" s="81" t="n">
        <v>0</v>
      </c>
      <c r="O273" s="81" t="n">
        <v>382.735</v>
      </c>
      <c r="P273" s="82" t="n">
        <v>0</v>
      </c>
      <c r="Q273" s="82" t="n">
        <v>43.55</v>
      </c>
      <c r="R273" s="47" t="n">
        <v>22</v>
      </c>
      <c r="S273" s="66" t="s">
        <v>550</v>
      </c>
    </row>
    <row r="274" customFormat="false" ht="15" hidden="false" customHeight="false" outlineLevel="0" collapsed="false">
      <c r="A274" s="78" t="s">
        <v>212</v>
      </c>
      <c r="B274" s="78" t="s">
        <v>298</v>
      </c>
      <c r="C274" s="79" t="n">
        <v>2020</v>
      </c>
      <c r="D274" s="79" t="n">
        <v>4</v>
      </c>
      <c r="E274" s="80" t="n">
        <v>44196</v>
      </c>
      <c r="F274" s="78" t="s">
        <v>253</v>
      </c>
      <c r="G274" s="78" t="s">
        <v>254</v>
      </c>
      <c r="H274" s="78" t="s">
        <v>250</v>
      </c>
      <c r="I274" s="81" t="n">
        <v>1529.874</v>
      </c>
      <c r="J274" s="81" t="n">
        <v>187.039</v>
      </c>
      <c r="K274" s="81" t="n">
        <v>31153000</v>
      </c>
      <c r="L274" s="82" t="n">
        <v>0.58</v>
      </c>
      <c r="M274" s="81" t="n">
        <v>53.5873</v>
      </c>
      <c r="N274" s="81" t="n">
        <v>0</v>
      </c>
      <c r="O274" s="81" t="n">
        <v>317.322</v>
      </c>
      <c r="P274" s="82" t="n">
        <v>0</v>
      </c>
      <c r="Q274" s="82" t="n">
        <v>21.95</v>
      </c>
      <c r="R274" s="47" t="n">
        <v>23</v>
      </c>
      <c r="S274" s="66" t="s">
        <v>551</v>
      </c>
    </row>
    <row r="275" customFormat="false" ht="15" hidden="false" customHeight="false" outlineLevel="0" collapsed="false">
      <c r="A275" s="78" t="s">
        <v>212</v>
      </c>
      <c r="B275" s="78" t="s">
        <v>300</v>
      </c>
      <c r="C275" s="79" t="n">
        <v>2020</v>
      </c>
      <c r="D275" s="79" t="n">
        <v>3</v>
      </c>
      <c r="E275" s="80" t="n">
        <v>44104</v>
      </c>
      <c r="F275" s="78" t="s">
        <v>253</v>
      </c>
      <c r="G275" s="78" t="s">
        <v>254</v>
      </c>
      <c r="H275" s="78" t="s">
        <v>250</v>
      </c>
      <c r="I275" s="81" t="n">
        <v>1175.849</v>
      </c>
      <c r="J275" s="81" t="n">
        <v>130.817</v>
      </c>
      <c r="K275" s="81" t="n">
        <v>-6053000</v>
      </c>
      <c r="L275" s="82" t="n">
        <v>-0.11</v>
      </c>
      <c r="M275" s="81" t="n">
        <v>53.5873</v>
      </c>
      <c r="N275" s="81" t="n">
        <v>0</v>
      </c>
      <c r="O275" s="81" t="n">
        <v>280.658</v>
      </c>
      <c r="P275" s="82"/>
      <c r="Q275" s="82" t="n">
        <v>14.35</v>
      </c>
      <c r="R275" s="47" t="n">
        <v>24</v>
      </c>
      <c r="S275" s="66" t="s">
        <v>552</v>
      </c>
    </row>
    <row r="276" customFormat="false" ht="15" hidden="false" customHeight="false" outlineLevel="0" collapsed="false">
      <c r="A276" s="78" t="s">
        <v>184</v>
      </c>
      <c r="B276" s="78" t="s">
        <v>247</v>
      </c>
      <c r="C276" s="79" t="n">
        <v>2026</v>
      </c>
      <c r="D276" s="79" t="n">
        <v>3</v>
      </c>
      <c r="E276" s="80" t="n">
        <v>46295</v>
      </c>
      <c r="F276" s="78" t="s">
        <v>248</v>
      </c>
      <c r="G276" s="78" t="s">
        <v>249</v>
      </c>
      <c r="H276" s="78" t="s">
        <v>250</v>
      </c>
      <c r="I276" s="81"/>
      <c r="J276" s="81"/>
      <c r="K276" s="81"/>
      <c r="L276" s="82" t="n">
        <v>9.57273</v>
      </c>
      <c r="M276" s="81"/>
      <c r="N276" s="81"/>
      <c r="O276" s="81"/>
      <c r="P276" s="82"/>
      <c r="Q276" s="82"/>
      <c r="R276" s="47" t="n">
        <v>0</v>
      </c>
      <c r="S276" s="66" t="s">
        <v>553</v>
      </c>
    </row>
    <row r="277" customFormat="false" ht="15" hidden="false" customHeight="false" outlineLevel="0" collapsed="false">
      <c r="A277" s="78" t="s">
        <v>184</v>
      </c>
      <c r="B277" s="78" t="s">
        <v>252</v>
      </c>
      <c r="C277" s="79" t="n">
        <v>2026</v>
      </c>
      <c r="D277" s="79" t="n">
        <v>2</v>
      </c>
      <c r="E277" s="80" t="n">
        <v>46203</v>
      </c>
      <c r="F277" s="78" t="s">
        <v>253</v>
      </c>
      <c r="G277" s="78" t="s">
        <v>254</v>
      </c>
      <c r="H277" s="78" t="s">
        <v>250</v>
      </c>
      <c r="I277" s="81" t="n">
        <v>28660.098</v>
      </c>
      <c r="J277" s="81" t="n">
        <v>12156.801</v>
      </c>
      <c r="K277" s="81" t="n">
        <v>6327860000</v>
      </c>
      <c r="L277" s="82" t="n">
        <v>10.4</v>
      </c>
      <c r="M277" s="81" t="n">
        <v>608.5115</v>
      </c>
      <c r="N277" s="81" t="n">
        <v>0</v>
      </c>
      <c r="O277" s="81" t="n">
        <v>68961.06</v>
      </c>
      <c r="P277" s="82" t="n">
        <v>0</v>
      </c>
      <c r="Q277" s="82" t="n">
        <v>535</v>
      </c>
      <c r="R277" s="47" t="n">
        <v>1</v>
      </c>
      <c r="S277" s="66" t="s">
        <v>554</v>
      </c>
    </row>
    <row r="278" customFormat="false" ht="15" hidden="false" customHeight="false" outlineLevel="0" collapsed="false">
      <c r="A278" s="78" t="s">
        <v>184</v>
      </c>
      <c r="B278" s="78" t="s">
        <v>256</v>
      </c>
      <c r="C278" s="79" t="n">
        <v>2026</v>
      </c>
      <c r="D278" s="79" t="n">
        <v>1</v>
      </c>
      <c r="E278" s="80" t="n">
        <v>46112</v>
      </c>
      <c r="F278" s="78" t="s">
        <v>253</v>
      </c>
      <c r="G278" s="78" t="s">
        <v>254</v>
      </c>
      <c r="H278" s="78" t="s">
        <v>250</v>
      </c>
      <c r="I278" s="81" t="n">
        <v>23145.303</v>
      </c>
      <c r="J278" s="81" t="n">
        <v>9039.901</v>
      </c>
      <c r="K278" s="81" t="n">
        <v>3767112000</v>
      </c>
      <c r="L278" s="82" t="n">
        <v>6.19</v>
      </c>
      <c r="M278" s="81" t="n">
        <v>608.5115</v>
      </c>
      <c r="N278" s="81" t="n">
        <v>0</v>
      </c>
      <c r="O278" s="81" t="n">
        <v>71927.815</v>
      </c>
      <c r="P278" s="82" t="n">
        <v>0</v>
      </c>
      <c r="Q278" s="82" t="n">
        <v>379.5</v>
      </c>
      <c r="R278" s="47" t="n">
        <v>2</v>
      </c>
      <c r="S278" s="66" t="s">
        <v>555</v>
      </c>
    </row>
    <row r="279" customFormat="false" ht="15" hidden="false" customHeight="false" outlineLevel="0" collapsed="false">
      <c r="A279" s="78" t="s">
        <v>184</v>
      </c>
      <c r="B279" s="78" t="s">
        <v>258</v>
      </c>
      <c r="C279" s="79" t="n">
        <v>2025</v>
      </c>
      <c r="D279" s="79" t="n">
        <v>4</v>
      </c>
      <c r="E279" s="80" t="n">
        <v>46022</v>
      </c>
      <c r="F279" s="78" t="s">
        <v>253</v>
      </c>
      <c r="G279" s="78" t="s">
        <v>254</v>
      </c>
      <c r="H279" s="78" t="s">
        <v>250</v>
      </c>
      <c r="I279" s="81" t="n">
        <v>22817.209</v>
      </c>
      <c r="J279" s="81" t="n">
        <v>8712.827</v>
      </c>
      <c r="K279" s="81" t="n">
        <v>3689810000</v>
      </c>
      <c r="L279" s="82" t="n">
        <v>6.07</v>
      </c>
      <c r="M279" s="81" t="n">
        <v>608.5115</v>
      </c>
      <c r="N279" s="81" t="n">
        <v>0</v>
      </c>
      <c r="O279" s="81" t="n">
        <v>67739.247</v>
      </c>
      <c r="P279" s="82" t="n">
        <v>0</v>
      </c>
      <c r="Q279" s="82" t="n">
        <v>374</v>
      </c>
      <c r="R279" s="47" t="n">
        <v>3</v>
      </c>
      <c r="S279" s="66" t="s">
        <v>556</v>
      </c>
    </row>
    <row r="280" customFormat="false" ht="15" hidden="false" customHeight="false" outlineLevel="0" collapsed="false">
      <c r="A280" s="78" t="s">
        <v>184</v>
      </c>
      <c r="B280" s="78" t="s">
        <v>260</v>
      </c>
      <c r="C280" s="79" t="n">
        <v>2025</v>
      </c>
      <c r="D280" s="79" t="n">
        <v>3</v>
      </c>
      <c r="E280" s="80" t="n">
        <v>45930</v>
      </c>
      <c r="F280" s="78" t="s">
        <v>253</v>
      </c>
      <c r="G280" s="78" t="s">
        <v>254</v>
      </c>
      <c r="H280" s="78" t="s">
        <v>250</v>
      </c>
      <c r="I280" s="81" t="n">
        <v>24573.67</v>
      </c>
      <c r="J280" s="81" t="n">
        <v>8918.821</v>
      </c>
      <c r="K280" s="81" t="n">
        <v>3654824000</v>
      </c>
      <c r="L280" s="82" t="n">
        <v>6.01</v>
      </c>
      <c r="M280" s="81" t="n">
        <v>608.5115</v>
      </c>
      <c r="N280" s="81" t="n">
        <v>0</v>
      </c>
      <c r="O280" s="81" t="n">
        <v>63580.896</v>
      </c>
      <c r="P280" s="82" t="n">
        <v>28</v>
      </c>
      <c r="Q280" s="82" t="n">
        <v>426.5</v>
      </c>
      <c r="R280" s="47" t="n">
        <v>4</v>
      </c>
      <c r="S280" s="66" t="s">
        <v>557</v>
      </c>
    </row>
    <row r="281" customFormat="false" ht="15" hidden="false" customHeight="false" outlineLevel="0" collapsed="false">
      <c r="A281" s="78" t="s">
        <v>184</v>
      </c>
      <c r="B281" s="78" t="s">
        <v>262</v>
      </c>
      <c r="C281" s="79" t="n">
        <v>2025</v>
      </c>
      <c r="D281" s="79" t="n">
        <v>2</v>
      </c>
      <c r="E281" s="80" t="n">
        <v>45838</v>
      </c>
      <c r="F281" s="78" t="s">
        <v>253</v>
      </c>
      <c r="G281" s="78" t="s">
        <v>254</v>
      </c>
      <c r="H281" s="78" t="s">
        <v>250</v>
      </c>
      <c r="I281" s="81" t="n">
        <v>26152.063</v>
      </c>
      <c r="J281" s="81" t="n">
        <v>9493.648</v>
      </c>
      <c r="K281" s="81" t="n">
        <v>3739254000</v>
      </c>
      <c r="L281" s="82" t="n">
        <v>6.14</v>
      </c>
      <c r="M281" s="81" t="n">
        <v>608.5115</v>
      </c>
      <c r="N281" s="81" t="n">
        <v>0</v>
      </c>
      <c r="O281" s="81" t="n">
        <v>59641.644</v>
      </c>
      <c r="P281" s="82" t="n">
        <v>0</v>
      </c>
      <c r="Q281" s="82" t="n">
        <v>545</v>
      </c>
      <c r="R281" s="47" t="n">
        <v>5</v>
      </c>
      <c r="S281" s="66" t="s">
        <v>558</v>
      </c>
    </row>
    <row r="282" customFormat="false" ht="15" hidden="false" customHeight="false" outlineLevel="0" collapsed="false">
      <c r="A282" s="78" t="s">
        <v>184</v>
      </c>
      <c r="B282" s="78" t="s">
        <v>264</v>
      </c>
      <c r="C282" s="79" t="n">
        <v>2025</v>
      </c>
      <c r="D282" s="79" t="n">
        <v>1</v>
      </c>
      <c r="E282" s="80" t="n">
        <v>45747</v>
      </c>
      <c r="F282" s="78" t="s">
        <v>253</v>
      </c>
      <c r="G282" s="78" t="s">
        <v>254</v>
      </c>
      <c r="H282" s="78" t="s">
        <v>250</v>
      </c>
      <c r="I282" s="81" t="n">
        <v>27120.202</v>
      </c>
      <c r="J282" s="81" t="n">
        <v>10782.716</v>
      </c>
      <c r="K282" s="81" t="n">
        <v>5263805000</v>
      </c>
      <c r="L282" s="82" t="n">
        <v>8.65</v>
      </c>
      <c r="M282" s="81" t="n">
        <v>608.5115</v>
      </c>
      <c r="N282" s="81" t="n">
        <v>0</v>
      </c>
      <c r="O282" s="81" t="n">
        <v>73131.074</v>
      </c>
      <c r="P282" s="82" t="n">
        <v>0</v>
      </c>
      <c r="Q282" s="82" t="n">
        <v>545</v>
      </c>
      <c r="R282" s="47" t="n">
        <v>6</v>
      </c>
      <c r="S282" s="66" t="s">
        <v>559</v>
      </c>
    </row>
    <row r="283" customFormat="false" ht="15" hidden="false" customHeight="false" outlineLevel="0" collapsed="false">
      <c r="A283" s="78" t="s">
        <v>184</v>
      </c>
      <c r="B283" s="78" t="s">
        <v>266</v>
      </c>
      <c r="C283" s="79" t="n">
        <v>2024</v>
      </c>
      <c r="D283" s="79" t="n">
        <v>4</v>
      </c>
      <c r="E283" s="80" t="n">
        <v>45657</v>
      </c>
      <c r="F283" s="78" t="s">
        <v>253</v>
      </c>
      <c r="G283" s="78" t="s">
        <v>254</v>
      </c>
      <c r="H283" s="78" t="s">
        <v>250</v>
      </c>
      <c r="I283" s="81" t="n">
        <v>25262.519</v>
      </c>
      <c r="J283" s="81" t="n">
        <v>9980.564</v>
      </c>
      <c r="K283" s="81" t="n">
        <v>4801366000</v>
      </c>
      <c r="L283" s="82" t="n">
        <v>7.89</v>
      </c>
      <c r="M283" s="81" t="n">
        <v>608.5115</v>
      </c>
      <c r="N283" s="81" t="n">
        <v>0</v>
      </c>
      <c r="O283" s="81" t="n">
        <v>67923.372</v>
      </c>
      <c r="P283" s="82" t="n">
        <v>0</v>
      </c>
      <c r="Q283" s="82" t="n">
        <v>502</v>
      </c>
      <c r="R283" s="47" t="n">
        <v>7</v>
      </c>
      <c r="S283" s="66" t="s">
        <v>560</v>
      </c>
    </row>
    <row r="284" customFormat="false" ht="15" hidden="false" customHeight="false" outlineLevel="0" collapsed="false">
      <c r="A284" s="78" t="s">
        <v>184</v>
      </c>
      <c r="B284" s="78" t="s">
        <v>268</v>
      </c>
      <c r="C284" s="79" t="n">
        <v>2024</v>
      </c>
      <c r="D284" s="79" t="n">
        <v>3</v>
      </c>
      <c r="E284" s="80" t="n">
        <v>45565</v>
      </c>
      <c r="F284" s="78" t="s">
        <v>253</v>
      </c>
      <c r="G284" s="78" t="s">
        <v>254</v>
      </c>
      <c r="H284" s="78" t="s">
        <v>250</v>
      </c>
      <c r="I284" s="81" t="n">
        <v>27866.328</v>
      </c>
      <c r="J284" s="81" t="n">
        <v>11073.966</v>
      </c>
      <c r="K284" s="81" t="n">
        <v>5258457000</v>
      </c>
      <c r="L284" s="82" t="n">
        <v>8.64</v>
      </c>
      <c r="M284" s="81" t="n">
        <v>608.5115</v>
      </c>
      <c r="N284" s="81" t="n">
        <v>0</v>
      </c>
      <c r="O284" s="81" t="n">
        <v>63457.777</v>
      </c>
      <c r="P284" s="82" t="n">
        <v>32</v>
      </c>
      <c r="Q284" s="82" t="n">
        <v>518</v>
      </c>
      <c r="R284" s="47" t="n">
        <v>8</v>
      </c>
      <c r="S284" s="66" t="s">
        <v>561</v>
      </c>
    </row>
    <row r="285" customFormat="false" ht="15" hidden="false" customHeight="false" outlineLevel="0" collapsed="false">
      <c r="A285" s="78" t="s">
        <v>184</v>
      </c>
      <c r="B285" s="78" t="s">
        <v>270</v>
      </c>
      <c r="C285" s="79" t="n">
        <v>2024</v>
      </c>
      <c r="D285" s="79" t="n">
        <v>2</v>
      </c>
      <c r="E285" s="80" t="n">
        <v>45473</v>
      </c>
      <c r="F285" s="78" t="s">
        <v>253</v>
      </c>
      <c r="G285" s="78" t="s">
        <v>254</v>
      </c>
      <c r="H285" s="78" t="s">
        <v>250</v>
      </c>
      <c r="I285" s="81" t="n">
        <v>25231.019</v>
      </c>
      <c r="J285" s="81" t="n">
        <v>10380.151</v>
      </c>
      <c r="K285" s="81" t="n">
        <v>5388565000</v>
      </c>
      <c r="L285" s="82" t="n">
        <v>8.86</v>
      </c>
      <c r="M285" s="81" t="n">
        <v>608.5115</v>
      </c>
      <c r="N285" s="81" t="n">
        <v>0</v>
      </c>
      <c r="O285" s="81" t="n">
        <v>58153.523</v>
      </c>
      <c r="P285" s="82" t="n">
        <v>0</v>
      </c>
      <c r="Q285" s="82" t="n">
        <v>606</v>
      </c>
      <c r="R285" s="47" t="n">
        <v>9</v>
      </c>
      <c r="S285" s="66" t="s">
        <v>562</v>
      </c>
    </row>
    <row r="286" customFormat="false" ht="15" hidden="false" customHeight="false" outlineLevel="0" collapsed="false">
      <c r="A286" s="78" t="s">
        <v>184</v>
      </c>
      <c r="B286" s="78" t="s">
        <v>272</v>
      </c>
      <c r="C286" s="79" t="n">
        <v>2024</v>
      </c>
      <c r="D286" s="79" t="n">
        <v>1</v>
      </c>
      <c r="E286" s="80" t="n">
        <v>45382</v>
      </c>
      <c r="F286" s="78" t="s">
        <v>253</v>
      </c>
      <c r="G286" s="78" t="s">
        <v>254</v>
      </c>
      <c r="H286" s="78" t="s">
        <v>250</v>
      </c>
      <c r="I286" s="81" t="n">
        <v>24427.885</v>
      </c>
      <c r="J286" s="81" t="n">
        <v>10037.675</v>
      </c>
      <c r="K286" s="81" t="n">
        <v>4893633000</v>
      </c>
      <c r="L286" s="82" t="n">
        <v>8.04</v>
      </c>
      <c r="M286" s="81" t="n">
        <v>608.5115</v>
      </c>
      <c r="N286" s="81" t="n">
        <v>0</v>
      </c>
      <c r="O286" s="81" t="n">
        <v>72098.281</v>
      </c>
      <c r="P286" s="82" t="n">
        <v>0</v>
      </c>
      <c r="Q286" s="82" t="n">
        <v>604</v>
      </c>
      <c r="R286" s="47" t="n">
        <v>10</v>
      </c>
      <c r="S286" s="66" t="s">
        <v>563</v>
      </c>
    </row>
    <row r="287" customFormat="false" ht="15" hidden="false" customHeight="false" outlineLevel="0" collapsed="false">
      <c r="A287" s="78" t="s">
        <v>184</v>
      </c>
      <c r="B287" s="78" t="s">
        <v>274</v>
      </c>
      <c r="C287" s="79" t="n">
        <v>2023</v>
      </c>
      <c r="D287" s="79" t="n">
        <v>4</v>
      </c>
      <c r="E287" s="80" t="n">
        <v>45291</v>
      </c>
      <c r="F287" s="78" t="s">
        <v>253</v>
      </c>
      <c r="G287" s="78" t="s">
        <v>254</v>
      </c>
      <c r="H287" s="78" t="s">
        <v>250</v>
      </c>
      <c r="I287" s="81" t="n">
        <v>27153.825</v>
      </c>
      <c r="J287" s="81" t="n">
        <v>11263.599</v>
      </c>
      <c r="K287" s="81" t="n">
        <v>5327953000</v>
      </c>
      <c r="L287" s="82" t="n">
        <v>8.76</v>
      </c>
      <c r="M287" s="81" t="n">
        <v>608.5115</v>
      </c>
      <c r="N287" s="81" t="n">
        <v>0</v>
      </c>
      <c r="O287" s="81" t="n">
        <v>67216.762</v>
      </c>
      <c r="P287" s="82" t="n">
        <v>0</v>
      </c>
      <c r="Q287" s="82" t="n">
        <v>517</v>
      </c>
      <c r="R287" s="47" t="n">
        <v>11</v>
      </c>
      <c r="S287" s="66" t="s">
        <v>564</v>
      </c>
    </row>
    <row r="288" customFormat="false" ht="15" hidden="false" customHeight="false" outlineLevel="0" collapsed="false">
      <c r="A288" s="78" t="s">
        <v>184</v>
      </c>
      <c r="B288" s="78" t="s">
        <v>276</v>
      </c>
      <c r="C288" s="79" t="n">
        <v>2023</v>
      </c>
      <c r="D288" s="79" t="n">
        <v>3</v>
      </c>
      <c r="E288" s="80" t="n">
        <v>45199</v>
      </c>
      <c r="F288" s="78" t="s">
        <v>253</v>
      </c>
      <c r="G288" s="78" t="s">
        <v>254</v>
      </c>
      <c r="H288" s="78" t="s">
        <v>250</v>
      </c>
      <c r="I288" s="81" t="n">
        <v>28929.962</v>
      </c>
      <c r="J288" s="81" t="n">
        <v>12222.668</v>
      </c>
      <c r="K288" s="81" t="n">
        <v>6365821000</v>
      </c>
      <c r="L288" s="82" t="n">
        <v>10.46</v>
      </c>
      <c r="M288" s="81" t="n">
        <v>608.5115</v>
      </c>
      <c r="N288" s="81" t="n">
        <v>0</v>
      </c>
      <c r="O288" s="81" t="n">
        <v>61657.439</v>
      </c>
      <c r="P288" s="82" t="n">
        <v>37</v>
      </c>
      <c r="Q288" s="82" t="n">
        <v>423</v>
      </c>
      <c r="R288" s="47" t="n">
        <v>12</v>
      </c>
      <c r="S288" s="66" t="s">
        <v>565</v>
      </c>
    </row>
    <row r="289" customFormat="false" ht="15" hidden="false" customHeight="false" outlineLevel="0" collapsed="false">
      <c r="A289" s="78" t="s">
        <v>184</v>
      </c>
      <c r="B289" s="78" t="s">
        <v>278</v>
      </c>
      <c r="C289" s="79" t="n">
        <v>2023</v>
      </c>
      <c r="D289" s="79" t="n">
        <v>2</v>
      </c>
      <c r="E289" s="80" t="n">
        <v>45107</v>
      </c>
      <c r="F289" s="78" t="s">
        <v>253</v>
      </c>
      <c r="G289" s="78" t="s">
        <v>254</v>
      </c>
      <c r="H289" s="78" t="s">
        <v>250</v>
      </c>
      <c r="I289" s="81" t="n">
        <v>30299.029</v>
      </c>
      <c r="J289" s="81" t="n">
        <v>12646.823</v>
      </c>
      <c r="K289" s="81" t="n">
        <v>6871899000</v>
      </c>
      <c r="L289" s="82" t="n">
        <v>11.29</v>
      </c>
      <c r="M289" s="81" t="n">
        <v>608.5115</v>
      </c>
      <c r="N289" s="81" t="n">
        <v>0</v>
      </c>
      <c r="O289" s="81" t="n">
        <v>55216.656</v>
      </c>
      <c r="P289" s="82" t="n">
        <v>0</v>
      </c>
      <c r="Q289" s="82" t="n">
        <v>426.5</v>
      </c>
      <c r="R289" s="47" t="n">
        <v>13</v>
      </c>
      <c r="S289" s="66" t="s">
        <v>566</v>
      </c>
    </row>
    <row r="290" customFormat="false" ht="15" hidden="false" customHeight="false" outlineLevel="0" collapsed="false">
      <c r="A290" s="78" t="s">
        <v>184</v>
      </c>
      <c r="B290" s="78" t="s">
        <v>280</v>
      </c>
      <c r="C290" s="79" t="n">
        <v>2023</v>
      </c>
      <c r="D290" s="79" t="n">
        <v>1</v>
      </c>
      <c r="E290" s="80" t="n">
        <v>45016</v>
      </c>
      <c r="F290" s="78" t="s">
        <v>253</v>
      </c>
      <c r="G290" s="78" t="s">
        <v>254</v>
      </c>
      <c r="H290" s="78" t="s">
        <v>250</v>
      </c>
      <c r="I290" s="81" t="n">
        <v>24045.882</v>
      </c>
      <c r="J290" s="81" t="n">
        <v>10078.803</v>
      </c>
      <c r="K290" s="81" t="n">
        <v>4751836000</v>
      </c>
      <c r="L290" s="82" t="n">
        <v>7.81</v>
      </c>
      <c r="M290" s="81" t="n">
        <v>608.5115</v>
      </c>
      <c r="N290" s="81" t="n">
        <v>0</v>
      </c>
      <c r="O290" s="81" t="n">
        <v>70945.808</v>
      </c>
      <c r="P290" s="82" t="n">
        <v>0</v>
      </c>
      <c r="Q290" s="82" t="n">
        <v>431.5</v>
      </c>
      <c r="R290" s="47" t="n">
        <v>14</v>
      </c>
      <c r="S290" s="66" t="s">
        <v>567</v>
      </c>
    </row>
    <row r="291" customFormat="false" ht="15" hidden="false" customHeight="false" outlineLevel="0" collapsed="false">
      <c r="A291" s="78" t="s">
        <v>184</v>
      </c>
      <c r="B291" s="78" t="s">
        <v>282</v>
      </c>
      <c r="C291" s="79" t="n">
        <v>2022</v>
      </c>
      <c r="D291" s="79" t="n">
        <v>4</v>
      </c>
      <c r="E291" s="80" t="n">
        <v>44926</v>
      </c>
      <c r="F291" s="78" t="s">
        <v>253</v>
      </c>
      <c r="G291" s="78" t="s">
        <v>254</v>
      </c>
      <c r="H291" s="78" t="s">
        <v>250</v>
      </c>
      <c r="I291" s="81" t="n">
        <v>22420.161</v>
      </c>
      <c r="J291" s="81" t="n">
        <v>9090.355</v>
      </c>
      <c r="K291" s="81" t="n">
        <v>4042779000</v>
      </c>
      <c r="L291" s="82" t="n">
        <v>6.64</v>
      </c>
      <c r="M291" s="81" t="n">
        <v>608.5115</v>
      </c>
      <c r="N291" s="81" t="n">
        <v>0</v>
      </c>
      <c r="O291" s="81" t="n">
        <v>65570.205</v>
      </c>
      <c r="P291" s="82" t="n">
        <v>0</v>
      </c>
      <c r="Q291" s="82" t="n">
        <v>315.5</v>
      </c>
      <c r="R291" s="47" t="n">
        <v>15</v>
      </c>
      <c r="S291" s="66" t="s">
        <v>568</v>
      </c>
    </row>
    <row r="292" customFormat="false" ht="15" hidden="false" customHeight="false" outlineLevel="0" collapsed="false">
      <c r="A292" s="78" t="s">
        <v>184</v>
      </c>
      <c r="B292" s="78" t="s">
        <v>284</v>
      </c>
      <c r="C292" s="79" t="n">
        <v>2022</v>
      </c>
      <c r="D292" s="79" t="n">
        <v>3</v>
      </c>
      <c r="E292" s="80" t="n">
        <v>44834</v>
      </c>
      <c r="F292" s="78" t="s">
        <v>253</v>
      </c>
      <c r="G292" s="78" t="s">
        <v>254</v>
      </c>
      <c r="H292" s="78" t="s">
        <v>250</v>
      </c>
      <c r="I292" s="81" t="n">
        <v>19563.686</v>
      </c>
      <c r="J292" s="81" t="n">
        <v>8344.293</v>
      </c>
      <c r="K292" s="81" t="n">
        <v>4305080000</v>
      </c>
      <c r="L292" s="82" t="n">
        <v>7.07</v>
      </c>
      <c r="M292" s="81" t="n">
        <v>608.5115</v>
      </c>
      <c r="N292" s="81" t="n">
        <v>0</v>
      </c>
      <c r="O292" s="81" t="n">
        <v>61301.496</v>
      </c>
      <c r="P292" s="82" t="n">
        <v>51.5</v>
      </c>
      <c r="Q292" s="82" t="n">
        <v>219</v>
      </c>
      <c r="R292" s="47" t="n">
        <v>16</v>
      </c>
      <c r="S292" s="66" t="s">
        <v>569</v>
      </c>
    </row>
    <row r="293" customFormat="false" ht="15" hidden="false" customHeight="false" outlineLevel="0" collapsed="false">
      <c r="A293" s="78" t="s">
        <v>184</v>
      </c>
      <c r="B293" s="78" t="s">
        <v>286</v>
      </c>
      <c r="C293" s="79" t="n">
        <v>2022</v>
      </c>
      <c r="D293" s="79" t="n">
        <v>2</v>
      </c>
      <c r="E293" s="80" t="n">
        <v>44742</v>
      </c>
      <c r="F293" s="78" t="s">
        <v>253</v>
      </c>
      <c r="G293" s="78" t="s">
        <v>254</v>
      </c>
      <c r="H293" s="78" t="s">
        <v>250</v>
      </c>
      <c r="I293" s="81" t="n">
        <v>31461.142</v>
      </c>
      <c r="J293" s="81" t="n">
        <v>14982.46</v>
      </c>
      <c r="K293" s="81" t="n">
        <v>8486735000</v>
      </c>
      <c r="L293" s="82" t="n">
        <v>13.95</v>
      </c>
      <c r="M293" s="81" t="n">
        <v>608.5115</v>
      </c>
      <c r="N293" s="81" t="n">
        <v>0</v>
      </c>
      <c r="O293" s="81" t="n">
        <v>57213.395</v>
      </c>
      <c r="P293" s="82" t="n">
        <v>0</v>
      </c>
      <c r="Q293" s="82" t="n">
        <v>302</v>
      </c>
      <c r="R293" s="47" t="n">
        <v>17</v>
      </c>
      <c r="S293" s="66" t="s">
        <v>570</v>
      </c>
    </row>
    <row r="294" customFormat="false" ht="15" hidden="false" customHeight="false" outlineLevel="0" collapsed="false">
      <c r="A294" s="78" t="s">
        <v>184</v>
      </c>
      <c r="B294" s="78" t="s">
        <v>288</v>
      </c>
      <c r="C294" s="79" t="n">
        <v>2022</v>
      </c>
      <c r="D294" s="79" t="n">
        <v>1</v>
      </c>
      <c r="E294" s="80" t="n">
        <v>44651</v>
      </c>
      <c r="F294" s="78" t="s">
        <v>253</v>
      </c>
      <c r="G294" s="78" t="s">
        <v>254</v>
      </c>
      <c r="H294" s="78" t="s">
        <v>250</v>
      </c>
      <c r="I294" s="81" t="n">
        <v>36511.685</v>
      </c>
      <c r="J294" s="81" t="n">
        <v>18524.079</v>
      </c>
      <c r="K294" s="81" t="n">
        <v>11134928000</v>
      </c>
      <c r="L294" s="82" t="n">
        <v>18.3</v>
      </c>
      <c r="M294" s="81" t="n">
        <v>608.5115</v>
      </c>
      <c r="N294" s="81" t="n">
        <v>0</v>
      </c>
      <c r="O294" s="81" t="n">
        <v>80907.797</v>
      </c>
      <c r="P294" s="82" t="n">
        <v>0</v>
      </c>
      <c r="Q294" s="82" t="n">
        <v>426.5</v>
      </c>
      <c r="R294" s="47" t="n">
        <v>18</v>
      </c>
      <c r="S294" s="66" t="s">
        <v>571</v>
      </c>
    </row>
    <row r="295" customFormat="false" ht="15" hidden="false" customHeight="false" outlineLevel="0" collapsed="false">
      <c r="A295" s="78" t="s">
        <v>184</v>
      </c>
      <c r="B295" s="78" t="s">
        <v>290</v>
      </c>
      <c r="C295" s="79" t="n">
        <v>2021</v>
      </c>
      <c r="D295" s="79" t="n">
        <v>4</v>
      </c>
      <c r="E295" s="80" t="n">
        <v>44561</v>
      </c>
      <c r="F295" s="78" t="s">
        <v>253</v>
      </c>
      <c r="G295" s="78" t="s">
        <v>254</v>
      </c>
      <c r="H295" s="78" t="s">
        <v>250</v>
      </c>
      <c r="I295" s="81" t="n">
        <v>36542.106</v>
      </c>
      <c r="J295" s="81" t="n">
        <v>18800.964</v>
      </c>
      <c r="K295" s="81" t="n">
        <v>10933240000</v>
      </c>
      <c r="L295" s="82" t="n">
        <v>17.97</v>
      </c>
      <c r="M295" s="81" t="n">
        <v>608.5115</v>
      </c>
      <c r="N295" s="81" t="n">
        <v>0</v>
      </c>
      <c r="O295" s="81" t="n">
        <v>70451.323</v>
      </c>
      <c r="P295" s="82" t="n">
        <v>0</v>
      </c>
      <c r="Q295" s="82" t="n">
        <v>539</v>
      </c>
      <c r="R295" s="47" t="n">
        <v>19</v>
      </c>
      <c r="S295" s="66" t="s">
        <v>572</v>
      </c>
    </row>
    <row r="296" customFormat="false" ht="15" hidden="false" customHeight="false" outlineLevel="0" collapsed="false">
      <c r="A296" s="78" t="s">
        <v>184</v>
      </c>
      <c r="B296" s="78" t="s">
        <v>292</v>
      </c>
      <c r="C296" s="79" t="n">
        <v>2021</v>
      </c>
      <c r="D296" s="79" t="n">
        <v>3</v>
      </c>
      <c r="E296" s="80" t="n">
        <v>44469</v>
      </c>
      <c r="F296" s="78" t="s">
        <v>253</v>
      </c>
      <c r="G296" s="78" t="s">
        <v>254</v>
      </c>
      <c r="H296" s="78" t="s">
        <v>250</v>
      </c>
      <c r="I296" s="81" t="n">
        <v>38345.587</v>
      </c>
      <c r="J296" s="81" t="n">
        <v>19917.256</v>
      </c>
      <c r="K296" s="81" t="n">
        <v>12271038000</v>
      </c>
      <c r="L296" s="82" t="n">
        <v>20.17</v>
      </c>
      <c r="M296" s="81" t="n">
        <v>608.5115</v>
      </c>
      <c r="N296" s="81" t="n">
        <v>0</v>
      </c>
      <c r="O296" s="81" t="n">
        <v>59279.226</v>
      </c>
      <c r="P296" s="82" t="n">
        <v>15.6</v>
      </c>
      <c r="Q296" s="82" t="n">
        <v>410</v>
      </c>
      <c r="R296" s="47" t="n">
        <v>20</v>
      </c>
      <c r="S296" s="66" t="s">
        <v>573</v>
      </c>
    </row>
    <row r="297" customFormat="false" ht="15" hidden="false" customHeight="false" outlineLevel="0" collapsed="false">
      <c r="A297" s="78" t="s">
        <v>184</v>
      </c>
      <c r="B297" s="78" t="s">
        <v>294</v>
      </c>
      <c r="C297" s="79" t="n">
        <v>2021</v>
      </c>
      <c r="D297" s="79" t="n">
        <v>2</v>
      </c>
      <c r="E297" s="80" t="n">
        <v>44377</v>
      </c>
      <c r="F297" s="78" t="s">
        <v>253</v>
      </c>
      <c r="G297" s="78" t="s">
        <v>254</v>
      </c>
      <c r="H297" s="78" t="s">
        <v>250</v>
      </c>
      <c r="I297" s="81" t="n">
        <v>34111.302</v>
      </c>
      <c r="J297" s="81" t="n">
        <v>17166.736</v>
      </c>
      <c r="K297" s="81" t="n">
        <v>9786068000</v>
      </c>
      <c r="L297" s="82" t="n">
        <v>16.08</v>
      </c>
      <c r="M297" s="81" t="n">
        <v>608.5115</v>
      </c>
      <c r="N297" s="81" t="n">
        <v>0</v>
      </c>
      <c r="O297" s="81" t="n">
        <v>46461.763</v>
      </c>
      <c r="P297" s="82" t="n">
        <v>0</v>
      </c>
      <c r="Q297" s="82" t="n">
        <v>499</v>
      </c>
      <c r="R297" s="47" t="n">
        <v>21</v>
      </c>
      <c r="S297" s="66" t="s">
        <v>574</v>
      </c>
    </row>
    <row r="298" customFormat="false" ht="15" hidden="false" customHeight="false" outlineLevel="0" collapsed="false">
      <c r="A298" s="78" t="s">
        <v>184</v>
      </c>
      <c r="B298" s="78" t="s">
        <v>296</v>
      </c>
      <c r="C298" s="79" t="n">
        <v>2021</v>
      </c>
      <c r="D298" s="79" t="n">
        <v>1</v>
      </c>
      <c r="E298" s="80" t="n">
        <v>44286</v>
      </c>
      <c r="F298" s="78" t="s">
        <v>253</v>
      </c>
      <c r="G298" s="78" t="s">
        <v>254</v>
      </c>
      <c r="H298" s="78" t="s">
        <v>250</v>
      </c>
      <c r="I298" s="81" t="n">
        <v>26366.515</v>
      </c>
      <c r="J298" s="81" t="n">
        <v>11506.568</v>
      </c>
      <c r="K298" s="81" t="n">
        <v>5875214000</v>
      </c>
      <c r="L298" s="82" t="n">
        <v>9.66</v>
      </c>
      <c r="M298" s="81" t="n">
        <v>608.5115</v>
      </c>
      <c r="N298" s="81" t="n">
        <v>0</v>
      </c>
      <c r="O298" s="81" t="n">
        <v>46019.727</v>
      </c>
      <c r="P298" s="82" t="n">
        <v>0</v>
      </c>
      <c r="Q298" s="82" t="n">
        <v>575</v>
      </c>
      <c r="R298" s="47" t="n">
        <v>22</v>
      </c>
      <c r="S298" s="66" t="s">
        <v>575</v>
      </c>
    </row>
    <row r="299" customFormat="false" ht="15" hidden="false" customHeight="false" outlineLevel="0" collapsed="false">
      <c r="A299" s="78" t="s">
        <v>184</v>
      </c>
      <c r="B299" s="78" t="s">
        <v>298</v>
      </c>
      <c r="C299" s="79" t="n">
        <v>2020</v>
      </c>
      <c r="D299" s="79" t="n">
        <v>4</v>
      </c>
      <c r="E299" s="80" t="n">
        <v>44196</v>
      </c>
      <c r="F299" s="78" t="s">
        <v>253</v>
      </c>
      <c r="G299" s="78" t="s">
        <v>254</v>
      </c>
      <c r="H299" s="78" t="s">
        <v>250</v>
      </c>
      <c r="I299" s="81" t="n">
        <v>22452.842</v>
      </c>
      <c r="J299" s="81" t="n">
        <v>8538.771</v>
      </c>
      <c r="K299" s="81" t="n">
        <v>3644209000</v>
      </c>
      <c r="L299" s="82" t="n">
        <v>5.99</v>
      </c>
      <c r="M299" s="81" t="n">
        <v>608.5115</v>
      </c>
      <c r="N299" s="81" t="n">
        <v>0</v>
      </c>
      <c r="O299" s="81" t="n">
        <v>39943.203</v>
      </c>
      <c r="P299" s="82" t="n">
        <v>0</v>
      </c>
      <c r="Q299" s="82" t="n">
        <v>369</v>
      </c>
      <c r="R299" s="47" t="n">
        <v>23</v>
      </c>
      <c r="S299" s="66" t="s">
        <v>576</v>
      </c>
    </row>
    <row r="300" customFormat="false" ht="15" hidden="false" customHeight="false" outlineLevel="0" collapsed="false">
      <c r="A300" s="78" t="s">
        <v>184</v>
      </c>
      <c r="B300" s="78" t="s">
        <v>300</v>
      </c>
      <c r="C300" s="79" t="n">
        <v>2020</v>
      </c>
      <c r="D300" s="79" t="n">
        <v>3</v>
      </c>
      <c r="E300" s="80" t="n">
        <v>44104</v>
      </c>
      <c r="F300" s="78" t="s">
        <v>253</v>
      </c>
      <c r="G300" s="78" t="s">
        <v>254</v>
      </c>
      <c r="H300" s="78" t="s">
        <v>250</v>
      </c>
      <c r="I300" s="81" t="n">
        <v>22001.236</v>
      </c>
      <c r="J300" s="81" t="n">
        <v>7580.021</v>
      </c>
      <c r="K300" s="81" t="n">
        <v>3405156000</v>
      </c>
      <c r="L300" s="82" t="n">
        <v>5.6</v>
      </c>
      <c r="M300" s="81" t="n">
        <v>608.5115</v>
      </c>
      <c r="N300" s="81" t="n">
        <v>0</v>
      </c>
      <c r="O300" s="81" t="n">
        <v>35469.351</v>
      </c>
      <c r="P300" s="82"/>
      <c r="Q300" s="82" t="n">
        <v>265.5</v>
      </c>
      <c r="R300" s="47" t="n">
        <v>24</v>
      </c>
      <c r="S300" s="66" t="s">
        <v>577</v>
      </c>
    </row>
    <row r="301" customFormat="false" ht="15" hidden="false" customHeight="false" outlineLevel="0" collapsed="false">
      <c r="A301" s="78" t="s">
        <v>198</v>
      </c>
      <c r="B301" s="78" t="s">
        <v>247</v>
      </c>
      <c r="C301" s="79" t="n">
        <v>2026</v>
      </c>
      <c r="D301" s="79" t="n">
        <v>3</v>
      </c>
      <c r="E301" s="80" t="n">
        <v>46295</v>
      </c>
      <c r="F301" s="78" t="s">
        <v>248</v>
      </c>
      <c r="G301" s="78" t="s">
        <v>249</v>
      </c>
      <c r="H301" s="78" t="s">
        <v>250</v>
      </c>
      <c r="I301" s="81"/>
      <c r="J301" s="81"/>
      <c r="K301" s="81"/>
      <c r="L301" s="82" t="n">
        <v>5.79</v>
      </c>
      <c r="M301" s="81"/>
      <c r="N301" s="81"/>
      <c r="O301" s="81"/>
      <c r="P301" s="82"/>
      <c r="Q301" s="82"/>
      <c r="R301" s="47" t="n">
        <v>0</v>
      </c>
      <c r="S301" s="66" t="s">
        <v>578</v>
      </c>
    </row>
    <row r="302" customFormat="false" ht="15" hidden="false" customHeight="false" outlineLevel="0" collapsed="false">
      <c r="A302" s="78" t="s">
        <v>198</v>
      </c>
      <c r="B302" s="78" t="s">
        <v>252</v>
      </c>
      <c r="C302" s="79" t="n">
        <v>2026</v>
      </c>
      <c r="D302" s="79" t="n">
        <v>2</v>
      </c>
      <c r="E302" s="80" t="n">
        <v>46203</v>
      </c>
      <c r="F302" s="78" t="s">
        <v>253</v>
      </c>
      <c r="G302" s="78" t="s">
        <v>254</v>
      </c>
      <c r="H302" s="78" t="s">
        <v>250</v>
      </c>
      <c r="I302" s="81" t="n">
        <v>1221.178</v>
      </c>
      <c r="J302" s="81" t="n">
        <v>701.611</v>
      </c>
      <c r="K302" s="81" t="n">
        <v>468487000</v>
      </c>
      <c r="L302" s="82" t="n">
        <v>4.62</v>
      </c>
      <c r="M302" s="81" t="n">
        <v>92.5173</v>
      </c>
      <c r="N302" s="81" t="n">
        <v>0</v>
      </c>
      <c r="O302" s="81" t="n">
        <v>4718.906</v>
      </c>
      <c r="P302" s="82" t="n">
        <v>0</v>
      </c>
      <c r="Q302" s="82" t="n">
        <v>2020</v>
      </c>
      <c r="R302" s="47" t="n">
        <v>1</v>
      </c>
      <c r="S302" s="66" t="s">
        <v>579</v>
      </c>
    </row>
    <row r="303" customFormat="false" ht="15" hidden="false" customHeight="false" outlineLevel="0" collapsed="false">
      <c r="A303" s="78" t="s">
        <v>198</v>
      </c>
      <c r="B303" s="78" t="s">
        <v>256</v>
      </c>
      <c r="C303" s="79" t="n">
        <v>2026</v>
      </c>
      <c r="D303" s="79" t="n">
        <v>1</v>
      </c>
      <c r="E303" s="80" t="n">
        <v>46112</v>
      </c>
      <c r="F303" s="78" t="s">
        <v>253</v>
      </c>
      <c r="G303" s="78" t="s">
        <v>254</v>
      </c>
      <c r="H303" s="78" t="s">
        <v>250</v>
      </c>
      <c r="I303" s="81" t="n">
        <v>904.389</v>
      </c>
      <c r="J303" s="81" t="n">
        <v>495.233</v>
      </c>
      <c r="K303" s="81" t="n">
        <v>317515000</v>
      </c>
      <c r="L303" s="82" t="n">
        <v>3.44</v>
      </c>
      <c r="M303" s="81" t="n">
        <v>92.5173</v>
      </c>
      <c r="N303" s="81" t="n">
        <v>0</v>
      </c>
      <c r="O303" s="81" t="n">
        <v>4239.556</v>
      </c>
      <c r="P303" s="82" t="n">
        <v>0</v>
      </c>
      <c r="Q303" s="82" t="n">
        <v>1575</v>
      </c>
      <c r="R303" s="47" t="n">
        <v>2</v>
      </c>
      <c r="S303" s="66" t="s">
        <v>580</v>
      </c>
    </row>
    <row r="304" customFormat="false" ht="15" hidden="false" customHeight="false" outlineLevel="0" collapsed="false">
      <c r="A304" s="78" t="s">
        <v>198</v>
      </c>
      <c r="B304" s="78" t="s">
        <v>258</v>
      </c>
      <c r="C304" s="79" t="n">
        <v>2025</v>
      </c>
      <c r="D304" s="79" t="n">
        <v>4</v>
      </c>
      <c r="E304" s="80" t="n">
        <v>46022</v>
      </c>
      <c r="F304" s="78" t="s">
        <v>253</v>
      </c>
      <c r="G304" s="78" t="s">
        <v>254</v>
      </c>
      <c r="H304" s="78" t="s">
        <v>250</v>
      </c>
      <c r="I304" s="81" t="n">
        <v>642.422</v>
      </c>
      <c r="J304" s="81" t="n">
        <v>312.659</v>
      </c>
      <c r="K304" s="81" t="n">
        <v>190333000</v>
      </c>
      <c r="L304" s="82" t="n">
        <v>2.07</v>
      </c>
      <c r="M304" s="81" t="n">
        <v>92.5214</v>
      </c>
      <c r="N304" s="81" t="n">
        <v>0</v>
      </c>
      <c r="O304" s="81" t="n">
        <v>4190.739</v>
      </c>
      <c r="P304" s="82" t="n">
        <v>0</v>
      </c>
      <c r="Q304" s="82" t="n">
        <v>613</v>
      </c>
      <c r="R304" s="47" t="n">
        <v>3</v>
      </c>
      <c r="S304" s="66" t="s">
        <v>581</v>
      </c>
    </row>
    <row r="305" customFormat="false" ht="15" hidden="false" customHeight="false" outlineLevel="0" collapsed="false">
      <c r="A305" s="78" t="s">
        <v>198</v>
      </c>
      <c r="B305" s="78" t="s">
        <v>260</v>
      </c>
      <c r="C305" s="79" t="n">
        <v>2025</v>
      </c>
      <c r="D305" s="79" t="n">
        <v>3</v>
      </c>
      <c r="E305" s="80" t="n">
        <v>45930</v>
      </c>
      <c r="F305" s="78" t="s">
        <v>253</v>
      </c>
      <c r="G305" s="78" t="s">
        <v>254</v>
      </c>
      <c r="H305" s="78" t="s">
        <v>250</v>
      </c>
      <c r="I305" s="81" t="n">
        <v>552.804</v>
      </c>
      <c r="J305" s="81" t="n">
        <v>241.218</v>
      </c>
      <c r="K305" s="81" t="n">
        <v>99013000</v>
      </c>
      <c r="L305" s="82" t="n">
        <v>1.08</v>
      </c>
      <c r="M305" s="81" t="n">
        <v>92.5214</v>
      </c>
      <c r="N305" s="81" t="n">
        <v>0</v>
      </c>
      <c r="O305" s="81" t="n">
        <v>3991.913</v>
      </c>
      <c r="P305" s="82" t="n">
        <v>0.50002215</v>
      </c>
      <c r="Q305" s="82" t="n">
        <v>455</v>
      </c>
      <c r="R305" s="47" t="n">
        <v>4</v>
      </c>
      <c r="S305" s="66" t="s">
        <v>582</v>
      </c>
    </row>
    <row r="306" customFormat="false" ht="15" hidden="false" customHeight="false" outlineLevel="0" collapsed="false">
      <c r="A306" s="78" t="s">
        <v>198</v>
      </c>
      <c r="B306" s="78" t="s">
        <v>262</v>
      </c>
      <c r="C306" s="79" t="n">
        <v>2025</v>
      </c>
      <c r="D306" s="79" t="n">
        <v>2</v>
      </c>
      <c r="E306" s="80" t="n">
        <v>45838</v>
      </c>
      <c r="F306" s="78" t="s">
        <v>253</v>
      </c>
      <c r="G306" s="78" t="s">
        <v>254</v>
      </c>
      <c r="H306" s="78" t="s">
        <v>250</v>
      </c>
      <c r="I306" s="81" t="n">
        <v>553.094</v>
      </c>
      <c r="J306" s="81" t="n">
        <v>239.659</v>
      </c>
      <c r="K306" s="81" t="n">
        <v>96786000</v>
      </c>
      <c r="L306" s="82" t="n">
        <v>1.05</v>
      </c>
      <c r="M306" s="81" t="n">
        <v>92.5214</v>
      </c>
      <c r="N306" s="81" t="n">
        <v>0</v>
      </c>
      <c r="O306" s="81" t="n">
        <v>3881.853</v>
      </c>
      <c r="P306" s="82" t="n">
        <v>0</v>
      </c>
      <c r="Q306" s="82" t="n">
        <v>327.5</v>
      </c>
      <c r="R306" s="47" t="n">
        <v>5</v>
      </c>
      <c r="S306" s="66" t="s">
        <v>583</v>
      </c>
    </row>
    <row r="307" customFormat="false" ht="15" hidden="false" customHeight="false" outlineLevel="0" collapsed="false">
      <c r="A307" s="78" t="s">
        <v>198</v>
      </c>
      <c r="B307" s="78" t="s">
        <v>264</v>
      </c>
      <c r="C307" s="79" t="n">
        <v>2025</v>
      </c>
      <c r="D307" s="79" t="n">
        <v>1</v>
      </c>
      <c r="E307" s="80" t="n">
        <v>45747</v>
      </c>
      <c r="F307" s="78" t="s">
        <v>253</v>
      </c>
      <c r="G307" s="78" t="s">
        <v>254</v>
      </c>
      <c r="H307" s="78" t="s">
        <v>250</v>
      </c>
      <c r="I307" s="81" t="n">
        <v>454.502</v>
      </c>
      <c r="J307" s="81" t="n">
        <v>147.013</v>
      </c>
      <c r="K307" s="81" t="n">
        <v>42269000</v>
      </c>
      <c r="L307" s="82" t="n">
        <v>0.46</v>
      </c>
      <c r="M307" s="81" t="n">
        <v>92.5312</v>
      </c>
      <c r="N307" s="81" t="n">
        <v>0</v>
      </c>
      <c r="O307" s="81" t="n">
        <v>3777.183</v>
      </c>
      <c r="P307" s="82" t="n">
        <v>0</v>
      </c>
      <c r="Q307" s="82" t="n">
        <v>283</v>
      </c>
      <c r="R307" s="47" t="n">
        <v>6</v>
      </c>
      <c r="S307" s="66" t="s">
        <v>584</v>
      </c>
    </row>
    <row r="308" customFormat="false" ht="15" hidden="false" customHeight="false" outlineLevel="0" collapsed="false">
      <c r="A308" s="78" t="s">
        <v>198</v>
      </c>
      <c r="B308" s="78" t="s">
        <v>266</v>
      </c>
      <c r="C308" s="79" t="n">
        <v>2024</v>
      </c>
      <c r="D308" s="79" t="n">
        <v>4</v>
      </c>
      <c r="E308" s="80" t="n">
        <v>45657</v>
      </c>
      <c r="F308" s="78" t="s">
        <v>253</v>
      </c>
      <c r="G308" s="78" t="s">
        <v>254</v>
      </c>
      <c r="H308" s="78" t="s">
        <v>250</v>
      </c>
      <c r="I308" s="81" t="n">
        <v>288.811</v>
      </c>
      <c r="J308" s="81" t="n">
        <v>90.098</v>
      </c>
      <c r="K308" s="81" t="n">
        <v>8158000</v>
      </c>
      <c r="L308" s="82" t="n">
        <v>0.09</v>
      </c>
      <c r="M308" s="81" t="n">
        <v>92.5312</v>
      </c>
      <c r="N308" s="81" t="n">
        <v>0</v>
      </c>
      <c r="O308" s="81" t="n">
        <v>3771.581</v>
      </c>
      <c r="P308" s="82" t="n">
        <v>0</v>
      </c>
      <c r="Q308" s="82" t="n">
        <v>387</v>
      </c>
      <c r="R308" s="47" t="n">
        <v>7</v>
      </c>
      <c r="S308" s="66" t="s">
        <v>585</v>
      </c>
    </row>
    <row r="309" customFormat="false" ht="15" hidden="false" customHeight="false" outlineLevel="0" collapsed="false">
      <c r="A309" s="78" t="s">
        <v>198</v>
      </c>
      <c r="B309" s="78" t="s">
        <v>268</v>
      </c>
      <c r="C309" s="79" t="n">
        <v>2024</v>
      </c>
      <c r="D309" s="79" t="n">
        <v>3</v>
      </c>
      <c r="E309" s="80" t="n">
        <v>45565</v>
      </c>
      <c r="F309" s="78" t="s">
        <v>253</v>
      </c>
      <c r="G309" s="78" t="s">
        <v>254</v>
      </c>
      <c r="H309" s="78" t="s">
        <v>250</v>
      </c>
      <c r="I309" s="81" t="n">
        <v>323.044</v>
      </c>
      <c r="J309" s="81" t="n">
        <v>89.125</v>
      </c>
      <c r="K309" s="81" t="n">
        <v>7992000</v>
      </c>
      <c r="L309" s="82" t="n">
        <v>0.09</v>
      </c>
      <c r="M309" s="81" t="n">
        <v>92.5312</v>
      </c>
      <c r="N309" s="81" t="n">
        <v>0</v>
      </c>
      <c r="O309" s="81" t="n">
        <v>3757.233</v>
      </c>
      <c r="P309" s="82" t="n">
        <v>0.4999733</v>
      </c>
      <c r="Q309" s="82" t="n">
        <v>295.5</v>
      </c>
      <c r="R309" s="47" t="n">
        <v>8</v>
      </c>
      <c r="S309" s="66" t="s">
        <v>586</v>
      </c>
    </row>
    <row r="310" customFormat="false" ht="15" hidden="false" customHeight="false" outlineLevel="0" collapsed="false">
      <c r="A310" s="78" t="s">
        <v>198</v>
      </c>
      <c r="B310" s="78" t="s">
        <v>270</v>
      </c>
      <c r="C310" s="79" t="n">
        <v>2024</v>
      </c>
      <c r="D310" s="79" t="n">
        <v>2</v>
      </c>
      <c r="E310" s="80" t="n">
        <v>45473</v>
      </c>
      <c r="F310" s="78" t="s">
        <v>253</v>
      </c>
      <c r="G310" s="78" t="s">
        <v>254</v>
      </c>
      <c r="H310" s="78" t="s">
        <v>250</v>
      </c>
      <c r="I310" s="81" t="n">
        <v>272.588</v>
      </c>
      <c r="J310" s="81" t="n">
        <v>39.755</v>
      </c>
      <c r="K310" s="81" t="n">
        <v>-30673000</v>
      </c>
      <c r="L310" s="82" t="n">
        <v>-0.33</v>
      </c>
      <c r="M310" s="81" t="n">
        <v>91.8477</v>
      </c>
      <c r="N310" s="81" t="n">
        <v>0</v>
      </c>
      <c r="O310" s="81" t="n">
        <v>3734.955</v>
      </c>
      <c r="P310" s="82" t="n">
        <v>0</v>
      </c>
      <c r="Q310" s="82" t="n">
        <v>168</v>
      </c>
      <c r="R310" s="47" t="n">
        <v>9</v>
      </c>
      <c r="S310" s="66" t="s">
        <v>587</v>
      </c>
    </row>
    <row r="311" customFormat="false" ht="15" hidden="false" customHeight="false" outlineLevel="0" collapsed="false">
      <c r="A311" s="78" t="s">
        <v>198</v>
      </c>
      <c r="B311" s="78" t="s">
        <v>272</v>
      </c>
      <c r="C311" s="79" t="n">
        <v>2024</v>
      </c>
      <c r="D311" s="79" t="n">
        <v>1</v>
      </c>
      <c r="E311" s="80" t="n">
        <v>45382</v>
      </c>
      <c r="F311" s="78" t="s">
        <v>253</v>
      </c>
      <c r="G311" s="78" t="s">
        <v>254</v>
      </c>
      <c r="H311" s="78" t="s">
        <v>250</v>
      </c>
      <c r="I311" s="81" t="n">
        <v>323.979</v>
      </c>
      <c r="J311" s="81" t="n">
        <v>19.909</v>
      </c>
      <c r="K311" s="81" t="n">
        <v>-40007000</v>
      </c>
      <c r="L311" s="82" t="n">
        <v>-0.44</v>
      </c>
      <c r="M311" s="81" t="n">
        <v>91.8477</v>
      </c>
      <c r="N311" s="81" t="n">
        <v>0</v>
      </c>
      <c r="O311" s="81" t="n">
        <v>3762.668</v>
      </c>
      <c r="P311" s="82" t="n">
        <v>0</v>
      </c>
      <c r="Q311" s="82" t="n">
        <v>135.5</v>
      </c>
      <c r="R311" s="47" t="n">
        <v>10</v>
      </c>
      <c r="S311" s="66" t="s">
        <v>588</v>
      </c>
    </row>
    <row r="312" customFormat="false" ht="15" hidden="false" customHeight="false" outlineLevel="0" collapsed="false">
      <c r="A312" s="78" t="s">
        <v>198</v>
      </c>
      <c r="B312" s="78" t="s">
        <v>274</v>
      </c>
      <c r="C312" s="79" t="n">
        <v>2023</v>
      </c>
      <c r="D312" s="79" t="n">
        <v>4</v>
      </c>
      <c r="E312" s="80" t="n">
        <v>45291</v>
      </c>
      <c r="F312" s="78" t="s">
        <v>253</v>
      </c>
      <c r="G312" s="78" t="s">
        <v>254</v>
      </c>
      <c r="H312" s="78" t="s">
        <v>250</v>
      </c>
      <c r="I312" s="81" t="n">
        <v>296.748</v>
      </c>
      <c r="J312" s="81" t="n">
        <v>78.67</v>
      </c>
      <c r="K312" s="81" t="n">
        <v>-30868000</v>
      </c>
      <c r="L312" s="82" t="n">
        <v>-0.33</v>
      </c>
      <c r="M312" s="81" t="n">
        <v>91.8617</v>
      </c>
      <c r="N312" s="81" t="n">
        <v>0</v>
      </c>
      <c r="O312" s="81" t="n">
        <v>3861.738</v>
      </c>
      <c r="P312" s="82" t="n">
        <v>0</v>
      </c>
      <c r="Q312" s="82" t="n">
        <v>106</v>
      </c>
      <c r="R312" s="47" t="n">
        <v>11</v>
      </c>
      <c r="S312" s="66" t="s">
        <v>589</v>
      </c>
    </row>
    <row r="313" customFormat="false" ht="15" hidden="false" customHeight="false" outlineLevel="0" collapsed="false">
      <c r="A313" s="78" t="s">
        <v>198</v>
      </c>
      <c r="B313" s="78" t="s">
        <v>276</v>
      </c>
      <c r="C313" s="79" t="n">
        <v>2023</v>
      </c>
      <c r="D313" s="79" t="n">
        <v>3</v>
      </c>
      <c r="E313" s="80" t="n">
        <v>45199</v>
      </c>
      <c r="F313" s="78" t="s">
        <v>253</v>
      </c>
      <c r="G313" s="78" t="s">
        <v>254</v>
      </c>
      <c r="H313" s="78" t="s">
        <v>250</v>
      </c>
      <c r="I313" s="81" t="n">
        <v>179.049</v>
      </c>
      <c r="J313" s="81" t="n">
        <v>-35.036</v>
      </c>
      <c r="K313" s="81" t="n">
        <v>-109601000</v>
      </c>
      <c r="L313" s="82" t="n">
        <v>-1.2</v>
      </c>
      <c r="M313" s="81" t="n">
        <v>91.8617</v>
      </c>
      <c r="N313" s="81" t="n">
        <v>0</v>
      </c>
      <c r="O313" s="81" t="n">
        <v>3888.611</v>
      </c>
      <c r="P313" s="82" t="n">
        <v>3.50022859</v>
      </c>
      <c r="Q313" s="82" t="n">
        <v>117</v>
      </c>
      <c r="R313" s="47" t="n">
        <v>12</v>
      </c>
      <c r="S313" s="66" t="s">
        <v>590</v>
      </c>
    </row>
    <row r="314" customFormat="false" ht="15" hidden="false" customHeight="false" outlineLevel="0" collapsed="false">
      <c r="A314" s="78" t="s">
        <v>198</v>
      </c>
      <c r="B314" s="78" t="s">
        <v>278</v>
      </c>
      <c r="C314" s="79" t="n">
        <v>2023</v>
      </c>
      <c r="D314" s="79" t="n">
        <v>2</v>
      </c>
      <c r="E314" s="80" t="n">
        <v>45107</v>
      </c>
      <c r="F314" s="78" t="s">
        <v>253</v>
      </c>
      <c r="G314" s="78" t="s">
        <v>254</v>
      </c>
      <c r="H314" s="78" t="s">
        <v>250</v>
      </c>
      <c r="I314" s="81" t="n">
        <v>252.818</v>
      </c>
      <c r="J314" s="81" t="n">
        <v>37.568</v>
      </c>
      <c r="K314" s="81" t="n">
        <v>-40863000</v>
      </c>
      <c r="L314" s="82" t="n">
        <v>-0.45</v>
      </c>
      <c r="M314" s="81" t="n">
        <v>91.8617</v>
      </c>
      <c r="N314" s="81" t="n">
        <v>0</v>
      </c>
      <c r="O314" s="81" t="n">
        <v>3976.044</v>
      </c>
      <c r="P314" s="82" t="n">
        <v>0</v>
      </c>
      <c r="Q314" s="82" t="n">
        <v>102</v>
      </c>
      <c r="R314" s="47" t="n">
        <v>13</v>
      </c>
      <c r="S314" s="66" t="s">
        <v>591</v>
      </c>
    </row>
    <row r="315" customFormat="false" ht="15" hidden="false" customHeight="false" outlineLevel="0" collapsed="false">
      <c r="A315" s="78" t="s">
        <v>198</v>
      </c>
      <c r="B315" s="78" t="s">
        <v>280</v>
      </c>
      <c r="C315" s="79" t="n">
        <v>2023</v>
      </c>
      <c r="D315" s="79" t="n">
        <v>1</v>
      </c>
      <c r="E315" s="80" t="n">
        <v>45016</v>
      </c>
      <c r="F315" s="78" t="s">
        <v>253</v>
      </c>
      <c r="G315" s="78" t="s">
        <v>254</v>
      </c>
      <c r="H315" s="78" t="s">
        <v>250</v>
      </c>
      <c r="I315" s="81" t="n">
        <v>327.423</v>
      </c>
      <c r="J315" s="81" t="n">
        <v>56.9</v>
      </c>
      <c r="K315" s="81" t="n">
        <v>-30173000</v>
      </c>
      <c r="L315" s="82" t="n">
        <v>-0.33</v>
      </c>
      <c r="M315" s="81" t="n">
        <v>91.8677</v>
      </c>
      <c r="N315" s="81" t="n">
        <v>0</v>
      </c>
      <c r="O315" s="81" t="n">
        <v>4011.293</v>
      </c>
      <c r="P315" s="82" t="n">
        <v>0</v>
      </c>
      <c r="Q315" s="82" t="n">
        <v>132.5</v>
      </c>
      <c r="R315" s="47" t="n">
        <v>14</v>
      </c>
      <c r="S315" s="66" t="s">
        <v>592</v>
      </c>
    </row>
    <row r="316" customFormat="false" ht="15" hidden="false" customHeight="false" outlineLevel="0" collapsed="false">
      <c r="A316" s="78" t="s">
        <v>198</v>
      </c>
      <c r="B316" s="78" t="s">
        <v>282</v>
      </c>
      <c r="C316" s="79" t="n">
        <v>2022</v>
      </c>
      <c r="D316" s="79" t="n">
        <v>4</v>
      </c>
      <c r="E316" s="80" t="n">
        <v>44926</v>
      </c>
      <c r="F316" s="78" t="s">
        <v>253</v>
      </c>
      <c r="G316" s="78" t="s">
        <v>254</v>
      </c>
      <c r="H316" s="78" t="s">
        <v>250</v>
      </c>
      <c r="I316" s="81" t="n">
        <v>668.518</v>
      </c>
      <c r="J316" s="81" t="n">
        <v>248.056</v>
      </c>
      <c r="K316" s="81" t="n">
        <v>117326000</v>
      </c>
      <c r="L316" s="82" t="n">
        <v>1.28</v>
      </c>
      <c r="M316" s="81" t="n">
        <v>91.8677</v>
      </c>
      <c r="N316" s="81" t="n">
        <v>0</v>
      </c>
      <c r="O316" s="81" t="n">
        <v>4356.539</v>
      </c>
      <c r="P316" s="82" t="n">
        <v>0</v>
      </c>
      <c r="Q316" s="82" t="n">
        <v>106</v>
      </c>
      <c r="R316" s="47" t="n">
        <v>15</v>
      </c>
      <c r="S316" s="66" t="s">
        <v>593</v>
      </c>
    </row>
    <row r="317" customFormat="false" ht="15" hidden="false" customHeight="false" outlineLevel="0" collapsed="false">
      <c r="A317" s="78" t="s">
        <v>198</v>
      </c>
      <c r="B317" s="78" t="s">
        <v>284</v>
      </c>
      <c r="C317" s="79" t="n">
        <v>2022</v>
      </c>
      <c r="D317" s="79" t="n">
        <v>3</v>
      </c>
      <c r="E317" s="80" t="n">
        <v>44834</v>
      </c>
      <c r="F317" s="78" t="s">
        <v>253</v>
      </c>
      <c r="G317" s="78" t="s">
        <v>254</v>
      </c>
      <c r="H317" s="78" t="s">
        <v>250</v>
      </c>
      <c r="I317" s="81" t="n">
        <v>661.065</v>
      </c>
      <c r="J317" s="81" t="n">
        <v>202.624</v>
      </c>
      <c r="K317" s="81" t="n">
        <v>102967000</v>
      </c>
      <c r="L317" s="82" t="n">
        <v>1.13</v>
      </c>
      <c r="M317" s="81" t="n">
        <v>91.8677</v>
      </c>
      <c r="N317" s="81" t="n">
        <v>0</v>
      </c>
      <c r="O317" s="81" t="n">
        <v>4232.707</v>
      </c>
      <c r="P317" s="82" t="n">
        <v>3.50001914</v>
      </c>
      <c r="Q317" s="82" t="n">
        <v>142.5</v>
      </c>
      <c r="R317" s="47" t="n">
        <v>16</v>
      </c>
      <c r="S317" s="66" t="s">
        <v>594</v>
      </c>
    </row>
    <row r="318" customFormat="false" ht="15" hidden="false" customHeight="false" outlineLevel="0" collapsed="false">
      <c r="A318" s="78" t="s">
        <v>198</v>
      </c>
      <c r="B318" s="78" t="s">
        <v>286</v>
      </c>
      <c r="C318" s="79" t="n">
        <v>2022</v>
      </c>
      <c r="D318" s="79" t="n">
        <v>2</v>
      </c>
      <c r="E318" s="80" t="n">
        <v>44742</v>
      </c>
      <c r="F318" s="78" t="s">
        <v>253</v>
      </c>
      <c r="G318" s="78" t="s">
        <v>254</v>
      </c>
      <c r="H318" s="78" t="s">
        <v>250</v>
      </c>
      <c r="I318" s="81" t="n">
        <v>600.751</v>
      </c>
      <c r="J318" s="81" t="n">
        <v>195.652</v>
      </c>
      <c r="K318" s="81" t="n">
        <v>89529000</v>
      </c>
      <c r="L318" s="82" t="n">
        <v>0.98</v>
      </c>
      <c r="M318" s="81" t="n">
        <v>91.3692</v>
      </c>
      <c r="N318" s="81" t="n">
        <v>0</v>
      </c>
      <c r="O318" s="81" t="n">
        <v>4083.82</v>
      </c>
      <c r="P318" s="82" t="n">
        <v>0</v>
      </c>
      <c r="Q318" s="82" t="n">
        <v>116</v>
      </c>
      <c r="R318" s="47" t="n">
        <v>17</v>
      </c>
      <c r="S318" s="66" t="s">
        <v>595</v>
      </c>
    </row>
    <row r="319" customFormat="false" ht="15" hidden="false" customHeight="false" outlineLevel="0" collapsed="false">
      <c r="A319" s="78" t="s">
        <v>198</v>
      </c>
      <c r="B319" s="78" t="s">
        <v>288</v>
      </c>
      <c r="C319" s="79" t="n">
        <v>2022</v>
      </c>
      <c r="D319" s="79" t="n">
        <v>1</v>
      </c>
      <c r="E319" s="80" t="n">
        <v>44651</v>
      </c>
      <c r="F319" s="78" t="s">
        <v>253</v>
      </c>
      <c r="G319" s="78" t="s">
        <v>254</v>
      </c>
      <c r="H319" s="78" t="s">
        <v>250</v>
      </c>
      <c r="I319" s="81" t="n">
        <v>450.551</v>
      </c>
      <c r="J319" s="81" t="n">
        <v>112.693</v>
      </c>
      <c r="K319" s="81" t="n">
        <v>19714000</v>
      </c>
      <c r="L319" s="82" t="n">
        <v>0.22</v>
      </c>
      <c r="M319" s="81" t="n">
        <v>91.3692</v>
      </c>
      <c r="N319" s="81" t="n">
        <v>0</v>
      </c>
      <c r="O319" s="81" t="n">
        <v>4303.043</v>
      </c>
      <c r="P319" s="82" t="n">
        <v>0</v>
      </c>
      <c r="Q319" s="82" t="n">
        <v>183.5</v>
      </c>
      <c r="R319" s="47" t="n">
        <v>18</v>
      </c>
      <c r="S319" s="66" t="s">
        <v>596</v>
      </c>
    </row>
    <row r="320" customFormat="false" ht="15" hidden="false" customHeight="false" outlineLevel="0" collapsed="false">
      <c r="A320" s="78" t="s">
        <v>198</v>
      </c>
      <c r="B320" s="78" t="s">
        <v>290</v>
      </c>
      <c r="C320" s="79" t="n">
        <v>2021</v>
      </c>
      <c r="D320" s="79" t="n">
        <v>4</v>
      </c>
      <c r="E320" s="80" t="n">
        <v>44561</v>
      </c>
      <c r="F320" s="78" t="s">
        <v>253</v>
      </c>
      <c r="G320" s="78" t="s">
        <v>254</v>
      </c>
      <c r="H320" s="78" t="s">
        <v>250</v>
      </c>
      <c r="I320" s="81" t="n">
        <v>346.639</v>
      </c>
      <c r="J320" s="81" t="n">
        <v>81.547</v>
      </c>
      <c r="K320" s="81" t="n">
        <v>6880000</v>
      </c>
      <c r="L320" s="82" t="n">
        <v>0.07</v>
      </c>
      <c r="M320" s="81" t="n">
        <v>91.3692</v>
      </c>
      <c r="N320" s="81" t="n">
        <v>0</v>
      </c>
      <c r="O320" s="81" t="n">
        <v>4272.289</v>
      </c>
      <c r="P320" s="82" t="n">
        <v>0</v>
      </c>
      <c r="Q320" s="82" t="n">
        <v>196.5</v>
      </c>
      <c r="R320" s="47" t="n">
        <v>19</v>
      </c>
      <c r="S320" s="66" t="s">
        <v>597</v>
      </c>
    </row>
    <row r="321" customFormat="false" ht="15" hidden="false" customHeight="false" outlineLevel="0" collapsed="false">
      <c r="A321" s="78" t="s">
        <v>198</v>
      </c>
      <c r="B321" s="78" t="s">
        <v>292</v>
      </c>
      <c r="C321" s="79" t="n">
        <v>2021</v>
      </c>
      <c r="D321" s="79" t="n">
        <v>3</v>
      </c>
      <c r="E321" s="80" t="n">
        <v>44469</v>
      </c>
      <c r="F321" s="78" t="s">
        <v>253</v>
      </c>
      <c r="G321" s="78" t="s">
        <v>254</v>
      </c>
      <c r="H321" s="78" t="s">
        <v>250</v>
      </c>
      <c r="I321" s="81" t="n">
        <v>382.074</v>
      </c>
      <c r="J321" s="81" t="n">
        <v>125.186</v>
      </c>
      <c r="K321" s="81" t="n">
        <v>31826000</v>
      </c>
      <c r="L321" s="82" t="n">
        <v>0.35</v>
      </c>
      <c r="M321" s="81" t="n">
        <v>91.3692</v>
      </c>
      <c r="N321" s="81" t="n">
        <v>0</v>
      </c>
      <c r="O321" s="81" t="n">
        <v>4256.041</v>
      </c>
      <c r="P321" s="82" t="n">
        <v>5</v>
      </c>
      <c r="Q321" s="82" t="n">
        <v>225</v>
      </c>
      <c r="R321" s="47" t="n">
        <v>20</v>
      </c>
      <c r="S321" s="66" t="s">
        <v>598</v>
      </c>
    </row>
    <row r="322" customFormat="false" ht="15" hidden="false" customHeight="false" outlineLevel="0" collapsed="false">
      <c r="A322" s="78" t="s">
        <v>198</v>
      </c>
      <c r="B322" s="78" t="s">
        <v>294</v>
      </c>
      <c r="C322" s="79" t="n">
        <v>2021</v>
      </c>
      <c r="D322" s="79" t="n">
        <v>2</v>
      </c>
      <c r="E322" s="80" t="n">
        <v>44377</v>
      </c>
      <c r="F322" s="78" t="s">
        <v>253</v>
      </c>
      <c r="G322" s="78" t="s">
        <v>254</v>
      </c>
      <c r="H322" s="78" t="s">
        <v>250</v>
      </c>
      <c r="I322" s="81" t="n">
        <v>539.995</v>
      </c>
      <c r="J322" s="81" t="n">
        <v>237.164</v>
      </c>
      <c r="K322" s="81" t="n">
        <v>105059000</v>
      </c>
      <c r="L322" s="82" t="n">
        <v>1.16</v>
      </c>
      <c r="M322" s="81" t="n">
        <v>91.3692</v>
      </c>
      <c r="N322" s="81" t="n">
        <v>0</v>
      </c>
      <c r="O322" s="81" t="n">
        <v>4213.175</v>
      </c>
      <c r="P322" s="82" t="n">
        <v>0</v>
      </c>
      <c r="Q322" s="82" t="n">
        <v>265</v>
      </c>
      <c r="R322" s="47" t="n">
        <v>21</v>
      </c>
      <c r="S322" s="66" t="s">
        <v>599</v>
      </c>
    </row>
    <row r="323" customFormat="false" ht="15" hidden="false" customHeight="false" outlineLevel="0" collapsed="false">
      <c r="A323" s="78" t="s">
        <v>198</v>
      </c>
      <c r="B323" s="78" t="s">
        <v>296</v>
      </c>
      <c r="C323" s="79" t="n">
        <v>2021</v>
      </c>
      <c r="D323" s="79" t="n">
        <v>1</v>
      </c>
      <c r="E323" s="80" t="n">
        <v>44286</v>
      </c>
      <c r="F323" s="78" t="s">
        <v>253</v>
      </c>
      <c r="G323" s="78" t="s">
        <v>254</v>
      </c>
      <c r="H323" s="78" t="s">
        <v>250</v>
      </c>
      <c r="I323" s="81" t="n">
        <v>603.995</v>
      </c>
      <c r="J323" s="81" t="n">
        <v>324.56</v>
      </c>
      <c r="K323" s="81" t="n">
        <v>193779000</v>
      </c>
      <c r="L323" s="82" t="n">
        <v>2.13</v>
      </c>
      <c r="M323" s="81" t="n">
        <v>91.3692</v>
      </c>
      <c r="N323" s="81" t="n">
        <v>0</v>
      </c>
      <c r="O323" s="81" t="n">
        <v>4553.921</v>
      </c>
      <c r="P323" s="82" t="n">
        <v>0</v>
      </c>
      <c r="Q323" s="82" t="n">
        <v>270</v>
      </c>
      <c r="R323" s="47" t="n">
        <v>22</v>
      </c>
      <c r="S323" s="66" t="s">
        <v>600</v>
      </c>
    </row>
    <row r="324" customFormat="false" ht="15" hidden="false" customHeight="false" outlineLevel="0" collapsed="false">
      <c r="A324" s="78" t="s">
        <v>198</v>
      </c>
      <c r="B324" s="78" t="s">
        <v>298</v>
      </c>
      <c r="C324" s="79" t="n">
        <v>2020</v>
      </c>
      <c r="D324" s="79" t="n">
        <v>4</v>
      </c>
      <c r="E324" s="80" t="n">
        <v>44196</v>
      </c>
      <c r="F324" s="78" t="s">
        <v>253</v>
      </c>
      <c r="G324" s="78" t="s">
        <v>254</v>
      </c>
      <c r="H324" s="78" t="s">
        <v>250</v>
      </c>
      <c r="I324" s="81" t="n">
        <v>686.242</v>
      </c>
      <c r="J324" s="81" t="n">
        <v>374.421</v>
      </c>
      <c r="K324" s="81" t="n">
        <v>227723000</v>
      </c>
      <c r="L324" s="82" t="n">
        <v>2.5</v>
      </c>
      <c r="M324" s="81" t="n">
        <v>91.3732</v>
      </c>
      <c r="N324" s="81" t="n">
        <v>0</v>
      </c>
      <c r="O324" s="81" t="n">
        <v>4349.102</v>
      </c>
      <c r="P324" s="82" t="n">
        <v>0</v>
      </c>
      <c r="Q324" s="82" t="n">
        <v>282.5</v>
      </c>
      <c r="R324" s="47" t="n">
        <v>23</v>
      </c>
      <c r="S324" s="66" t="s">
        <v>601</v>
      </c>
    </row>
    <row r="325" customFormat="false" ht="15" hidden="false" customHeight="false" outlineLevel="0" collapsed="false">
      <c r="A325" s="78" t="s">
        <v>198</v>
      </c>
      <c r="B325" s="78" t="s">
        <v>300</v>
      </c>
      <c r="C325" s="79" t="n">
        <v>2020</v>
      </c>
      <c r="D325" s="79" t="n">
        <v>3</v>
      </c>
      <c r="E325" s="80" t="n">
        <v>44104</v>
      </c>
      <c r="F325" s="78" t="s">
        <v>253</v>
      </c>
      <c r="G325" s="78" t="s">
        <v>254</v>
      </c>
      <c r="H325" s="78" t="s">
        <v>250</v>
      </c>
      <c r="I325" s="81" t="n">
        <v>602.681</v>
      </c>
      <c r="J325" s="81" t="n">
        <v>314.359</v>
      </c>
      <c r="K325" s="81" t="n">
        <v>176357000</v>
      </c>
      <c r="L325" s="82" t="n">
        <v>1.94</v>
      </c>
      <c r="M325" s="81" t="n">
        <v>91.3732</v>
      </c>
      <c r="N325" s="81" t="n">
        <v>0</v>
      </c>
      <c r="O325" s="81" t="n">
        <v>4112.239</v>
      </c>
      <c r="P325" s="82"/>
      <c r="Q325" s="82" t="n">
        <v>249</v>
      </c>
      <c r="R325" s="47" t="n">
        <v>24</v>
      </c>
      <c r="S325" s="66" t="s">
        <v>602</v>
      </c>
    </row>
    <row r="326" customFormat="false" ht="15" hidden="false" customHeight="false" outlineLevel="0" collapsed="false">
      <c r="A326" s="78" t="s">
        <v>218</v>
      </c>
      <c r="B326" s="78" t="s">
        <v>247</v>
      </c>
      <c r="C326" s="79" t="n">
        <v>2026</v>
      </c>
      <c r="D326" s="79" t="n">
        <v>3</v>
      </c>
      <c r="E326" s="80" t="n">
        <v>46295</v>
      </c>
      <c r="F326" s="78" t="s">
        <v>248</v>
      </c>
      <c r="G326" s="78" t="s">
        <v>249</v>
      </c>
      <c r="H326" s="78" t="s">
        <v>250</v>
      </c>
      <c r="I326" s="81"/>
      <c r="J326" s="81"/>
      <c r="K326" s="81"/>
      <c r="L326" s="82" t="n">
        <v>2.11774</v>
      </c>
      <c r="M326" s="81"/>
      <c r="N326" s="81"/>
      <c r="O326" s="81"/>
      <c r="P326" s="82"/>
      <c r="Q326" s="82"/>
      <c r="R326" s="47" t="n">
        <v>0</v>
      </c>
      <c r="S326" s="66" t="s">
        <v>603</v>
      </c>
    </row>
    <row r="327" customFormat="false" ht="15" hidden="false" customHeight="false" outlineLevel="0" collapsed="false">
      <c r="A327" s="78" t="s">
        <v>218</v>
      </c>
      <c r="B327" s="78" t="s">
        <v>252</v>
      </c>
      <c r="C327" s="79" t="n">
        <v>2026</v>
      </c>
      <c r="D327" s="79" t="n">
        <v>2</v>
      </c>
      <c r="E327" s="80" t="n">
        <v>46203</v>
      </c>
      <c r="F327" s="78" t="s">
        <v>253</v>
      </c>
      <c r="G327" s="78" t="s">
        <v>254</v>
      </c>
      <c r="H327" s="78" t="s">
        <v>250</v>
      </c>
      <c r="I327" s="81" t="n">
        <v>5257.268</v>
      </c>
      <c r="J327" s="81" t="n">
        <v>1484.625</v>
      </c>
      <c r="K327" s="81" t="n">
        <v>977100000</v>
      </c>
      <c r="L327" s="82" t="n">
        <v>2.3</v>
      </c>
      <c r="M327" s="81" t="n">
        <v>423.9404</v>
      </c>
      <c r="N327" s="81" t="n">
        <v>0</v>
      </c>
      <c r="O327" s="81" t="n">
        <v>43810.424</v>
      </c>
      <c r="P327" s="82" t="n">
        <v>2</v>
      </c>
      <c r="Q327" s="82" t="n">
        <v>426</v>
      </c>
      <c r="R327" s="47" t="n">
        <v>1</v>
      </c>
      <c r="S327" s="66" t="s">
        <v>604</v>
      </c>
    </row>
    <row r="328" customFormat="false" ht="15" hidden="false" customHeight="false" outlineLevel="0" collapsed="false">
      <c r="A328" s="78" t="s">
        <v>218</v>
      </c>
      <c r="B328" s="78" t="s">
        <v>256</v>
      </c>
      <c r="C328" s="79" t="n">
        <v>2026</v>
      </c>
      <c r="D328" s="79" t="n">
        <v>1</v>
      </c>
      <c r="E328" s="80" t="n">
        <v>46112</v>
      </c>
      <c r="F328" s="78" t="s">
        <v>253</v>
      </c>
      <c r="G328" s="78" t="s">
        <v>254</v>
      </c>
      <c r="H328" s="78" t="s">
        <v>250</v>
      </c>
      <c r="I328" s="81" t="n">
        <v>4590.06</v>
      </c>
      <c r="J328" s="81" t="n">
        <v>1208.999</v>
      </c>
      <c r="K328" s="81" t="n">
        <v>533291000</v>
      </c>
      <c r="L328" s="82" t="n">
        <v>1.26</v>
      </c>
      <c r="M328" s="81" t="n">
        <v>423.9404</v>
      </c>
      <c r="N328" s="81" t="n">
        <v>0</v>
      </c>
      <c r="O328" s="81" t="n">
        <v>40919.607</v>
      </c>
      <c r="P328" s="82" t="n">
        <v>0</v>
      </c>
      <c r="Q328" s="82" t="n">
        <v>351.5</v>
      </c>
      <c r="R328" s="47" t="n">
        <v>2</v>
      </c>
      <c r="S328" s="66" t="s">
        <v>605</v>
      </c>
    </row>
    <row r="329" customFormat="false" ht="15" hidden="false" customHeight="false" outlineLevel="0" collapsed="false">
      <c r="A329" s="78" t="s">
        <v>218</v>
      </c>
      <c r="B329" s="78" t="s">
        <v>258</v>
      </c>
      <c r="C329" s="79" t="n">
        <v>2025</v>
      </c>
      <c r="D329" s="79" t="n">
        <v>4</v>
      </c>
      <c r="E329" s="80" t="n">
        <v>46022</v>
      </c>
      <c r="F329" s="78" t="s">
        <v>253</v>
      </c>
      <c r="G329" s="78" t="s">
        <v>254</v>
      </c>
      <c r="H329" s="78" t="s">
        <v>250</v>
      </c>
      <c r="I329" s="81" t="n">
        <v>4794.454</v>
      </c>
      <c r="J329" s="81" t="n">
        <v>1524.547</v>
      </c>
      <c r="K329" s="81" t="n">
        <v>1028879000</v>
      </c>
      <c r="L329" s="82" t="n">
        <v>2.43</v>
      </c>
      <c r="M329" s="81" t="n">
        <v>423.9404</v>
      </c>
      <c r="N329" s="81" t="n">
        <v>0</v>
      </c>
      <c r="O329" s="81" t="n">
        <v>41545.262</v>
      </c>
      <c r="P329" s="82" t="n">
        <v>0</v>
      </c>
      <c r="Q329" s="82" t="n">
        <v>183</v>
      </c>
      <c r="R329" s="47" t="n">
        <v>3</v>
      </c>
      <c r="S329" s="66" t="s">
        <v>606</v>
      </c>
    </row>
    <row r="330" customFormat="false" ht="15" hidden="false" customHeight="false" outlineLevel="0" collapsed="false">
      <c r="A330" s="78" t="s">
        <v>218</v>
      </c>
      <c r="B330" s="78" t="s">
        <v>260</v>
      </c>
      <c r="C330" s="79" t="n">
        <v>2025</v>
      </c>
      <c r="D330" s="79" t="n">
        <v>3</v>
      </c>
      <c r="E330" s="80" t="n">
        <v>45930</v>
      </c>
      <c r="F330" s="78" t="s">
        <v>253</v>
      </c>
      <c r="G330" s="78" t="s">
        <v>254</v>
      </c>
      <c r="H330" s="78" t="s">
        <v>250</v>
      </c>
      <c r="I330" s="81" t="n">
        <v>4487.879</v>
      </c>
      <c r="J330" s="81" t="n">
        <v>1205.252</v>
      </c>
      <c r="K330" s="81" t="n">
        <v>1070260000</v>
      </c>
      <c r="L330" s="82" t="n">
        <v>2.52</v>
      </c>
      <c r="M330" s="81" t="n">
        <v>423.9404</v>
      </c>
      <c r="N330" s="81" t="n">
        <v>0</v>
      </c>
      <c r="O330" s="81" t="n">
        <v>39479.324</v>
      </c>
      <c r="P330" s="82" t="n">
        <v>0</v>
      </c>
      <c r="Q330" s="82" t="n">
        <v>92.9</v>
      </c>
      <c r="R330" s="47" t="n">
        <v>4</v>
      </c>
      <c r="S330" s="66" t="s">
        <v>607</v>
      </c>
    </row>
    <row r="331" customFormat="false" ht="15" hidden="false" customHeight="false" outlineLevel="0" collapsed="false">
      <c r="A331" s="78" t="s">
        <v>218</v>
      </c>
      <c r="B331" s="78" t="s">
        <v>262</v>
      </c>
      <c r="C331" s="79" t="n">
        <v>2025</v>
      </c>
      <c r="D331" s="79" t="n">
        <v>2</v>
      </c>
      <c r="E331" s="80" t="n">
        <v>45838</v>
      </c>
      <c r="F331" s="78" t="s">
        <v>253</v>
      </c>
      <c r="G331" s="78" t="s">
        <v>254</v>
      </c>
      <c r="H331" s="78" t="s">
        <v>250</v>
      </c>
      <c r="I331" s="81" t="n">
        <v>3780.398</v>
      </c>
      <c r="J331" s="81" t="n">
        <v>697.886</v>
      </c>
      <c r="K331" s="81" t="n">
        <v>-420966000</v>
      </c>
      <c r="L331" s="82" t="n">
        <v>-0.99</v>
      </c>
      <c r="M331" s="81" t="n">
        <v>423.9404</v>
      </c>
      <c r="N331" s="81" t="n">
        <v>0</v>
      </c>
      <c r="O331" s="81" t="n">
        <v>36532.157</v>
      </c>
      <c r="P331" s="82" t="n">
        <v>1</v>
      </c>
      <c r="Q331" s="82" t="n">
        <v>86.7</v>
      </c>
      <c r="R331" s="47" t="n">
        <v>5</v>
      </c>
      <c r="S331" s="66" t="s">
        <v>608</v>
      </c>
    </row>
    <row r="332" customFormat="false" ht="15" hidden="false" customHeight="false" outlineLevel="0" collapsed="false">
      <c r="A332" s="78" t="s">
        <v>218</v>
      </c>
      <c r="B332" s="78" t="s">
        <v>264</v>
      </c>
      <c r="C332" s="79" t="n">
        <v>2025</v>
      </c>
      <c r="D332" s="79" t="n">
        <v>1</v>
      </c>
      <c r="E332" s="80" t="n">
        <v>45747</v>
      </c>
      <c r="F332" s="78" t="s">
        <v>253</v>
      </c>
      <c r="G332" s="78" t="s">
        <v>254</v>
      </c>
      <c r="H332" s="78" t="s">
        <v>250</v>
      </c>
      <c r="I332" s="81" t="n">
        <v>3575.803</v>
      </c>
      <c r="J332" s="81" t="n">
        <v>598.408</v>
      </c>
      <c r="K332" s="81" t="n">
        <v>15628000</v>
      </c>
      <c r="L332" s="82" t="n">
        <v>0.04</v>
      </c>
      <c r="M332" s="81" t="n">
        <v>423.9404</v>
      </c>
      <c r="N332" s="81" t="n">
        <v>0</v>
      </c>
      <c r="O332" s="81" t="n">
        <v>36323.256</v>
      </c>
      <c r="P332" s="82" t="n">
        <v>0</v>
      </c>
      <c r="Q332" s="82" t="n">
        <v>98.5</v>
      </c>
      <c r="R332" s="47" t="n">
        <v>6</v>
      </c>
      <c r="S332" s="66" t="s">
        <v>609</v>
      </c>
    </row>
    <row r="333" customFormat="false" ht="15" hidden="false" customHeight="false" outlineLevel="0" collapsed="false">
      <c r="A333" s="78" t="s">
        <v>218</v>
      </c>
      <c r="B333" s="78" t="s">
        <v>266</v>
      </c>
      <c r="C333" s="79" t="n">
        <v>2024</v>
      </c>
      <c r="D333" s="79" t="n">
        <v>4</v>
      </c>
      <c r="E333" s="80" t="n">
        <v>45657</v>
      </c>
      <c r="F333" s="78" t="s">
        <v>253</v>
      </c>
      <c r="G333" s="78" t="s">
        <v>254</v>
      </c>
      <c r="H333" s="78" t="s">
        <v>250</v>
      </c>
      <c r="I333" s="81" t="n">
        <v>3706.065</v>
      </c>
      <c r="J333" s="81" t="n">
        <v>757.635</v>
      </c>
      <c r="K333" s="81" t="n">
        <v>-352207000</v>
      </c>
      <c r="L333" s="82" t="n">
        <v>-0.83</v>
      </c>
      <c r="M333" s="81" t="n">
        <v>423.9404</v>
      </c>
      <c r="N333" s="81" t="n">
        <v>0</v>
      </c>
      <c r="O333" s="81" t="n">
        <v>38118.104</v>
      </c>
      <c r="P333" s="82" t="n">
        <v>0</v>
      </c>
      <c r="Q333" s="82" t="n">
        <v>112</v>
      </c>
      <c r="R333" s="47" t="n">
        <v>7</v>
      </c>
      <c r="S333" s="66" t="s">
        <v>610</v>
      </c>
    </row>
    <row r="334" customFormat="false" ht="15" hidden="false" customHeight="false" outlineLevel="0" collapsed="false">
      <c r="A334" s="78" t="s">
        <v>218</v>
      </c>
      <c r="B334" s="78" t="s">
        <v>268</v>
      </c>
      <c r="C334" s="79" t="n">
        <v>2024</v>
      </c>
      <c r="D334" s="79" t="n">
        <v>3</v>
      </c>
      <c r="E334" s="80" t="n">
        <v>45565</v>
      </c>
      <c r="F334" s="78" t="s">
        <v>253</v>
      </c>
      <c r="G334" s="78" t="s">
        <v>254</v>
      </c>
      <c r="H334" s="78" t="s">
        <v>250</v>
      </c>
      <c r="I334" s="81" t="n">
        <v>4347.821</v>
      </c>
      <c r="J334" s="81" t="n">
        <v>938.128</v>
      </c>
      <c r="K334" s="81" t="n">
        <v>228323000</v>
      </c>
      <c r="L334" s="82" t="n">
        <v>0.54</v>
      </c>
      <c r="M334" s="81" t="n">
        <v>423.9404</v>
      </c>
      <c r="N334" s="81" t="n">
        <v>0</v>
      </c>
      <c r="O334" s="81" t="n">
        <v>37006.121</v>
      </c>
      <c r="P334" s="82" t="n">
        <v>0</v>
      </c>
      <c r="Q334" s="82" t="n">
        <v>136.5</v>
      </c>
      <c r="R334" s="47" t="n">
        <v>8</v>
      </c>
      <c r="S334" s="66" t="s">
        <v>611</v>
      </c>
    </row>
    <row r="335" customFormat="false" ht="15" hidden="false" customHeight="false" outlineLevel="0" collapsed="false">
      <c r="A335" s="78" t="s">
        <v>218</v>
      </c>
      <c r="B335" s="78" t="s">
        <v>270</v>
      </c>
      <c r="C335" s="79" t="n">
        <v>2024</v>
      </c>
      <c r="D335" s="79" t="n">
        <v>2</v>
      </c>
      <c r="E335" s="80" t="n">
        <v>45473</v>
      </c>
      <c r="F335" s="78" t="s">
        <v>253</v>
      </c>
      <c r="G335" s="78" t="s">
        <v>254</v>
      </c>
      <c r="H335" s="78" t="s">
        <v>250</v>
      </c>
      <c r="I335" s="81" t="n">
        <v>4961.426</v>
      </c>
      <c r="J335" s="81" t="n">
        <v>1351.539</v>
      </c>
      <c r="K335" s="81" t="n">
        <v>485291000</v>
      </c>
      <c r="L335" s="82" t="n">
        <v>1.14</v>
      </c>
      <c r="M335" s="81" t="n">
        <v>423.9404</v>
      </c>
      <c r="N335" s="81" t="n">
        <v>0</v>
      </c>
      <c r="O335" s="81" t="n">
        <v>36678.815</v>
      </c>
      <c r="P335" s="82" t="n">
        <v>0</v>
      </c>
      <c r="Q335" s="82" t="n">
        <v>174.5</v>
      </c>
      <c r="R335" s="47" t="n">
        <v>9</v>
      </c>
      <c r="S335" s="66" t="s">
        <v>612</v>
      </c>
    </row>
    <row r="336" customFormat="false" ht="15" hidden="false" customHeight="false" outlineLevel="0" collapsed="false">
      <c r="A336" s="78" t="s">
        <v>218</v>
      </c>
      <c r="B336" s="78" t="s">
        <v>272</v>
      </c>
      <c r="C336" s="79" t="n">
        <v>2024</v>
      </c>
      <c r="D336" s="79" t="n">
        <v>1</v>
      </c>
      <c r="E336" s="80" t="n">
        <v>45382</v>
      </c>
      <c r="F336" s="78" t="s">
        <v>253</v>
      </c>
      <c r="G336" s="78" t="s">
        <v>254</v>
      </c>
      <c r="H336" s="78" t="s">
        <v>250</v>
      </c>
      <c r="I336" s="81" t="n">
        <v>4442.401</v>
      </c>
      <c r="J336" s="81" t="n">
        <v>994.668</v>
      </c>
      <c r="K336" s="81" t="n">
        <v>406726000</v>
      </c>
      <c r="L336" s="82" t="n">
        <v>0.96</v>
      </c>
      <c r="M336" s="81" t="n">
        <v>423.9404</v>
      </c>
      <c r="N336" s="81" t="n">
        <v>0</v>
      </c>
      <c r="O336" s="81" t="n">
        <v>35304.197</v>
      </c>
      <c r="P336" s="82" t="n">
        <v>0</v>
      </c>
      <c r="Q336" s="82" t="n">
        <v>146</v>
      </c>
      <c r="R336" s="47" t="n">
        <v>10</v>
      </c>
      <c r="S336" s="66" t="s">
        <v>613</v>
      </c>
    </row>
    <row r="337" customFormat="false" ht="15" hidden="false" customHeight="false" outlineLevel="0" collapsed="false">
      <c r="A337" s="78" t="s">
        <v>218</v>
      </c>
      <c r="B337" s="78" t="s">
        <v>274</v>
      </c>
      <c r="C337" s="79" t="n">
        <v>2023</v>
      </c>
      <c r="D337" s="79" t="n">
        <v>4</v>
      </c>
      <c r="E337" s="80" t="n">
        <v>45291</v>
      </c>
      <c r="F337" s="78" t="s">
        <v>253</v>
      </c>
      <c r="G337" s="78" t="s">
        <v>254</v>
      </c>
      <c r="H337" s="78" t="s">
        <v>250</v>
      </c>
      <c r="I337" s="81" t="n">
        <v>4868.036</v>
      </c>
      <c r="J337" s="81" t="n">
        <v>1432.882</v>
      </c>
      <c r="K337" s="81" t="n">
        <v>385044000</v>
      </c>
      <c r="L337" s="82" t="n">
        <v>0.91</v>
      </c>
      <c r="M337" s="81" t="n">
        <v>423.9404</v>
      </c>
      <c r="N337" s="81" t="n">
        <v>0</v>
      </c>
      <c r="O337" s="81" t="n">
        <v>33955.197</v>
      </c>
      <c r="P337" s="82" t="n">
        <v>0</v>
      </c>
      <c r="Q337" s="82" t="n">
        <v>159</v>
      </c>
      <c r="R337" s="47" t="n">
        <v>11</v>
      </c>
      <c r="S337" s="66" t="s">
        <v>614</v>
      </c>
    </row>
    <row r="338" customFormat="false" ht="15" hidden="false" customHeight="false" outlineLevel="0" collapsed="false">
      <c r="A338" s="78" t="s">
        <v>218</v>
      </c>
      <c r="B338" s="78" t="s">
        <v>276</v>
      </c>
      <c r="C338" s="79" t="n">
        <v>2023</v>
      </c>
      <c r="D338" s="79" t="n">
        <v>3</v>
      </c>
      <c r="E338" s="80" t="n">
        <v>45199</v>
      </c>
      <c r="F338" s="78" t="s">
        <v>253</v>
      </c>
      <c r="G338" s="78" t="s">
        <v>254</v>
      </c>
      <c r="H338" s="78" t="s">
        <v>250</v>
      </c>
      <c r="I338" s="81" t="n">
        <v>4165.01</v>
      </c>
      <c r="J338" s="81" t="n">
        <v>919.242</v>
      </c>
      <c r="K338" s="81" t="n">
        <v>34033000</v>
      </c>
      <c r="L338" s="82" t="n">
        <v>0.08</v>
      </c>
      <c r="M338" s="81" t="n">
        <v>423.9404</v>
      </c>
      <c r="N338" s="81" t="n">
        <v>0</v>
      </c>
      <c r="O338" s="81" t="n">
        <v>33323.325</v>
      </c>
      <c r="P338" s="82" t="n">
        <v>2.5</v>
      </c>
      <c r="Q338" s="82" t="n">
        <v>129</v>
      </c>
      <c r="R338" s="47" t="n">
        <v>12</v>
      </c>
      <c r="S338" s="66" t="s">
        <v>615</v>
      </c>
    </row>
    <row r="339" customFormat="false" ht="15" hidden="false" customHeight="false" outlineLevel="0" collapsed="false">
      <c r="A339" s="78" t="s">
        <v>218</v>
      </c>
      <c r="B339" s="78" t="s">
        <v>278</v>
      </c>
      <c r="C339" s="79" t="n">
        <v>2023</v>
      </c>
      <c r="D339" s="79" t="n">
        <v>2</v>
      </c>
      <c r="E339" s="80" t="n">
        <v>45107</v>
      </c>
      <c r="F339" s="78" t="s">
        <v>253</v>
      </c>
      <c r="G339" s="78" t="s">
        <v>254</v>
      </c>
      <c r="H339" s="78" t="s">
        <v>250</v>
      </c>
      <c r="I339" s="81" t="n">
        <v>3943.894</v>
      </c>
      <c r="J339" s="81" t="n">
        <v>790.943</v>
      </c>
      <c r="K339" s="81" t="n">
        <v>-96923000</v>
      </c>
      <c r="L339" s="82" t="n">
        <v>-0.23</v>
      </c>
      <c r="M339" s="81" t="n">
        <v>423.9404</v>
      </c>
      <c r="N339" s="81" t="n">
        <v>0</v>
      </c>
      <c r="O339" s="81" t="n">
        <v>32476.936</v>
      </c>
      <c r="P339" s="82" t="n">
        <v>0</v>
      </c>
      <c r="Q339" s="82" t="n">
        <v>164</v>
      </c>
      <c r="R339" s="47" t="n">
        <v>13</v>
      </c>
      <c r="S339" s="66" t="s">
        <v>616</v>
      </c>
    </row>
    <row r="340" customFormat="false" ht="15" hidden="false" customHeight="false" outlineLevel="0" collapsed="false">
      <c r="A340" s="78" t="s">
        <v>218</v>
      </c>
      <c r="B340" s="78" t="s">
        <v>280</v>
      </c>
      <c r="C340" s="79" t="n">
        <v>2023</v>
      </c>
      <c r="D340" s="79" t="n">
        <v>1</v>
      </c>
      <c r="E340" s="80" t="n">
        <v>45016</v>
      </c>
      <c r="F340" s="78" t="s">
        <v>253</v>
      </c>
      <c r="G340" s="78" t="s">
        <v>254</v>
      </c>
      <c r="H340" s="78" t="s">
        <v>250</v>
      </c>
      <c r="I340" s="81" t="n">
        <v>2859.558</v>
      </c>
      <c r="J340" s="81" t="n">
        <v>326.098</v>
      </c>
      <c r="K340" s="81" t="n">
        <v>-401811000</v>
      </c>
      <c r="L340" s="82" t="n">
        <v>-0.95</v>
      </c>
      <c r="M340" s="81" t="n">
        <v>423.9404</v>
      </c>
      <c r="N340" s="81" t="n">
        <v>0</v>
      </c>
      <c r="O340" s="81" t="n">
        <v>32288.429</v>
      </c>
      <c r="P340" s="82" t="n">
        <v>0</v>
      </c>
      <c r="Q340" s="82" t="n">
        <v>182.5</v>
      </c>
      <c r="R340" s="47" t="n">
        <v>14</v>
      </c>
      <c r="S340" s="66" t="s">
        <v>617</v>
      </c>
    </row>
    <row r="341" customFormat="false" ht="15" hidden="false" customHeight="false" outlineLevel="0" collapsed="false">
      <c r="A341" s="78" t="s">
        <v>218</v>
      </c>
      <c r="B341" s="78" t="s">
        <v>282</v>
      </c>
      <c r="C341" s="79" t="n">
        <v>2022</v>
      </c>
      <c r="D341" s="79" t="n">
        <v>4</v>
      </c>
      <c r="E341" s="80" t="n">
        <v>44926</v>
      </c>
      <c r="F341" s="78" t="s">
        <v>253</v>
      </c>
      <c r="G341" s="78" t="s">
        <v>254</v>
      </c>
      <c r="H341" s="78" t="s">
        <v>250</v>
      </c>
      <c r="I341" s="81" t="n">
        <v>3531.276</v>
      </c>
      <c r="J341" s="81" t="n">
        <v>785.53</v>
      </c>
      <c r="K341" s="81" t="n">
        <v>-75891000</v>
      </c>
      <c r="L341" s="82" t="n">
        <v>-0.18</v>
      </c>
      <c r="M341" s="81" t="n">
        <v>423.9404</v>
      </c>
      <c r="N341" s="81" t="n">
        <v>0</v>
      </c>
      <c r="O341" s="81" t="n">
        <v>33328.536</v>
      </c>
      <c r="P341" s="82" t="n">
        <v>0</v>
      </c>
      <c r="Q341" s="82" t="n">
        <v>136.5</v>
      </c>
      <c r="R341" s="47" t="n">
        <v>15</v>
      </c>
      <c r="S341" s="66" t="s">
        <v>618</v>
      </c>
    </row>
    <row r="342" customFormat="false" ht="15" hidden="false" customHeight="false" outlineLevel="0" collapsed="false">
      <c r="A342" s="78" t="s">
        <v>218</v>
      </c>
      <c r="B342" s="78" t="s">
        <v>284</v>
      </c>
      <c r="C342" s="79" t="n">
        <v>2022</v>
      </c>
      <c r="D342" s="79" t="n">
        <v>3</v>
      </c>
      <c r="E342" s="80" t="n">
        <v>44834</v>
      </c>
      <c r="F342" s="78" t="s">
        <v>253</v>
      </c>
      <c r="G342" s="78" t="s">
        <v>254</v>
      </c>
      <c r="H342" s="78" t="s">
        <v>250</v>
      </c>
      <c r="I342" s="81" t="n">
        <v>3908.742</v>
      </c>
      <c r="J342" s="81" t="n">
        <v>624.334</v>
      </c>
      <c r="K342" s="81" t="n">
        <v>351809000</v>
      </c>
      <c r="L342" s="82" t="n">
        <v>0.83</v>
      </c>
      <c r="M342" s="81" t="n">
        <v>423.9404</v>
      </c>
      <c r="N342" s="81" t="n">
        <v>0</v>
      </c>
      <c r="O342" s="81" t="n">
        <v>33407.459</v>
      </c>
      <c r="P342" s="82" t="n">
        <v>8.00067934</v>
      </c>
      <c r="Q342" s="82" t="n">
        <v>123.5</v>
      </c>
      <c r="R342" s="47" t="n">
        <v>16</v>
      </c>
      <c r="S342" s="66" t="s">
        <v>619</v>
      </c>
    </row>
    <row r="343" customFormat="false" ht="15" hidden="false" customHeight="false" outlineLevel="0" collapsed="false">
      <c r="A343" s="78" t="s">
        <v>218</v>
      </c>
      <c r="B343" s="78" t="s">
        <v>286</v>
      </c>
      <c r="C343" s="79" t="n">
        <v>2022</v>
      </c>
      <c r="D343" s="79" t="n">
        <v>2</v>
      </c>
      <c r="E343" s="80" t="n">
        <v>44742</v>
      </c>
      <c r="F343" s="78" t="s">
        <v>253</v>
      </c>
      <c r="G343" s="78" t="s">
        <v>254</v>
      </c>
      <c r="H343" s="78" t="s">
        <v>250</v>
      </c>
      <c r="I343" s="81" t="n">
        <v>5297.325</v>
      </c>
      <c r="J343" s="81" t="n">
        <v>1600.707</v>
      </c>
      <c r="K343" s="81" t="n">
        <v>644030000</v>
      </c>
      <c r="L343" s="82" t="n">
        <v>1.52</v>
      </c>
      <c r="M343" s="81" t="n">
        <v>423.9764</v>
      </c>
      <c r="N343" s="81" t="n">
        <v>36000</v>
      </c>
      <c r="O343" s="81" t="n">
        <v>32928.827</v>
      </c>
      <c r="P343" s="82" t="n">
        <v>0</v>
      </c>
      <c r="Q343" s="82" t="n">
        <v>192.5</v>
      </c>
      <c r="R343" s="47" t="n">
        <v>17</v>
      </c>
      <c r="S343" s="66" t="s">
        <v>620</v>
      </c>
    </row>
    <row r="344" customFormat="false" ht="15" hidden="false" customHeight="false" outlineLevel="0" collapsed="false">
      <c r="A344" s="78" t="s">
        <v>218</v>
      </c>
      <c r="B344" s="78" t="s">
        <v>288</v>
      </c>
      <c r="C344" s="79" t="n">
        <v>2022</v>
      </c>
      <c r="D344" s="79" t="n">
        <v>1</v>
      </c>
      <c r="E344" s="80" t="n">
        <v>44651</v>
      </c>
      <c r="F344" s="78" t="s">
        <v>253</v>
      </c>
      <c r="G344" s="78" t="s">
        <v>254</v>
      </c>
      <c r="H344" s="78" t="s">
        <v>250</v>
      </c>
      <c r="I344" s="81" t="n">
        <v>5596.993</v>
      </c>
      <c r="J344" s="81" t="n">
        <v>1714.161</v>
      </c>
      <c r="K344" s="81" t="n">
        <v>882221000</v>
      </c>
      <c r="L344" s="82" t="n">
        <v>2.08</v>
      </c>
      <c r="M344" s="81" t="n">
        <v>423.9764</v>
      </c>
      <c r="N344" s="81" t="n">
        <v>0</v>
      </c>
      <c r="O344" s="81" t="n">
        <v>32738.626</v>
      </c>
      <c r="P344" s="82" t="n">
        <v>0</v>
      </c>
      <c r="Q344" s="82" t="n">
        <v>266</v>
      </c>
      <c r="R344" s="47" t="n">
        <v>18</v>
      </c>
      <c r="S344" s="66" t="s">
        <v>621</v>
      </c>
    </row>
    <row r="345" customFormat="false" ht="15" hidden="false" customHeight="false" outlineLevel="0" collapsed="false">
      <c r="A345" s="78" t="s">
        <v>218</v>
      </c>
      <c r="B345" s="78" t="s">
        <v>290</v>
      </c>
      <c r="C345" s="79" t="n">
        <v>2021</v>
      </c>
      <c r="D345" s="79" t="n">
        <v>4</v>
      </c>
      <c r="E345" s="80" t="n">
        <v>44561</v>
      </c>
      <c r="F345" s="78" t="s">
        <v>253</v>
      </c>
      <c r="G345" s="78" t="s">
        <v>254</v>
      </c>
      <c r="H345" s="78" t="s">
        <v>250</v>
      </c>
      <c r="I345" s="81" t="n">
        <v>7217.272</v>
      </c>
      <c r="J345" s="81" t="n">
        <v>2922.64</v>
      </c>
      <c r="K345" s="81" t="n">
        <v>1771889000</v>
      </c>
      <c r="L345" s="82" t="n">
        <v>4.19</v>
      </c>
      <c r="M345" s="81" t="n">
        <v>423.9764</v>
      </c>
      <c r="N345" s="81" t="n">
        <v>0</v>
      </c>
      <c r="O345" s="81" t="n">
        <v>34938.008</v>
      </c>
      <c r="P345" s="82" t="n">
        <v>0</v>
      </c>
      <c r="Q345" s="82" t="n">
        <v>374.5</v>
      </c>
      <c r="R345" s="47" t="n">
        <v>19</v>
      </c>
      <c r="S345" s="66" t="s">
        <v>622</v>
      </c>
    </row>
    <row r="346" customFormat="false" ht="15" hidden="false" customHeight="false" outlineLevel="0" collapsed="false">
      <c r="A346" s="78" t="s">
        <v>218</v>
      </c>
      <c r="B346" s="78" t="s">
        <v>292</v>
      </c>
      <c r="C346" s="79" t="n">
        <v>2021</v>
      </c>
      <c r="D346" s="79" t="n">
        <v>3</v>
      </c>
      <c r="E346" s="80" t="n">
        <v>44469</v>
      </c>
      <c r="F346" s="78" t="s">
        <v>253</v>
      </c>
      <c r="G346" s="78" t="s">
        <v>254</v>
      </c>
      <c r="H346" s="78" t="s">
        <v>250</v>
      </c>
      <c r="I346" s="81" t="n">
        <v>6761.092</v>
      </c>
      <c r="J346" s="81" t="n">
        <v>2623.396</v>
      </c>
      <c r="K346" s="81" t="n">
        <v>1551965000</v>
      </c>
      <c r="L346" s="82" t="n">
        <v>3.67</v>
      </c>
      <c r="M346" s="81" t="n">
        <v>424.0414</v>
      </c>
      <c r="N346" s="81" t="n">
        <v>65000</v>
      </c>
      <c r="O346" s="81" t="n">
        <v>32791.573</v>
      </c>
      <c r="P346" s="82" t="n">
        <v>10</v>
      </c>
      <c r="Q346" s="82" t="n">
        <v>310</v>
      </c>
      <c r="R346" s="47" t="n">
        <v>20</v>
      </c>
      <c r="S346" s="66" t="s">
        <v>623</v>
      </c>
    </row>
    <row r="347" customFormat="false" ht="15" hidden="false" customHeight="false" outlineLevel="0" collapsed="false">
      <c r="A347" s="78" t="s">
        <v>218</v>
      </c>
      <c r="B347" s="78" t="s">
        <v>294</v>
      </c>
      <c r="C347" s="79" t="n">
        <v>2021</v>
      </c>
      <c r="D347" s="79" t="n">
        <v>2</v>
      </c>
      <c r="E347" s="80" t="n">
        <v>44377</v>
      </c>
      <c r="F347" s="78" t="s">
        <v>253</v>
      </c>
      <c r="G347" s="78" t="s">
        <v>254</v>
      </c>
      <c r="H347" s="78" t="s">
        <v>250</v>
      </c>
      <c r="I347" s="81" t="n">
        <v>6194.629</v>
      </c>
      <c r="J347" s="81" t="n">
        <v>2212.324</v>
      </c>
      <c r="K347" s="81" t="n">
        <v>979684000</v>
      </c>
      <c r="L347" s="82" t="n">
        <v>2.32</v>
      </c>
      <c r="M347" s="81" t="n">
        <v>424.0414</v>
      </c>
      <c r="N347" s="81" t="n">
        <v>0</v>
      </c>
      <c r="O347" s="81" t="n">
        <v>32727.333</v>
      </c>
      <c r="P347" s="82" t="n">
        <v>0</v>
      </c>
      <c r="Q347" s="82" t="n">
        <v>375</v>
      </c>
      <c r="R347" s="47" t="n">
        <v>21</v>
      </c>
      <c r="S347" s="66" t="s">
        <v>624</v>
      </c>
    </row>
    <row r="348" customFormat="false" ht="15" hidden="false" customHeight="false" outlineLevel="0" collapsed="false">
      <c r="A348" s="78" t="s">
        <v>218</v>
      </c>
      <c r="B348" s="78" t="s">
        <v>296</v>
      </c>
      <c r="C348" s="79" t="n">
        <v>2021</v>
      </c>
      <c r="D348" s="79" t="n">
        <v>1</v>
      </c>
      <c r="E348" s="80" t="n">
        <v>44286</v>
      </c>
      <c r="F348" s="78" t="s">
        <v>253</v>
      </c>
      <c r="G348" s="78" t="s">
        <v>254</v>
      </c>
      <c r="H348" s="78" t="s">
        <v>250</v>
      </c>
      <c r="I348" s="81" t="n">
        <v>6009.383</v>
      </c>
      <c r="J348" s="81" t="n">
        <v>2011.734</v>
      </c>
      <c r="K348" s="81" t="n">
        <v>1151424000</v>
      </c>
      <c r="L348" s="82" t="n">
        <v>2.72</v>
      </c>
      <c r="M348" s="81" t="n">
        <v>424.0414</v>
      </c>
      <c r="N348" s="81" t="n">
        <v>0</v>
      </c>
      <c r="O348" s="81" t="n">
        <v>31643.468</v>
      </c>
      <c r="P348" s="82" t="n">
        <v>0</v>
      </c>
      <c r="Q348" s="82" t="n">
        <v>391</v>
      </c>
      <c r="R348" s="47" t="n">
        <v>22</v>
      </c>
      <c r="S348" s="66" t="s">
        <v>625</v>
      </c>
    </row>
    <row r="349" customFormat="false" ht="15" hidden="false" customHeight="false" outlineLevel="0" collapsed="false">
      <c r="A349" s="78" t="s">
        <v>218</v>
      </c>
      <c r="B349" s="78" t="s">
        <v>298</v>
      </c>
      <c r="C349" s="79" t="n">
        <v>2020</v>
      </c>
      <c r="D349" s="79" t="n">
        <v>4</v>
      </c>
      <c r="E349" s="80" t="n">
        <v>44196</v>
      </c>
      <c r="F349" s="78" t="s">
        <v>253</v>
      </c>
      <c r="G349" s="78" t="s">
        <v>254</v>
      </c>
      <c r="H349" s="78" t="s">
        <v>250</v>
      </c>
      <c r="I349" s="81" t="n">
        <v>6861.08</v>
      </c>
      <c r="J349" s="81" t="n">
        <v>2399.206</v>
      </c>
      <c r="K349" s="81" t="n">
        <v>1295534000</v>
      </c>
      <c r="L349" s="82" t="n">
        <v>3.07</v>
      </c>
      <c r="M349" s="81" t="n">
        <v>424.0564</v>
      </c>
      <c r="N349" s="81" t="n">
        <v>0</v>
      </c>
      <c r="O349" s="81" t="n">
        <v>34077.586</v>
      </c>
      <c r="P349" s="82" t="n">
        <v>0</v>
      </c>
      <c r="Q349" s="82" t="n">
        <v>346</v>
      </c>
      <c r="R349" s="47" t="n">
        <v>23</v>
      </c>
      <c r="S349" s="66" t="s">
        <v>626</v>
      </c>
    </row>
    <row r="350" customFormat="false" ht="15" hidden="false" customHeight="false" outlineLevel="0" collapsed="false">
      <c r="A350" s="78" t="s">
        <v>218</v>
      </c>
      <c r="B350" s="78" t="s">
        <v>300</v>
      </c>
      <c r="C350" s="79" t="n">
        <v>2020</v>
      </c>
      <c r="D350" s="79" t="n">
        <v>3</v>
      </c>
      <c r="E350" s="80" t="n">
        <v>44104</v>
      </c>
      <c r="F350" s="78" t="s">
        <v>253</v>
      </c>
      <c r="G350" s="78" t="s">
        <v>254</v>
      </c>
      <c r="H350" s="78" t="s">
        <v>250</v>
      </c>
      <c r="I350" s="81" t="n">
        <v>6566.378</v>
      </c>
      <c r="J350" s="81" t="n">
        <v>2851.066</v>
      </c>
      <c r="K350" s="81" t="n">
        <v>1978942000</v>
      </c>
      <c r="L350" s="82" t="n">
        <v>4.68</v>
      </c>
      <c r="M350" s="81" t="n">
        <v>424.0564</v>
      </c>
      <c r="N350" s="81" t="n">
        <v>0</v>
      </c>
      <c r="O350" s="81" t="n">
        <v>32000.49</v>
      </c>
      <c r="P350" s="82"/>
      <c r="Q350" s="82" t="n">
        <v>286.5</v>
      </c>
      <c r="R350" s="47" t="n">
        <v>24</v>
      </c>
      <c r="S350" s="66" t="s">
        <v>627</v>
      </c>
    </row>
    <row r="351" customFormat="false" ht="15" hidden="false" customHeight="false" outlineLevel="0" collapsed="false">
      <c r="A351" s="78" t="s">
        <v>200</v>
      </c>
      <c r="B351" s="78" t="s">
        <v>252</v>
      </c>
      <c r="C351" s="79" t="n">
        <v>2026</v>
      </c>
      <c r="D351" s="79" t="n">
        <v>2</v>
      </c>
      <c r="E351" s="80" t="n">
        <v>46203</v>
      </c>
      <c r="F351" s="78" t="s">
        <v>253</v>
      </c>
      <c r="G351" s="78" t="s">
        <v>254</v>
      </c>
      <c r="H351" s="78" t="s">
        <v>250</v>
      </c>
      <c r="I351" s="81" t="n">
        <v>591.851</v>
      </c>
      <c r="J351" s="81" t="n">
        <v>89.928</v>
      </c>
      <c r="K351" s="81" t="n">
        <v>87786000</v>
      </c>
      <c r="L351" s="82" t="n">
        <v>0.93</v>
      </c>
      <c r="M351" s="81" t="n">
        <v>80.5407</v>
      </c>
      <c r="N351" s="81" t="n">
        <v>0</v>
      </c>
      <c r="O351" s="81" t="n">
        <v>3286.121</v>
      </c>
      <c r="P351" s="82" t="n">
        <v>0</v>
      </c>
      <c r="Q351" s="82" t="n">
        <v>792</v>
      </c>
      <c r="R351" s="47" t="n">
        <v>1</v>
      </c>
      <c r="S351" s="66" t="s">
        <v>628</v>
      </c>
    </row>
    <row r="352" customFormat="false" ht="15" hidden="false" customHeight="false" outlineLevel="0" collapsed="false">
      <c r="A352" s="78" t="s">
        <v>200</v>
      </c>
      <c r="B352" s="78" t="s">
        <v>256</v>
      </c>
      <c r="C352" s="79" t="n">
        <v>2026</v>
      </c>
      <c r="D352" s="79" t="n">
        <v>1</v>
      </c>
      <c r="E352" s="80" t="n">
        <v>46112</v>
      </c>
      <c r="F352" s="78" t="s">
        <v>253</v>
      </c>
      <c r="G352" s="78" t="s">
        <v>254</v>
      </c>
      <c r="H352" s="78" t="s">
        <v>250</v>
      </c>
      <c r="I352" s="81" t="n">
        <v>656.095</v>
      </c>
      <c r="J352" s="81" t="n">
        <v>123.71</v>
      </c>
      <c r="K352" s="81" t="n">
        <v>243751000</v>
      </c>
      <c r="L352" s="82" t="n">
        <v>3.03</v>
      </c>
      <c r="M352" s="81" t="n">
        <v>80.5407</v>
      </c>
      <c r="N352" s="81" t="n">
        <v>0</v>
      </c>
      <c r="O352" s="81" t="n">
        <v>3192.94</v>
      </c>
      <c r="P352" s="82" t="n">
        <v>0</v>
      </c>
      <c r="Q352" s="82" t="n">
        <v>788</v>
      </c>
      <c r="R352" s="47" t="n">
        <v>2</v>
      </c>
      <c r="S352" s="66" t="s">
        <v>629</v>
      </c>
    </row>
    <row r="353" customFormat="false" ht="15" hidden="false" customHeight="false" outlineLevel="0" collapsed="false">
      <c r="A353" s="78" t="s">
        <v>200</v>
      </c>
      <c r="B353" s="78" t="s">
        <v>258</v>
      </c>
      <c r="C353" s="79" t="n">
        <v>2025</v>
      </c>
      <c r="D353" s="79" t="n">
        <v>4</v>
      </c>
      <c r="E353" s="80" t="n">
        <v>46022</v>
      </c>
      <c r="F353" s="78" t="s">
        <v>253</v>
      </c>
      <c r="G353" s="78" t="s">
        <v>254</v>
      </c>
      <c r="H353" s="78" t="s">
        <v>250</v>
      </c>
      <c r="I353" s="81" t="n">
        <v>622.905</v>
      </c>
      <c r="J353" s="81" t="n">
        <v>113.767</v>
      </c>
      <c r="K353" s="81" t="n">
        <v>234036000</v>
      </c>
      <c r="L353" s="82" t="n">
        <v>2.9</v>
      </c>
      <c r="M353" s="81" t="n">
        <v>80.5407</v>
      </c>
      <c r="N353" s="81" t="n">
        <v>0</v>
      </c>
      <c r="O353" s="81" t="n">
        <v>3073.169</v>
      </c>
      <c r="P353" s="82" t="n">
        <v>0</v>
      </c>
      <c r="Q353" s="82" t="n">
        <v>398.5</v>
      </c>
      <c r="R353" s="47" t="n">
        <v>3</v>
      </c>
      <c r="S353" s="66" t="s">
        <v>630</v>
      </c>
    </row>
    <row r="354" customFormat="false" ht="15" hidden="false" customHeight="false" outlineLevel="0" collapsed="false">
      <c r="A354" s="78" t="s">
        <v>200</v>
      </c>
      <c r="B354" s="78" t="s">
        <v>260</v>
      </c>
      <c r="C354" s="79" t="n">
        <v>2025</v>
      </c>
      <c r="D354" s="79" t="n">
        <v>3</v>
      </c>
      <c r="E354" s="80" t="n">
        <v>45930</v>
      </c>
      <c r="F354" s="78" t="s">
        <v>253</v>
      </c>
      <c r="G354" s="78" t="s">
        <v>254</v>
      </c>
      <c r="H354" s="78" t="s">
        <v>250</v>
      </c>
      <c r="I354" s="81" t="n">
        <v>540.351</v>
      </c>
      <c r="J354" s="81" t="n">
        <v>102.528</v>
      </c>
      <c r="K354" s="81" t="n">
        <v>223913000</v>
      </c>
      <c r="L354" s="82" t="n">
        <v>2.78</v>
      </c>
      <c r="M354" s="81" t="n">
        <v>80.5407</v>
      </c>
      <c r="N354" s="81" t="n">
        <v>0</v>
      </c>
      <c r="O354" s="81" t="n">
        <v>2814.763</v>
      </c>
      <c r="P354" s="82" t="n">
        <v>0</v>
      </c>
      <c r="Q354" s="82" t="n">
        <v>225</v>
      </c>
      <c r="R354" s="47" t="n">
        <v>4</v>
      </c>
      <c r="S354" s="66" t="s">
        <v>631</v>
      </c>
    </row>
    <row r="355" customFormat="false" ht="15" hidden="false" customHeight="false" outlineLevel="0" collapsed="false">
      <c r="A355" s="78" t="s">
        <v>200</v>
      </c>
      <c r="B355" s="78" t="s">
        <v>262</v>
      </c>
      <c r="C355" s="79" t="n">
        <v>2025</v>
      </c>
      <c r="D355" s="79" t="n">
        <v>2</v>
      </c>
      <c r="E355" s="80" t="n">
        <v>45838</v>
      </c>
      <c r="F355" s="78" t="s">
        <v>253</v>
      </c>
      <c r="G355" s="78" t="s">
        <v>254</v>
      </c>
      <c r="H355" s="78" t="s">
        <v>250</v>
      </c>
      <c r="I355" s="81" t="n">
        <v>538.484</v>
      </c>
      <c r="J355" s="81" t="n">
        <v>92.579</v>
      </c>
      <c r="K355" s="81" t="n">
        <v>-6005000</v>
      </c>
      <c r="L355" s="82" t="n">
        <v>-0.07</v>
      </c>
      <c r="M355" s="81" t="n">
        <v>80.5407</v>
      </c>
      <c r="N355" s="81" t="n">
        <v>0</v>
      </c>
      <c r="O355" s="81" t="n">
        <v>2568.744</v>
      </c>
      <c r="P355" s="82" t="n">
        <v>3</v>
      </c>
      <c r="Q355" s="82" t="n">
        <v>183</v>
      </c>
      <c r="R355" s="47" t="n">
        <v>5</v>
      </c>
      <c r="S355" s="66" t="s">
        <v>632</v>
      </c>
    </row>
    <row r="356" customFormat="false" ht="15" hidden="false" customHeight="false" outlineLevel="0" collapsed="false">
      <c r="A356" s="78" t="s">
        <v>200</v>
      </c>
      <c r="B356" s="78" t="s">
        <v>264</v>
      </c>
      <c r="C356" s="79" t="n">
        <v>2025</v>
      </c>
      <c r="D356" s="79" t="n">
        <v>1</v>
      </c>
      <c r="E356" s="80" t="n">
        <v>45747</v>
      </c>
      <c r="F356" s="78" t="s">
        <v>253</v>
      </c>
      <c r="G356" s="78" t="s">
        <v>254</v>
      </c>
      <c r="H356" s="78" t="s">
        <v>250</v>
      </c>
      <c r="I356" s="81" t="n">
        <v>523.911</v>
      </c>
      <c r="J356" s="81" t="n">
        <v>93.243</v>
      </c>
      <c r="K356" s="81" t="n">
        <v>49205000</v>
      </c>
      <c r="L356" s="82" t="n">
        <v>0.61</v>
      </c>
      <c r="M356" s="81" t="n">
        <v>80.5407</v>
      </c>
      <c r="N356" s="81" t="n">
        <v>0</v>
      </c>
      <c r="O356" s="81" t="n">
        <v>2648.894</v>
      </c>
      <c r="P356" s="82" t="n">
        <v>0</v>
      </c>
      <c r="Q356" s="82" t="n">
        <v>172.5</v>
      </c>
      <c r="R356" s="47" t="n">
        <v>6</v>
      </c>
      <c r="S356" s="66" t="s">
        <v>633</v>
      </c>
    </row>
    <row r="357" customFormat="false" ht="15" hidden="false" customHeight="false" outlineLevel="0" collapsed="false">
      <c r="A357" s="78" t="s">
        <v>200</v>
      </c>
      <c r="B357" s="78" t="s">
        <v>266</v>
      </c>
      <c r="C357" s="79" t="n">
        <v>2024</v>
      </c>
      <c r="D357" s="79" t="n">
        <v>4</v>
      </c>
      <c r="E357" s="80" t="n">
        <v>45657</v>
      </c>
      <c r="F357" s="78" t="s">
        <v>253</v>
      </c>
      <c r="G357" s="78" t="s">
        <v>254</v>
      </c>
      <c r="H357" s="78" t="s">
        <v>250</v>
      </c>
      <c r="I357" s="81" t="n">
        <v>476.6</v>
      </c>
      <c r="J357" s="81" t="n">
        <v>66.994</v>
      </c>
      <c r="K357" s="81" t="n">
        <v>146483000</v>
      </c>
      <c r="L357" s="82" t="n">
        <v>1.82</v>
      </c>
      <c r="M357" s="81" t="n">
        <v>80.5407</v>
      </c>
      <c r="N357" s="81" t="n">
        <v>0</v>
      </c>
      <c r="O357" s="81" t="n">
        <v>2837.169</v>
      </c>
      <c r="P357" s="82" t="n">
        <v>0</v>
      </c>
      <c r="Q357" s="82" t="n">
        <v>141.5</v>
      </c>
      <c r="R357" s="47" t="n">
        <v>7</v>
      </c>
      <c r="S357" s="66" t="s">
        <v>634</v>
      </c>
    </row>
    <row r="358" customFormat="false" ht="15" hidden="false" customHeight="false" outlineLevel="0" collapsed="false">
      <c r="A358" s="78" t="s">
        <v>200</v>
      </c>
      <c r="B358" s="78" t="s">
        <v>268</v>
      </c>
      <c r="C358" s="79" t="n">
        <v>2024</v>
      </c>
      <c r="D358" s="79" t="n">
        <v>3</v>
      </c>
      <c r="E358" s="80" t="n">
        <v>45565</v>
      </c>
      <c r="F358" s="78" t="s">
        <v>253</v>
      </c>
      <c r="G358" s="78" t="s">
        <v>254</v>
      </c>
      <c r="H358" s="78" t="s">
        <v>250</v>
      </c>
      <c r="I358" s="81" t="n">
        <v>456.423</v>
      </c>
      <c r="J358" s="81" t="n">
        <v>40.882</v>
      </c>
      <c r="K358" s="81" t="n">
        <v>21751000</v>
      </c>
      <c r="L358" s="82" t="n">
        <v>0.27</v>
      </c>
      <c r="M358" s="81" t="n">
        <v>80.5407</v>
      </c>
      <c r="N358" s="81" t="n">
        <v>0</v>
      </c>
      <c r="O358" s="81" t="n">
        <v>2674.148</v>
      </c>
      <c r="P358" s="82" t="n">
        <v>0</v>
      </c>
      <c r="Q358" s="82" t="n">
        <v>157.5</v>
      </c>
      <c r="R358" s="47" t="n">
        <v>8</v>
      </c>
      <c r="S358" s="66" t="s">
        <v>635</v>
      </c>
    </row>
    <row r="359" customFormat="false" ht="15" hidden="false" customHeight="false" outlineLevel="0" collapsed="false">
      <c r="A359" s="78" t="s">
        <v>200</v>
      </c>
      <c r="B359" s="78" t="s">
        <v>270</v>
      </c>
      <c r="C359" s="79" t="n">
        <v>2024</v>
      </c>
      <c r="D359" s="79" t="n">
        <v>2</v>
      </c>
      <c r="E359" s="80" t="n">
        <v>45473</v>
      </c>
      <c r="F359" s="78" t="s">
        <v>253</v>
      </c>
      <c r="G359" s="78" t="s">
        <v>254</v>
      </c>
      <c r="H359" s="78" t="s">
        <v>250</v>
      </c>
      <c r="I359" s="81" t="n">
        <v>459.447</v>
      </c>
      <c r="J359" s="81" t="n">
        <v>72.122</v>
      </c>
      <c r="K359" s="81" t="n">
        <v>159672000</v>
      </c>
      <c r="L359" s="82" t="n">
        <v>1.98</v>
      </c>
      <c r="M359" s="81" t="n">
        <v>80.5407</v>
      </c>
      <c r="N359" s="81" t="n">
        <v>0</v>
      </c>
      <c r="O359" s="81" t="n">
        <v>2656.906</v>
      </c>
      <c r="P359" s="82" t="n">
        <v>3.6</v>
      </c>
      <c r="Q359" s="82" t="n">
        <v>137</v>
      </c>
      <c r="R359" s="47" t="n">
        <v>9</v>
      </c>
      <c r="S359" s="66" t="s">
        <v>636</v>
      </c>
    </row>
    <row r="360" customFormat="false" ht="15" hidden="false" customHeight="false" outlineLevel="0" collapsed="false">
      <c r="A360" s="78" t="s">
        <v>200</v>
      </c>
      <c r="B360" s="78" t="s">
        <v>272</v>
      </c>
      <c r="C360" s="79" t="n">
        <v>2024</v>
      </c>
      <c r="D360" s="79" t="n">
        <v>1</v>
      </c>
      <c r="E360" s="80" t="n">
        <v>45382</v>
      </c>
      <c r="F360" s="78" t="s">
        <v>253</v>
      </c>
      <c r="G360" s="78" t="s">
        <v>254</v>
      </c>
      <c r="H360" s="78" t="s">
        <v>250</v>
      </c>
      <c r="I360" s="81" t="n">
        <v>548.8</v>
      </c>
      <c r="J360" s="81" t="n">
        <v>98.773</v>
      </c>
      <c r="K360" s="81" t="n">
        <v>135162000</v>
      </c>
      <c r="L360" s="82" t="n">
        <v>1.68</v>
      </c>
      <c r="M360" s="81" t="n">
        <v>80.5407</v>
      </c>
      <c r="N360" s="81" t="n">
        <v>0</v>
      </c>
      <c r="O360" s="81" t="n">
        <v>2494.032</v>
      </c>
      <c r="P360" s="82" t="n">
        <v>0</v>
      </c>
      <c r="Q360" s="82" t="n">
        <v>102</v>
      </c>
      <c r="R360" s="47" t="n">
        <v>10</v>
      </c>
      <c r="S360" s="66" t="s">
        <v>637</v>
      </c>
    </row>
    <row r="361" customFormat="false" ht="15" hidden="false" customHeight="false" outlineLevel="0" collapsed="false">
      <c r="A361" s="78" t="s">
        <v>200</v>
      </c>
      <c r="B361" s="78" t="s">
        <v>274</v>
      </c>
      <c r="C361" s="79" t="n">
        <v>2023</v>
      </c>
      <c r="D361" s="79" t="n">
        <v>4</v>
      </c>
      <c r="E361" s="80" t="n">
        <v>45291</v>
      </c>
      <c r="F361" s="78" t="s">
        <v>253</v>
      </c>
      <c r="G361" s="78" t="s">
        <v>254</v>
      </c>
      <c r="H361" s="78" t="s">
        <v>250</v>
      </c>
      <c r="I361" s="81" t="n">
        <v>804.779</v>
      </c>
      <c r="J361" s="81" t="n">
        <v>166.741</v>
      </c>
      <c r="K361" s="81" t="n">
        <v>45370000</v>
      </c>
      <c r="L361" s="82" t="n">
        <v>0.52</v>
      </c>
      <c r="M361" s="81" t="n">
        <v>80.5407</v>
      </c>
      <c r="N361" s="81" t="n">
        <v>0</v>
      </c>
      <c r="O361" s="81" t="n">
        <v>2617.896</v>
      </c>
      <c r="P361" s="82" t="n">
        <v>0</v>
      </c>
      <c r="Q361" s="82" t="n">
        <v>88.4</v>
      </c>
      <c r="R361" s="47" t="n">
        <v>11</v>
      </c>
      <c r="S361" s="66" t="s">
        <v>638</v>
      </c>
    </row>
    <row r="362" customFormat="false" ht="15" hidden="false" customHeight="false" outlineLevel="0" collapsed="false">
      <c r="A362" s="78" t="s">
        <v>200</v>
      </c>
      <c r="B362" s="78" t="s">
        <v>276</v>
      </c>
      <c r="C362" s="79" t="n">
        <v>2023</v>
      </c>
      <c r="D362" s="79" t="n">
        <v>3</v>
      </c>
      <c r="E362" s="80" t="n">
        <v>45199</v>
      </c>
      <c r="F362" s="78" t="s">
        <v>253</v>
      </c>
      <c r="G362" s="78" t="s">
        <v>254</v>
      </c>
      <c r="H362" s="78" t="s">
        <v>250</v>
      </c>
      <c r="I362" s="81" t="n">
        <v>732.937</v>
      </c>
      <c r="J362" s="81" t="n">
        <v>122.216</v>
      </c>
      <c r="K362" s="81" t="n">
        <v>180803000</v>
      </c>
      <c r="L362" s="82" t="n">
        <v>2.3</v>
      </c>
      <c r="M362" s="81" t="n">
        <v>80.5162</v>
      </c>
      <c r="N362" s="81" t="n">
        <v>0</v>
      </c>
      <c r="O362" s="81" t="n">
        <v>2600.37</v>
      </c>
      <c r="P362" s="82" t="n">
        <v>0</v>
      </c>
      <c r="Q362" s="82" t="n">
        <v>97.1</v>
      </c>
      <c r="R362" s="47" t="n">
        <v>12</v>
      </c>
      <c r="S362" s="66" t="s">
        <v>639</v>
      </c>
    </row>
    <row r="363" customFormat="false" ht="15" hidden="false" customHeight="false" outlineLevel="0" collapsed="false">
      <c r="A363" s="78" t="s">
        <v>200</v>
      </c>
      <c r="B363" s="78" t="s">
        <v>278</v>
      </c>
      <c r="C363" s="79" t="n">
        <v>2023</v>
      </c>
      <c r="D363" s="79" t="n">
        <v>2</v>
      </c>
      <c r="E363" s="80" t="n">
        <v>45107</v>
      </c>
      <c r="F363" s="78" t="s">
        <v>253</v>
      </c>
      <c r="G363" s="78" t="s">
        <v>254</v>
      </c>
      <c r="H363" s="78" t="s">
        <v>250</v>
      </c>
      <c r="I363" s="81" t="n">
        <v>653.314</v>
      </c>
      <c r="J363" s="81" t="n">
        <v>133.089</v>
      </c>
      <c r="K363" s="81" t="n">
        <v>149150000</v>
      </c>
      <c r="L363" s="82" t="n">
        <v>1.98</v>
      </c>
      <c r="M363" s="81" t="n">
        <v>75.2869</v>
      </c>
      <c r="N363" s="81" t="n">
        <v>0</v>
      </c>
      <c r="O363" s="81" t="n">
        <v>2093.375</v>
      </c>
      <c r="P363" s="82" t="n">
        <v>4.2</v>
      </c>
      <c r="Q363" s="82" t="n">
        <v>60.2</v>
      </c>
      <c r="R363" s="47" t="n">
        <v>13</v>
      </c>
      <c r="S363" s="66" t="s">
        <v>640</v>
      </c>
    </row>
    <row r="364" customFormat="false" ht="15" hidden="false" customHeight="false" outlineLevel="0" collapsed="false">
      <c r="A364" s="78" t="s">
        <v>200</v>
      </c>
      <c r="B364" s="78" t="s">
        <v>280</v>
      </c>
      <c r="C364" s="79" t="n">
        <v>2023</v>
      </c>
      <c r="D364" s="79" t="n">
        <v>1</v>
      </c>
      <c r="E364" s="80" t="n">
        <v>45016</v>
      </c>
      <c r="F364" s="78" t="s">
        <v>253</v>
      </c>
      <c r="G364" s="78" t="s">
        <v>254</v>
      </c>
      <c r="H364" s="78" t="s">
        <v>250</v>
      </c>
      <c r="I364" s="81" t="n">
        <v>588.028</v>
      </c>
      <c r="J364" s="81" t="n">
        <v>134.372</v>
      </c>
      <c r="K364" s="81" t="n">
        <v>60459000</v>
      </c>
      <c r="L364" s="82" t="n">
        <v>0.8</v>
      </c>
      <c r="M364" s="81" t="n">
        <v>75.2869</v>
      </c>
      <c r="N364" s="81" t="n">
        <v>0</v>
      </c>
      <c r="O364" s="81" t="n">
        <v>1959.529</v>
      </c>
      <c r="P364" s="82" t="n">
        <v>0</v>
      </c>
      <c r="Q364" s="82" t="n">
        <v>56.5</v>
      </c>
      <c r="R364" s="47" t="n">
        <v>14</v>
      </c>
      <c r="S364" s="66" t="s">
        <v>641</v>
      </c>
    </row>
    <row r="365" customFormat="false" ht="15" hidden="false" customHeight="false" outlineLevel="0" collapsed="false">
      <c r="A365" s="78" t="s">
        <v>200</v>
      </c>
      <c r="B365" s="78" t="s">
        <v>282</v>
      </c>
      <c r="C365" s="79" t="n">
        <v>2022</v>
      </c>
      <c r="D365" s="79" t="n">
        <v>4</v>
      </c>
      <c r="E365" s="80" t="n">
        <v>44926</v>
      </c>
      <c r="F365" s="78" t="s">
        <v>253</v>
      </c>
      <c r="G365" s="78" t="s">
        <v>254</v>
      </c>
      <c r="H365" s="78" t="s">
        <v>250</v>
      </c>
      <c r="I365" s="81" t="n">
        <v>775.222</v>
      </c>
      <c r="J365" s="81" t="n">
        <v>228.962</v>
      </c>
      <c r="K365" s="81" t="n">
        <v>74742000</v>
      </c>
      <c r="L365" s="82" t="n">
        <v>0.99</v>
      </c>
      <c r="M365" s="81" t="n">
        <v>75.2869</v>
      </c>
      <c r="N365" s="81" t="n">
        <v>0</v>
      </c>
      <c r="O365" s="81" t="n">
        <v>2210.315</v>
      </c>
      <c r="P365" s="82" t="n">
        <v>0</v>
      </c>
      <c r="Q365" s="82" t="n">
        <v>49.5</v>
      </c>
      <c r="R365" s="47" t="n">
        <v>15</v>
      </c>
      <c r="S365" s="66" t="s">
        <v>642</v>
      </c>
    </row>
    <row r="366" customFormat="false" ht="15" hidden="false" customHeight="false" outlineLevel="0" collapsed="false">
      <c r="A366" s="78" t="s">
        <v>200</v>
      </c>
      <c r="B366" s="78" t="s">
        <v>284</v>
      </c>
      <c r="C366" s="79" t="n">
        <v>2022</v>
      </c>
      <c r="D366" s="79" t="n">
        <v>3</v>
      </c>
      <c r="E366" s="80" t="n">
        <v>44834</v>
      </c>
      <c r="F366" s="78" t="s">
        <v>253</v>
      </c>
      <c r="G366" s="78" t="s">
        <v>254</v>
      </c>
      <c r="H366" s="78" t="s">
        <v>250</v>
      </c>
      <c r="I366" s="81" t="n">
        <v>763.628</v>
      </c>
      <c r="J366" s="81" t="n">
        <v>204.466</v>
      </c>
      <c r="K366" s="81" t="n">
        <v>180378000</v>
      </c>
      <c r="L366" s="82" t="n">
        <v>2.4</v>
      </c>
      <c r="M366" s="81" t="n">
        <v>75.2869</v>
      </c>
      <c r="N366" s="81" t="n">
        <v>0</v>
      </c>
      <c r="O366" s="81" t="n">
        <v>2137.27</v>
      </c>
      <c r="P366" s="82" t="n">
        <v>0</v>
      </c>
      <c r="Q366" s="82" t="n">
        <v>49.85</v>
      </c>
      <c r="R366" s="47" t="n">
        <v>16</v>
      </c>
      <c r="S366" s="66" t="s">
        <v>643</v>
      </c>
    </row>
    <row r="367" customFormat="false" ht="15" hidden="false" customHeight="false" outlineLevel="0" collapsed="false">
      <c r="A367" s="78" t="s">
        <v>200</v>
      </c>
      <c r="B367" s="78" t="s">
        <v>286</v>
      </c>
      <c r="C367" s="79" t="n">
        <v>2022</v>
      </c>
      <c r="D367" s="79" t="n">
        <v>2</v>
      </c>
      <c r="E367" s="80" t="n">
        <v>44742</v>
      </c>
      <c r="F367" s="78" t="s">
        <v>253</v>
      </c>
      <c r="G367" s="78" t="s">
        <v>254</v>
      </c>
      <c r="H367" s="78" t="s">
        <v>250</v>
      </c>
      <c r="I367" s="81" t="n">
        <v>962.47</v>
      </c>
      <c r="J367" s="81" t="n">
        <v>240.008</v>
      </c>
      <c r="K367" s="81" t="n">
        <v>150426000</v>
      </c>
      <c r="L367" s="82" t="n">
        <v>2</v>
      </c>
      <c r="M367" s="81" t="n">
        <v>75.2869</v>
      </c>
      <c r="N367" s="81" t="n">
        <v>0</v>
      </c>
      <c r="O367" s="81" t="n">
        <v>1946.838</v>
      </c>
      <c r="P367" s="82" t="n">
        <v>1</v>
      </c>
      <c r="Q367" s="82" t="n">
        <v>44</v>
      </c>
      <c r="R367" s="47" t="n">
        <v>17</v>
      </c>
      <c r="S367" s="66" t="s">
        <v>644</v>
      </c>
    </row>
    <row r="368" customFormat="false" ht="15" hidden="false" customHeight="false" outlineLevel="0" collapsed="false">
      <c r="A368" s="78" t="s">
        <v>200</v>
      </c>
      <c r="B368" s="78" t="s">
        <v>288</v>
      </c>
      <c r="C368" s="79" t="n">
        <v>2022</v>
      </c>
      <c r="D368" s="79" t="n">
        <v>1</v>
      </c>
      <c r="E368" s="80" t="n">
        <v>44651</v>
      </c>
      <c r="F368" s="78" t="s">
        <v>253</v>
      </c>
      <c r="G368" s="78" t="s">
        <v>254</v>
      </c>
      <c r="H368" s="78" t="s">
        <v>250</v>
      </c>
      <c r="I368" s="81" t="n">
        <v>709.252</v>
      </c>
      <c r="J368" s="81" t="n">
        <v>121.525</v>
      </c>
      <c r="K368" s="81" t="n">
        <v>46037000</v>
      </c>
      <c r="L368" s="82" t="n">
        <v>0.61</v>
      </c>
      <c r="M368" s="81" t="n">
        <v>75.2869</v>
      </c>
      <c r="N368" s="81" t="n">
        <v>0</v>
      </c>
      <c r="O368" s="81" t="n">
        <v>1815.805</v>
      </c>
      <c r="P368" s="82" t="n">
        <v>0</v>
      </c>
      <c r="Q368" s="82" t="n">
        <v>47.85</v>
      </c>
      <c r="R368" s="47" t="n">
        <v>18</v>
      </c>
      <c r="S368" s="66" t="s">
        <v>645</v>
      </c>
    </row>
    <row r="369" customFormat="false" ht="15" hidden="false" customHeight="false" outlineLevel="0" collapsed="false">
      <c r="A369" s="78" t="s">
        <v>200</v>
      </c>
      <c r="B369" s="78" t="s">
        <v>290</v>
      </c>
      <c r="C369" s="79" t="n">
        <v>2021</v>
      </c>
      <c r="D369" s="79" t="n">
        <v>4</v>
      </c>
      <c r="E369" s="80" t="n">
        <v>44561</v>
      </c>
      <c r="F369" s="78" t="s">
        <v>253</v>
      </c>
      <c r="G369" s="78" t="s">
        <v>254</v>
      </c>
      <c r="H369" s="78" t="s">
        <v>250</v>
      </c>
      <c r="I369" s="81" t="n">
        <v>662.294</v>
      </c>
      <c r="J369" s="81" t="n">
        <v>127.55</v>
      </c>
      <c r="K369" s="81" t="n">
        <v>57830000</v>
      </c>
      <c r="L369" s="82" t="n">
        <v>0.77</v>
      </c>
      <c r="M369" s="81" t="n">
        <v>75.2869</v>
      </c>
      <c r="N369" s="81" t="n">
        <v>0</v>
      </c>
      <c r="O369" s="81" t="n">
        <v>1814.243</v>
      </c>
      <c r="P369" s="82" t="n">
        <v>0</v>
      </c>
      <c r="Q369" s="82" t="n">
        <v>42.05</v>
      </c>
      <c r="R369" s="47" t="n">
        <v>19</v>
      </c>
      <c r="S369" s="66" t="s">
        <v>646</v>
      </c>
    </row>
    <row r="370" customFormat="false" ht="15" hidden="false" customHeight="false" outlineLevel="0" collapsed="false">
      <c r="A370" s="78" t="s">
        <v>200</v>
      </c>
      <c r="B370" s="78" t="s">
        <v>292</v>
      </c>
      <c r="C370" s="79" t="n">
        <v>2021</v>
      </c>
      <c r="D370" s="79" t="n">
        <v>3</v>
      </c>
      <c r="E370" s="80" t="n">
        <v>44469</v>
      </c>
      <c r="F370" s="78" t="s">
        <v>253</v>
      </c>
      <c r="G370" s="78" t="s">
        <v>254</v>
      </c>
      <c r="H370" s="78" t="s">
        <v>250</v>
      </c>
      <c r="I370" s="81" t="n">
        <v>544.195</v>
      </c>
      <c r="J370" s="81" t="n">
        <v>75.448</v>
      </c>
      <c r="K370" s="81" t="n">
        <v>16021000</v>
      </c>
      <c r="L370" s="82" t="n">
        <v>0.21</v>
      </c>
      <c r="M370" s="81" t="n">
        <v>75.2869</v>
      </c>
      <c r="N370" s="81" t="n">
        <v>0</v>
      </c>
      <c r="O370" s="81" t="n">
        <v>1747.814</v>
      </c>
      <c r="P370" s="82" t="n">
        <v>2.5</v>
      </c>
      <c r="Q370" s="82" t="n">
        <v>37.95</v>
      </c>
      <c r="R370" s="47" t="n">
        <v>20</v>
      </c>
      <c r="S370" s="66" t="s">
        <v>647</v>
      </c>
    </row>
    <row r="371" customFormat="false" ht="15" hidden="false" customHeight="false" outlineLevel="0" collapsed="false">
      <c r="A371" s="78" t="s">
        <v>200</v>
      </c>
      <c r="B371" s="78" t="s">
        <v>294</v>
      </c>
      <c r="C371" s="79" t="n">
        <v>2021</v>
      </c>
      <c r="D371" s="79" t="n">
        <v>2</v>
      </c>
      <c r="E371" s="80" t="n">
        <v>44377</v>
      </c>
      <c r="F371" s="78" t="s">
        <v>253</v>
      </c>
      <c r="G371" s="78" t="s">
        <v>254</v>
      </c>
      <c r="H371" s="78" t="s">
        <v>250</v>
      </c>
      <c r="I371" s="81" t="n">
        <v>574.046</v>
      </c>
      <c r="J371" s="81" t="n">
        <v>100.838</v>
      </c>
      <c r="K371" s="81" t="n">
        <v>17140000</v>
      </c>
      <c r="L371" s="82" t="n">
        <v>0.23</v>
      </c>
      <c r="M371" s="81" t="n">
        <v>75.2869</v>
      </c>
      <c r="N371" s="81" t="n">
        <v>0</v>
      </c>
      <c r="O371" s="81" t="n">
        <v>1740.385</v>
      </c>
      <c r="P371" s="82" t="n">
        <v>0</v>
      </c>
      <c r="Q371" s="82" t="n">
        <v>44.7</v>
      </c>
      <c r="R371" s="47" t="n">
        <v>21</v>
      </c>
      <c r="S371" s="66" t="s">
        <v>648</v>
      </c>
    </row>
    <row r="372" customFormat="false" ht="15" hidden="false" customHeight="false" outlineLevel="0" collapsed="false">
      <c r="A372" s="78" t="s">
        <v>200</v>
      </c>
      <c r="B372" s="78" t="s">
        <v>296</v>
      </c>
      <c r="C372" s="79" t="n">
        <v>2021</v>
      </c>
      <c r="D372" s="79" t="n">
        <v>1</v>
      </c>
      <c r="E372" s="80" t="n">
        <v>44286</v>
      </c>
      <c r="F372" s="78" t="s">
        <v>253</v>
      </c>
      <c r="G372" s="78" t="s">
        <v>254</v>
      </c>
      <c r="H372" s="78" t="s">
        <v>250</v>
      </c>
      <c r="I372" s="81" t="n">
        <v>515.917</v>
      </c>
      <c r="J372" s="81" t="n">
        <v>61.896</v>
      </c>
      <c r="K372" s="81" t="n">
        <v>-9347000</v>
      </c>
      <c r="L372" s="82" t="n">
        <v>-0.13</v>
      </c>
      <c r="M372" s="81" t="n">
        <v>75.2869</v>
      </c>
      <c r="N372" s="81" t="n">
        <v>0</v>
      </c>
      <c r="O372" s="81" t="n">
        <v>1728.076</v>
      </c>
      <c r="P372" s="82" t="n">
        <v>0</v>
      </c>
      <c r="Q372" s="82" t="n">
        <v>54.9</v>
      </c>
      <c r="R372" s="47" t="n">
        <v>22</v>
      </c>
      <c r="S372" s="66" t="s">
        <v>649</v>
      </c>
    </row>
    <row r="373" customFormat="false" ht="15" hidden="false" customHeight="false" outlineLevel="0" collapsed="false">
      <c r="A373" s="78" t="s">
        <v>200</v>
      </c>
      <c r="B373" s="78" t="s">
        <v>298</v>
      </c>
      <c r="C373" s="79" t="n">
        <v>2020</v>
      </c>
      <c r="D373" s="79" t="n">
        <v>4</v>
      </c>
      <c r="E373" s="80" t="n">
        <v>44196</v>
      </c>
      <c r="F373" s="78" t="s">
        <v>253</v>
      </c>
      <c r="G373" s="78" t="s">
        <v>254</v>
      </c>
      <c r="H373" s="78" t="s">
        <v>250</v>
      </c>
      <c r="I373" s="81" t="n">
        <v>715.883</v>
      </c>
      <c r="J373" s="81" t="n">
        <v>142.757</v>
      </c>
      <c r="K373" s="81" t="n">
        <v>26293000</v>
      </c>
      <c r="L373" s="82" t="n">
        <v>0.34</v>
      </c>
      <c r="M373" s="81" t="n">
        <v>75.2869</v>
      </c>
      <c r="N373" s="81" t="n">
        <v>1282000</v>
      </c>
      <c r="O373" s="81" t="n">
        <v>1875.695</v>
      </c>
      <c r="P373" s="82" t="n">
        <v>0</v>
      </c>
      <c r="Q373" s="82" t="n">
        <v>53</v>
      </c>
      <c r="R373" s="47" t="n">
        <v>23</v>
      </c>
      <c r="S373" s="66" t="s">
        <v>650</v>
      </c>
    </row>
    <row r="374" customFormat="false" ht="15" hidden="false" customHeight="false" outlineLevel="0" collapsed="false">
      <c r="A374" s="78" t="s">
        <v>200</v>
      </c>
      <c r="B374" s="78" t="s">
        <v>300</v>
      </c>
      <c r="C374" s="79" t="n">
        <v>2020</v>
      </c>
      <c r="D374" s="79" t="n">
        <v>3</v>
      </c>
      <c r="E374" s="80" t="n">
        <v>44104</v>
      </c>
      <c r="F374" s="78" t="s">
        <v>253</v>
      </c>
      <c r="G374" s="78" t="s">
        <v>254</v>
      </c>
      <c r="H374" s="78" t="s">
        <v>250</v>
      </c>
      <c r="I374" s="81" t="n">
        <v>941.795</v>
      </c>
      <c r="J374" s="81" t="n">
        <v>282.401</v>
      </c>
      <c r="K374" s="81" t="n">
        <v>105496000</v>
      </c>
      <c r="L374" s="82" t="n">
        <v>1.43</v>
      </c>
      <c r="M374" s="81" t="n">
        <v>75.2869</v>
      </c>
      <c r="N374" s="81" t="n">
        <v>1282000</v>
      </c>
      <c r="O374" s="81" t="n">
        <v>1793.88</v>
      </c>
      <c r="P374" s="82"/>
      <c r="Q374" s="82" t="n">
        <v>62.8</v>
      </c>
      <c r="R374" s="47" t="n">
        <v>24</v>
      </c>
      <c r="S374" s="66" t="s">
        <v>651</v>
      </c>
    </row>
    <row r="375" customFormat="false" ht="15" hidden="false" customHeight="false" outlineLevel="0" collapsed="false">
      <c r="A375" s="78" t="s">
        <v>204</v>
      </c>
      <c r="B375" s="78" t="s">
        <v>247</v>
      </c>
      <c r="C375" s="79" t="n">
        <v>2026</v>
      </c>
      <c r="D375" s="79" t="n">
        <v>3</v>
      </c>
      <c r="E375" s="80" t="n">
        <v>46295</v>
      </c>
      <c r="F375" s="78" t="s">
        <v>248</v>
      </c>
      <c r="G375" s="78" t="s">
        <v>249</v>
      </c>
      <c r="H375" s="78" t="s">
        <v>250</v>
      </c>
      <c r="I375" s="81"/>
      <c r="J375" s="81"/>
      <c r="K375" s="81"/>
      <c r="L375" s="82" t="n">
        <v>3.18425</v>
      </c>
      <c r="M375" s="81"/>
      <c r="N375" s="81"/>
      <c r="O375" s="81"/>
      <c r="P375" s="82"/>
      <c r="Q375" s="82"/>
      <c r="R375" s="47" t="n">
        <v>0</v>
      </c>
      <c r="S375" s="66" t="s">
        <v>652</v>
      </c>
    </row>
    <row r="376" customFormat="false" ht="15" hidden="false" customHeight="false" outlineLevel="0" collapsed="false">
      <c r="A376" s="78" t="s">
        <v>204</v>
      </c>
      <c r="B376" s="78" t="s">
        <v>252</v>
      </c>
      <c r="C376" s="79" t="n">
        <v>2026</v>
      </c>
      <c r="D376" s="79" t="n">
        <v>2</v>
      </c>
      <c r="E376" s="80" t="n">
        <v>46203</v>
      </c>
      <c r="F376" s="78" t="s">
        <v>253</v>
      </c>
      <c r="G376" s="78" t="s">
        <v>254</v>
      </c>
      <c r="H376" s="78" t="s">
        <v>250</v>
      </c>
      <c r="I376" s="81" t="n">
        <v>12496.254</v>
      </c>
      <c r="J376" s="81" t="n">
        <v>3260.82</v>
      </c>
      <c r="K376" s="81" t="n">
        <v>1310553000</v>
      </c>
      <c r="L376" s="82" t="n">
        <v>2.57</v>
      </c>
      <c r="M376" s="81" t="n">
        <v>526.9104</v>
      </c>
      <c r="N376" s="81" t="n">
        <v>0</v>
      </c>
      <c r="O376" s="81" t="n">
        <v>44466.694</v>
      </c>
      <c r="P376" s="82" t="n">
        <v>0</v>
      </c>
      <c r="Q376" s="82" t="n">
        <v>891</v>
      </c>
      <c r="R376" s="47" t="n">
        <v>1</v>
      </c>
      <c r="S376" s="66" t="s">
        <v>653</v>
      </c>
    </row>
    <row r="377" customFormat="false" ht="15" hidden="false" customHeight="false" outlineLevel="0" collapsed="false">
      <c r="A377" s="78" t="s">
        <v>204</v>
      </c>
      <c r="B377" s="78" t="s">
        <v>256</v>
      </c>
      <c r="C377" s="79" t="n">
        <v>2026</v>
      </c>
      <c r="D377" s="79" t="n">
        <v>1</v>
      </c>
      <c r="E377" s="80" t="n">
        <v>46112</v>
      </c>
      <c r="F377" s="78" t="s">
        <v>253</v>
      </c>
      <c r="G377" s="78" t="s">
        <v>254</v>
      </c>
      <c r="H377" s="78" t="s">
        <v>250</v>
      </c>
      <c r="I377" s="81" t="n">
        <v>11104.965</v>
      </c>
      <c r="J377" s="81" t="n">
        <v>2349.499</v>
      </c>
      <c r="K377" s="81" t="n">
        <v>549232000</v>
      </c>
      <c r="L377" s="82" t="n">
        <v>1.17</v>
      </c>
      <c r="M377" s="81" t="n">
        <v>526.9158</v>
      </c>
      <c r="N377" s="81" t="n">
        <v>0</v>
      </c>
      <c r="O377" s="81" t="n">
        <v>43152.823</v>
      </c>
      <c r="P377" s="82" t="n">
        <v>0</v>
      </c>
      <c r="Q377" s="82" t="n">
        <v>313</v>
      </c>
      <c r="R377" s="47" t="n">
        <v>2</v>
      </c>
      <c r="S377" s="66" t="s">
        <v>654</v>
      </c>
    </row>
    <row r="378" customFormat="false" ht="15" hidden="false" customHeight="false" outlineLevel="0" collapsed="false">
      <c r="A378" s="78" t="s">
        <v>204</v>
      </c>
      <c r="B378" s="78" t="s">
        <v>258</v>
      </c>
      <c r="C378" s="79" t="n">
        <v>2025</v>
      </c>
      <c r="D378" s="79" t="n">
        <v>4</v>
      </c>
      <c r="E378" s="80" t="n">
        <v>46022</v>
      </c>
      <c r="F378" s="78" t="s">
        <v>253</v>
      </c>
      <c r="G378" s="78" t="s">
        <v>254</v>
      </c>
      <c r="H378" s="78" t="s">
        <v>250</v>
      </c>
      <c r="I378" s="81" t="n">
        <v>10811.438</v>
      </c>
      <c r="J378" s="81" t="n">
        <v>2393.395</v>
      </c>
      <c r="K378" s="81" t="n">
        <v>642333000</v>
      </c>
      <c r="L378" s="82" t="n">
        <v>1.41</v>
      </c>
      <c r="M378" s="81" t="n">
        <v>456.792</v>
      </c>
      <c r="N378" s="81" t="n">
        <v>0</v>
      </c>
      <c r="O378" s="81" t="n">
        <v>32731.765</v>
      </c>
      <c r="P378" s="82" t="n">
        <v>0</v>
      </c>
      <c r="Q378" s="82" t="n">
        <v>159</v>
      </c>
      <c r="R378" s="47" t="n">
        <v>3</v>
      </c>
      <c r="S378" s="66" t="s">
        <v>655</v>
      </c>
    </row>
    <row r="379" customFormat="false" ht="15" hidden="false" customHeight="false" outlineLevel="0" collapsed="false">
      <c r="A379" s="78" t="s">
        <v>204</v>
      </c>
      <c r="B379" s="78" t="s">
        <v>260</v>
      </c>
      <c r="C379" s="79" t="n">
        <v>2025</v>
      </c>
      <c r="D379" s="79" t="n">
        <v>3</v>
      </c>
      <c r="E379" s="80" t="n">
        <v>45930</v>
      </c>
      <c r="F379" s="78" t="s">
        <v>253</v>
      </c>
      <c r="G379" s="78" t="s">
        <v>254</v>
      </c>
      <c r="H379" s="78" t="s">
        <v>250</v>
      </c>
      <c r="I379" s="81" t="n">
        <v>10356.188</v>
      </c>
      <c r="J379" s="81" t="n">
        <v>1963.707</v>
      </c>
      <c r="K379" s="81" t="n">
        <v>339339000</v>
      </c>
      <c r="L379" s="82" t="n">
        <v>0.75</v>
      </c>
      <c r="M379" s="81" t="n">
        <v>456.8127</v>
      </c>
      <c r="N379" s="81" t="n">
        <v>0</v>
      </c>
      <c r="O379" s="81" t="n">
        <v>32008.425</v>
      </c>
      <c r="P379" s="82" t="n">
        <v>1.00017193</v>
      </c>
      <c r="Q379" s="82" t="n">
        <v>107.5</v>
      </c>
      <c r="R379" s="47" t="n">
        <v>4</v>
      </c>
      <c r="S379" s="66" t="s">
        <v>656</v>
      </c>
    </row>
    <row r="380" customFormat="false" ht="15" hidden="false" customHeight="false" outlineLevel="0" collapsed="false">
      <c r="A380" s="78" t="s">
        <v>204</v>
      </c>
      <c r="B380" s="78" t="s">
        <v>262</v>
      </c>
      <c r="C380" s="79" t="n">
        <v>2025</v>
      </c>
      <c r="D380" s="79" t="n">
        <v>2</v>
      </c>
      <c r="E380" s="80" t="n">
        <v>45838</v>
      </c>
      <c r="F380" s="78" t="s">
        <v>253</v>
      </c>
      <c r="G380" s="78" t="s">
        <v>254</v>
      </c>
      <c r="H380" s="78" t="s">
        <v>250</v>
      </c>
      <c r="I380" s="81" t="n">
        <v>9563.726</v>
      </c>
      <c r="J380" s="81" t="n">
        <v>2015.768</v>
      </c>
      <c r="K380" s="81" t="n">
        <v>338192000</v>
      </c>
      <c r="L380" s="82" t="n">
        <v>0.74</v>
      </c>
      <c r="M380" s="81" t="n">
        <v>456.5709</v>
      </c>
      <c r="N380" s="81" t="n">
        <v>0</v>
      </c>
      <c r="O380" s="81" t="n">
        <v>31547.318</v>
      </c>
      <c r="P380" s="82" t="n">
        <v>0</v>
      </c>
      <c r="Q380" s="82" t="n">
        <v>83.7</v>
      </c>
      <c r="R380" s="47" t="n">
        <v>5</v>
      </c>
      <c r="S380" s="66" t="s">
        <v>657</v>
      </c>
    </row>
    <row r="381" customFormat="false" ht="15" hidden="false" customHeight="false" outlineLevel="0" collapsed="false">
      <c r="A381" s="78" t="s">
        <v>204</v>
      </c>
      <c r="B381" s="78" t="s">
        <v>264</v>
      </c>
      <c r="C381" s="79" t="n">
        <v>2025</v>
      </c>
      <c r="D381" s="79" t="n">
        <v>1</v>
      </c>
      <c r="E381" s="80" t="n">
        <v>45747</v>
      </c>
      <c r="F381" s="78" t="s">
        <v>253</v>
      </c>
      <c r="G381" s="78" t="s">
        <v>254</v>
      </c>
      <c r="H381" s="78" t="s">
        <v>250</v>
      </c>
      <c r="I381" s="81" t="n">
        <v>8619.744</v>
      </c>
      <c r="J381" s="81" t="n">
        <v>1941.539</v>
      </c>
      <c r="K381" s="81" t="n">
        <v>276072000</v>
      </c>
      <c r="L381" s="82" t="n">
        <v>0.61</v>
      </c>
      <c r="M381" s="81" t="n">
        <v>456.6072</v>
      </c>
      <c r="N381" s="81" t="n">
        <v>0</v>
      </c>
      <c r="O381" s="81" t="n">
        <v>31519.108</v>
      </c>
      <c r="P381" s="82" t="n">
        <v>0</v>
      </c>
      <c r="Q381" s="82" t="n">
        <v>81</v>
      </c>
      <c r="R381" s="47" t="n">
        <v>6</v>
      </c>
      <c r="S381" s="66" t="s">
        <v>658</v>
      </c>
    </row>
    <row r="382" customFormat="false" ht="15" hidden="false" customHeight="false" outlineLevel="0" collapsed="false">
      <c r="A382" s="78" t="s">
        <v>204</v>
      </c>
      <c r="B382" s="78" t="s">
        <v>266</v>
      </c>
      <c r="C382" s="79" t="n">
        <v>2024</v>
      </c>
      <c r="D382" s="79" t="n">
        <v>4</v>
      </c>
      <c r="E382" s="80" t="n">
        <v>45657</v>
      </c>
      <c r="F382" s="78" t="s">
        <v>253</v>
      </c>
      <c r="G382" s="78" t="s">
        <v>254</v>
      </c>
      <c r="H382" s="78" t="s">
        <v>250</v>
      </c>
      <c r="I382" s="81" t="n">
        <v>8042.993</v>
      </c>
      <c r="J382" s="81" t="n">
        <v>2246.342</v>
      </c>
      <c r="K382" s="81" t="n">
        <v>-249438000</v>
      </c>
      <c r="L382" s="82" t="n">
        <v>-0.55</v>
      </c>
      <c r="M382" s="81" t="n">
        <v>456.6494</v>
      </c>
      <c r="N382" s="81" t="n">
        <v>0</v>
      </c>
      <c r="O382" s="81" t="n">
        <v>31652.295</v>
      </c>
      <c r="P382" s="82" t="n">
        <v>0</v>
      </c>
      <c r="Q382" s="82" t="n">
        <v>101</v>
      </c>
      <c r="R382" s="47" t="n">
        <v>7</v>
      </c>
      <c r="S382" s="66" t="s">
        <v>659</v>
      </c>
    </row>
    <row r="383" customFormat="false" ht="15" hidden="false" customHeight="false" outlineLevel="0" collapsed="false">
      <c r="A383" s="78" t="s">
        <v>204</v>
      </c>
      <c r="B383" s="78" t="s">
        <v>268</v>
      </c>
      <c r="C383" s="79" t="n">
        <v>2024</v>
      </c>
      <c r="D383" s="79" t="n">
        <v>3</v>
      </c>
      <c r="E383" s="80" t="n">
        <v>45565</v>
      </c>
      <c r="F383" s="78" t="s">
        <v>253</v>
      </c>
      <c r="G383" s="78" t="s">
        <v>254</v>
      </c>
      <c r="H383" s="78" t="s">
        <v>250</v>
      </c>
      <c r="I383" s="81" t="n">
        <v>8197.12</v>
      </c>
      <c r="J383" s="81" t="n">
        <v>2407.521</v>
      </c>
      <c r="K383" s="81" t="n">
        <v>185268000</v>
      </c>
      <c r="L383" s="82" t="n">
        <v>0.41</v>
      </c>
      <c r="M383" s="81" t="n">
        <v>456.6591</v>
      </c>
      <c r="N383" s="81" t="n">
        <v>0</v>
      </c>
      <c r="O383" s="81" t="n">
        <v>31844.519</v>
      </c>
      <c r="P383" s="82" t="n">
        <v>1.00010784</v>
      </c>
      <c r="Q383" s="82" t="n">
        <v>110</v>
      </c>
      <c r="R383" s="47" t="n">
        <v>8</v>
      </c>
      <c r="S383" s="66" t="s">
        <v>660</v>
      </c>
    </row>
    <row r="384" customFormat="false" ht="15" hidden="false" customHeight="false" outlineLevel="0" collapsed="false">
      <c r="A384" s="78" t="s">
        <v>204</v>
      </c>
      <c r="B384" s="78" t="s">
        <v>270</v>
      </c>
      <c r="C384" s="79" t="n">
        <v>2024</v>
      </c>
      <c r="D384" s="79" t="n">
        <v>2</v>
      </c>
      <c r="E384" s="80" t="n">
        <v>45473</v>
      </c>
      <c r="F384" s="78" t="s">
        <v>253</v>
      </c>
      <c r="G384" s="78" t="s">
        <v>254</v>
      </c>
      <c r="H384" s="78" t="s">
        <v>250</v>
      </c>
      <c r="I384" s="81" t="n">
        <v>7300.482</v>
      </c>
      <c r="J384" s="81" t="n">
        <v>2123.917</v>
      </c>
      <c r="K384" s="81" t="n">
        <v>88558000</v>
      </c>
      <c r="L384" s="82" t="n">
        <v>0.2</v>
      </c>
      <c r="M384" s="81" t="n">
        <v>454.3741</v>
      </c>
      <c r="N384" s="81" t="n">
        <v>0</v>
      </c>
      <c r="O384" s="81" t="n">
        <v>31497.301</v>
      </c>
      <c r="P384" s="82" t="n">
        <v>0</v>
      </c>
      <c r="Q384" s="82" t="n">
        <v>92.4</v>
      </c>
      <c r="R384" s="47" t="n">
        <v>9</v>
      </c>
      <c r="S384" s="66" t="s">
        <v>661</v>
      </c>
    </row>
    <row r="385" customFormat="false" ht="15" hidden="false" customHeight="false" outlineLevel="0" collapsed="false">
      <c r="A385" s="78" t="s">
        <v>204</v>
      </c>
      <c r="B385" s="78" t="s">
        <v>272</v>
      </c>
      <c r="C385" s="79" t="n">
        <v>2024</v>
      </c>
      <c r="D385" s="79" t="n">
        <v>1</v>
      </c>
      <c r="E385" s="80" t="n">
        <v>45382</v>
      </c>
      <c r="F385" s="78" t="s">
        <v>253</v>
      </c>
      <c r="G385" s="78" t="s">
        <v>254</v>
      </c>
      <c r="H385" s="78" t="s">
        <v>250</v>
      </c>
      <c r="I385" s="81" t="n">
        <v>6994.384</v>
      </c>
      <c r="J385" s="81" t="n">
        <v>1889.945</v>
      </c>
      <c r="K385" s="81" t="n">
        <v>24501000</v>
      </c>
      <c r="L385" s="82" t="n">
        <v>0.05</v>
      </c>
      <c r="M385" s="81" t="n">
        <v>454.4231</v>
      </c>
      <c r="N385" s="81" t="n">
        <v>0</v>
      </c>
      <c r="O385" s="81" t="n">
        <v>31386.065</v>
      </c>
      <c r="P385" s="82" t="n">
        <v>0</v>
      </c>
      <c r="Q385" s="82" t="n">
        <v>98.7</v>
      </c>
      <c r="R385" s="47" t="n">
        <v>10</v>
      </c>
      <c r="S385" s="66" t="s">
        <v>662</v>
      </c>
    </row>
    <row r="386" customFormat="false" ht="15" hidden="false" customHeight="false" outlineLevel="0" collapsed="false">
      <c r="A386" s="78" t="s">
        <v>204</v>
      </c>
      <c r="B386" s="78" t="s">
        <v>274</v>
      </c>
      <c r="C386" s="79" t="n">
        <v>2023</v>
      </c>
      <c r="D386" s="79" t="n">
        <v>4</v>
      </c>
      <c r="E386" s="80" t="n">
        <v>45291</v>
      </c>
      <c r="F386" s="78" t="s">
        <v>253</v>
      </c>
      <c r="G386" s="78" t="s">
        <v>254</v>
      </c>
      <c r="H386" s="78" t="s">
        <v>250</v>
      </c>
      <c r="I386" s="81" t="n">
        <v>7489.463</v>
      </c>
      <c r="J386" s="81" t="n">
        <v>2311.784</v>
      </c>
      <c r="K386" s="81" t="n">
        <v>363384000</v>
      </c>
      <c r="L386" s="82" t="n">
        <v>0.81</v>
      </c>
      <c r="M386" s="81" t="n">
        <v>454.4231</v>
      </c>
      <c r="N386" s="81" t="n">
        <v>0</v>
      </c>
      <c r="O386" s="81" t="n">
        <v>31694.889</v>
      </c>
      <c r="P386" s="82" t="n">
        <v>0</v>
      </c>
      <c r="Q386" s="82" t="n">
        <v>99.7</v>
      </c>
      <c r="R386" s="47" t="n">
        <v>11</v>
      </c>
      <c r="S386" s="66" t="s">
        <v>663</v>
      </c>
    </row>
    <row r="387" customFormat="false" ht="15" hidden="false" customHeight="false" outlineLevel="0" collapsed="false">
      <c r="A387" s="78" t="s">
        <v>204</v>
      </c>
      <c r="B387" s="78" t="s">
        <v>276</v>
      </c>
      <c r="C387" s="79" t="n">
        <v>2023</v>
      </c>
      <c r="D387" s="79" t="n">
        <v>3</v>
      </c>
      <c r="E387" s="80" t="n">
        <v>45199</v>
      </c>
      <c r="F387" s="78" t="s">
        <v>253</v>
      </c>
      <c r="G387" s="78" t="s">
        <v>254</v>
      </c>
      <c r="H387" s="78" t="s">
        <v>250</v>
      </c>
      <c r="I387" s="81" t="n">
        <v>6045.775</v>
      </c>
      <c r="J387" s="81" t="n">
        <v>1364.149</v>
      </c>
      <c r="K387" s="81" t="n">
        <v>-343033000</v>
      </c>
      <c r="L387" s="82" t="n">
        <v>-0.76</v>
      </c>
      <c r="M387" s="81" t="n">
        <v>454.4671</v>
      </c>
      <c r="N387" s="81" t="n">
        <v>0</v>
      </c>
      <c r="O387" s="81" t="n">
        <v>31453.101</v>
      </c>
      <c r="P387" s="82" t="n">
        <v>6.47563615</v>
      </c>
      <c r="Q387" s="82" t="n">
        <v>108.5</v>
      </c>
      <c r="R387" s="47" t="n">
        <v>12</v>
      </c>
      <c r="S387" s="66" t="s">
        <v>664</v>
      </c>
    </row>
    <row r="388" customFormat="false" ht="15" hidden="false" customHeight="false" outlineLevel="0" collapsed="false">
      <c r="A388" s="78" t="s">
        <v>204</v>
      </c>
      <c r="B388" s="78" t="s">
        <v>278</v>
      </c>
      <c r="C388" s="79" t="n">
        <v>2023</v>
      </c>
      <c r="D388" s="79" t="n">
        <v>2</v>
      </c>
      <c r="E388" s="80" t="n">
        <v>45107</v>
      </c>
      <c r="F388" s="78" t="s">
        <v>253</v>
      </c>
      <c r="G388" s="78" t="s">
        <v>254</v>
      </c>
      <c r="H388" s="78" t="s">
        <v>250</v>
      </c>
      <c r="I388" s="81" t="n">
        <v>6462.205</v>
      </c>
      <c r="J388" s="81" t="n">
        <v>1480.509</v>
      </c>
      <c r="K388" s="81" t="n">
        <v>19151000</v>
      </c>
      <c r="L388" s="82" t="n">
        <v>0.04</v>
      </c>
      <c r="M388" s="81" t="n">
        <v>454.4991</v>
      </c>
      <c r="N388" s="81" t="n">
        <v>24500</v>
      </c>
      <c r="O388" s="81" t="n">
        <v>31515.021</v>
      </c>
      <c r="P388" s="82" t="n">
        <v>0</v>
      </c>
      <c r="Q388" s="82" t="n">
        <v>116.5</v>
      </c>
      <c r="R388" s="47" t="n">
        <v>13</v>
      </c>
      <c r="S388" s="66" t="s">
        <v>665</v>
      </c>
    </row>
    <row r="389" customFormat="false" ht="15" hidden="false" customHeight="false" outlineLevel="0" collapsed="false">
      <c r="A389" s="78" t="s">
        <v>204</v>
      </c>
      <c r="B389" s="78" t="s">
        <v>280</v>
      </c>
      <c r="C389" s="79" t="n">
        <v>2023</v>
      </c>
      <c r="D389" s="79" t="n">
        <v>1</v>
      </c>
      <c r="E389" s="80" t="n">
        <v>45016</v>
      </c>
      <c r="F389" s="78" t="s">
        <v>253</v>
      </c>
      <c r="G389" s="78" t="s">
        <v>254</v>
      </c>
      <c r="H389" s="78" t="s">
        <v>250</v>
      </c>
      <c r="I389" s="81" t="n">
        <v>6834.744</v>
      </c>
      <c r="J389" s="81" t="n">
        <v>1601.064</v>
      </c>
      <c r="K389" s="81" t="n">
        <v>8014000</v>
      </c>
      <c r="L389" s="82" t="n">
        <v>0.02</v>
      </c>
      <c r="M389" s="81" t="n">
        <v>454.2191</v>
      </c>
      <c r="N389" s="81" t="n">
        <v>0</v>
      </c>
      <c r="O389" s="81" t="n">
        <v>31541.256</v>
      </c>
      <c r="P389" s="82" t="n">
        <v>0</v>
      </c>
      <c r="Q389" s="82" t="n">
        <v>116</v>
      </c>
      <c r="R389" s="47" t="n">
        <v>14</v>
      </c>
      <c r="S389" s="66" t="s">
        <v>666</v>
      </c>
    </row>
    <row r="390" customFormat="false" ht="15" hidden="false" customHeight="false" outlineLevel="0" collapsed="false">
      <c r="A390" s="78" t="s">
        <v>204</v>
      </c>
      <c r="B390" s="78" t="s">
        <v>282</v>
      </c>
      <c r="C390" s="79" t="n">
        <v>2022</v>
      </c>
      <c r="D390" s="79" t="n">
        <v>4</v>
      </c>
      <c r="E390" s="80" t="n">
        <v>44926</v>
      </c>
      <c r="F390" s="78" t="s">
        <v>253</v>
      </c>
      <c r="G390" s="78" t="s">
        <v>254</v>
      </c>
      <c r="H390" s="78" t="s">
        <v>250</v>
      </c>
      <c r="I390" s="81" t="n">
        <v>8614.195</v>
      </c>
      <c r="J390" s="81" t="n">
        <v>3598.905</v>
      </c>
      <c r="K390" s="81" t="n">
        <v>1191084000</v>
      </c>
      <c r="L390" s="82" t="n">
        <v>2.64</v>
      </c>
      <c r="M390" s="81" t="n">
        <v>452.7761</v>
      </c>
      <c r="N390" s="81" t="n">
        <v>5000</v>
      </c>
      <c r="O390" s="81" t="n">
        <v>34321.7</v>
      </c>
      <c r="P390" s="82" t="n">
        <v>0</v>
      </c>
      <c r="Q390" s="82" t="n">
        <v>104.5</v>
      </c>
      <c r="R390" s="47" t="n">
        <v>15</v>
      </c>
      <c r="S390" s="66" t="s">
        <v>667</v>
      </c>
    </row>
    <row r="391" customFormat="false" ht="15" hidden="false" customHeight="false" outlineLevel="0" collapsed="false">
      <c r="A391" s="78" t="s">
        <v>204</v>
      </c>
      <c r="B391" s="78" t="s">
        <v>284</v>
      </c>
      <c r="C391" s="79" t="n">
        <v>2022</v>
      </c>
      <c r="D391" s="79" t="n">
        <v>3</v>
      </c>
      <c r="E391" s="80" t="n">
        <v>44834</v>
      </c>
      <c r="F391" s="78" t="s">
        <v>253</v>
      </c>
      <c r="G391" s="78" t="s">
        <v>254</v>
      </c>
      <c r="H391" s="78" t="s">
        <v>250</v>
      </c>
      <c r="I391" s="81" t="n">
        <v>11544.421</v>
      </c>
      <c r="J391" s="81" t="n">
        <v>4497.867</v>
      </c>
      <c r="K391" s="81" t="n">
        <v>2160635000</v>
      </c>
      <c r="L391" s="82" t="n">
        <v>4.79</v>
      </c>
      <c r="M391" s="81" t="n">
        <v>452.7761</v>
      </c>
      <c r="N391" s="81" t="n">
        <v>0</v>
      </c>
      <c r="O391" s="81" t="n">
        <v>33123.402</v>
      </c>
      <c r="P391" s="82" t="n">
        <v>4.5</v>
      </c>
      <c r="Q391" s="82" t="n">
        <v>93</v>
      </c>
      <c r="R391" s="47" t="n">
        <v>16</v>
      </c>
      <c r="S391" s="66" t="s">
        <v>668</v>
      </c>
    </row>
    <row r="392" customFormat="false" ht="15" hidden="false" customHeight="false" outlineLevel="0" collapsed="false">
      <c r="A392" s="78" t="s">
        <v>204</v>
      </c>
      <c r="B392" s="78" t="s">
        <v>286</v>
      </c>
      <c r="C392" s="79" t="n">
        <v>2022</v>
      </c>
      <c r="D392" s="79" t="n">
        <v>2</v>
      </c>
      <c r="E392" s="80" t="n">
        <v>44742</v>
      </c>
      <c r="F392" s="78" t="s">
        <v>253</v>
      </c>
      <c r="G392" s="78" t="s">
        <v>254</v>
      </c>
      <c r="H392" s="78" t="s">
        <v>250</v>
      </c>
      <c r="I392" s="81" t="n">
        <v>11453.611</v>
      </c>
      <c r="J392" s="81" t="n">
        <v>4249.263</v>
      </c>
      <c r="K392" s="81" t="n">
        <v>2095669000</v>
      </c>
      <c r="L392" s="82" t="n">
        <v>4.65</v>
      </c>
      <c r="M392" s="81" t="n">
        <v>450.8441</v>
      </c>
      <c r="N392" s="81" t="n">
        <v>0</v>
      </c>
      <c r="O392" s="81" t="n">
        <v>30721.715</v>
      </c>
      <c r="P392" s="82" t="n">
        <v>0</v>
      </c>
      <c r="Q392" s="82" t="n">
        <v>142.5</v>
      </c>
      <c r="R392" s="47" t="n">
        <v>17</v>
      </c>
      <c r="S392" s="66" t="s">
        <v>669</v>
      </c>
    </row>
    <row r="393" customFormat="false" ht="15" hidden="false" customHeight="false" outlineLevel="0" collapsed="false">
      <c r="A393" s="78" t="s">
        <v>204</v>
      </c>
      <c r="B393" s="78" t="s">
        <v>288</v>
      </c>
      <c r="C393" s="79" t="n">
        <v>2022</v>
      </c>
      <c r="D393" s="79" t="n">
        <v>1</v>
      </c>
      <c r="E393" s="80" t="n">
        <v>44651</v>
      </c>
      <c r="F393" s="78" t="s">
        <v>253</v>
      </c>
      <c r="G393" s="78" t="s">
        <v>254</v>
      </c>
      <c r="H393" s="78" t="s">
        <v>250</v>
      </c>
      <c r="I393" s="81" t="n">
        <v>10014.259</v>
      </c>
      <c r="J393" s="81" t="n">
        <v>3522.28</v>
      </c>
      <c r="K393" s="81" t="n">
        <v>1529404000</v>
      </c>
      <c r="L393" s="82" t="n">
        <v>3.39</v>
      </c>
      <c r="M393" s="81" t="n">
        <v>450.8441</v>
      </c>
      <c r="N393" s="81" t="n">
        <v>0</v>
      </c>
      <c r="O393" s="81" t="n">
        <v>28671.921</v>
      </c>
      <c r="P393" s="82" t="n">
        <v>0</v>
      </c>
      <c r="Q393" s="82" t="n">
        <v>194.5</v>
      </c>
      <c r="R393" s="47" t="n">
        <v>18</v>
      </c>
      <c r="S393" s="66" t="s">
        <v>670</v>
      </c>
    </row>
    <row r="394" customFormat="false" ht="15" hidden="false" customHeight="false" outlineLevel="0" collapsed="false">
      <c r="A394" s="78" t="s">
        <v>204</v>
      </c>
      <c r="B394" s="78" t="s">
        <v>290</v>
      </c>
      <c r="C394" s="79" t="n">
        <v>2021</v>
      </c>
      <c r="D394" s="79" t="n">
        <v>4</v>
      </c>
      <c r="E394" s="80" t="n">
        <v>44561</v>
      </c>
      <c r="F394" s="78" t="s">
        <v>253</v>
      </c>
      <c r="G394" s="78" t="s">
        <v>254</v>
      </c>
      <c r="H394" s="78" t="s">
        <v>250</v>
      </c>
      <c r="I394" s="81" t="n">
        <v>9953.739</v>
      </c>
      <c r="J394" s="81" t="n">
        <v>3341.276</v>
      </c>
      <c r="K394" s="81" t="n">
        <v>1363132000</v>
      </c>
      <c r="L394" s="82" t="n">
        <v>3.02</v>
      </c>
      <c r="M394" s="81" t="n">
        <v>450.8441</v>
      </c>
      <c r="N394" s="81" t="n">
        <v>0</v>
      </c>
      <c r="O394" s="81" t="n">
        <v>29069.332</v>
      </c>
      <c r="P394" s="82" t="n">
        <v>0</v>
      </c>
      <c r="Q394" s="82" t="n">
        <v>233</v>
      </c>
      <c r="R394" s="47" t="n">
        <v>19</v>
      </c>
      <c r="S394" s="66" t="s">
        <v>671</v>
      </c>
    </row>
    <row r="395" customFormat="false" ht="15" hidden="false" customHeight="false" outlineLevel="0" collapsed="false">
      <c r="A395" s="78" t="s">
        <v>204</v>
      </c>
      <c r="B395" s="78" t="s">
        <v>292</v>
      </c>
      <c r="C395" s="79" t="n">
        <v>2021</v>
      </c>
      <c r="D395" s="79" t="n">
        <v>3</v>
      </c>
      <c r="E395" s="80" t="n">
        <v>44469</v>
      </c>
      <c r="F395" s="78" t="s">
        <v>253</v>
      </c>
      <c r="G395" s="78" t="s">
        <v>254</v>
      </c>
      <c r="H395" s="78" t="s">
        <v>250</v>
      </c>
      <c r="I395" s="81" t="n">
        <v>9767.683</v>
      </c>
      <c r="J395" s="81" t="n">
        <v>3221.739</v>
      </c>
      <c r="K395" s="81" t="n">
        <v>1384821000</v>
      </c>
      <c r="L395" s="82" t="n">
        <v>3.07</v>
      </c>
      <c r="M395" s="81" t="n">
        <v>450.8441</v>
      </c>
      <c r="N395" s="81" t="n">
        <v>0</v>
      </c>
      <c r="O395" s="81" t="n">
        <v>27674.388</v>
      </c>
      <c r="P395" s="82" t="n">
        <v>1.00000735</v>
      </c>
      <c r="Q395" s="82" t="n">
        <v>202</v>
      </c>
      <c r="R395" s="47" t="n">
        <v>20</v>
      </c>
      <c r="S395" s="66" t="s">
        <v>672</v>
      </c>
    </row>
    <row r="396" customFormat="false" ht="15" hidden="false" customHeight="false" outlineLevel="0" collapsed="false">
      <c r="A396" s="78" t="s">
        <v>204</v>
      </c>
      <c r="B396" s="78" t="s">
        <v>294</v>
      </c>
      <c r="C396" s="79" t="n">
        <v>2021</v>
      </c>
      <c r="D396" s="79" t="n">
        <v>2</v>
      </c>
      <c r="E396" s="80" t="n">
        <v>44377</v>
      </c>
      <c r="F396" s="78" t="s">
        <v>253</v>
      </c>
      <c r="G396" s="78" t="s">
        <v>254</v>
      </c>
      <c r="H396" s="78" t="s">
        <v>250</v>
      </c>
      <c r="I396" s="81" t="n">
        <v>8725.355</v>
      </c>
      <c r="J396" s="81" t="n">
        <v>2364.625</v>
      </c>
      <c r="K396" s="81" t="n">
        <v>852908000</v>
      </c>
      <c r="L396" s="82" t="n">
        <v>1.89</v>
      </c>
      <c r="M396" s="81" t="n">
        <v>450.8441</v>
      </c>
      <c r="N396" s="81" t="n">
        <v>0</v>
      </c>
      <c r="O396" s="81" t="n">
        <v>26298.99</v>
      </c>
      <c r="P396" s="82" t="n">
        <v>0</v>
      </c>
      <c r="Q396" s="82" t="n">
        <v>135</v>
      </c>
      <c r="R396" s="47" t="n">
        <v>21</v>
      </c>
      <c r="S396" s="66" t="s">
        <v>673</v>
      </c>
    </row>
    <row r="397" customFormat="false" ht="15" hidden="false" customHeight="false" outlineLevel="0" collapsed="false">
      <c r="A397" s="78" t="s">
        <v>204</v>
      </c>
      <c r="B397" s="78" t="s">
        <v>296</v>
      </c>
      <c r="C397" s="79" t="n">
        <v>2021</v>
      </c>
      <c r="D397" s="79" t="n">
        <v>1</v>
      </c>
      <c r="E397" s="80" t="n">
        <v>44286</v>
      </c>
      <c r="F397" s="78" t="s">
        <v>253</v>
      </c>
      <c r="G397" s="78" t="s">
        <v>254</v>
      </c>
      <c r="H397" s="78" t="s">
        <v>250</v>
      </c>
      <c r="I397" s="81" t="n">
        <v>7225.986</v>
      </c>
      <c r="J397" s="81" t="n">
        <v>1598.205</v>
      </c>
      <c r="K397" s="81" t="n">
        <v>258123000</v>
      </c>
      <c r="L397" s="82" t="n">
        <v>0.57</v>
      </c>
      <c r="M397" s="81" t="n">
        <v>450.8473</v>
      </c>
      <c r="N397" s="81" t="n">
        <v>3315</v>
      </c>
      <c r="O397" s="81" t="n">
        <v>25467.585</v>
      </c>
      <c r="P397" s="82" t="n">
        <v>0</v>
      </c>
      <c r="Q397" s="82" t="n">
        <v>112</v>
      </c>
      <c r="R397" s="47" t="n">
        <v>22</v>
      </c>
      <c r="S397" s="66" t="s">
        <v>674</v>
      </c>
    </row>
    <row r="398" customFormat="false" ht="15" hidden="false" customHeight="false" outlineLevel="0" collapsed="false">
      <c r="A398" s="78" t="s">
        <v>204</v>
      </c>
      <c r="B398" s="78" t="s">
        <v>298</v>
      </c>
      <c r="C398" s="79" t="n">
        <v>2020</v>
      </c>
      <c r="D398" s="79" t="n">
        <v>4</v>
      </c>
      <c r="E398" s="80" t="n">
        <v>44196</v>
      </c>
      <c r="F398" s="78" t="s">
        <v>253</v>
      </c>
      <c r="G398" s="78" t="s">
        <v>254</v>
      </c>
      <c r="H398" s="78" t="s">
        <v>250</v>
      </c>
      <c r="I398" s="81" t="n">
        <v>7548.022</v>
      </c>
      <c r="J398" s="81" t="n">
        <v>1814.825</v>
      </c>
      <c r="K398" s="81" t="n">
        <v>169978000</v>
      </c>
      <c r="L398" s="82" t="n">
        <v>0.38</v>
      </c>
      <c r="M398" s="81" t="n">
        <v>450.8625</v>
      </c>
      <c r="N398" s="81" t="n">
        <v>14265</v>
      </c>
      <c r="O398" s="81" t="n">
        <v>25669.652</v>
      </c>
      <c r="P398" s="82" t="n">
        <v>0</v>
      </c>
      <c r="Q398" s="82" t="n">
        <v>80.9</v>
      </c>
      <c r="R398" s="47" t="n">
        <v>23</v>
      </c>
      <c r="S398" s="66" t="s">
        <v>675</v>
      </c>
    </row>
    <row r="399" customFormat="false" ht="15" hidden="false" customHeight="false" outlineLevel="0" collapsed="false">
      <c r="A399" s="78" t="s">
        <v>204</v>
      </c>
      <c r="B399" s="78" t="s">
        <v>300</v>
      </c>
      <c r="C399" s="79" t="n">
        <v>2020</v>
      </c>
      <c r="D399" s="79" t="n">
        <v>3</v>
      </c>
      <c r="E399" s="80" t="n">
        <v>44104</v>
      </c>
      <c r="F399" s="78" t="s">
        <v>253</v>
      </c>
      <c r="G399" s="78" t="s">
        <v>254</v>
      </c>
      <c r="H399" s="78" t="s">
        <v>250</v>
      </c>
      <c r="I399" s="81" t="n">
        <v>6871.934</v>
      </c>
      <c r="J399" s="81" t="n">
        <v>1435.581</v>
      </c>
      <c r="K399" s="81" t="n">
        <v>59154000</v>
      </c>
      <c r="L399" s="82" t="n">
        <v>0.13</v>
      </c>
      <c r="M399" s="81" t="n">
        <v>450.8753</v>
      </c>
      <c r="N399" s="81" t="n">
        <v>11670</v>
      </c>
      <c r="O399" s="81" t="n">
        <v>25481.078</v>
      </c>
      <c r="P399" s="82"/>
      <c r="Q399" s="82" t="n">
        <v>65.9</v>
      </c>
      <c r="R399" s="47" t="n">
        <v>24</v>
      </c>
      <c r="S399" s="66" t="s">
        <v>676</v>
      </c>
    </row>
    <row r="400" customFormat="false" ht="15" hidden="false" customHeight="false" outlineLevel="0" collapsed="false">
      <c r="A400" s="78" t="s">
        <v>677</v>
      </c>
      <c r="B400" s="78" t="s">
        <v>247</v>
      </c>
      <c r="C400" s="79" t="n">
        <v>2026</v>
      </c>
      <c r="D400" s="79" t="n">
        <v>3</v>
      </c>
      <c r="E400" s="80" t="n">
        <v>46295</v>
      </c>
      <c r="F400" s="78" t="s">
        <v>248</v>
      </c>
      <c r="G400" s="78" t="s">
        <v>249</v>
      </c>
      <c r="H400" s="78" t="s">
        <v>250</v>
      </c>
      <c r="I400" s="81"/>
      <c r="J400" s="81"/>
      <c r="K400" s="81"/>
      <c r="L400" s="82" t="n">
        <v>15.65492</v>
      </c>
      <c r="M400" s="81"/>
      <c r="N400" s="81"/>
      <c r="O400" s="81"/>
      <c r="P400" s="82"/>
      <c r="Q400" s="82"/>
      <c r="R400" s="47" t="n">
        <v>0</v>
      </c>
      <c r="S400" s="66" t="s">
        <v>678</v>
      </c>
    </row>
    <row r="401" customFormat="false" ht="15" hidden="false" customHeight="false" outlineLevel="0" collapsed="false">
      <c r="A401" s="78" t="s">
        <v>677</v>
      </c>
      <c r="B401" s="78" t="s">
        <v>252</v>
      </c>
      <c r="C401" s="79" t="n">
        <v>2026</v>
      </c>
      <c r="D401" s="79" t="n">
        <v>2</v>
      </c>
      <c r="E401" s="80" t="n">
        <v>46203</v>
      </c>
      <c r="F401" s="78" t="s">
        <v>253</v>
      </c>
      <c r="G401" s="78" t="s">
        <v>254</v>
      </c>
      <c r="H401" s="78" t="s">
        <v>250</v>
      </c>
      <c r="I401" s="81" t="n">
        <v>8700.121</v>
      </c>
      <c r="J401" s="81" t="n">
        <v>2472.471</v>
      </c>
      <c r="K401" s="81" t="n">
        <v>968913000</v>
      </c>
      <c r="L401" s="82" t="n">
        <v>10.41</v>
      </c>
      <c r="M401" s="81" t="n">
        <v>93.0768</v>
      </c>
      <c r="N401" s="81" t="n">
        <v>0</v>
      </c>
      <c r="O401" s="81" t="n">
        <v>13264.321</v>
      </c>
      <c r="P401" s="82" t="n">
        <v>11.90330569</v>
      </c>
      <c r="Q401" s="82" t="n">
        <v>1010</v>
      </c>
      <c r="R401" s="47" t="n">
        <v>1</v>
      </c>
      <c r="S401" s="66" t="s">
        <v>679</v>
      </c>
    </row>
    <row r="402" customFormat="false" ht="15" hidden="false" customHeight="false" outlineLevel="0" collapsed="false">
      <c r="A402" s="78" t="s">
        <v>677</v>
      </c>
      <c r="B402" s="78" t="s">
        <v>256</v>
      </c>
      <c r="C402" s="79" t="n">
        <v>2026</v>
      </c>
      <c r="D402" s="79" t="n">
        <v>1</v>
      </c>
      <c r="E402" s="80" t="n">
        <v>46112</v>
      </c>
      <c r="F402" s="78" t="s">
        <v>253</v>
      </c>
      <c r="G402" s="78" t="s">
        <v>254</v>
      </c>
      <c r="H402" s="78" t="s">
        <v>250</v>
      </c>
      <c r="I402" s="81" t="n">
        <v>8551.657</v>
      </c>
      <c r="J402" s="81" t="n">
        <v>2536.523</v>
      </c>
      <c r="K402" s="81" t="n">
        <v>1164048000</v>
      </c>
      <c r="L402" s="82" t="n">
        <v>12.61</v>
      </c>
      <c r="M402" s="81" t="n">
        <v>93.0748</v>
      </c>
      <c r="N402" s="81" t="n">
        <v>0</v>
      </c>
      <c r="O402" s="81" t="n">
        <v>13422.822</v>
      </c>
      <c r="P402" s="82" t="n">
        <v>0</v>
      </c>
      <c r="Q402" s="82" t="n">
        <v>879</v>
      </c>
      <c r="R402" s="47" t="n">
        <v>2</v>
      </c>
      <c r="S402" s="66" t="s">
        <v>680</v>
      </c>
    </row>
    <row r="403" customFormat="false" ht="15" hidden="false" customHeight="false" outlineLevel="0" collapsed="false">
      <c r="A403" s="78" t="s">
        <v>677</v>
      </c>
      <c r="B403" s="78" t="s">
        <v>258</v>
      </c>
      <c r="C403" s="79" t="n">
        <v>2025</v>
      </c>
      <c r="D403" s="79" t="n">
        <v>4</v>
      </c>
      <c r="E403" s="80" t="n">
        <v>46022</v>
      </c>
      <c r="F403" s="78" t="s">
        <v>253</v>
      </c>
      <c r="G403" s="78" t="s">
        <v>254</v>
      </c>
      <c r="H403" s="78" t="s">
        <v>250</v>
      </c>
      <c r="I403" s="81" t="n">
        <v>7597.389</v>
      </c>
      <c r="J403" s="81" t="n">
        <v>2003.687</v>
      </c>
      <c r="K403" s="81" t="n">
        <v>929086000</v>
      </c>
      <c r="L403" s="82" t="n">
        <v>10.13</v>
      </c>
      <c r="M403" s="81" t="n">
        <v>92.7629</v>
      </c>
      <c r="N403" s="81" t="n">
        <v>750000</v>
      </c>
      <c r="O403" s="81" t="n">
        <v>11084.543</v>
      </c>
      <c r="P403" s="82" t="n">
        <v>0</v>
      </c>
      <c r="Q403" s="82" t="n">
        <v>1010</v>
      </c>
      <c r="R403" s="47" t="n">
        <v>3</v>
      </c>
      <c r="S403" s="66" t="s">
        <v>681</v>
      </c>
    </row>
    <row r="404" customFormat="false" ht="15" hidden="false" customHeight="false" outlineLevel="0" collapsed="false">
      <c r="A404" s="78" t="s">
        <v>677</v>
      </c>
      <c r="B404" s="78" t="s">
        <v>260</v>
      </c>
      <c r="C404" s="79" t="n">
        <v>2025</v>
      </c>
      <c r="D404" s="79" t="n">
        <v>3</v>
      </c>
      <c r="E404" s="80" t="n">
        <v>45930</v>
      </c>
      <c r="F404" s="78" t="s">
        <v>253</v>
      </c>
      <c r="G404" s="78" t="s">
        <v>254</v>
      </c>
      <c r="H404" s="78" t="s">
        <v>250</v>
      </c>
      <c r="I404" s="81" t="n">
        <v>5957.567</v>
      </c>
      <c r="J404" s="81" t="n">
        <v>1773.321</v>
      </c>
      <c r="K404" s="81" t="n">
        <v>973808000</v>
      </c>
      <c r="L404" s="82" t="n">
        <v>10.66</v>
      </c>
      <c r="M404" s="81" t="n">
        <v>91.9952</v>
      </c>
      <c r="N404" s="81" t="n">
        <v>750000</v>
      </c>
      <c r="O404" s="81" t="n">
        <v>9856.498</v>
      </c>
      <c r="P404" s="82" t="n">
        <v>0</v>
      </c>
      <c r="Q404" s="82" t="n">
        <v>840</v>
      </c>
      <c r="R404" s="47" t="n">
        <v>4</v>
      </c>
      <c r="S404" s="66" t="s">
        <v>682</v>
      </c>
    </row>
    <row r="405" customFormat="false" ht="15" hidden="false" customHeight="false" outlineLevel="0" collapsed="false">
      <c r="A405" s="78" t="s">
        <v>677</v>
      </c>
      <c r="B405" s="78" t="s">
        <v>262</v>
      </c>
      <c r="C405" s="79" t="n">
        <v>2025</v>
      </c>
      <c r="D405" s="79" t="n">
        <v>2</v>
      </c>
      <c r="E405" s="80" t="n">
        <v>45838</v>
      </c>
      <c r="F405" s="78" t="s">
        <v>253</v>
      </c>
      <c r="G405" s="78" t="s">
        <v>254</v>
      </c>
      <c r="H405" s="78" t="s">
        <v>250</v>
      </c>
      <c r="I405" s="81" t="n">
        <v>5306.304</v>
      </c>
      <c r="J405" s="81" t="n">
        <v>1386.739</v>
      </c>
      <c r="K405" s="81" t="n">
        <v>158101000</v>
      </c>
      <c r="L405" s="82" t="n">
        <v>1.75</v>
      </c>
      <c r="M405" s="81" t="n">
        <v>91.7744</v>
      </c>
      <c r="N405" s="81" t="n">
        <v>1500000</v>
      </c>
      <c r="O405" s="81" t="n">
        <v>8384.012</v>
      </c>
      <c r="P405" s="82" t="n">
        <v>9.99865134</v>
      </c>
      <c r="Q405" s="82" t="n">
        <v>641</v>
      </c>
      <c r="R405" s="47" t="n">
        <v>5</v>
      </c>
      <c r="S405" s="66" t="s">
        <v>683</v>
      </c>
    </row>
    <row r="406" customFormat="false" ht="15" hidden="false" customHeight="false" outlineLevel="0" collapsed="false">
      <c r="A406" s="78" t="s">
        <v>677</v>
      </c>
      <c r="B406" s="78" t="s">
        <v>264</v>
      </c>
      <c r="C406" s="79" t="n">
        <v>2025</v>
      </c>
      <c r="D406" s="79" t="n">
        <v>1</v>
      </c>
      <c r="E406" s="80" t="n">
        <v>45747</v>
      </c>
      <c r="F406" s="78" t="s">
        <v>253</v>
      </c>
      <c r="G406" s="78" t="s">
        <v>254</v>
      </c>
      <c r="H406" s="78" t="s">
        <v>250</v>
      </c>
      <c r="I406" s="81" t="n">
        <v>4415.084</v>
      </c>
      <c r="J406" s="81" t="n">
        <v>1208.157</v>
      </c>
      <c r="K406" s="81" t="n">
        <v>511133000</v>
      </c>
      <c r="L406" s="82" t="n">
        <v>5.66</v>
      </c>
      <c r="M406" s="81" t="n">
        <v>91.7627</v>
      </c>
      <c r="N406" s="81" t="n">
        <v>1500000</v>
      </c>
      <c r="O406" s="81" t="n">
        <v>9552.195</v>
      </c>
      <c r="P406" s="82" t="n">
        <v>0</v>
      </c>
      <c r="Q406" s="82" t="n">
        <v>530</v>
      </c>
      <c r="R406" s="47" t="n">
        <v>6</v>
      </c>
      <c r="S406" s="66" t="s">
        <v>684</v>
      </c>
    </row>
    <row r="407" customFormat="false" ht="15" hidden="false" customHeight="false" outlineLevel="0" collapsed="false">
      <c r="A407" s="78" t="s">
        <v>677</v>
      </c>
      <c r="B407" s="78" t="s">
        <v>266</v>
      </c>
      <c r="C407" s="79" t="n">
        <v>2024</v>
      </c>
      <c r="D407" s="79" t="n">
        <v>4</v>
      </c>
      <c r="E407" s="80" t="n">
        <v>45657</v>
      </c>
      <c r="F407" s="78" t="s">
        <v>253</v>
      </c>
      <c r="G407" s="78" t="s">
        <v>254</v>
      </c>
      <c r="H407" s="78" t="s">
        <v>250</v>
      </c>
      <c r="I407" s="81" t="n">
        <v>4125.15</v>
      </c>
      <c r="J407" s="81" t="n">
        <v>927.86</v>
      </c>
      <c r="K407" s="81" t="n">
        <v>466880000</v>
      </c>
      <c r="L407" s="82" t="n">
        <v>5.18</v>
      </c>
      <c r="M407" s="81" t="n">
        <v>91.5262</v>
      </c>
      <c r="N407" s="81" t="n">
        <v>1500000</v>
      </c>
      <c r="O407" s="81" t="n">
        <v>8961.062</v>
      </c>
      <c r="P407" s="82" t="n">
        <v>0</v>
      </c>
      <c r="Q407" s="82" t="n">
        <v>672</v>
      </c>
      <c r="R407" s="47" t="n">
        <v>7</v>
      </c>
      <c r="S407" s="66" t="s">
        <v>685</v>
      </c>
    </row>
    <row r="408" customFormat="false" ht="15" hidden="false" customHeight="false" outlineLevel="0" collapsed="false">
      <c r="A408" s="78" t="s">
        <v>677</v>
      </c>
      <c r="B408" s="78" t="s">
        <v>268</v>
      </c>
      <c r="C408" s="79" t="n">
        <v>2024</v>
      </c>
      <c r="D408" s="79" t="n">
        <v>3</v>
      </c>
      <c r="E408" s="80" t="n">
        <v>45565</v>
      </c>
      <c r="F408" s="78" t="s">
        <v>253</v>
      </c>
      <c r="G408" s="78" t="s">
        <v>254</v>
      </c>
      <c r="H408" s="78" t="s">
        <v>250</v>
      </c>
      <c r="I408" s="81" t="n">
        <v>4219.312</v>
      </c>
      <c r="J408" s="81" t="n">
        <v>1111.288</v>
      </c>
      <c r="K408" s="81" t="n">
        <v>398235000</v>
      </c>
      <c r="L408" s="82" t="n">
        <v>4.43</v>
      </c>
      <c r="M408" s="81" t="n">
        <v>91.3652</v>
      </c>
      <c r="N408" s="81" t="n">
        <v>1500000</v>
      </c>
      <c r="O408" s="81" t="n">
        <v>8469.162</v>
      </c>
      <c r="P408" s="82" t="n">
        <v>6.34797488</v>
      </c>
      <c r="Q408" s="82" t="n">
        <v>672</v>
      </c>
      <c r="R408" s="47" t="n">
        <v>8</v>
      </c>
      <c r="S408" s="66" t="s">
        <v>686</v>
      </c>
    </row>
    <row r="409" customFormat="false" ht="15" hidden="false" customHeight="false" outlineLevel="0" collapsed="false">
      <c r="A409" s="78" t="s">
        <v>677</v>
      </c>
      <c r="B409" s="78" t="s">
        <v>270</v>
      </c>
      <c r="C409" s="79" t="n">
        <v>2024</v>
      </c>
      <c r="D409" s="79" t="n">
        <v>2</v>
      </c>
      <c r="E409" s="80" t="n">
        <v>45473</v>
      </c>
      <c r="F409" s="78" t="s">
        <v>253</v>
      </c>
      <c r="G409" s="78" t="s">
        <v>254</v>
      </c>
      <c r="H409" s="78" t="s">
        <v>250</v>
      </c>
      <c r="I409" s="81" t="n">
        <v>4282.669</v>
      </c>
      <c r="J409" s="81" t="n">
        <v>1215.637</v>
      </c>
      <c r="K409" s="81" t="n">
        <v>631984000</v>
      </c>
      <c r="L409" s="82" t="n">
        <v>7.24</v>
      </c>
      <c r="M409" s="81" t="n">
        <v>90.9356</v>
      </c>
      <c r="N409" s="81" t="n">
        <v>2300000</v>
      </c>
      <c r="O409" s="81" t="n">
        <v>7615.176</v>
      </c>
      <c r="P409" s="82" t="n">
        <v>0</v>
      </c>
      <c r="Q409" s="82" t="n">
        <v>807</v>
      </c>
      <c r="R409" s="47" t="n">
        <v>9</v>
      </c>
      <c r="S409" s="66" t="s">
        <v>687</v>
      </c>
    </row>
    <row r="410" customFormat="false" ht="15" hidden="false" customHeight="false" outlineLevel="0" collapsed="false">
      <c r="A410" s="78" t="s">
        <v>677</v>
      </c>
      <c r="B410" s="78" t="s">
        <v>272</v>
      </c>
      <c r="C410" s="79" t="n">
        <v>2024</v>
      </c>
      <c r="D410" s="79" t="n">
        <v>1</v>
      </c>
      <c r="E410" s="80" t="n">
        <v>45382</v>
      </c>
      <c r="F410" s="78" t="s">
        <v>253</v>
      </c>
      <c r="G410" s="78" t="s">
        <v>254</v>
      </c>
      <c r="H410" s="78" t="s">
        <v>250</v>
      </c>
      <c r="I410" s="81" t="n">
        <v>3151.778</v>
      </c>
      <c r="J410" s="81" t="n">
        <v>771.311</v>
      </c>
      <c r="K410" s="81" t="n">
        <v>395612000</v>
      </c>
      <c r="L410" s="82" t="n">
        <v>4.51</v>
      </c>
      <c r="M410" s="81" t="n">
        <v>89.499</v>
      </c>
      <c r="N410" s="81" t="n">
        <v>2300000</v>
      </c>
      <c r="O410" s="81" t="n">
        <v>7433.553</v>
      </c>
      <c r="P410" s="82" t="n">
        <v>0</v>
      </c>
      <c r="Q410" s="82" t="n">
        <v>689</v>
      </c>
      <c r="R410" s="47" t="n">
        <v>10</v>
      </c>
      <c r="S410" s="66" t="s">
        <v>688</v>
      </c>
    </row>
    <row r="411" customFormat="false" ht="15" hidden="false" customHeight="false" outlineLevel="0" collapsed="false">
      <c r="A411" s="78" t="s">
        <v>677</v>
      </c>
      <c r="B411" s="78" t="s">
        <v>274</v>
      </c>
      <c r="C411" s="79" t="n">
        <v>2023</v>
      </c>
      <c r="D411" s="79" t="n">
        <v>4</v>
      </c>
      <c r="E411" s="80" t="n">
        <v>45291</v>
      </c>
      <c r="F411" s="78" t="s">
        <v>253</v>
      </c>
      <c r="G411" s="78" t="s">
        <v>254</v>
      </c>
      <c r="H411" s="78" t="s">
        <v>250</v>
      </c>
      <c r="I411" s="81" t="n">
        <v>3344.357</v>
      </c>
      <c r="J411" s="81" t="n">
        <v>810.074</v>
      </c>
      <c r="K411" s="81" t="n">
        <v>223558000</v>
      </c>
      <c r="L411" s="82" t="n">
        <v>2.57</v>
      </c>
      <c r="M411" s="81" t="n">
        <v>88.4275</v>
      </c>
      <c r="N411" s="81" t="n">
        <v>2300000</v>
      </c>
      <c r="O411" s="81" t="n">
        <v>6635.49</v>
      </c>
      <c r="P411" s="82" t="n">
        <v>0</v>
      </c>
      <c r="Q411" s="82" t="n">
        <v>352.5</v>
      </c>
      <c r="R411" s="47" t="n">
        <v>11</v>
      </c>
      <c r="S411" s="66" t="s">
        <v>689</v>
      </c>
    </row>
    <row r="412" customFormat="false" ht="15" hidden="false" customHeight="false" outlineLevel="0" collapsed="false">
      <c r="A412" s="78" t="s">
        <v>677</v>
      </c>
      <c r="B412" s="78" t="s">
        <v>276</v>
      </c>
      <c r="C412" s="79" t="n">
        <v>2023</v>
      </c>
      <c r="D412" s="79" t="n">
        <v>3</v>
      </c>
      <c r="E412" s="80" t="n">
        <v>45199</v>
      </c>
      <c r="F412" s="78" t="s">
        <v>253</v>
      </c>
      <c r="G412" s="78" t="s">
        <v>254</v>
      </c>
      <c r="H412" s="78" t="s">
        <v>250</v>
      </c>
      <c r="I412" s="81" t="n">
        <v>3491.862</v>
      </c>
      <c r="J412" s="81" t="n">
        <v>926.75</v>
      </c>
      <c r="K412" s="81" t="n">
        <v>491829000</v>
      </c>
      <c r="L412" s="82" t="n">
        <v>5.71</v>
      </c>
      <c r="M412" s="81" t="n">
        <v>88.3941</v>
      </c>
      <c r="N412" s="81" t="n">
        <v>2300000</v>
      </c>
      <c r="O412" s="81" t="n">
        <v>6025.292</v>
      </c>
      <c r="P412" s="82" t="n">
        <v>6.5</v>
      </c>
      <c r="Q412" s="82" t="n">
        <v>319</v>
      </c>
      <c r="R412" s="47" t="n">
        <v>12</v>
      </c>
      <c r="S412" s="66" t="s">
        <v>690</v>
      </c>
    </row>
    <row r="413" customFormat="false" ht="15" hidden="false" customHeight="false" outlineLevel="0" collapsed="false">
      <c r="A413" s="78" t="s">
        <v>677</v>
      </c>
      <c r="B413" s="78" t="s">
        <v>278</v>
      </c>
      <c r="C413" s="79" t="n">
        <v>2023</v>
      </c>
      <c r="D413" s="79" t="n">
        <v>2</v>
      </c>
      <c r="E413" s="80" t="n">
        <v>45107</v>
      </c>
      <c r="F413" s="78" t="s">
        <v>253</v>
      </c>
      <c r="G413" s="78" t="s">
        <v>254</v>
      </c>
      <c r="H413" s="78" t="s">
        <v>250</v>
      </c>
      <c r="I413" s="81" t="n">
        <v>2596.172</v>
      </c>
      <c r="J413" s="81" t="n">
        <v>535.472</v>
      </c>
      <c r="K413" s="81" t="n">
        <v>239264000</v>
      </c>
      <c r="L413" s="82" t="n">
        <v>2.78</v>
      </c>
      <c r="M413" s="81" t="n">
        <v>88.3941</v>
      </c>
      <c r="N413" s="81" t="n">
        <v>2300000</v>
      </c>
      <c r="O413" s="81" t="n">
        <v>5443.423</v>
      </c>
      <c r="P413" s="82" t="n">
        <v>0</v>
      </c>
      <c r="Q413" s="82" t="n">
        <v>297</v>
      </c>
      <c r="R413" s="47" t="n">
        <v>13</v>
      </c>
      <c r="S413" s="66" t="s">
        <v>691</v>
      </c>
    </row>
    <row r="414" customFormat="false" ht="15" hidden="false" customHeight="false" outlineLevel="0" collapsed="false">
      <c r="A414" s="78" t="s">
        <v>677</v>
      </c>
      <c r="B414" s="78" t="s">
        <v>280</v>
      </c>
      <c r="C414" s="79" t="n">
        <v>2023</v>
      </c>
      <c r="D414" s="79" t="n">
        <v>1</v>
      </c>
      <c r="E414" s="80" t="n">
        <v>45016</v>
      </c>
      <c r="F414" s="78" t="s">
        <v>253</v>
      </c>
      <c r="G414" s="78" t="s">
        <v>254</v>
      </c>
      <c r="H414" s="78" t="s">
        <v>250</v>
      </c>
      <c r="I414" s="81" t="n">
        <v>3280.238</v>
      </c>
      <c r="J414" s="81" t="n">
        <v>732.627</v>
      </c>
      <c r="K414" s="81" t="n">
        <v>277192000</v>
      </c>
      <c r="L414" s="82" t="n">
        <v>3.22</v>
      </c>
      <c r="M414" s="81" t="n">
        <v>88.3941</v>
      </c>
      <c r="N414" s="81" t="n">
        <v>2300000</v>
      </c>
      <c r="O414" s="81" t="n">
        <v>5857.969</v>
      </c>
      <c r="P414" s="82" t="n">
        <v>0</v>
      </c>
      <c r="Q414" s="82" t="n">
        <v>220.5</v>
      </c>
      <c r="R414" s="47" t="n">
        <v>14</v>
      </c>
      <c r="S414" s="66" t="s">
        <v>692</v>
      </c>
    </row>
    <row r="415" customFormat="false" ht="15" hidden="false" customHeight="false" outlineLevel="0" collapsed="false">
      <c r="A415" s="78" t="s">
        <v>677</v>
      </c>
      <c r="B415" s="78" t="s">
        <v>282</v>
      </c>
      <c r="C415" s="79" t="n">
        <v>2022</v>
      </c>
      <c r="D415" s="79" t="n">
        <v>4</v>
      </c>
      <c r="E415" s="80" t="n">
        <v>44926</v>
      </c>
      <c r="F415" s="78" t="s">
        <v>253</v>
      </c>
      <c r="G415" s="78" t="s">
        <v>254</v>
      </c>
      <c r="H415" s="78" t="s">
        <v>250</v>
      </c>
      <c r="I415" s="81" t="n">
        <v>3427.773</v>
      </c>
      <c r="J415" s="81" t="n">
        <v>717.142</v>
      </c>
      <c r="K415" s="81" t="n">
        <v>204051000</v>
      </c>
      <c r="L415" s="82" t="n">
        <v>2.37</v>
      </c>
      <c r="M415" s="81" t="n">
        <v>88.3941</v>
      </c>
      <c r="N415" s="81" t="n">
        <v>2300000</v>
      </c>
      <c r="O415" s="81" t="n">
        <v>5565.995</v>
      </c>
      <c r="P415" s="82" t="n">
        <v>0</v>
      </c>
      <c r="Q415" s="82" t="n">
        <v>148</v>
      </c>
      <c r="R415" s="47" t="n">
        <v>15</v>
      </c>
      <c r="S415" s="66" t="s">
        <v>693</v>
      </c>
    </row>
    <row r="416" customFormat="false" ht="15" hidden="false" customHeight="false" outlineLevel="0" collapsed="false">
      <c r="A416" s="78" t="s">
        <v>677</v>
      </c>
      <c r="B416" s="78" t="s">
        <v>284</v>
      </c>
      <c r="C416" s="79" t="n">
        <v>2022</v>
      </c>
      <c r="D416" s="79" t="n">
        <v>3</v>
      </c>
      <c r="E416" s="80" t="n">
        <v>44834</v>
      </c>
      <c r="F416" s="78" t="s">
        <v>253</v>
      </c>
      <c r="G416" s="78" t="s">
        <v>254</v>
      </c>
      <c r="H416" s="78" t="s">
        <v>250</v>
      </c>
      <c r="I416" s="81" t="n">
        <v>3334.627</v>
      </c>
      <c r="J416" s="81" t="n">
        <v>688.013</v>
      </c>
      <c r="K416" s="81" t="n">
        <v>407793000</v>
      </c>
      <c r="L416" s="82" t="n">
        <v>4.74</v>
      </c>
      <c r="M416" s="81" t="n">
        <v>88.3941</v>
      </c>
      <c r="N416" s="81" t="n">
        <v>2300000</v>
      </c>
      <c r="O416" s="81" t="n">
        <v>5383.527</v>
      </c>
      <c r="P416" s="82" t="n">
        <v>0</v>
      </c>
      <c r="Q416" s="82" t="n">
        <v>142</v>
      </c>
      <c r="R416" s="47" t="n">
        <v>16</v>
      </c>
      <c r="S416" s="66" t="s">
        <v>694</v>
      </c>
    </row>
    <row r="417" customFormat="false" ht="15" hidden="false" customHeight="false" outlineLevel="0" collapsed="false">
      <c r="A417" s="78" t="s">
        <v>677</v>
      </c>
      <c r="B417" s="78" t="s">
        <v>286</v>
      </c>
      <c r="C417" s="79" t="n">
        <v>2022</v>
      </c>
      <c r="D417" s="79" t="n">
        <v>2</v>
      </c>
      <c r="E417" s="80" t="n">
        <v>44742</v>
      </c>
      <c r="F417" s="78" t="s">
        <v>253</v>
      </c>
      <c r="G417" s="78" t="s">
        <v>254</v>
      </c>
      <c r="H417" s="78" t="s">
        <v>250</v>
      </c>
      <c r="I417" s="81" t="n">
        <v>3308.539</v>
      </c>
      <c r="J417" s="81" t="n">
        <v>674.434</v>
      </c>
      <c r="K417" s="81" t="n">
        <v>357669000</v>
      </c>
      <c r="L417" s="82" t="n">
        <v>4.15</v>
      </c>
      <c r="M417" s="81" t="n">
        <v>88.3941</v>
      </c>
      <c r="N417" s="81" t="n">
        <v>2300000</v>
      </c>
      <c r="O417" s="81" t="n">
        <v>4948.311</v>
      </c>
      <c r="P417" s="82" t="n">
        <v>6</v>
      </c>
      <c r="Q417" s="82" t="n">
        <v>159</v>
      </c>
      <c r="R417" s="47" t="n">
        <v>17</v>
      </c>
      <c r="S417" s="66" t="s">
        <v>695</v>
      </c>
    </row>
    <row r="418" customFormat="false" ht="15" hidden="false" customHeight="false" outlineLevel="0" collapsed="false">
      <c r="A418" s="78" t="s">
        <v>677</v>
      </c>
      <c r="B418" s="78" t="s">
        <v>288</v>
      </c>
      <c r="C418" s="79" t="n">
        <v>2022</v>
      </c>
      <c r="D418" s="79" t="n">
        <v>1</v>
      </c>
      <c r="E418" s="80" t="n">
        <v>44651</v>
      </c>
      <c r="F418" s="78" t="s">
        <v>253</v>
      </c>
      <c r="G418" s="78" t="s">
        <v>254</v>
      </c>
      <c r="H418" s="78" t="s">
        <v>250</v>
      </c>
      <c r="I418" s="81" t="n">
        <v>3786.052</v>
      </c>
      <c r="J418" s="81" t="n">
        <v>642.643</v>
      </c>
      <c r="K418" s="81" t="n">
        <v>294042000</v>
      </c>
      <c r="L418" s="82" t="n">
        <v>3.42</v>
      </c>
      <c r="M418" s="81" t="n">
        <v>88.3941</v>
      </c>
      <c r="N418" s="81" t="n">
        <v>2300000</v>
      </c>
      <c r="O418" s="81" t="n">
        <v>5148.768</v>
      </c>
      <c r="P418" s="82" t="n">
        <v>0</v>
      </c>
      <c r="Q418" s="82" t="n">
        <v>205</v>
      </c>
      <c r="R418" s="47" t="n">
        <v>18</v>
      </c>
      <c r="S418" s="66" t="s">
        <v>696</v>
      </c>
    </row>
    <row r="419" customFormat="false" ht="15" hidden="false" customHeight="false" outlineLevel="0" collapsed="false">
      <c r="A419" s="78" t="s">
        <v>677</v>
      </c>
      <c r="B419" s="78" t="s">
        <v>290</v>
      </c>
      <c r="C419" s="79" t="n">
        <v>2021</v>
      </c>
      <c r="D419" s="79" t="n">
        <v>4</v>
      </c>
      <c r="E419" s="80" t="n">
        <v>44561</v>
      </c>
      <c r="F419" s="78" t="s">
        <v>253</v>
      </c>
      <c r="G419" s="78" t="s">
        <v>254</v>
      </c>
      <c r="H419" s="78" t="s">
        <v>250</v>
      </c>
      <c r="I419" s="81" t="n">
        <v>4127.38</v>
      </c>
      <c r="J419" s="81" t="n">
        <v>819.357</v>
      </c>
      <c r="K419" s="81" t="n">
        <v>374624000</v>
      </c>
      <c r="L419" s="82" t="n">
        <v>4.35</v>
      </c>
      <c r="M419" s="81" t="n">
        <v>88.3941</v>
      </c>
      <c r="N419" s="81" t="n">
        <v>2300000</v>
      </c>
      <c r="O419" s="81" t="n">
        <v>4742.722</v>
      </c>
      <c r="P419" s="82" t="n">
        <v>0</v>
      </c>
      <c r="Q419" s="82" t="n">
        <v>202</v>
      </c>
      <c r="R419" s="47" t="n">
        <v>19</v>
      </c>
      <c r="S419" s="66" t="s">
        <v>697</v>
      </c>
    </row>
    <row r="420" customFormat="false" ht="15" hidden="false" customHeight="false" outlineLevel="0" collapsed="false">
      <c r="A420" s="78" t="s">
        <v>677</v>
      </c>
      <c r="B420" s="78" t="s">
        <v>292</v>
      </c>
      <c r="C420" s="79" t="n">
        <v>2021</v>
      </c>
      <c r="D420" s="79" t="n">
        <v>3</v>
      </c>
      <c r="E420" s="80" t="n">
        <v>44469</v>
      </c>
      <c r="F420" s="78" t="s">
        <v>253</v>
      </c>
      <c r="G420" s="78" t="s">
        <v>254</v>
      </c>
      <c r="H420" s="78" t="s">
        <v>250</v>
      </c>
      <c r="I420" s="81" t="n">
        <v>3704.063</v>
      </c>
      <c r="J420" s="81" t="n">
        <v>681.368</v>
      </c>
      <c r="K420" s="81" t="n">
        <v>330949000</v>
      </c>
      <c r="L420" s="82" t="n">
        <v>3.86</v>
      </c>
      <c r="M420" s="81" t="n">
        <v>88.3941</v>
      </c>
      <c r="N420" s="81" t="n">
        <v>2300000</v>
      </c>
      <c r="O420" s="81" t="n">
        <v>4336.264</v>
      </c>
      <c r="P420" s="82" t="n">
        <v>5.60004171</v>
      </c>
      <c r="Q420" s="82" t="n">
        <v>165.5</v>
      </c>
      <c r="R420" s="47" t="n">
        <v>20</v>
      </c>
      <c r="S420" s="66" t="s">
        <v>698</v>
      </c>
    </row>
    <row r="421" customFormat="false" ht="15" hidden="false" customHeight="false" outlineLevel="0" collapsed="false">
      <c r="A421" s="78" t="s">
        <v>677</v>
      </c>
      <c r="B421" s="78" t="s">
        <v>294</v>
      </c>
      <c r="C421" s="79" t="n">
        <v>2021</v>
      </c>
      <c r="D421" s="79" t="n">
        <v>2</v>
      </c>
      <c r="E421" s="80" t="n">
        <v>44377</v>
      </c>
      <c r="F421" s="78" t="s">
        <v>253</v>
      </c>
      <c r="G421" s="78" t="s">
        <v>254</v>
      </c>
      <c r="H421" s="78" t="s">
        <v>250</v>
      </c>
      <c r="I421" s="81" t="n">
        <v>2993.039</v>
      </c>
      <c r="J421" s="81" t="n">
        <v>513.502</v>
      </c>
      <c r="K421" s="81" t="n">
        <v>130616000</v>
      </c>
      <c r="L421" s="82" t="n">
        <v>1.52</v>
      </c>
      <c r="M421" s="81" t="n">
        <v>88.3941</v>
      </c>
      <c r="N421" s="81" t="n">
        <v>2300000</v>
      </c>
      <c r="O421" s="81" t="n">
        <v>4493.842</v>
      </c>
      <c r="P421" s="82" t="n">
        <v>0</v>
      </c>
      <c r="Q421" s="82" t="n">
        <v>188</v>
      </c>
      <c r="R421" s="47" t="n">
        <v>21</v>
      </c>
      <c r="S421" s="66" t="s">
        <v>699</v>
      </c>
    </row>
    <row r="422" customFormat="false" ht="15" hidden="false" customHeight="false" outlineLevel="0" collapsed="false">
      <c r="A422" s="78" t="s">
        <v>677</v>
      </c>
      <c r="B422" s="78" t="s">
        <v>296</v>
      </c>
      <c r="C422" s="79" t="n">
        <v>2021</v>
      </c>
      <c r="D422" s="79" t="n">
        <v>1</v>
      </c>
      <c r="E422" s="80" t="n">
        <v>44286</v>
      </c>
      <c r="F422" s="78" t="s">
        <v>253</v>
      </c>
      <c r="G422" s="78" t="s">
        <v>254</v>
      </c>
      <c r="H422" s="78" t="s">
        <v>250</v>
      </c>
      <c r="I422" s="81" t="n">
        <v>3433.425</v>
      </c>
      <c r="J422" s="81" t="n">
        <v>648.637</v>
      </c>
      <c r="K422" s="81" t="n">
        <v>296484000</v>
      </c>
      <c r="L422" s="82" t="n">
        <v>3.39</v>
      </c>
      <c r="M422" s="81" t="n">
        <v>88.3941</v>
      </c>
      <c r="N422" s="81" t="n">
        <v>2161000</v>
      </c>
      <c r="O422" s="81" t="n">
        <v>4552.806</v>
      </c>
      <c r="P422" s="82" t="n">
        <v>0</v>
      </c>
      <c r="Q422" s="82" t="n">
        <v>220</v>
      </c>
      <c r="R422" s="47" t="n">
        <v>22</v>
      </c>
      <c r="S422" s="66" t="s">
        <v>700</v>
      </c>
    </row>
    <row r="423" customFormat="false" ht="15" hidden="false" customHeight="false" outlineLevel="0" collapsed="false">
      <c r="A423" s="78" t="s">
        <v>677</v>
      </c>
      <c r="B423" s="78" t="s">
        <v>298</v>
      </c>
      <c r="C423" s="79" t="n">
        <v>2020</v>
      </c>
      <c r="D423" s="79" t="n">
        <v>4</v>
      </c>
      <c r="E423" s="80" t="n">
        <v>44196</v>
      </c>
      <c r="F423" s="78" t="s">
        <v>253</v>
      </c>
      <c r="G423" s="78" t="s">
        <v>254</v>
      </c>
      <c r="H423" s="78" t="s">
        <v>250</v>
      </c>
      <c r="I423" s="81" t="n">
        <v>3622.854</v>
      </c>
      <c r="J423" s="81" t="n">
        <v>734.931</v>
      </c>
      <c r="K423" s="81" t="n">
        <v>281977000</v>
      </c>
      <c r="L423" s="82" t="n">
        <v>3.22</v>
      </c>
      <c r="M423" s="81" t="n">
        <v>88.1336</v>
      </c>
      <c r="N423" s="81" t="n">
        <v>734000</v>
      </c>
      <c r="O423" s="81" t="n">
        <v>4593.324</v>
      </c>
      <c r="P423" s="82" t="n">
        <v>0</v>
      </c>
      <c r="Q423" s="82" t="n">
        <v>214</v>
      </c>
      <c r="R423" s="47" t="n">
        <v>23</v>
      </c>
      <c r="S423" s="66" t="s">
        <v>701</v>
      </c>
    </row>
    <row r="424" customFormat="false" ht="15" hidden="false" customHeight="false" outlineLevel="0" collapsed="false">
      <c r="A424" s="78" t="s">
        <v>677</v>
      </c>
      <c r="B424" s="78" t="s">
        <v>300</v>
      </c>
      <c r="C424" s="79" t="n">
        <v>2020</v>
      </c>
      <c r="D424" s="79" t="n">
        <v>3</v>
      </c>
      <c r="E424" s="80" t="n">
        <v>44104</v>
      </c>
      <c r="F424" s="78" t="s">
        <v>253</v>
      </c>
      <c r="G424" s="78" t="s">
        <v>254</v>
      </c>
      <c r="H424" s="78" t="s">
        <v>250</v>
      </c>
      <c r="I424" s="81" t="n">
        <v>3361.522</v>
      </c>
      <c r="J424" s="81" t="n">
        <v>774.388</v>
      </c>
      <c r="K424" s="81" t="n">
        <v>335265000</v>
      </c>
      <c r="L424" s="82" t="n">
        <v>3.88</v>
      </c>
      <c r="M424" s="81" t="n">
        <v>87.6623</v>
      </c>
      <c r="N424" s="81" t="n">
        <v>734000</v>
      </c>
      <c r="O424" s="81" t="n">
        <v>4137.661</v>
      </c>
      <c r="P424" s="82"/>
      <c r="Q424" s="82" t="n">
        <v>239.5</v>
      </c>
      <c r="R424" s="47" t="n">
        <v>24</v>
      </c>
      <c r="S424" s="66" t="s">
        <v>702</v>
      </c>
    </row>
    <row r="425" customFormat="false" ht="15" hidden="false" customHeight="false" outlineLevel="0" collapsed="false">
      <c r="A425" s="78" t="s">
        <v>222</v>
      </c>
      <c r="B425" s="78" t="s">
        <v>247</v>
      </c>
      <c r="C425" s="79" t="n">
        <v>2026</v>
      </c>
      <c r="D425" s="79" t="n">
        <v>3</v>
      </c>
      <c r="E425" s="80" t="n">
        <v>46295</v>
      </c>
      <c r="F425" s="78" t="s">
        <v>248</v>
      </c>
      <c r="G425" s="78" t="s">
        <v>249</v>
      </c>
      <c r="H425" s="78" t="s">
        <v>250</v>
      </c>
      <c r="I425" s="81"/>
      <c r="J425" s="81"/>
      <c r="K425" s="81"/>
      <c r="L425" s="82" t="n">
        <v>0.19</v>
      </c>
      <c r="M425" s="81"/>
      <c r="N425" s="81"/>
      <c r="O425" s="81"/>
      <c r="P425" s="82"/>
      <c r="Q425" s="82"/>
      <c r="R425" s="47" t="n">
        <v>0</v>
      </c>
      <c r="S425" s="66" t="s">
        <v>703</v>
      </c>
    </row>
    <row r="426" customFormat="false" ht="15" hidden="false" customHeight="false" outlineLevel="0" collapsed="false">
      <c r="A426" s="78" t="s">
        <v>222</v>
      </c>
      <c r="B426" s="78" t="s">
        <v>252</v>
      </c>
      <c r="C426" s="79" t="n">
        <v>2026</v>
      </c>
      <c r="D426" s="79" t="n">
        <v>2</v>
      </c>
      <c r="E426" s="80" t="n">
        <v>46203</v>
      </c>
      <c r="F426" s="78" t="s">
        <v>253</v>
      </c>
      <c r="G426" s="78" t="s">
        <v>254</v>
      </c>
      <c r="H426" s="78" t="s">
        <v>250</v>
      </c>
      <c r="I426" s="81" t="n">
        <v>429.188</v>
      </c>
      <c r="J426" s="81" t="n">
        <v>0.979</v>
      </c>
      <c r="K426" s="81" t="n">
        <v>-24861000</v>
      </c>
      <c r="L426" s="82" t="n">
        <v>-0.22</v>
      </c>
      <c r="M426" s="81" t="n">
        <v>113.6406</v>
      </c>
      <c r="N426" s="81" t="n">
        <v>0</v>
      </c>
      <c r="O426" s="81" t="n">
        <v>5717.152</v>
      </c>
      <c r="P426" s="82" t="n">
        <v>0</v>
      </c>
      <c r="Q426" s="82" t="n">
        <v>578</v>
      </c>
      <c r="R426" s="47" t="n">
        <v>1</v>
      </c>
      <c r="S426" s="66" t="s">
        <v>704</v>
      </c>
    </row>
    <row r="427" customFormat="false" ht="15" hidden="false" customHeight="false" outlineLevel="0" collapsed="false">
      <c r="A427" s="78" t="s">
        <v>222</v>
      </c>
      <c r="B427" s="78" t="s">
        <v>256</v>
      </c>
      <c r="C427" s="79" t="n">
        <v>2026</v>
      </c>
      <c r="D427" s="79" t="n">
        <v>1</v>
      </c>
      <c r="E427" s="80" t="n">
        <v>46112</v>
      </c>
      <c r="F427" s="78" t="s">
        <v>253</v>
      </c>
      <c r="G427" s="78" t="s">
        <v>254</v>
      </c>
      <c r="H427" s="78" t="s">
        <v>250</v>
      </c>
      <c r="I427" s="81" t="n">
        <v>381.969</v>
      </c>
      <c r="J427" s="81" t="n">
        <v>7.197</v>
      </c>
      <c r="K427" s="81" t="n">
        <v>-107036000</v>
      </c>
      <c r="L427" s="82" t="n">
        <v>-0.98</v>
      </c>
      <c r="M427" s="81" t="n">
        <v>113.6406</v>
      </c>
      <c r="N427" s="81" t="n">
        <v>0</v>
      </c>
      <c r="O427" s="81" t="n">
        <v>5734.096</v>
      </c>
      <c r="P427" s="82" t="n">
        <v>0</v>
      </c>
      <c r="Q427" s="82" t="n">
        <v>550</v>
      </c>
      <c r="R427" s="47" t="n">
        <v>2</v>
      </c>
      <c r="S427" s="66" t="s">
        <v>705</v>
      </c>
    </row>
    <row r="428" customFormat="false" ht="15" hidden="false" customHeight="false" outlineLevel="0" collapsed="false">
      <c r="A428" s="78" t="s">
        <v>222</v>
      </c>
      <c r="B428" s="78" t="s">
        <v>258</v>
      </c>
      <c r="C428" s="79" t="n">
        <v>2025</v>
      </c>
      <c r="D428" s="79" t="n">
        <v>4</v>
      </c>
      <c r="E428" s="80" t="n">
        <v>46022</v>
      </c>
      <c r="F428" s="78" t="s">
        <v>253</v>
      </c>
      <c r="G428" s="78" t="s">
        <v>254</v>
      </c>
      <c r="H428" s="78" t="s">
        <v>250</v>
      </c>
      <c r="I428" s="81" t="n">
        <v>390.774</v>
      </c>
      <c r="J428" s="81" t="n">
        <v>48.559</v>
      </c>
      <c r="K428" s="81" t="n">
        <v>-22365000</v>
      </c>
      <c r="L428" s="82" t="n">
        <v>-0.21</v>
      </c>
      <c r="M428" s="81" t="n">
        <v>103.6406</v>
      </c>
      <c r="N428" s="81" t="n">
        <v>0</v>
      </c>
      <c r="O428" s="81" t="n">
        <v>2549.092</v>
      </c>
      <c r="P428" s="82" t="n">
        <v>0</v>
      </c>
      <c r="Q428" s="82" t="n">
        <v>457.5</v>
      </c>
      <c r="R428" s="47" t="n">
        <v>3</v>
      </c>
      <c r="S428" s="66" t="s">
        <v>706</v>
      </c>
    </row>
    <row r="429" customFormat="false" ht="15" hidden="false" customHeight="false" outlineLevel="0" collapsed="false">
      <c r="A429" s="78" t="s">
        <v>222</v>
      </c>
      <c r="B429" s="78" t="s">
        <v>260</v>
      </c>
      <c r="C429" s="79" t="n">
        <v>2025</v>
      </c>
      <c r="D429" s="79" t="n">
        <v>3</v>
      </c>
      <c r="E429" s="80" t="n">
        <v>45930</v>
      </c>
      <c r="F429" s="78" t="s">
        <v>253</v>
      </c>
      <c r="G429" s="78" t="s">
        <v>254</v>
      </c>
      <c r="H429" s="78" t="s">
        <v>250</v>
      </c>
      <c r="I429" s="81" t="n">
        <v>507.741</v>
      </c>
      <c r="J429" s="81" t="n">
        <v>120.893</v>
      </c>
      <c r="K429" s="81" t="n">
        <v>20579000</v>
      </c>
      <c r="L429" s="82" t="n">
        <v>0.2</v>
      </c>
      <c r="M429" s="81" t="n">
        <v>103.6406</v>
      </c>
      <c r="N429" s="81" t="n">
        <v>0</v>
      </c>
      <c r="O429" s="81" t="n">
        <v>2562.064</v>
      </c>
      <c r="P429" s="82" t="n">
        <v>0</v>
      </c>
      <c r="Q429" s="82" t="n">
        <v>354.5</v>
      </c>
      <c r="R429" s="47" t="n">
        <v>4</v>
      </c>
      <c r="S429" s="66" t="s">
        <v>707</v>
      </c>
    </row>
    <row r="430" customFormat="false" ht="15" hidden="false" customHeight="false" outlineLevel="0" collapsed="false">
      <c r="A430" s="78" t="s">
        <v>222</v>
      </c>
      <c r="B430" s="78" t="s">
        <v>262</v>
      </c>
      <c r="C430" s="79" t="n">
        <v>2025</v>
      </c>
      <c r="D430" s="79" t="n">
        <v>2</v>
      </c>
      <c r="E430" s="80" t="n">
        <v>45838</v>
      </c>
      <c r="F430" s="78" t="s">
        <v>253</v>
      </c>
      <c r="G430" s="78" t="s">
        <v>254</v>
      </c>
      <c r="H430" s="78" t="s">
        <v>250</v>
      </c>
      <c r="I430" s="81" t="n">
        <v>582.076</v>
      </c>
      <c r="J430" s="81" t="n">
        <v>114.919</v>
      </c>
      <c r="K430" s="81" t="n">
        <v>16870000</v>
      </c>
      <c r="L430" s="82" t="n">
        <v>0.16</v>
      </c>
      <c r="M430" s="81" t="n">
        <v>103.6406</v>
      </c>
      <c r="N430" s="81" t="n">
        <v>0</v>
      </c>
      <c r="O430" s="81" t="n">
        <v>2522.912</v>
      </c>
      <c r="P430" s="82" t="n">
        <v>0</v>
      </c>
      <c r="Q430" s="82" t="n">
        <v>273.5</v>
      </c>
      <c r="R430" s="47" t="n">
        <v>5</v>
      </c>
      <c r="S430" s="66" t="s">
        <v>708</v>
      </c>
    </row>
    <row r="431" customFormat="false" ht="15" hidden="false" customHeight="false" outlineLevel="0" collapsed="false">
      <c r="A431" s="78" t="s">
        <v>222</v>
      </c>
      <c r="B431" s="78" t="s">
        <v>264</v>
      </c>
      <c r="C431" s="79" t="n">
        <v>2025</v>
      </c>
      <c r="D431" s="79" t="n">
        <v>1</v>
      </c>
      <c r="E431" s="80" t="n">
        <v>45747</v>
      </c>
      <c r="F431" s="78" t="s">
        <v>253</v>
      </c>
      <c r="G431" s="78" t="s">
        <v>254</v>
      </c>
      <c r="H431" s="78" t="s">
        <v>250</v>
      </c>
      <c r="I431" s="81" t="n">
        <v>411.403</v>
      </c>
      <c r="J431" s="81" t="n">
        <v>70.544</v>
      </c>
      <c r="K431" s="81" t="n">
        <v>1110000</v>
      </c>
      <c r="L431" s="82" t="n">
        <v>0.01</v>
      </c>
      <c r="M431" s="81" t="n">
        <v>103.6406</v>
      </c>
      <c r="N431" s="81" t="n">
        <v>0</v>
      </c>
      <c r="O431" s="81" t="n">
        <v>2522.837</v>
      </c>
      <c r="P431" s="82" t="n">
        <v>0</v>
      </c>
      <c r="Q431" s="82" t="n">
        <v>246.5</v>
      </c>
      <c r="R431" s="47" t="n">
        <v>6</v>
      </c>
      <c r="S431" s="66" t="s">
        <v>709</v>
      </c>
    </row>
    <row r="432" customFormat="false" ht="15" hidden="false" customHeight="false" outlineLevel="0" collapsed="false">
      <c r="A432" s="78" t="s">
        <v>222</v>
      </c>
      <c r="B432" s="78" t="s">
        <v>266</v>
      </c>
      <c r="C432" s="79" t="n">
        <v>2024</v>
      </c>
      <c r="D432" s="79" t="n">
        <v>4</v>
      </c>
      <c r="E432" s="80" t="n">
        <v>45657</v>
      </c>
      <c r="F432" s="78" t="s">
        <v>253</v>
      </c>
      <c r="G432" s="78" t="s">
        <v>254</v>
      </c>
      <c r="H432" s="78" t="s">
        <v>250</v>
      </c>
      <c r="I432" s="81" t="n">
        <v>359.876</v>
      </c>
      <c r="J432" s="81" t="n">
        <v>33.397</v>
      </c>
      <c r="K432" s="81" t="n">
        <v>-30788000</v>
      </c>
      <c r="L432" s="82" t="n">
        <v>-0.31</v>
      </c>
      <c r="M432" s="81" t="n">
        <v>103.6406</v>
      </c>
      <c r="N432" s="81" t="n">
        <v>0</v>
      </c>
      <c r="O432" s="81" t="n">
        <v>2530.636</v>
      </c>
      <c r="P432" s="82" t="n">
        <v>0</v>
      </c>
      <c r="Q432" s="82" t="n">
        <v>247.5</v>
      </c>
      <c r="R432" s="47" t="n">
        <v>7</v>
      </c>
      <c r="S432" s="66" t="s">
        <v>710</v>
      </c>
    </row>
    <row r="433" customFormat="false" ht="15" hidden="false" customHeight="false" outlineLevel="0" collapsed="false">
      <c r="A433" s="78" t="s">
        <v>222</v>
      </c>
      <c r="B433" s="78" t="s">
        <v>268</v>
      </c>
      <c r="C433" s="79" t="n">
        <v>2024</v>
      </c>
      <c r="D433" s="79" t="n">
        <v>3</v>
      </c>
      <c r="E433" s="80" t="n">
        <v>45565</v>
      </c>
      <c r="F433" s="78" t="s">
        <v>253</v>
      </c>
      <c r="G433" s="78" t="s">
        <v>254</v>
      </c>
      <c r="H433" s="78" t="s">
        <v>250</v>
      </c>
      <c r="I433" s="81" t="n">
        <v>382.698</v>
      </c>
      <c r="J433" s="81" t="n">
        <v>54.205</v>
      </c>
      <c r="K433" s="81" t="n">
        <v>-14773000</v>
      </c>
      <c r="L433" s="82" t="n">
        <v>-0.14</v>
      </c>
      <c r="M433" s="81" t="n">
        <v>103.6406</v>
      </c>
      <c r="N433" s="81" t="n">
        <v>0</v>
      </c>
      <c r="O433" s="81" t="n">
        <v>2606.362</v>
      </c>
      <c r="P433" s="82" t="n">
        <v>0</v>
      </c>
      <c r="Q433" s="82" t="n">
        <v>178</v>
      </c>
      <c r="R433" s="47" t="n">
        <v>8</v>
      </c>
      <c r="S433" s="66" t="s">
        <v>711</v>
      </c>
    </row>
    <row r="434" customFormat="false" ht="15" hidden="false" customHeight="false" outlineLevel="0" collapsed="false">
      <c r="A434" s="78" t="s">
        <v>222</v>
      </c>
      <c r="B434" s="78" t="s">
        <v>270</v>
      </c>
      <c r="C434" s="79" t="n">
        <v>2024</v>
      </c>
      <c r="D434" s="79" t="n">
        <v>2</v>
      </c>
      <c r="E434" s="80" t="n">
        <v>45473</v>
      </c>
      <c r="F434" s="78" t="s">
        <v>253</v>
      </c>
      <c r="G434" s="78" t="s">
        <v>254</v>
      </c>
      <c r="H434" s="78" t="s">
        <v>250</v>
      </c>
      <c r="I434" s="81" t="n">
        <v>352.765</v>
      </c>
      <c r="J434" s="81" t="n">
        <v>70.385</v>
      </c>
      <c r="K434" s="81" t="n">
        <v>25562000</v>
      </c>
      <c r="L434" s="82" t="n">
        <v>0.26</v>
      </c>
      <c r="M434" s="81" t="n">
        <v>103.6406</v>
      </c>
      <c r="N434" s="81" t="n">
        <v>0</v>
      </c>
      <c r="O434" s="81" t="n">
        <v>2623.963</v>
      </c>
      <c r="P434" s="82" t="n">
        <v>0</v>
      </c>
      <c r="Q434" s="82" t="n">
        <v>157</v>
      </c>
      <c r="R434" s="47" t="n">
        <v>9</v>
      </c>
      <c r="S434" s="66" t="s">
        <v>712</v>
      </c>
    </row>
    <row r="435" customFormat="false" ht="15" hidden="false" customHeight="false" outlineLevel="0" collapsed="false">
      <c r="A435" s="78" t="s">
        <v>222</v>
      </c>
      <c r="B435" s="78" t="s">
        <v>272</v>
      </c>
      <c r="C435" s="79" t="n">
        <v>2024</v>
      </c>
      <c r="D435" s="79" t="n">
        <v>1</v>
      </c>
      <c r="E435" s="80" t="n">
        <v>45382</v>
      </c>
      <c r="F435" s="78" t="s">
        <v>253</v>
      </c>
      <c r="G435" s="78" t="s">
        <v>254</v>
      </c>
      <c r="H435" s="78" t="s">
        <v>250</v>
      </c>
      <c r="I435" s="81" t="n">
        <v>268.538</v>
      </c>
      <c r="J435" s="81" t="n">
        <v>21.169</v>
      </c>
      <c r="K435" s="81" t="n">
        <v>-28273000</v>
      </c>
      <c r="L435" s="82" t="n">
        <v>-0.29</v>
      </c>
      <c r="M435" s="81" t="n">
        <v>98.6406</v>
      </c>
      <c r="N435" s="81" t="n">
        <v>0</v>
      </c>
      <c r="O435" s="81" t="n">
        <v>2060.341</v>
      </c>
      <c r="P435" s="82" t="n">
        <v>0.5</v>
      </c>
      <c r="Q435" s="82" t="n">
        <v>96.2</v>
      </c>
      <c r="R435" s="47" t="n">
        <v>10</v>
      </c>
      <c r="S435" s="66" t="s">
        <v>713</v>
      </c>
    </row>
    <row r="436" customFormat="false" ht="15" hidden="false" customHeight="false" outlineLevel="0" collapsed="false">
      <c r="A436" s="78" t="s">
        <v>222</v>
      </c>
      <c r="B436" s="78" t="s">
        <v>274</v>
      </c>
      <c r="C436" s="79" t="n">
        <v>2023</v>
      </c>
      <c r="D436" s="79" t="n">
        <v>4</v>
      </c>
      <c r="E436" s="80" t="n">
        <v>45291</v>
      </c>
      <c r="F436" s="78" t="s">
        <v>253</v>
      </c>
      <c r="G436" s="78" t="s">
        <v>254</v>
      </c>
      <c r="H436" s="78" t="s">
        <v>250</v>
      </c>
      <c r="I436" s="81" t="n">
        <v>337.273</v>
      </c>
      <c r="J436" s="81" t="n">
        <v>46.849</v>
      </c>
      <c r="K436" s="81" t="n">
        <v>-7518000</v>
      </c>
      <c r="L436" s="82" t="n">
        <v>-0.09</v>
      </c>
      <c r="M436" s="81" t="n">
        <v>98.6406</v>
      </c>
      <c r="N436" s="81" t="n">
        <v>0</v>
      </c>
      <c r="O436" s="81" t="n">
        <v>2138.249</v>
      </c>
      <c r="P436" s="82" t="n">
        <v>0</v>
      </c>
      <c r="Q436" s="82" t="n">
        <v>69.3</v>
      </c>
      <c r="R436" s="47" t="n">
        <v>11</v>
      </c>
      <c r="S436" s="66" t="s">
        <v>714</v>
      </c>
    </row>
    <row r="437" customFormat="false" ht="15" hidden="false" customHeight="false" outlineLevel="0" collapsed="false">
      <c r="A437" s="78" t="s">
        <v>222</v>
      </c>
      <c r="B437" s="78" t="s">
        <v>276</v>
      </c>
      <c r="C437" s="79" t="n">
        <v>2023</v>
      </c>
      <c r="D437" s="79" t="n">
        <v>3</v>
      </c>
      <c r="E437" s="80" t="n">
        <v>45199</v>
      </c>
      <c r="F437" s="78" t="s">
        <v>253</v>
      </c>
      <c r="G437" s="78" t="s">
        <v>254</v>
      </c>
      <c r="H437" s="78" t="s">
        <v>250</v>
      </c>
      <c r="I437" s="81" t="n">
        <v>328.229</v>
      </c>
      <c r="J437" s="81" t="n">
        <v>63.443</v>
      </c>
      <c r="K437" s="81" t="n">
        <v>292000</v>
      </c>
      <c r="L437" s="82" t="n">
        <v>0</v>
      </c>
      <c r="M437" s="81" t="n">
        <v>88.6406</v>
      </c>
      <c r="N437" s="81" t="n">
        <v>0</v>
      </c>
      <c r="O437" s="81" t="n">
        <v>1618.138</v>
      </c>
      <c r="P437" s="82" t="n">
        <v>0</v>
      </c>
      <c r="Q437" s="82" t="n">
        <v>73.9</v>
      </c>
      <c r="R437" s="47" t="n">
        <v>12</v>
      </c>
      <c r="S437" s="66" t="s">
        <v>715</v>
      </c>
    </row>
    <row r="438" customFormat="false" ht="15" hidden="false" customHeight="false" outlineLevel="0" collapsed="false">
      <c r="A438" s="78" t="s">
        <v>222</v>
      </c>
      <c r="B438" s="78" t="s">
        <v>278</v>
      </c>
      <c r="C438" s="79" t="n">
        <v>2023</v>
      </c>
      <c r="D438" s="79" t="n">
        <v>2</v>
      </c>
      <c r="E438" s="80" t="n">
        <v>45107</v>
      </c>
      <c r="F438" s="78" t="s">
        <v>253</v>
      </c>
      <c r="G438" s="78" t="s">
        <v>254</v>
      </c>
      <c r="H438" s="78" t="s">
        <v>250</v>
      </c>
      <c r="I438" s="81" t="n">
        <v>284.079</v>
      </c>
      <c r="J438" s="81" t="n">
        <v>20.57</v>
      </c>
      <c r="K438" s="81" t="n">
        <v>-14707000</v>
      </c>
      <c r="L438" s="82" t="n">
        <v>-0.17</v>
      </c>
      <c r="M438" s="81" t="n">
        <v>88.6274</v>
      </c>
      <c r="N438" s="81" t="n">
        <v>0</v>
      </c>
      <c r="O438" s="81" t="n">
        <v>1608.276</v>
      </c>
      <c r="P438" s="82" t="n">
        <v>0.5</v>
      </c>
      <c r="Q438" s="82" t="n">
        <v>41.6</v>
      </c>
      <c r="R438" s="47" t="n">
        <v>13</v>
      </c>
      <c r="S438" s="66" t="s">
        <v>716</v>
      </c>
    </row>
    <row r="439" customFormat="false" ht="15" hidden="false" customHeight="false" outlineLevel="0" collapsed="false">
      <c r="A439" s="78" t="s">
        <v>222</v>
      </c>
      <c r="B439" s="78" t="s">
        <v>280</v>
      </c>
      <c r="C439" s="79" t="n">
        <v>2023</v>
      </c>
      <c r="D439" s="79" t="n">
        <v>1</v>
      </c>
      <c r="E439" s="80" t="n">
        <v>45016</v>
      </c>
      <c r="F439" s="78" t="s">
        <v>253</v>
      </c>
      <c r="G439" s="78" t="s">
        <v>254</v>
      </c>
      <c r="H439" s="78" t="s">
        <v>250</v>
      </c>
      <c r="I439" s="81" t="n">
        <v>322.164</v>
      </c>
      <c r="J439" s="81" t="n">
        <v>46.955</v>
      </c>
      <c r="K439" s="81" t="n">
        <v>33991000</v>
      </c>
      <c r="L439" s="82" t="n">
        <v>0.38</v>
      </c>
      <c r="M439" s="81" t="n">
        <v>88.3366</v>
      </c>
      <c r="N439" s="81" t="n">
        <v>0</v>
      </c>
      <c r="O439" s="81" t="n">
        <v>1648.698</v>
      </c>
      <c r="P439" s="82" t="n">
        <v>0</v>
      </c>
      <c r="Q439" s="82" t="n">
        <v>25.95</v>
      </c>
      <c r="R439" s="47" t="n">
        <v>14</v>
      </c>
      <c r="S439" s="66" t="s">
        <v>717</v>
      </c>
    </row>
    <row r="440" customFormat="false" ht="15" hidden="false" customHeight="false" outlineLevel="0" collapsed="false">
      <c r="A440" s="78" t="s">
        <v>222</v>
      </c>
      <c r="B440" s="78" t="s">
        <v>282</v>
      </c>
      <c r="C440" s="79" t="n">
        <v>2022</v>
      </c>
      <c r="D440" s="79" t="n">
        <v>4</v>
      </c>
      <c r="E440" s="80" t="n">
        <v>44926</v>
      </c>
      <c r="F440" s="78" t="s">
        <v>253</v>
      </c>
      <c r="G440" s="78" t="s">
        <v>254</v>
      </c>
      <c r="H440" s="78" t="s">
        <v>250</v>
      </c>
      <c r="I440" s="81" t="n">
        <v>328.101</v>
      </c>
      <c r="J440" s="81" t="n">
        <v>59.018</v>
      </c>
      <c r="K440" s="81" t="n">
        <v>20197000</v>
      </c>
      <c r="L440" s="82" t="n">
        <v>0.23</v>
      </c>
      <c r="M440" s="81" t="n">
        <v>88.3366</v>
      </c>
      <c r="N440" s="81" t="n">
        <v>0</v>
      </c>
      <c r="O440" s="81" t="n">
        <v>1660.503</v>
      </c>
      <c r="P440" s="82" t="n">
        <v>0</v>
      </c>
      <c r="Q440" s="82" t="n">
        <v>22.7</v>
      </c>
      <c r="R440" s="47" t="n">
        <v>15</v>
      </c>
      <c r="S440" s="66" t="s">
        <v>718</v>
      </c>
    </row>
    <row r="441" customFormat="false" ht="15" hidden="false" customHeight="false" outlineLevel="0" collapsed="false">
      <c r="A441" s="78" t="s">
        <v>222</v>
      </c>
      <c r="B441" s="78" t="s">
        <v>284</v>
      </c>
      <c r="C441" s="79" t="n">
        <v>2022</v>
      </c>
      <c r="D441" s="79" t="n">
        <v>3</v>
      </c>
      <c r="E441" s="80" t="n">
        <v>44834</v>
      </c>
      <c r="F441" s="78" t="s">
        <v>253</v>
      </c>
      <c r="G441" s="78" t="s">
        <v>254</v>
      </c>
      <c r="H441" s="78" t="s">
        <v>250</v>
      </c>
      <c r="I441" s="81" t="n">
        <v>432.414</v>
      </c>
      <c r="J441" s="81" t="n">
        <v>71.477</v>
      </c>
      <c r="K441" s="81" t="n">
        <v>22679000</v>
      </c>
      <c r="L441" s="82" t="n">
        <v>0.26</v>
      </c>
      <c r="M441" s="81" t="n">
        <v>88.3366</v>
      </c>
      <c r="N441" s="81" t="n">
        <v>0</v>
      </c>
      <c r="O441" s="81" t="n">
        <v>1631.994</v>
      </c>
      <c r="P441" s="82" t="n">
        <v>0</v>
      </c>
      <c r="Q441" s="82" t="n">
        <v>23.3</v>
      </c>
      <c r="R441" s="47" t="n">
        <v>16</v>
      </c>
      <c r="S441" s="66" t="s">
        <v>719</v>
      </c>
    </row>
    <row r="442" customFormat="false" ht="15" hidden="false" customHeight="false" outlineLevel="0" collapsed="false">
      <c r="A442" s="78" t="s">
        <v>222</v>
      </c>
      <c r="B442" s="78" t="s">
        <v>286</v>
      </c>
      <c r="C442" s="79" t="n">
        <v>2022</v>
      </c>
      <c r="D442" s="79" t="n">
        <v>2</v>
      </c>
      <c r="E442" s="80" t="n">
        <v>44742</v>
      </c>
      <c r="F442" s="78" t="s">
        <v>253</v>
      </c>
      <c r="G442" s="78" t="s">
        <v>254</v>
      </c>
      <c r="H442" s="78" t="s">
        <v>250</v>
      </c>
      <c r="I442" s="81" t="n">
        <v>421.858</v>
      </c>
      <c r="J442" s="81" t="n">
        <v>72.099</v>
      </c>
      <c r="K442" s="81" t="n">
        <v>7273000</v>
      </c>
      <c r="L442" s="82" t="n">
        <v>0.08</v>
      </c>
      <c r="M442" s="81" t="n">
        <v>88.3146</v>
      </c>
      <c r="N442" s="81" t="n">
        <v>0</v>
      </c>
      <c r="O442" s="81" t="n">
        <v>1607.118</v>
      </c>
      <c r="P442" s="82" t="n">
        <v>1.6</v>
      </c>
      <c r="Q442" s="82" t="n">
        <v>23.55</v>
      </c>
      <c r="R442" s="47" t="n">
        <v>17</v>
      </c>
      <c r="S442" s="66" t="s">
        <v>720</v>
      </c>
    </row>
    <row r="443" customFormat="false" ht="15" hidden="false" customHeight="false" outlineLevel="0" collapsed="false">
      <c r="A443" s="78" t="s">
        <v>222</v>
      </c>
      <c r="B443" s="78" t="s">
        <v>288</v>
      </c>
      <c r="C443" s="79" t="n">
        <v>2022</v>
      </c>
      <c r="D443" s="79" t="n">
        <v>1</v>
      </c>
      <c r="E443" s="80" t="n">
        <v>44651</v>
      </c>
      <c r="F443" s="78" t="s">
        <v>253</v>
      </c>
      <c r="G443" s="78" t="s">
        <v>254</v>
      </c>
      <c r="H443" s="78" t="s">
        <v>250</v>
      </c>
      <c r="I443" s="81" t="n">
        <v>438.286</v>
      </c>
      <c r="J443" s="81" t="n">
        <v>94.536</v>
      </c>
      <c r="K443" s="81" t="n">
        <v>-3128000</v>
      </c>
      <c r="L443" s="82" t="n">
        <v>-0.04</v>
      </c>
      <c r="M443" s="81" t="n">
        <v>88.3146</v>
      </c>
      <c r="N443" s="81" t="n">
        <v>0</v>
      </c>
      <c r="O443" s="81" t="n">
        <v>1617.177</v>
      </c>
      <c r="P443" s="82" t="n">
        <v>0</v>
      </c>
      <c r="Q443" s="82" t="n">
        <v>30.6</v>
      </c>
      <c r="R443" s="47" t="n">
        <v>18</v>
      </c>
      <c r="S443" s="66" t="s">
        <v>721</v>
      </c>
    </row>
    <row r="444" customFormat="false" ht="15" hidden="false" customHeight="false" outlineLevel="0" collapsed="false">
      <c r="A444" s="78" t="s">
        <v>222</v>
      </c>
      <c r="B444" s="78" t="s">
        <v>290</v>
      </c>
      <c r="C444" s="79" t="n">
        <v>2021</v>
      </c>
      <c r="D444" s="79" t="n">
        <v>4</v>
      </c>
      <c r="E444" s="80" t="n">
        <v>44561</v>
      </c>
      <c r="F444" s="78" t="s">
        <v>253</v>
      </c>
      <c r="G444" s="78" t="s">
        <v>254</v>
      </c>
      <c r="H444" s="78" t="s">
        <v>250</v>
      </c>
      <c r="I444" s="81" t="n">
        <v>553.177</v>
      </c>
      <c r="J444" s="81" t="n">
        <v>149.828</v>
      </c>
      <c r="K444" s="81" t="n">
        <v>41027000</v>
      </c>
      <c r="L444" s="82" t="n">
        <v>0.47</v>
      </c>
      <c r="M444" s="81" t="n">
        <v>88.2731</v>
      </c>
      <c r="N444" s="81" t="n">
        <v>0</v>
      </c>
      <c r="O444" s="81" t="n">
        <v>1750.967</v>
      </c>
      <c r="P444" s="82" t="n">
        <v>0</v>
      </c>
      <c r="Q444" s="82" t="n">
        <v>33.4</v>
      </c>
      <c r="R444" s="47" t="n">
        <v>19</v>
      </c>
      <c r="S444" s="66" t="s">
        <v>722</v>
      </c>
    </row>
    <row r="445" customFormat="false" ht="15" hidden="false" customHeight="false" outlineLevel="0" collapsed="false">
      <c r="A445" s="78" t="s">
        <v>222</v>
      </c>
      <c r="B445" s="78" t="s">
        <v>292</v>
      </c>
      <c r="C445" s="79" t="n">
        <v>2021</v>
      </c>
      <c r="D445" s="79" t="n">
        <v>3</v>
      </c>
      <c r="E445" s="80" t="n">
        <v>44469</v>
      </c>
      <c r="F445" s="78" t="s">
        <v>253</v>
      </c>
      <c r="G445" s="78" t="s">
        <v>254</v>
      </c>
      <c r="H445" s="78" t="s">
        <v>250</v>
      </c>
      <c r="I445" s="81" t="n">
        <v>652.042</v>
      </c>
      <c r="J445" s="81" t="n">
        <v>191.472</v>
      </c>
      <c r="K445" s="81" t="n">
        <v>130574000</v>
      </c>
      <c r="L445" s="82" t="n">
        <v>1.5</v>
      </c>
      <c r="M445" s="81" t="n">
        <v>87.1279</v>
      </c>
      <c r="N445" s="81" t="n">
        <v>0</v>
      </c>
      <c r="O445" s="81" t="n">
        <v>1717.167</v>
      </c>
      <c r="P445" s="82" t="n">
        <v>0</v>
      </c>
      <c r="Q445" s="82" t="n">
        <v>27.65</v>
      </c>
      <c r="R445" s="47" t="n">
        <v>20</v>
      </c>
      <c r="S445" s="66" t="s">
        <v>723</v>
      </c>
    </row>
    <row r="446" customFormat="false" ht="15" hidden="false" customHeight="false" outlineLevel="0" collapsed="false">
      <c r="A446" s="78" t="s">
        <v>222</v>
      </c>
      <c r="B446" s="78" t="s">
        <v>294</v>
      </c>
      <c r="C446" s="79" t="n">
        <v>2021</v>
      </c>
      <c r="D446" s="79" t="n">
        <v>2</v>
      </c>
      <c r="E446" s="80" t="n">
        <v>44377</v>
      </c>
      <c r="F446" s="78" t="s">
        <v>253</v>
      </c>
      <c r="G446" s="78" t="s">
        <v>254</v>
      </c>
      <c r="H446" s="78" t="s">
        <v>250</v>
      </c>
      <c r="I446" s="81" t="n">
        <v>416.845</v>
      </c>
      <c r="J446" s="81" t="n">
        <v>70.15</v>
      </c>
      <c r="K446" s="81" t="n">
        <v>28098000</v>
      </c>
      <c r="L446" s="82" t="n">
        <v>0.32</v>
      </c>
      <c r="M446" s="81" t="n">
        <v>87.0739</v>
      </c>
      <c r="N446" s="81" t="n">
        <v>0</v>
      </c>
      <c r="O446" s="81" t="n">
        <v>1594.253</v>
      </c>
      <c r="P446" s="82" t="n">
        <v>1</v>
      </c>
      <c r="Q446" s="82" t="n">
        <v>25.15</v>
      </c>
      <c r="R446" s="47" t="n">
        <v>21</v>
      </c>
      <c r="S446" s="66" t="s">
        <v>724</v>
      </c>
    </row>
    <row r="447" customFormat="false" ht="15" hidden="false" customHeight="false" outlineLevel="0" collapsed="false">
      <c r="A447" s="78" t="s">
        <v>222</v>
      </c>
      <c r="B447" s="78" t="s">
        <v>296</v>
      </c>
      <c r="C447" s="79" t="n">
        <v>2021</v>
      </c>
      <c r="D447" s="79" t="n">
        <v>1</v>
      </c>
      <c r="E447" s="80" t="n">
        <v>44286</v>
      </c>
      <c r="F447" s="78" t="s">
        <v>253</v>
      </c>
      <c r="G447" s="78" t="s">
        <v>254</v>
      </c>
      <c r="H447" s="78" t="s">
        <v>250</v>
      </c>
      <c r="I447" s="81" t="n">
        <v>366.205</v>
      </c>
      <c r="J447" s="81" t="n">
        <v>43.196</v>
      </c>
      <c r="K447" s="81" t="n">
        <v>1945000</v>
      </c>
      <c r="L447" s="82" t="n">
        <v>0.02</v>
      </c>
      <c r="M447" s="81" t="n">
        <v>87.0739</v>
      </c>
      <c r="N447" s="81" t="n">
        <v>0</v>
      </c>
      <c r="O447" s="81" t="n">
        <v>1571.599</v>
      </c>
      <c r="P447" s="82" t="n">
        <v>0</v>
      </c>
      <c r="Q447" s="82" t="n">
        <v>27.1</v>
      </c>
      <c r="R447" s="47" t="n">
        <v>22</v>
      </c>
      <c r="S447" s="66" t="s">
        <v>725</v>
      </c>
    </row>
    <row r="448" customFormat="false" ht="15" hidden="false" customHeight="false" outlineLevel="0" collapsed="false">
      <c r="A448" s="78" t="s">
        <v>222</v>
      </c>
      <c r="B448" s="78" t="s">
        <v>298</v>
      </c>
      <c r="C448" s="79" t="n">
        <v>2020</v>
      </c>
      <c r="D448" s="79" t="n">
        <v>4</v>
      </c>
      <c r="E448" s="80" t="n">
        <v>44196</v>
      </c>
      <c r="F448" s="78" t="s">
        <v>253</v>
      </c>
      <c r="G448" s="78" t="s">
        <v>254</v>
      </c>
      <c r="H448" s="78" t="s">
        <v>250</v>
      </c>
      <c r="I448" s="81" t="n">
        <v>407.008</v>
      </c>
      <c r="J448" s="81" t="n">
        <v>72.485</v>
      </c>
      <c r="K448" s="81" t="n">
        <v>-33792000</v>
      </c>
      <c r="L448" s="82" t="n">
        <v>-0.4</v>
      </c>
      <c r="M448" s="81" t="n">
        <v>91.0739</v>
      </c>
      <c r="N448" s="81" t="n">
        <v>4000000</v>
      </c>
      <c r="O448" s="81" t="n">
        <v>1655.427</v>
      </c>
      <c r="P448" s="82" t="n">
        <v>0</v>
      </c>
      <c r="Q448" s="82" t="n">
        <v>28.45</v>
      </c>
      <c r="R448" s="47" t="n">
        <v>23</v>
      </c>
      <c r="S448" s="66" t="s">
        <v>726</v>
      </c>
    </row>
    <row r="449" customFormat="false" ht="15" hidden="false" customHeight="false" outlineLevel="0" collapsed="false">
      <c r="A449" s="78" t="s">
        <v>222</v>
      </c>
      <c r="B449" s="78" t="s">
        <v>300</v>
      </c>
      <c r="C449" s="79" t="n">
        <v>2020</v>
      </c>
      <c r="D449" s="79" t="n">
        <v>3</v>
      </c>
      <c r="E449" s="80" t="n">
        <v>44104</v>
      </c>
      <c r="F449" s="78" t="s">
        <v>253</v>
      </c>
      <c r="G449" s="78" t="s">
        <v>254</v>
      </c>
      <c r="H449" s="78" t="s">
        <v>250</v>
      </c>
      <c r="I449" s="81" t="n">
        <v>410.473</v>
      </c>
      <c r="J449" s="81" t="n">
        <v>63.59</v>
      </c>
      <c r="K449" s="81" t="n">
        <v>46660000</v>
      </c>
      <c r="L449" s="82" t="n">
        <v>0.54</v>
      </c>
      <c r="M449" s="81" t="n">
        <v>90.7432</v>
      </c>
      <c r="N449" s="81" t="n">
        <v>4000000</v>
      </c>
      <c r="O449" s="81" t="n">
        <v>1702.503</v>
      </c>
      <c r="P449" s="82"/>
      <c r="Q449" s="82" t="n">
        <v>26.15</v>
      </c>
      <c r="R449" s="47" t="n">
        <v>24</v>
      </c>
      <c r="S449" s="66" t="s">
        <v>727</v>
      </c>
    </row>
    <row r="450" customFormat="false" ht="15" hidden="false" customHeight="false" outlineLevel="0" collapsed="false">
      <c r="A450" s="78" t="s">
        <v>728</v>
      </c>
      <c r="B450" s="78" t="s">
        <v>252</v>
      </c>
      <c r="C450" s="79" t="n">
        <v>2026</v>
      </c>
      <c r="D450" s="79" t="n">
        <v>2</v>
      </c>
      <c r="E450" s="80" t="n">
        <v>46203</v>
      </c>
      <c r="F450" s="78" t="s">
        <v>253</v>
      </c>
      <c r="G450" s="78" t="s">
        <v>254</v>
      </c>
      <c r="H450" s="78" t="s">
        <v>250</v>
      </c>
      <c r="I450" s="81" t="n">
        <v>2976.641</v>
      </c>
      <c r="J450" s="81" t="n">
        <v>963.58</v>
      </c>
      <c r="K450" s="81" t="n">
        <v>305172000</v>
      </c>
      <c r="L450" s="82" t="n">
        <v>2.09</v>
      </c>
      <c r="M450" s="81" t="n">
        <v>145.6814</v>
      </c>
      <c r="N450" s="81" t="n">
        <v>0</v>
      </c>
      <c r="O450" s="81" t="n">
        <v>5584.813</v>
      </c>
      <c r="P450" s="82" t="n">
        <v>1</v>
      </c>
      <c r="Q450" s="82" t="n">
        <v>532</v>
      </c>
      <c r="R450" s="47" t="n">
        <v>1</v>
      </c>
      <c r="S450" s="66" t="s">
        <v>729</v>
      </c>
    </row>
    <row r="451" customFormat="false" ht="15" hidden="false" customHeight="false" outlineLevel="0" collapsed="false">
      <c r="A451" s="78" t="s">
        <v>728</v>
      </c>
      <c r="B451" s="78" t="s">
        <v>256</v>
      </c>
      <c r="C451" s="79" t="n">
        <v>2026</v>
      </c>
      <c r="D451" s="79" t="n">
        <v>1</v>
      </c>
      <c r="E451" s="80" t="n">
        <v>46112</v>
      </c>
      <c r="F451" s="78" t="s">
        <v>253</v>
      </c>
      <c r="G451" s="78" t="s">
        <v>254</v>
      </c>
      <c r="H451" s="78" t="s">
        <v>250</v>
      </c>
      <c r="I451" s="81" t="n">
        <v>2086.881</v>
      </c>
      <c r="J451" s="81" t="n">
        <v>517.637</v>
      </c>
      <c r="K451" s="81" t="n">
        <v>100381000</v>
      </c>
      <c r="L451" s="82" t="n">
        <v>0.69</v>
      </c>
      <c r="M451" s="81" t="n">
        <v>145.6814</v>
      </c>
      <c r="N451" s="81" t="n">
        <v>0</v>
      </c>
      <c r="O451" s="81" t="n">
        <v>5215.702</v>
      </c>
      <c r="P451" s="82" t="n">
        <v>0</v>
      </c>
      <c r="Q451" s="82" t="n">
        <v>242</v>
      </c>
      <c r="R451" s="47" t="n">
        <v>2</v>
      </c>
      <c r="S451" s="66" t="s">
        <v>730</v>
      </c>
    </row>
    <row r="452" customFormat="false" ht="15" hidden="false" customHeight="false" outlineLevel="0" collapsed="false">
      <c r="A452" s="78" t="s">
        <v>728</v>
      </c>
      <c r="B452" s="78" t="s">
        <v>258</v>
      </c>
      <c r="C452" s="79" t="n">
        <v>2025</v>
      </c>
      <c r="D452" s="79" t="n">
        <v>4</v>
      </c>
      <c r="E452" s="80" t="n">
        <v>46022</v>
      </c>
      <c r="F452" s="78" t="s">
        <v>253</v>
      </c>
      <c r="G452" s="78" t="s">
        <v>254</v>
      </c>
      <c r="H452" s="78" t="s">
        <v>250</v>
      </c>
      <c r="I452" s="81" t="n">
        <v>2121.948</v>
      </c>
      <c r="J452" s="81" t="n">
        <v>566.005</v>
      </c>
      <c r="K452" s="81" t="n">
        <v>223166000</v>
      </c>
      <c r="L452" s="82" t="n">
        <v>1.53</v>
      </c>
      <c r="M452" s="81" t="n">
        <v>145.6814</v>
      </c>
      <c r="N452" s="81" t="n">
        <v>0</v>
      </c>
      <c r="O452" s="81" t="n">
        <v>5063.491</v>
      </c>
      <c r="P452" s="82" t="n">
        <v>0</v>
      </c>
      <c r="Q452" s="82" t="n">
        <v>270</v>
      </c>
      <c r="R452" s="47" t="n">
        <v>3</v>
      </c>
      <c r="S452" s="66" t="s">
        <v>731</v>
      </c>
    </row>
    <row r="453" customFormat="false" ht="15" hidden="false" customHeight="false" outlineLevel="0" collapsed="false">
      <c r="A453" s="78" t="s">
        <v>728</v>
      </c>
      <c r="B453" s="78" t="s">
        <v>260</v>
      </c>
      <c r="C453" s="79" t="n">
        <v>2025</v>
      </c>
      <c r="D453" s="79" t="n">
        <v>3</v>
      </c>
      <c r="E453" s="80" t="n">
        <v>45930</v>
      </c>
      <c r="F453" s="78" t="s">
        <v>253</v>
      </c>
      <c r="G453" s="78" t="s">
        <v>254</v>
      </c>
      <c r="H453" s="78" t="s">
        <v>250</v>
      </c>
      <c r="I453" s="81" t="n">
        <v>1855.743</v>
      </c>
      <c r="J453" s="81" t="n">
        <v>422.724</v>
      </c>
      <c r="K453" s="81" t="n">
        <v>88851000</v>
      </c>
      <c r="L453" s="82" t="n">
        <v>0.61</v>
      </c>
      <c r="M453" s="81" t="n">
        <v>145.6814</v>
      </c>
      <c r="N453" s="81" t="n">
        <v>0</v>
      </c>
      <c r="O453" s="81" t="n">
        <v>4786.716</v>
      </c>
      <c r="P453" s="82" t="n">
        <v>0</v>
      </c>
      <c r="Q453" s="82" t="n">
        <v>272</v>
      </c>
      <c r="R453" s="47" t="n">
        <v>4</v>
      </c>
      <c r="S453" s="66" t="s">
        <v>732</v>
      </c>
    </row>
    <row r="454" customFormat="false" ht="15" hidden="false" customHeight="false" outlineLevel="0" collapsed="false">
      <c r="A454" s="78" t="s">
        <v>728</v>
      </c>
      <c r="B454" s="78" t="s">
        <v>262</v>
      </c>
      <c r="C454" s="79" t="n">
        <v>2025</v>
      </c>
      <c r="D454" s="79" t="n">
        <v>2</v>
      </c>
      <c r="E454" s="80" t="n">
        <v>45838</v>
      </c>
      <c r="F454" s="78" t="s">
        <v>253</v>
      </c>
      <c r="G454" s="78" t="s">
        <v>254</v>
      </c>
      <c r="H454" s="78" t="s">
        <v>250</v>
      </c>
      <c r="I454" s="81" t="n">
        <v>1848.901</v>
      </c>
      <c r="J454" s="81" t="n">
        <v>569.571</v>
      </c>
      <c r="K454" s="81" t="n">
        <v>77183000</v>
      </c>
      <c r="L454" s="82" t="n">
        <v>0.53</v>
      </c>
      <c r="M454" s="81" t="n">
        <v>145.6814</v>
      </c>
      <c r="N454" s="81" t="n">
        <v>0</v>
      </c>
      <c r="O454" s="81" t="n">
        <v>4641.311</v>
      </c>
      <c r="P454" s="82" t="n">
        <v>0.5</v>
      </c>
      <c r="Q454" s="82" t="n">
        <v>209</v>
      </c>
      <c r="R454" s="47" t="n">
        <v>5</v>
      </c>
      <c r="S454" s="66" t="s">
        <v>733</v>
      </c>
    </row>
    <row r="455" customFormat="false" ht="15" hidden="false" customHeight="false" outlineLevel="0" collapsed="false">
      <c r="A455" s="78" t="s">
        <v>728</v>
      </c>
      <c r="B455" s="78" t="s">
        <v>264</v>
      </c>
      <c r="C455" s="79" t="n">
        <v>2025</v>
      </c>
      <c r="D455" s="79" t="n">
        <v>1</v>
      </c>
      <c r="E455" s="80" t="n">
        <v>45747</v>
      </c>
      <c r="F455" s="78" t="s">
        <v>253</v>
      </c>
      <c r="G455" s="78" t="s">
        <v>254</v>
      </c>
      <c r="H455" s="78" t="s">
        <v>250</v>
      </c>
      <c r="I455" s="81" t="n">
        <v>2758.002</v>
      </c>
      <c r="J455" s="81" t="n">
        <v>997.281</v>
      </c>
      <c r="K455" s="81" t="n">
        <v>340603000</v>
      </c>
      <c r="L455" s="82" t="n">
        <v>2.34</v>
      </c>
      <c r="M455" s="81" t="n">
        <v>145.6814</v>
      </c>
      <c r="N455" s="81" t="n">
        <v>0</v>
      </c>
      <c r="O455" s="81" t="n">
        <v>4793.618</v>
      </c>
      <c r="P455" s="82" t="n">
        <v>0</v>
      </c>
      <c r="Q455" s="82" t="n">
        <v>235</v>
      </c>
      <c r="R455" s="47" t="n">
        <v>6</v>
      </c>
      <c r="S455" s="66" t="s">
        <v>734</v>
      </c>
    </row>
    <row r="456" customFormat="false" ht="15" hidden="false" customHeight="false" outlineLevel="0" collapsed="false">
      <c r="A456" s="78" t="s">
        <v>728</v>
      </c>
      <c r="B456" s="78" t="s">
        <v>266</v>
      </c>
      <c r="C456" s="79" t="n">
        <v>2024</v>
      </c>
      <c r="D456" s="79" t="n">
        <v>4</v>
      </c>
      <c r="E456" s="80" t="n">
        <v>45657</v>
      </c>
      <c r="F456" s="78" t="s">
        <v>253</v>
      </c>
      <c r="G456" s="78" t="s">
        <v>254</v>
      </c>
      <c r="H456" s="78" t="s">
        <v>250</v>
      </c>
      <c r="I456" s="81" t="n">
        <v>2476.55</v>
      </c>
      <c r="J456" s="81" t="n">
        <v>830.41</v>
      </c>
      <c r="K456" s="81" t="n">
        <v>291954000</v>
      </c>
      <c r="L456" s="82" t="n">
        <v>2</v>
      </c>
      <c r="M456" s="81" t="n">
        <v>145.6814</v>
      </c>
      <c r="N456" s="81" t="n">
        <v>0</v>
      </c>
      <c r="O456" s="81" t="n">
        <v>4428.767</v>
      </c>
      <c r="P456" s="82" t="n">
        <v>0</v>
      </c>
      <c r="Q456" s="82" t="n">
        <v>287</v>
      </c>
      <c r="R456" s="47" t="n">
        <v>7</v>
      </c>
      <c r="S456" s="66" t="s">
        <v>735</v>
      </c>
    </row>
    <row r="457" customFormat="false" ht="15" hidden="false" customHeight="false" outlineLevel="0" collapsed="false">
      <c r="A457" s="78" t="s">
        <v>728</v>
      </c>
      <c r="B457" s="78" t="s">
        <v>268</v>
      </c>
      <c r="C457" s="79" t="n">
        <v>2024</v>
      </c>
      <c r="D457" s="79" t="n">
        <v>3</v>
      </c>
      <c r="E457" s="80" t="n">
        <v>45565</v>
      </c>
      <c r="F457" s="78" t="s">
        <v>253</v>
      </c>
      <c r="G457" s="78" t="s">
        <v>254</v>
      </c>
      <c r="H457" s="78" t="s">
        <v>250</v>
      </c>
      <c r="I457" s="81" t="n">
        <v>2100.77</v>
      </c>
      <c r="J457" s="81" t="n">
        <v>578.939</v>
      </c>
      <c r="K457" s="81" t="n">
        <v>151012000</v>
      </c>
      <c r="L457" s="82" t="n">
        <v>1.04</v>
      </c>
      <c r="M457" s="81" t="n">
        <v>145.6814</v>
      </c>
      <c r="N457" s="81" t="n">
        <v>0</v>
      </c>
      <c r="O457" s="81" t="n">
        <v>4121</v>
      </c>
      <c r="P457" s="82" t="n">
        <v>0</v>
      </c>
      <c r="Q457" s="82" t="n">
        <v>185.5</v>
      </c>
      <c r="R457" s="47" t="n">
        <v>8</v>
      </c>
      <c r="S457" s="66" t="s">
        <v>736</v>
      </c>
    </row>
    <row r="458" customFormat="false" ht="15" hidden="false" customHeight="false" outlineLevel="0" collapsed="false">
      <c r="A458" s="78" t="s">
        <v>728</v>
      </c>
      <c r="B458" s="78" t="s">
        <v>270</v>
      </c>
      <c r="C458" s="79" t="n">
        <v>2024</v>
      </c>
      <c r="D458" s="79" t="n">
        <v>2</v>
      </c>
      <c r="E458" s="80" t="n">
        <v>45473</v>
      </c>
      <c r="F458" s="78" t="s">
        <v>253</v>
      </c>
      <c r="G458" s="78" t="s">
        <v>254</v>
      </c>
      <c r="H458" s="78" t="s">
        <v>250</v>
      </c>
      <c r="I458" s="81" t="n">
        <v>1704.853</v>
      </c>
      <c r="J458" s="81" t="n">
        <v>394.675</v>
      </c>
      <c r="K458" s="81" t="n">
        <v>69023000</v>
      </c>
      <c r="L458" s="82" t="n">
        <v>0.47</v>
      </c>
      <c r="M458" s="81" t="n">
        <v>145.6814</v>
      </c>
      <c r="N458" s="81" t="n">
        <v>0</v>
      </c>
      <c r="O458" s="81" t="n">
        <v>3978.855</v>
      </c>
      <c r="P458" s="82" t="n">
        <v>0</v>
      </c>
      <c r="Q458" s="82" t="n">
        <v>123.5</v>
      </c>
      <c r="R458" s="47" t="n">
        <v>9</v>
      </c>
      <c r="S458" s="66" t="s">
        <v>737</v>
      </c>
    </row>
    <row r="459" customFormat="false" ht="15" hidden="false" customHeight="false" outlineLevel="0" collapsed="false">
      <c r="A459" s="78" t="s">
        <v>728</v>
      </c>
      <c r="B459" s="78" t="s">
        <v>272</v>
      </c>
      <c r="C459" s="79" t="n">
        <v>2024</v>
      </c>
      <c r="D459" s="79" t="n">
        <v>1</v>
      </c>
      <c r="E459" s="80" t="n">
        <v>45382</v>
      </c>
      <c r="F459" s="78" t="s">
        <v>253</v>
      </c>
      <c r="G459" s="78" t="s">
        <v>254</v>
      </c>
      <c r="H459" s="78" t="s">
        <v>250</v>
      </c>
      <c r="I459" s="81" t="n">
        <v>1285.488</v>
      </c>
      <c r="J459" s="81" t="n">
        <v>257.092</v>
      </c>
      <c r="K459" s="81" t="n">
        <v>44437000</v>
      </c>
      <c r="L459" s="82" t="n">
        <v>0.31</v>
      </c>
      <c r="M459" s="81" t="n">
        <v>145.6814</v>
      </c>
      <c r="N459" s="81" t="n">
        <v>0</v>
      </c>
      <c r="O459" s="81" t="n">
        <v>3889.504</v>
      </c>
      <c r="P459" s="82" t="n">
        <v>0</v>
      </c>
      <c r="Q459" s="82" t="n">
        <v>74</v>
      </c>
      <c r="R459" s="47" t="n">
        <v>10</v>
      </c>
      <c r="S459" s="66" t="s">
        <v>738</v>
      </c>
    </row>
    <row r="460" customFormat="false" ht="15" hidden="false" customHeight="false" outlineLevel="0" collapsed="false">
      <c r="A460" s="78" t="s">
        <v>728</v>
      </c>
      <c r="B460" s="78" t="s">
        <v>274</v>
      </c>
      <c r="C460" s="79" t="n">
        <v>2023</v>
      </c>
      <c r="D460" s="79" t="n">
        <v>4</v>
      </c>
      <c r="E460" s="80" t="n">
        <v>45291</v>
      </c>
      <c r="F460" s="78" t="s">
        <v>253</v>
      </c>
      <c r="G460" s="78" t="s">
        <v>254</v>
      </c>
      <c r="H460" s="78" t="s">
        <v>250</v>
      </c>
      <c r="I460" s="81" t="n">
        <v>1438.314</v>
      </c>
      <c r="J460" s="81" t="n">
        <v>220.807</v>
      </c>
      <c r="K460" s="81" t="n">
        <v>-1732000</v>
      </c>
      <c r="L460" s="82" t="n">
        <v>-0.01</v>
      </c>
      <c r="M460" s="81" t="n">
        <v>145.6814</v>
      </c>
      <c r="N460" s="81" t="n">
        <v>0</v>
      </c>
      <c r="O460" s="81" t="n">
        <v>3804.752</v>
      </c>
      <c r="P460" s="82" t="n">
        <v>0</v>
      </c>
      <c r="Q460" s="82" t="n">
        <v>62.3</v>
      </c>
      <c r="R460" s="47" t="n">
        <v>11</v>
      </c>
      <c r="S460" s="66" t="s">
        <v>739</v>
      </c>
    </row>
    <row r="461" customFormat="false" ht="15" hidden="false" customHeight="false" outlineLevel="0" collapsed="false">
      <c r="A461" s="78" t="s">
        <v>728</v>
      </c>
      <c r="B461" s="78" t="s">
        <v>276</v>
      </c>
      <c r="C461" s="79" t="n">
        <v>2023</v>
      </c>
      <c r="D461" s="79" t="n">
        <v>3</v>
      </c>
      <c r="E461" s="80" t="n">
        <v>45199</v>
      </c>
      <c r="F461" s="78" t="s">
        <v>253</v>
      </c>
      <c r="G461" s="78" t="s">
        <v>254</v>
      </c>
      <c r="H461" s="78" t="s">
        <v>250</v>
      </c>
      <c r="I461" s="81" t="n">
        <v>1406.587</v>
      </c>
      <c r="J461" s="81" t="n">
        <v>181.788</v>
      </c>
      <c r="K461" s="81" t="n">
        <v>-21099000</v>
      </c>
      <c r="L461" s="82" t="n">
        <v>-0.14</v>
      </c>
      <c r="M461" s="81" t="n">
        <v>145.6814</v>
      </c>
      <c r="N461" s="81" t="n">
        <v>0</v>
      </c>
      <c r="O461" s="81" t="n">
        <v>3846.063</v>
      </c>
      <c r="P461" s="82" t="n">
        <v>0</v>
      </c>
      <c r="Q461" s="82" t="n">
        <v>59</v>
      </c>
      <c r="R461" s="47" t="n">
        <v>12</v>
      </c>
      <c r="S461" s="66" t="s">
        <v>740</v>
      </c>
    </row>
    <row r="462" customFormat="false" ht="15" hidden="false" customHeight="false" outlineLevel="0" collapsed="false">
      <c r="A462" s="78" t="s">
        <v>728</v>
      </c>
      <c r="B462" s="78" t="s">
        <v>278</v>
      </c>
      <c r="C462" s="79" t="n">
        <v>2023</v>
      </c>
      <c r="D462" s="79" t="n">
        <v>2</v>
      </c>
      <c r="E462" s="80" t="n">
        <v>45107</v>
      </c>
      <c r="F462" s="78" t="s">
        <v>253</v>
      </c>
      <c r="G462" s="78" t="s">
        <v>254</v>
      </c>
      <c r="H462" s="78" t="s">
        <v>250</v>
      </c>
      <c r="I462" s="81" t="n">
        <v>1291.364</v>
      </c>
      <c r="J462" s="81" t="n">
        <v>185.8</v>
      </c>
      <c r="K462" s="81" t="n">
        <v>-13234000</v>
      </c>
      <c r="L462" s="82" t="n">
        <v>-0.09</v>
      </c>
      <c r="M462" s="81" t="n">
        <v>145.6814</v>
      </c>
      <c r="N462" s="81" t="n">
        <v>0</v>
      </c>
      <c r="O462" s="81" t="n">
        <v>3820.316</v>
      </c>
      <c r="P462" s="82" t="n">
        <v>0.5</v>
      </c>
      <c r="Q462" s="82" t="n">
        <v>39.4</v>
      </c>
      <c r="R462" s="47" t="n">
        <v>13</v>
      </c>
      <c r="S462" s="66" t="s">
        <v>741</v>
      </c>
    </row>
    <row r="463" customFormat="false" ht="15" hidden="false" customHeight="false" outlineLevel="0" collapsed="false">
      <c r="A463" s="78" t="s">
        <v>728</v>
      </c>
      <c r="B463" s="78" t="s">
        <v>280</v>
      </c>
      <c r="C463" s="79" t="n">
        <v>2023</v>
      </c>
      <c r="D463" s="79" t="n">
        <v>1</v>
      </c>
      <c r="E463" s="80" t="n">
        <v>45016</v>
      </c>
      <c r="F463" s="78" t="s">
        <v>253</v>
      </c>
      <c r="G463" s="78" t="s">
        <v>254</v>
      </c>
      <c r="H463" s="78" t="s">
        <v>250</v>
      </c>
      <c r="I463" s="81" t="n">
        <v>1262.932</v>
      </c>
      <c r="J463" s="81" t="n">
        <v>216.908</v>
      </c>
      <c r="K463" s="81" t="n">
        <v>-40091000</v>
      </c>
      <c r="L463" s="82" t="n">
        <v>-0.28</v>
      </c>
      <c r="M463" s="81" t="n">
        <v>145.6814</v>
      </c>
      <c r="N463" s="81" t="n">
        <v>0</v>
      </c>
      <c r="O463" s="81" t="n">
        <v>3928.184</v>
      </c>
      <c r="P463" s="82" t="n">
        <v>0</v>
      </c>
      <c r="Q463" s="82" t="n">
        <v>40.15</v>
      </c>
      <c r="R463" s="47" t="n">
        <v>14</v>
      </c>
      <c r="S463" s="66" t="s">
        <v>742</v>
      </c>
    </row>
    <row r="464" customFormat="false" ht="15" hidden="false" customHeight="false" outlineLevel="0" collapsed="false">
      <c r="A464" s="78" t="s">
        <v>728</v>
      </c>
      <c r="B464" s="78" t="s">
        <v>282</v>
      </c>
      <c r="C464" s="79" t="n">
        <v>2022</v>
      </c>
      <c r="D464" s="79" t="n">
        <v>4</v>
      </c>
      <c r="E464" s="80" t="n">
        <v>44926</v>
      </c>
      <c r="F464" s="78" t="s">
        <v>253</v>
      </c>
      <c r="G464" s="78" t="s">
        <v>254</v>
      </c>
      <c r="H464" s="78" t="s">
        <v>250</v>
      </c>
      <c r="I464" s="81" t="n">
        <v>1518.381</v>
      </c>
      <c r="J464" s="81" t="n">
        <v>260.205</v>
      </c>
      <c r="K464" s="81" t="n">
        <v>-32346000</v>
      </c>
      <c r="L464" s="82" t="n">
        <v>-0.22</v>
      </c>
      <c r="M464" s="81" t="n">
        <v>145.6814</v>
      </c>
      <c r="N464" s="81" t="n">
        <v>0</v>
      </c>
      <c r="O464" s="81" t="n">
        <v>3969.678</v>
      </c>
      <c r="P464" s="82" t="n">
        <v>0</v>
      </c>
      <c r="Q464" s="82" t="n">
        <v>36.75</v>
      </c>
      <c r="R464" s="47" t="n">
        <v>15</v>
      </c>
      <c r="S464" s="66" t="s">
        <v>743</v>
      </c>
    </row>
    <row r="465" customFormat="false" ht="15" hidden="false" customHeight="false" outlineLevel="0" collapsed="false">
      <c r="A465" s="78" t="s">
        <v>728</v>
      </c>
      <c r="B465" s="78" t="s">
        <v>284</v>
      </c>
      <c r="C465" s="79" t="n">
        <v>2022</v>
      </c>
      <c r="D465" s="79" t="n">
        <v>3</v>
      </c>
      <c r="E465" s="80" t="n">
        <v>44834</v>
      </c>
      <c r="F465" s="78" t="s">
        <v>253</v>
      </c>
      <c r="G465" s="78" t="s">
        <v>254</v>
      </c>
      <c r="H465" s="78" t="s">
        <v>250</v>
      </c>
      <c r="I465" s="81" t="n">
        <v>1782.283</v>
      </c>
      <c r="J465" s="81" t="n">
        <v>387.655</v>
      </c>
      <c r="K465" s="81" t="n">
        <v>87624000</v>
      </c>
      <c r="L465" s="82" t="n">
        <v>0.6</v>
      </c>
      <c r="M465" s="81" t="n">
        <v>145.6814</v>
      </c>
      <c r="N465" s="81" t="n">
        <v>0</v>
      </c>
      <c r="O465" s="81" t="n">
        <v>4012.785</v>
      </c>
      <c r="P465" s="82" t="n">
        <v>1.8</v>
      </c>
      <c r="Q465" s="82" t="n">
        <v>40.6</v>
      </c>
      <c r="R465" s="47" t="n">
        <v>16</v>
      </c>
      <c r="S465" s="66" t="s">
        <v>744</v>
      </c>
    </row>
    <row r="466" customFormat="false" ht="15" hidden="false" customHeight="false" outlineLevel="0" collapsed="false">
      <c r="A466" s="78" t="s">
        <v>728</v>
      </c>
      <c r="B466" s="78" t="s">
        <v>286</v>
      </c>
      <c r="C466" s="79" t="n">
        <v>2022</v>
      </c>
      <c r="D466" s="79" t="n">
        <v>2</v>
      </c>
      <c r="E466" s="80" t="n">
        <v>44742</v>
      </c>
      <c r="F466" s="78" t="s">
        <v>253</v>
      </c>
      <c r="G466" s="78" t="s">
        <v>254</v>
      </c>
      <c r="H466" s="78" t="s">
        <v>250</v>
      </c>
      <c r="I466" s="81" t="n">
        <v>1809.808</v>
      </c>
      <c r="J466" s="81" t="n">
        <v>307.11</v>
      </c>
      <c r="K466" s="81" t="n">
        <v>74550000</v>
      </c>
      <c r="L466" s="82" t="n">
        <v>0.51</v>
      </c>
      <c r="M466" s="81" t="n">
        <v>145.6814</v>
      </c>
      <c r="N466" s="81" t="n">
        <v>0</v>
      </c>
      <c r="O466" s="81" t="n">
        <v>3913.111</v>
      </c>
      <c r="P466" s="82" t="n">
        <v>0</v>
      </c>
      <c r="Q466" s="82" t="n">
        <v>41</v>
      </c>
      <c r="R466" s="47" t="n">
        <v>17</v>
      </c>
      <c r="S466" s="66" t="s">
        <v>745</v>
      </c>
    </row>
    <row r="467" customFormat="false" ht="15" hidden="false" customHeight="false" outlineLevel="0" collapsed="false">
      <c r="A467" s="78" t="s">
        <v>728</v>
      </c>
      <c r="B467" s="78" t="s">
        <v>288</v>
      </c>
      <c r="C467" s="79" t="n">
        <v>2022</v>
      </c>
      <c r="D467" s="79" t="n">
        <v>1</v>
      </c>
      <c r="E467" s="80" t="n">
        <v>44651</v>
      </c>
      <c r="F467" s="78" t="s">
        <v>253</v>
      </c>
      <c r="G467" s="78" t="s">
        <v>254</v>
      </c>
      <c r="H467" s="78" t="s">
        <v>250</v>
      </c>
      <c r="I467" s="81" t="n">
        <v>1665.309</v>
      </c>
      <c r="J467" s="81" t="n">
        <v>337.019</v>
      </c>
      <c r="K467" s="81" t="n">
        <v>61996000</v>
      </c>
      <c r="L467" s="82" t="n">
        <v>0.43</v>
      </c>
      <c r="M467" s="81" t="n">
        <v>145.6814</v>
      </c>
      <c r="N467" s="81" t="n">
        <v>0</v>
      </c>
      <c r="O467" s="81" t="n">
        <v>4127.605</v>
      </c>
      <c r="P467" s="82" t="n">
        <v>0</v>
      </c>
      <c r="Q467" s="82" t="n">
        <v>49.35</v>
      </c>
      <c r="R467" s="47" t="n">
        <v>18</v>
      </c>
      <c r="S467" s="66" t="s">
        <v>746</v>
      </c>
    </row>
    <row r="468" customFormat="false" ht="15" hidden="false" customHeight="false" outlineLevel="0" collapsed="false">
      <c r="A468" s="78" t="s">
        <v>728</v>
      </c>
      <c r="B468" s="78" t="s">
        <v>290</v>
      </c>
      <c r="C468" s="79" t="n">
        <v>2021</v>
      </c>
      <c r="D468" s="79" t="n">
        <v>4</v>
      </c>
      <c r="E468" s="80" t="n">
        <v>44561</v>
      </c>
      <c r="F468" s="78" t="s">
        <v>253</v>
      </c>
      <c r="G468" s="78" t="s">
        <v>254</v>
      </c>
      <c r="H468" s="78" t="s">
        <v>250</v>
      </c>
      <c r="I468" s="81" t="n">
        <v>1784.77</v>
      </c>
      <c r="J468" s="81" t="n">
        <v>389.163</v>
      </c>
      <c r="K468" s="81" t="n">
        <v>65086000</v>
      </c>
      <c r="L468" s="82" t="n">
        <v>0.45</v>
      </c>
      <c r="M468" s="81" t="n">
        <v>145.6814</v>
      </c>
      <c r="N468" s="81" t="n">
        <v>0</v>
      </c>
      <c r="O468" s="81" t="n">
        <v>4037.183</v>
      </c>
      <c r="P468" s="82" t="n">
        <v>0</v>
      </c>
      <c r="Q468" s="82" t="n">
        <v>56.8</v>
      </c>
      <c r="R468" s="47" t="n">
        <v>19</v>
      </c>
      <c r="S468" s="66" t="s">
        <v>747</v>
      </c>
    </row>
    <row r="469" customFormat="false" ht="15" hidden="false" customHeight="false" outlineLevel="0" collapsed="false">
      <c r="A469" s="78" t="s">
        <v>728</v>
      </c>
      <c r="B469" s="78" t="s">
        <v>292</v>
      </c>
      <c r="C469" s="79" t="n">
        <v>2021</v>
      </c>
      <c r="D469" s="79" t="n">
        <v>3</v>
      </c>
      <c r="E469" s="80" t="n">
        <v>44469</v>
      </c>
      <c r="F469" s="78" t="s">
        <v>253</v>
      </c>
      <c r="G469" s="78" t="s">
        <v>254</v>
      </c>
      <c r="H469" s="78" t="s">
        <v>250</v>
      </c>
      <c r="I469" s="81" t="n">
        <v>1829.459</v>
      </c>
      <c r="J469" s="81" t="n">
        <v>436.912</v>
      </c>
      <c r="K469" s="81" t="n">
        <v>106624000</v>
      </c>
      <c r="L469" s="82" t="n">
        <v>0.73</v>
      </c>
      <c r="M469" s="81" t="n">
        <v>145.6814</v>
      </c>
      <c r="N469" s="81" t="n">
        <v>0</v>
      </c>
      <c r="O469" s="81" t="n">
        <v>3960.347</v>
      </c>
      <c r="P469" s="82" t="n">
        <v>1.4</v>
      </c>
      <c r="Q469" s="82" t="n">
        <v>53.6</v>
      </c>
      <c r="R469" s="47" t="n">
        <v>20</v>
      </c>
      <c r="S469" s="66" t="s">
        <v>748</v>
      </c>
    </row>
    <row r="470" customFormat="false" ht="15" hidden="false" customHeight="false" outlineLevel="0" collapsed="false">
      <c r="A470" s="78" t="s">
        <v>728</v>
      </c>
      <c r="B470" s="78" t="s">
        <v>294</v>
      </c>
      <c r="C470" s="79" t="n">
        <v>2021</v>
      </c>
      <c r="D470" s="79" t="n">
        <v>2</v>
      </c>
      <c r="E470" s="80" t="n">
        <v>44377</v>
      </c>
      <c r="F470" s="78" t="s">
        <v>253</v>
      </c>
      <c r="G470" s="78" t="s">
        <v>254</v>
      </c>
      <c r="H470" s="78" t="s">
        <v>250</v>
      </c>
      <c r="I470" s="81" t="n">
        <v>1841.755</v>
      </c>
      <c r="J470" s="81" t="n">
        <v>461.526</v>
      </c>
      <c r="K470" s="81" t="n">
        <v>108661000</v>
      </c>
      <c r="L470" s="82" t="n">
        <v>0.75</v>
      </c>
      <c r="M470" s="81" t="n">
        <v>145.6814</v>
      </c>
      <c r="N470" s="81" t="n">
        <v>0</v>
      </c>
      <c r="O470" s="81" t="n">
        <v>4066.399</v>
      </c>
      <c r="P470" s="82" t="n">
        <v>0</v>
      </c>
      <c r="Q470" s="82" t="n">
        <v>56.8</v>
      </c>
      <c r="R470" s="47" t="n">
        <v>21</v>
      </c>
      <c r="S470" s="66" t="s">
        <v>749</v>
      </c>
    </row>
    <row r="471" customFormat="false" ht="15" hidden="false" customHeight="false" outlineLevel="0" collapsed="false">
      <c r="A471" s="78" t="s">
        <v>728</v>
      </c>
      <c r="B471" s="78" t="s">
        <v>296</v>
      </c>
      <c r="C471" s="79" t="n">
        <v>2021</v>
      </c>
      <c r="D471" s="79" t="n">
        <v>1</v>
      </c>
      <c r="E471" s="80" t="n">
        <v>44286</v>
      </c>
      <c r="F471" s="78" t="s">
        <v>253</v>
      </c>
      <c r="G471" s="78" t="s">
        <v>254</v>
      </c>
      <c r="H471" s="78" t="s">
        <v>250</v>
      </c>
      <c r="I471" s="81" t="n">
        <v>1741.556</v>
      </c>
      <c r="J471" s="81" t="n">
        <v>405.065</v>
      </c>
      <c r="K471" s="81" t="n">
        <v>90682000</v>
      </c>
      <c r="L471" s="82" t="n">
        <v>0.62</v>
      </c>
      <c r="M471" s="81" t="n">
        <v>145.6814</v>
      </c>
      <c r="N471" s="81" t="n">
        <v>0</v>
      </c>
      <c r="O471" s="81" t="n">
        <v>3961.841</v>
      </c>
      <c r="P471" s="82" t="n">
        <v>0</v>
      </c>
      <c r="Q471" s="82" t="n">
        <v>66</v>
      </c>
      <c r="R471" s="47" t="n">
        <v>22</v>
      </c>
      <c r="S471" s="66" t="s">
        <v>750</v>
      </c>
    </row>
    <row r="472" customFormat="false" ht="15" hidden="false" customHeight="false" outlineLevel="0" collapsed="false">
      <c r="A472" s="78" t="s">
        <v>728</v>
      </c>
      <c r="B472" s="78" t="s">
        <v>298</v>
      </c>
      <c r="C472" s="79" t="n">
        <v>2020</v>
      </c>
      <c r="D472" s="79" t="n">
        <v>4</v>
      </c>
      <c r="E472" s="80" t="n">
        <v>44196</v>
      </c>
      <c r="F472" s="78" t="s">
        <v>253</v>
      </c>
      <c r="G472" s="78" t="s">
        <v>254</v>
      </c>
      <c r="H472" s="78" t="s">
        <v>250</v>
      </c>
      <c r="I472" s="81" t="n">
        <v>1623.495</v>
      </c>
      <c r="J472" s="81" t="n">
        <v>364.849</v>
      </c>
      <c r="K472" s="81" t="n">
        <v>47846000</v>
      </c>
      <c r="L472" s="82" t="n">
        <v>0.32</v>
      </c>
      <c r="M472" s="81" t="n">
        <v>145.6814</v>
      </c>
      <c r="N472" s="81" t="n">
        <v>0</v>
      </c>
      <c r="O472" s="81" t="n">
        <v>3867.989</v>
      </c>
      <c r="P472" s="82" t="n">
        <v>0</v>
      </c>
      <c r="Q472" s="82" t="n">
        <v>69.7</v>
      </c>
      <c r="R472" s="47" t="n">
        <v>23</v>
      </c>
      <c r="S472" s="66" t="s">
        <v>751</v>
      </c>
    </row>
    <row r="473" customFormat="false" ht="15" hidden="false" customHeight="false" outlineLevel="0" collapsed="false">
      <c r="A473" s="78" t="s">
        <v>728</v>
      </c>
      <c r="B473" s="78" t="s">
        <v>300</v>
      </c>
      <c r="C473" s="79" t="n">
        <v>2020</v>
      </c>
      <c r="D473" s="79" t="n">
        <v>3</v>
      </c>
      <c r="E473" s="80" t="n">
        <v>44104</v>
      </c>
      <c r="F473" s="78" t="s">
        <v>253</v>
      </c>
      <c r="G473" s="78" t="s">
        <v>254</v>
      </c>
      <c r="H473" s="78" t="s">
        <v>250</v>
      </c>
      <c r="I473" s="81" t="n">
        <v>1639.375</v>
      </c>
      <c r="J473" s="81" t="n">
        <v>368.528</v>
      </c>
      <c r="K473" s="81" t="n">
        <v>45715000</v>
      </c>
      <c r="L473" s="82" t="n">
        <v>0.31</v>
      </c>
      <c r="M473" s="81" t="n">
        <v>145.6814</v>
      </c>
      <c r="N473" s="81" t="n">
        <v>0</v>
      </c>
      <c r="O473" s="81" t="n">
        <v>3802.045</v>
      </c>
      <c r="P473" s="82"/>
      <c r="Q473" s="82" t="n">
        <v>63.2</v>
      </c>
      <c r="R473" s="47" t="n">
        <v>24</v>
      </c>
      <c r="S473" s="66" t="s">
        <v>752</v>
      </c>
    </row>
    <row r="474" customFormat="false" ht="15" hidden="false" customHeight="false" outlineLevel="0" collapsed="false">
      <c r="A474" s="78" t="s">
        <v>186</v>
      </c>
      <c r="B474" s="78" t="s">
        <v>247</v>
      </c>
      <c r="C474" s="79" t="n">
        <v>2026</v>
      </c>
      <c r="D474" s="79" t="n">
        <v>3</v>
      </c>
      <c r="E474" s="80" t="n">
        <v>46295</v>
      </c>
      <c r="F474" s="78" t="s">
        <v>248</v>
      </c>
      <c r="G474" s="78" t="s">
        <v>249</v>
      </c>
      <c r="H474" s="78" t="s">
        <v>250</v>
      </c>
      <c r="I474" s="81"/>
      <c r="J474" s="81"/>
      <c r="K474" s="81"/>
      <c r="L474" s="82" t="n">
        <v>18.74375</v>
      </c>
      <c r="M474" s="81"/>
      <c r="N474" s="81"/>
      <c r="O474" s="81"/>
      <c r="P474" s="82"/>
      <c r="Q474" s="82"/>
      <c r="R474" s="47" t="n">
        <v>0</v>
      </c>
      <c r="S474" s="66" t="s">
        <v>753</v>
      </c>
    </row>
    <row r="475" customFormat="false" ht="15" hidden="false" customHeight="false" outlineLevel="0" collapsed="false">
      <c r="A475" s="78" t="s">
        <v>186</v>
      </c>
      <c r="B475" s="78" t="s">
        <v>252</v>
      </c>
      <c r="C475" s="79" t="n">
        <v>2026</v>
      </c>
      <c r="D475" s="79" t="n">
        <v>2</v>
      </c>
      <c r="E475" s="80" t="n">
        <v>46203</v>
      </c>
      <c r="F475" s="78" t="s">
        <v>253</v>
      </c>
      <c r="G475" s="78" t="s">
        <v>254</v>
      </c>
      <c r="H475" s="78" t="s">
        <v>250</v>
      </c>
      <c r="I475" s="81" t="n">
        <v>23281.188</v>
      </c>
      <c r="J475" s="81" t="n">
        <v>7154.196</v>
      </c>
      <c r="K475" s="81" t="n">
        <v>2981775000</v>
      </c>
      <c r="L475" s="82" t="n">
        <v>15.28</v>
      </c>
      <c r="M475" s="81" t="n">
        <v>195.0784</v>
      </c>
      <c r="N475" s="81" t="n">
        <v>0</v>
      </c>
      <c r="O475" s="81" t="n">
        <v>49562.802</v>
      </c>
      <c r="P475" s="82" t="n">
        <v>0</v>
      </c>
      <c r="Q475" s="82" t="n">
        <v>1915</v>
      </c>
      <c r="R475" s="47" t="n">
        <v>1</v>
      </c>
      <c r="S475" s="66" t="s">
        <v>754</v>
      </c>
    </row>
    <row r="476" customFormat="false" ht="15" hidden="false" customHeight="false" outlineLevel="0" collapsed="false">
      <c r="A476" s="78" t="s">
        <v>186</v>
      </c>
      <c r="B476" s="78" t="s">
        <v>256</v>
      </c>
      <c r="C476" s="79" t="n">
        <v>2026</v>
      </c>
      <c r="D476" s="79" t="n">
        <v>1</v>
      </c>
      <c r="E476" s="80" t="n">
        <v>46112</v>
      </c>
      <c r="F476" s="78" t="s">
        <v>253</v>
      </c>
      <c r="G476" s="78" t="s">
        <v>254</v>
      </c>
      <c r="H476" s="78" t="s">
        <v>250</v>
      </c>
      <c r="I476" s="81" t="n">
        <v>20863.649</v>
      </c>
      <c r="J476" s="81" t="n">
        <v>6001.841</v>
      </c>
      <c r="K476" s="81" t="n">
        <v>2273834000</v>
      </c>
      <c r="L476" s="82" t="n">
        <v>11.66</v>
      </c>
      <c r="M476" s="81" t="n">
        <v>195.0784</v>
      </c>
      <c r="N476" s="81" t="n">
        <v>0</v>
      </c>
      <c r="O476" s="81" t="n">
        <v>46639.663</v>
      </c>
      <c r="P476" s="82" t="n">
        <v>0</v>
      </c>
      <c r="Q476" s="82" t="n">
        <v>1740</v>
      </c>
      <c r="R476" s="47" t="n">
        <v>2</v>
      </c>
      <c r="S476" s="66" t="s">
        <v>755</v>
      </c>
    </row>
    <row r="477" customFormat="false" ht="15" hidden="false" customHeight="false" outlineLevel="0" collapsed="false">
      <c r="A477" s="78" t="s">
        <v>186</v>
      </c>
      <c r="B477" s="78" t="s">
        <v>258</v>
      </c>
      <c r="C477" s="79" t="n">
        <v>2025</v>
      </c>
      <c r="D477" s="79" t="n">
        <v>4</v>
      </c>
      <c r="E477" s="80" t="n">
        <v>46022</v>
      </c>
      <c r="F477" s="78" t="s">
        <v>253</v>
      </c>
      <c r="G477" s="78" t="s">
        <v>254</v>
      </c>
      <c r="H477" s="78" t="s">
        <v>250</v>
      </c>
      <c r="I477" s="81" t="n">
        <v>19779.964</v>
      </c>
      <c r="J477" s="81" t="n">
        <v>6315.679</v>
      </c>
      <c r="K477" s="81" t="n">
        <v>2740078000</v>
      </c>
      <c r="L477" s="82" t="n">
        <v>14.08</v>
      </c>
      <c r="M477" s="81" t="n">
        <v>194.9699</v>
      </c>
      <c r="N477" s="81" t="n">
        <v>0</v>
      </c>
      <c r="O477" s="81" t="n">
        <v>46634.452</v>
      </c>
      <c r="P477" s="82" t="n">
        <v>0</v>
      </c>
      <c r="Q477" s="82" t="n">
        <v>1520</v>
      </c>
      <c r="R477" s="47" t="n">
        <v>3</v>
      </c>
      <c r="S477" s="66" t="s">
        <v>756</v>
      </c>
    </row>
    <row r="478" customFormat="false" ht="15" hidden="false" customHeight="false" outlineLevel="0" collapsed="false">
      <c r="A478" s="78" t="s">
        <v>186</v>
      </c>
      <c r="B478" s="78" t="s">
        <v>260</v>
      </c>
      <c r="C478" s="79" t="n">
        <v>2025</v>
      </c>
      <c r="D478" s="79" t="n">
        <v>3</v>
      </c>
      <c r="E478" s="80" t="n">
        <v>45930</v>
      </c>
      <c r="F478" s="78" t="s">
        <v>253</v>
      </c>
      <c r="G478" s="78" t="s">
        <v>254</v>
      </c>
      <c r="H478" s="78" t="s">
        <v>250</v>
      </c>
      <c r="I478" s="81" t="n">
        <v>18413.195</v>
      </c>
      <c r="J478" s="81" t="n">
        <v>6122.914</v>
      </c>
      <c r="K478" s="81" t="n">
        <v>2628697000</v>
      </c>
      <c r="L478" s="82" t="n">
        <v>13.51</v>
      </c>
      <c r="M478" s="81" t="n">
        <v>194.9599</v>
      </c>
      <c r="N478" s="81" t="n">
        <v>0</v>
      </c>
      <c r="O478" s="81" t="n">
        <v>42028.78</v>
      </c>
      <c r="P478" s="82" t="n">
        <v>10.50548249</v>
      </c>
      <c r="Q478" s="82" t="n">
        <v>1030</v>
      </c>
      <c r="R478" s="47" t="n">
        <v>4</v>
      </c>
      <c r="S478" s="66" t="s">
        <v>757</v>
      </c>
    </row>
    <row r="479" customFormat="false" ht="15" hidden="false" customHeight="false" outlineLevel="0" collapsed="false">
      <c r="A479" s="78" t="s">
        <v>186</v>
      </c>
      <c r="B479" s="78" t="s">
        <v>262</v>
      </c>
      <c r="C479" s="79" t="n">
        <v>2025</v>
      </c>
      <c r="D479" s="79" t="n">
        <v>2</v>
      </c>
      <c r="E479" s="80" t="n">
        <v>45838</v>
      </c>
      <c r="F479" s="78" t="s">
        <v>253</v>
      </c>
      <c r="G479" s="78" t="s">
        <v>254</v>
      </c>
      <c r="H479" s="78" t="s">
        <v>250</v>
      </c>
      <c r="I479" s="81" t="n">
        <v>16933.328</v>
      </c>
      <c r="J479" s="81" t="n">
        <v>5268.882</v>
      </c>
      <c r="K479" s="81" t="n">
        <v>2024484000</v>
      </c>
      <c r="L479" s="82" t="n">
        <v>10.54</v>
      </c>
      <c r="M479" s="81" t="n">
        <v>192.0711</v>
      </c>
      <c r="N479" s="81" t="n">
        <v>0</v>
      </c>
      <c r="O479" s="81" t="n">
        <v>36600.942</v>
      </c>
      <c r="P479" s="82" t="n">
        <v>0</v>
      </c>
      <c r="Q479" s="82" t="n">
        <v>848</v>
      </c>
      <c r="R479" s="47" t="n">
        <v>5</v>
      </c>
      <c r="S479" s="66" t="s">
        <v>758</v>
      </c>
    </row>
    <row r="480" customFormat="false" ht="15" hidden="false" customHeight="false" outlineLevel="0" collapsed="false">
      <c r="A480" s="78" t="s">
        <v>186</v>
      </c>
      <c r="B480" s="78" t="s">
        <v>264</v>
      </c>
      <c r="C480" s="79" t="n">
        <v>2025</v>
      </c>
      <c r="D480" s="79" t="n">
        <v>1</v>
      </c>
      <c r="E480" s="80" t="n">
        <v>45747</v>
      </c>
      <c r="F480" s="78" t="s">
        <v>253</v>
      </c>
      <c r="G480" s="78" t="s">
        <v>254</v>
      </c>
      <c r="H480" s="78" t="s">
        <v>250</v>
      </c>
      <c r="I480" s="81" t="n">
        <v>16120.785</v>
      </c>
      <c r="J480" s="81" t="n">
        <v>4897.124</v>
      </c>
      <c r="K480" s="81" t="n">
        <v>1612107000</v>
      </c>
      <c r="L480" s="82" t="n">
        <v>8.49</v>
      </c>
      <c r="M480" s="81" t="n">
        <v>190.0832</v>
      </c>
      <c r="N480" s="81" t="n">
        <v>0</v>
      </c>
      <c r="O480" s="81" t="n">
        <v>36910.274</v>
      </c>
      <c r="P480" s="82" t="n">
        <v>0</v>
      </c>
      <c r="Q480" s="82" t="n">
        <v>504</v>
      </c>
      <c r="R480" s="47" t="n">
        <v>6</v>
      </c>
      <c r="S480" s="66" t="s">
        <v>759</v>
      </c>
    </row>
    <row r="481" customFormat="false" ht="15" hidden="false" customHeight="false" outlineLevel="0" collapsed="false">
      <c r="A481" s="78" t="s">
        <v>186</v>
      </c>
      <c r="B481" s="78" t="s">
        <v>266</v>
      </c>
      <c r="C481" s="79" t="n">
        <v>2024</v>
      </c>
      <c r="D481" s="79" t="n">
        <v>4</v>
      </c>
      <c r="E481" s="80" t="n">
        <v>45657</v>
      </c>
      <c r="F481" s="78" t="s">
        <v>253</v>
      </c>
      <c r="G481" s="78" t="s">
        <v>254</v>
      </c>
      <c r="H481" s="78" t="s">
        <v>250</v>
      </c>
      <c r="I481" s="81" t="n">
        <v>14411.637</v>
      </c>
      <c r="J481" s="81" t="n">
        <v>4147.995</v>
      </c>
      <c r="K481" s="81" t="n">
        <v>1555805000</v>
      </c>
      <c r="L481" s="82" t="n">
        <v>8.53</v>
      </c>
      <c r="M481" s="81" t="n">
        <v>189.5543</v>
      </c>
      <c r="N481" s="81" t="n">
        <v>0</v>
      </c>
      <c r="O481" s="81" t="n">
        <v>36208.816</v>
      </c>
      <c r="P481" s="82" t="n">
        <v>0</v>
      </c>
      <c r="Q481" s="82" t="n">
        <v>612</v>
      </c>
      <c r="R481" s="47" t="n">
        <v>7</v>
      </c>
      <c r="S481" s="66" t="s">
        <v>760</v>
      </c>
    </row>
    <row r="482" customFormat="false" ht="15" hidden="false" customHeight="false" outlineLevel="0" collapsed="false">
      <c r="A482" s="78" t="s">
        <v>186</v>
      </c>
      <c r="B482" s="78" t="s">
        <v>268</v>
      </c>
      <c r="C482" s="79" t="n">
        <v>2024</v>
      </c>
      <c r="D482" s="79" t="n">
        <v>3</v>
      </c>
      <c r="E482" s="80" t="n">
        <v>45565</v>
      </c>
      <c r="F482" s="78" t="s">
        <v>253</v>
      </c>
      <c r="G482" s="78" t="s">
        <v>254</v>
      </c>
      <c r="H482" s="78" t="s">
        <v>250</v>
      </c>
      <c r="I482" s="81" t="n">
        <v>14259.287</v>
      </c>
      <c r="J482" s="81" t="n">
        <v>4181.908</v>
      </c>
      <c r="K482" s="81" t="n">
        <v>1257207000</v>
      </c>
      <c r="L482" s="82" t="n">
        <v>7.07</v>
      </c>
      <c r="M482" s="81" t="n">
        <v>183.3902</v>
      </c>
      <c r="N482" s="81" t="n">
        <v>0</v>
      </c>
      <c r="O482" s="81" t="n">
        <v>33244.409</v>
      </c>
      <c r="P482" s="82" t="n">
        <v>8.7807351</v>
      </c>
      <c r="Q482" s="82" t="n">
        <v>461</v>
      </c>
      <c r="R482" s="47" t="n">
        <v>8</v>
      </c>
      <c r="S482" s="66" t="s">
        <v>761</v>
      </c>
    </row>
    <row r="483" customFormat="false" ht="15" hidden="false" customHeight="false" outlineLevel="0" collapsed="false">
      <c r="A483" s="78" t="s">
        <v>186</v>
      </c>
      <c r="B483" s="78" t="s">
        <v>270</v>
      </c>
      <c r="C483" s="79" t="n">
        <v>2024</v>
      </c>
      <c r="D483" s="79" t="n">
        <v>2</v>
      </c>
      <c r="E483" s="80" t="n">
        <v>45473</v>
      </c>
      <c r="F483" s="78" t="s">
        <v>253</v>
      </c>
      <c r="G483" s="78" t="s">
        <v>254</v>
      </c>
      <c r="H483" s="78" t="s">
        <v>250</v>
      </c>
      <c r="I483" s="81" t="n">
        <v>12983.996</v>
      </c>
      <c r="J483" s="81" t="n">
        <v>3649.998</v>
      </c>
      <c r="K483" s="81" t="n">
        <v>1002454000</v>
      </c>
      <c r="L483" s="82" t="n">
        <v>6.13</v>
      </c>
      <c r="M483" s="81" t="n">
        <v>166.5369</v>
      </c>
      <c r="N483" s="81" t="n">
        <v>0</v>
      </c>
      <c r="O483" s="81" t="n">
        <v>26234.193</v>
      </c>
      <c r="P483" s="82" t="n">
        <v>0</v>
      </c>
      <c r="Q483" s="82" t="n">
        <v>374</v>
      </c>
      <c r="R483" s="47" t="n">
        <v>9</v>
      </c>
      <c r="S483" s="66" t="s">
        <v>762</v>
      </c>
    </row>
    <row r="484" customFormat="false" ht="15" hidden="false" customHeight="false" outlineLevel="0" collapsed="false">
      <c r="A484" s="78" t="s">
        <v>186</v>
      </c>
      <c r="B484" s="78" t="s">
        <v>272</v>
      </c>
      <c r="C484" s="79" t="n">
        <v>2024</v>
      </c>
      <c r="D484" s="79" t="n">
        <v>1</v>
      </c>
      <c r="E484" s="80" t="n">
        <v>45382</v>
      </c>
      <c r="F484" s="78" t="s">
        <v>253</v>
      </c>
      <c r="G484" s="78" t="s">
        <v>254</v>
      </c>
      <c r="H484" s="78" t="s">
        <v>250</v>
      </c>
      <c r="I484" s="81" t="n">
        <v>12425.561</v>
      </c>
      <c r="J484" s="81" t="n">
        <v>3272.937</v>
      </c>
      <c r="K484" s="81" t="n">
        <v>580672000</v>
      </c>
      <c r="L484" s="82" t="n">
        <v>3.56</v>
      </c>
      <c r="M484" s="81" t="n">
        <v>163.4296</v>
      </c>
      <c r="N484" s="81" t="n">
        <v>0</v>
      </c>
      <c r="O484" s="81" t="n">
        <v>24110.138</v>
      </c>
      <c r="P484" s="82" t="n">
        <v>0</v>
      </c>
      <c r="Q484" s="82" t="n">
        <v>259</v>
      </c>
      <c r="R484" s="47" t="n">
        <v>10</v>
      </c>
      <c r="S484" s="66" t="s">
        <v>763</v>
      </c>
    </row>
    <row r="485" customFormat="false" ht="15" hidden="false" customHeight="false" outlineLevel="0" collapsed="false">
      <c r="A485" s="78" t="s">
        <v>186</v>
      </c>
      <c r="B485" s="78" t="s">
        <v>274</v>
      </c>
      <c r="C485" s="79" t="n">
        <v>2023</v>
      </c>
      <c r="D485" s="79" t="n">
        <v>4</v>
      </c>
      <c r="E485" s="80" t="n">
        <v>45291</v>
      </c>
      <c r="F485" s="78" t="s">
        <v>253</v>
      </c>
      <c r="G485" s="78" t="s">
        <v>254</v>
      </c>
      <c r="H485" s="78" t="s">
        <v>250</v>
      </c>
      <c r="I485" s="81" t="n">
        <v>12195.595</v>
      </c>
      <c r="J485" s="81" t="n">
        <v>2990.764</v>
      </c>
      <c r="K485" s="81" t="n">
        <v>507876000</v>
      </c>
      <c r="L485" s="82" t="n">
        <v>3.11</v>
      </c>
      <c r="M485" s="81" t="n">
        <v>163.3091</v>
      </c>
      <c r="N485" s="81" t="n">
        <v>0</v>
      </c>
      <c r="O485" s="81" t="n">
        <v>24585.036</v>
      </c>
      <c r="P485" s="82" t="n">
        <v>0</v>
      </c>
      <c r="Q485" s="82" t="n">
        <v>267</v>
      </c>
      <c r="R485" s="47" t="n">
        <v>11</v>
      </c>
      <c r="S485" s="66" t="s">
        <v>764</v>
      </c>
    </row>
    <row r="486" customFormat="false" ht="15" hidden="false" customHeight="false" outlineLevel="0" collapsed="false">
      <c r="A486" s="78" t="s">
        <v>186</v>
      </c>
      <c r="B486" s="78" t="s">
        <v>276</v>
      </c>
      <c r="C486" s="79" t="n">
        <v>2023</v>
      </c>
      <c r="D486" s="79" t="n">
        <v>3</v>
      </c>
      <c r="E486" s="80" t="n">
        <v>45199</v>
      </c>
      <c r="F486" s="78" t="s">
        <v>253</v>
      </c>
      <c r="G486" s="78" t="s">
        <v>254</v>
      </c>
      <c r="H486" s="78" t="s">
        <v>250</v>
      </c>
      <c r="I486" s="81" t="n">
        <v>13150.145</v>
      </c>
      <c r="J486" s="81" t="n">
        <v>3509.563</v>
      </c>
      <c r="K486" s="81" t="n">
        <v>740556000</v>
      </c>
      <c r="L486" s="82" t="n">
        <v>4.54</v>
      </c>
      <c r="M486" s="81" t="n">
        <v>163.3091</v>
      </c>
      <c r="N486" s="81" t="n">
        <v>0</v>
      </c>
      <c r="O486" s="81" t="n">
        <v>24173.791</v>
      </c>
      <c r="P486" s="82" t="n">
        <v>9.88572038</v>
      </c>
      <c r="Q486" s="82" t="n">
        <v>270</v>
      </c>
      <c r="R486" s="47" t="n">
        <v>12</v>
      </c>
      <c r="S486" s="66" t="s">
        <v>765</v>
      </c>
    </row>
    <row r="487" customFormat="false" ht="15" hidden="false" customHeight="false" outlineLevel="0" collapsed="false">
      <c r="A487" s="78" t="s">
        <v>186</v>
      </c>
      <c r="B487" s="78" t="s">
        <v>278</v>
      </c>
      <c r="C487" s="79" t="n">
        <v>2023</v>
      </c>
      <c r="D487" s="79" t="n">
        <v>2</v>
      </c>
      <c r="E487" s="80" t="n">
        <v>45107</v>
      </c>
      <c r="F487" s="78" t="s">
        <v>253</v>
      </c>
      <c r="G487" s="78" t="s">
        <v>254</v>
      </c>
      <c r="H487" s="78" t="s">
        <v>250</v>
      </c>
      <c r="I487" s="81" t="n">
        <v>13004.395</v>
      </c>
      <c r="J487" s="81" t="n">
        <v>2850.162</v>
      </c>
      <c r="K487" s="81" t="n">
        <v>440991000</v>
      </c>
      <c r="L487" s="82" t="n">
        <v>2.75</v>
      </c>
      <c r="M487" s="81" t="n">
        <v>161.5773</v>
      </c>
      <c r="N487" s="81" t="n">
        <v>0</v>
      </c>
      <c r="O487" s="81" t="n">
        <v>23063.842</v>
      </c>
      <c r="P487" s="82" t="n">
        <v>0</v>
      </c>
      <c r="Q487" s="82" t="n">
        <v>322</v>
      </c>
      <c r="R487" s="47" t="n">
        <v>13</v>
      </c>
      <c r="S487" s="66" t="s">
        <v>766</v>
      </c>
    </row>
    <row r="488" customFormat="false" ht="15" hidden="false" customHeight="false" outlineLevel="0" collapsed="false">
      <c r="A488" s="78" t="s">
        <v>186</v>
      </c>
      <c r="B488" s="78" t="s">
        <v>280</v>
      </c>
      <c r="C488" s="79" t="n">
        <v>2023</v>
      </c>
      <c r="D488" s="79" t="n">
        <v>1</v>
      </c>
      <c r="E488" s="80" t="n">
        <v>45016</v>
      </c>
      <c r="F488" s="78" t="s">
        <v>253</v>
      </c>
      <c r="G488" s="78" t="s">
        <v>254</v>
      </c>
      <c r="H488" s="78" t="s">
        <v>250</v>
      </c>
      <c r="I488" s="81" t="n">
        <v>12701.656</v>
      </c>
      <c r="J488" s="81" t="n">
        <v>3236.323</v>
      </c>
      <c r="K488" s="81" t="n">
        <v>627932000</v>
      </c>
      <c r="L488" s="82" t="n">
        <v>4.01</v>
      </c>
      <c r="M488" s="81" t="n">
        <v>156.5623</v>
      </c>
      <c r="N488" s="81" t="n">
        <v>0</v>
      </c>
      <c r="O488" s="81" t="n">
        <v>21836.795</v>
      </c>
      <c r="P488" s="82" t="n">
        <v>0</v>
      </c>
      <c r="Q488" s="82" t="n">
        <v>279</v>
      </c>
      <c r="R488" s="47" t="n">
        <v>14</v>
      </c>
      <c r="S488" s="66" t="s">
        <v>767</v>
      </c>
    </row>
    <row r="489" customFormat="false" ht="15" hidden="false" customHeight="false" outlineLevel="0" collapsed="false">
      <c r="A489" s="78" t="s">
        <v>186</v>
      </c>
      <c r="B489" s="78" t="s">
        <v>282</v>
      </c>
      <c r="C489" s="79" t="n">
        <v>2022</v>
      </c>
      <c r="D489" s="79" t="n">
        <v>4</v>
      </c>
      <c r="E489" s="80" t="n">
        <v>44926</v>
      </c>
      <c r="F489" s="78" t="s">
        <v>253</v>
      </c>
      <c r="G489" s="78" t="s">
        <v>254</v>
      </c>
      <c r="H489" s="78" t="s">
        <v>250</v>
      </c>
      <c r="I489" s="81" t="n">
        <v>13600.543</v>
      </c>
      <c r="J489" s="81" t="n">
        <v>3572.38</v>
      </c>
      <c r="K489" s="81" t="n">
        <v>922388000</v>
      </c>
      <c r="L489" s="82" t="n">
        <v>5.88</v>
      </c>
      <c r="M489" s="81" t="n">
        <v>156.4463</v>
      </c>
      <c r="N489" s="81" t="n">
        <v>0</v>
      </c>
      <c r="O489" s="81" t="n">
        <v>22485.042</v>
      </c>
      <c r="P489" s="82" t="n">
        <v>0</v>
      </c>
      <c r="Q489" s="82" t="n">
        <v>236.5</v>
      </c>
      <c r="R489" s="47" t="n">
        <v>15</v>
      </c>
      <c r="S489" s="66" t="s">
        <v>768</v>
      </c>
    </row>
    <row r="490" customFormat="false" ht="15" hidden="false" customHeight="false" outlineLevel="0" collapsed="false">
      <c r="A490" s="78" t="s">
        <v>186</v>
      </c>
      <c r="B490" s="78" t="s">
        <v>284</v>
      </c>
      <c r="C490" s="79" t="n">
        <v>2022</v>
      </c>
      <c r="D490" s="79" t="n">
        <v>3</v>
      </c>
      <c r="E490" s="80" t="n">
        <v>44834</v>
      </c>
      <c r="F490" s="78" t="s">
        <v>253</v>
      </c>
      <c r="G490" s="78" t="s">
        <v>254</v>
      </c>
      <c r="H490" s="78" t="s">
        <v>250</v>
      </c>
      <c r="I490" s="81" t="n">
        <v>14526.402</v>
      </c>
      <c r="J490" s="81" t="n">
        <v>3740.877</v>
      </c>
      <c r="K490" s="81" t="n">
        <v>1184084000</v>
      </c>
      <c r="L490" s="82" t="n">
        <v>7.64</v>
      </c>
      <c r="M490" s="81" t="n">
        <v>156.4273</v>
      </c>
      <c r="N490" s="81" t="n">
        <v>0</v>
      </c>
      <c r="O490" s="81" t="n">
        <v>20970.774</v>
      </c>
      <c r="P490" s="82" t="n">
        <v>9.44960126</v>
      </c>
      <c r="Q490" s="82" t="n">
        <v>280.5</v>
      </c>
      <c r="R490" s="47" t="n">
        <v>16</v>
      </c>
      <c r="S490" s="66" t="s">
        <v>769</v>
      </c>
    </row>
    <row r="491" customFormat="false" ht="15" hidden="false" customHeight="false" outlineLevel="0" collapsed="false">
      <c r="A491" s="78" t="s">
        <v>186</v>
      </c>
      <c r="B491" s="78" t="s">
        <v>286</v>
      </c>
      <c r="C491" s="79" t="n">
        <v>2022</v>
      </c>
      <c r="D491" s="79" t="n">
        <v>2</v>
      </c>
      <c r="E491" s="80" t="n">
        <v>44742</v>
      </c>
      <c r="F491" s="78" t="s">
        <v>253</v>
      </c>
      <c r="G491" s="78" t="s">
        <v>254</v>
      </c>
      <c r="H491" s="78" t="s">
        <v>250</v>
      </c>
      <c r="I491" s="81" t="n">
        <v>13963.028</v>
      </c>
      <c r="J491" s="81" t="n">
        <v>3625.501</v>
      </c>
      <c r="K491" s="81" t="n">
        <v>1172964000</v>
      </c>
      <c r="L491" s="82" t="n">
        <v>7.68</v>
      </c>
      <c r="M491" s="81" t="n">
        <v>152.7509</v>
      </c>
      <c r="N491" s="81" t="n">
        <v>0</v>
      </c>
      <c r="O491" s="81" t="n">
        <v>19031.3</v>
      </c>
      <c r="P491" s="82" t="n">
        <v>0</v>
      </c>
      <c r="Q491" s="82" t="n">
        <v>308.5</v>
      </c>
      <c r="R491" s="47" t="n">
        <v>17</v>
      </c>
      <c r="S491" s="66" t="s">
        <v>770</v>
      </c>
    </row>
    <row r="492" customFormat="false" ht="15" hidden="false" customHeight="false" outlineLevel="0" collapsed="false">
      <c r="A492" s="78" t="s">
        <v>186</v>
      </c>
      <c r="B492" s="78" t="s">
        <v>288</v>
      </c>
      <c r="C492" s="79" t="n">
        <v>2022</v>
      </c>
      <c r="D492" s="79" t="n">
        <v>1</v>
      </c>
      <c r="E492" s="80" t="n">
        <v>44651</v>
      </c>
      <c r="F492" s="78" t="s">
        <v>253</v>
      </c>
      <c r="G492" s="78" t="s">
        <v>254</v>
      </c>
      <c r="H492" s="78" t="s">
        <v>250</v>
      </c>
      <c r="I492" s="81" t="n">
        <v>11667.198</v>
      </c>
      <c r="J492" s="81" t="n">
        <v>2848.725</v>
      </c>
      <c r="K492" s="81" t="n">
        <v>558944000</v>
      </c>
      <c r="L492" s="82" t="n">
        <v>3.74</v>
      </c>
      <c r="M492" s="81" t="n">
        <v>152.6274</v>
      </c>
      <c r="N492" s="81" t="n">
        <v>0</v>
      </c>
      <c r="O492" s="81" t="n">
        <v>18361.569</v>
      </c>
      <c r="P492" s="82" t="n">
        <v>0</v>
      </c>
      <c r="Q492" s="82" t="n">
        <v>296.5</v>
      </c>
      <c r="R492" s="47" t="n">
        <v>18</v>
      </c>
      <c r="S492" s="66" t="s">
        <v>771</v>
      </c>
    </row>
    <row r="493" customFormat="false" ht="15" hidden="false" customHeight="false" outlineLevel="0" collapsed="false">
      <c r="A493" s="78" t="s">
        <v>186</v>
      </c>
      <c r="B493" s="78" t="s">
        <v>290</v>
      </c>
      <c r="C493" s="79" t="n">
        <v>2021</v>
      </c>
      <c r="D493" s="79" t="n">
        <v>4</v>
      </c>
      <c r="E493" s="80" t="n">
        <v>44561</v>
      </c>
      <c r="F493" s="78" t="s">
        <v>253</v>
      </c>
      <c r="G493" s="78" t="s">
        <v>254</v>
      </c>
      <c r="H493" s="78" t="s">
        <v>250</v>
      </c>
      <c r="I493" s="81" t="n">
        <v>7998.723</v>
      </c>
      <c r="J493" s="81" t="n">
        <v>1842.97</v>
      </c>
      <c r="K493" s="81" t="n">
        <v>568796000</v>
      </c>
      <c r="L493" s="82" t="n">
        <v>4.2</v>
      </c>
      <c r="M493" s="81" t="n">
        <v>137.4573</v>
      </c>
      <c r="N493" s="81" t="n">
        <v>0</v>
      </c>
      <c r="O493" s="81" t="n">
        <v>15124.585</v>
      </c>
      <c r="P493" s="82" t="n">
        <v>0</v>
      </c>
      <c r="Q493" s="82" t="n">
        <v>261</v>
      </c>
      <c r="R493" s="47" t="n">
        <v>19</v>
      </c>
      <c r="S493" s="66" t="s">
        <v>772</v>
      </c>
    </row>
    <row r="494" customFormat="false" ht="15" hidden="false" customHeight="false" outlineLevel="0" collapsed="false">
      <c r="A494" s="78" t="s">
        <v>186</v>
      </c>
      <c r="B494" s="78" t="s">
        <v>292</v>
      </c>
      <c r="C494" s="79" t="n">
        <v>2021</v>
      </c>
      <c r="D494" s="79" t="n">
        <v>3</v>
      </c>
      <c r="E494" s="80" t="n">
        <v>44469</v>
      </c>
      <c r="F494" s="78" t="s">
        <v>253</v>
      </c>
      <c r="G494" s="78" t="s">
        <v>254</v>
      </c>
      <c r="H494" s="78" t="s">
        <v>250</v>
      </c>
      <c r="I494" s="81" t="n">
        <v>7415.446</v>
      </c>
      <c r="J494" s="81" t="n">
        <v>1754.141</v>
      </c>
      <c r="K494" s="81" t="n">
        <v>606283000</v>
      </c>
      <c r="L494" s="82" t="n">
        <v>4.54</v>
      </c>
      <c r="M494" s="81" t="n">
        <v>133.6901</v>
      </c>
      <c r="N494" s="81" t="n">
        <v>0</v>
      </c>
      <c r="O494" s="81" t="n">
        <v>13768.063</v>
      </c>
      <c r="P494" s="82" t="n">
        <v>8.02486316</v>
      </c>
      <c r="Q494" s="82" t="n">
        <v>223.5</v>
      </c>
      <c r="R494" s="47" t="n">
        <v>20</v>
      </c>
      <c r="S494" s="66" t="s">
        <v>773</v>
      </c>
    </row>
    <row r="495" customFormat="false" ht="15" hidden="false" customHeight="false" outlineLevel="0" collapsed="false">
      <c r="A495" s="78" t="s">
        <v>186</v>
      </c>
      <c r="B495" s="78" t="s">
        <v>294</v>
      </c>
      <c r="C495" s="79" t="n">
        <v>2021</v>
      </c>
      <c r="D495" s="79" t="n">
        <v>2</v>
      </c>
      <c r="E495" s="80" t="n">
        <v>44377</v>
      </c>
      <c r="F495" s="78" t="s">
        <v>253</v>
      </c>
      <c r="G495" s="78" t="s">
        <v>254</v>
      </c>
      <c r="H495" s="78" t="s">
        <v>250</v>
      </c>
      <c r="I495" s="81" t="n">
        <v>7015.992</v>
      </c>
      <c r="J495" s="81" t="n">
        <v>1670.731</v>
      </c>
      <c r="K495" s="81" t="n">
        <v>551411000</v>
      </c>
      <c r="L495" s="82" t="n">
        <v>4.13</v>
      </c>
      <c r="M495" s="81" t="n">
        <v>133.6363</v>
      </c>
      <c r="N495" s="81" t="n">
        <v>0</v>
      </c>
      <c r="O495" s="81" t="n">
        <v>13273.987</v>
      </c>
      <c r="P495" s="82" t="n">
        <v>0</v>
      </c>
      <c r="Q495" s="82" t="n">
        <v>259</v>
      </c>
      <c r="R495" s="47" t="n">
        <v>21</v>
      </c>
      <c r="S495" s="66" t="s">
        <v>774</v>
      </c>
    </row>
    <row r="496" customFormat="false" ht="15" hidden="false" customHeight="false" outlineLevel="0" collapsed="false">
      <c r="A496" s="78" t="s">
        <v>186</v>
      </c>
      <c r="B496" s="78" t="s">
        <v>296</v>
      </c>
      <c r="C496" s="79" t="n">
        <v>2021</v>
      </c>
      <c r="D496" s="79" t="n">
        <v>1</v>
      </c>
      <c r="E496" s="80" t="n">
        <v>44286</v>
      </c>
      <c r="F496" s="78" t="s">
        <v>253</v>
      </c>
      <c r="G496" s="78" t="s">
        <v>254</v>
      </c>
      <c r="H496" s="78" t="s">
        <v>250</v>
      </c>
      <c r="I496" s="81" t="n">
        <v>6134.214</v>
      </c>
      <c r="J496" s="81" t="n">
        <v>1361.63</v>
      </c>
      <c r="K496" s="81" t="n">
        <v>309648000</v>
      </c>
      <c r="L496" s="82" t="n">
        <v>2.35</v>
      </c>
      <c r="M496" s="81" t="n">
        <v>133.6363</v>
      </c>
      <c r="N496" s="81" t="n">
        <v>0</v>
      </c>
      <c r="O496" s="81" t="n">
        <v>12907.3</v>
      </c>
      <c r="P496" s="82" t="n">
        <v>0</v>
      </c>
      <c r="Q496" s="82" t="n">
        <v>266</v>
      </c>
      <c r="R496" s="47" t="n">
        <v>22</v>
      </c>
      <c r="S496" s="66" t="s">
        <v>775</v>
      </c>
    </row>
    <row r="497" customFormat="false" ht="15" hidden="false" customHeight="false" outlineLevel="0" collapsed="false">
      <c r="A497" s="78" t="s">
        <v>186</v>
      </c>
      <c r="B497" s="78" t="s">
        <v>298</v>
      </c>
      <c r="C497" s="79" t="n">
        <v>2020</v>
      </c>
      <c r="D497" s="79" t="n">
        <v>4</v>
      </c>
      <c r="E497" s="80" t="n">
        <v>44196</v>
      </c>
      <c r="F497" s="78" t="s">
        <v>253</v>
      </c>
      <c r="G497" s="78" t="s">
        <v>254</v>
      </c>
      <c r="H497" s="78" t="s">
        <v>250</v>
      </c>
      <c r="I497" s="81" t="n">
        <v>6266.652</v>
      </c>
      <c r="J497" s="81" t="n">
        <v>1550.737</v>
      </c>
      <c r="K497" s="81" t="n">
        <v>589079000</v>
      </c>
      <c r="L497" s="82" t="n">
        <v>4.52</v>
      </c>
      <c r="M497" s="81" t="n">
        <v>130.5694</v>
      </c>
      <c r="N497" s="81" t="n">
        <v>0</v>
      </c>
      <c r="O497" s="81" t="n">
        <v>13237.341</v>
      </c>
      <c r="P497" s="82" t="n">
        <v>0</v>
      </c>
      <c r="Q497" s="82" t="n">
        <v>243.5</v>
      </c>
      <c r="R497" s="47" t="n">
        <v>23</v>
      </c>
      <c r="S497" s="66" t="s">
        <v>776</v>
      </c>
    </row>
    <row r="498" customFormat="false" ht="15" hidden="false" customHeight="false" outlineLevel="0" collapsed="false">
      <c r="A498" s="78" t="s">
        <v>186</v>
      </c>
      <c r="B498" s="78" t="s">
        <v>300</v>
      </c>
      <c r="C498" s="79" t="n">
        <v>2020</v>
      </c>
      <c r="D498" s="79" t="n">
        <v>3</v>
      </c>
      <c r="E498" s="80" t="n">
        <v>44104</v>
      </c>
      <c r="F498" s="78" t="s">
        <v>253</v>
      </c>
      <c r="G498" s="78" t="s">
        <v>254</v>
      </c>
      <c r="H498" s="78" t="s">
        <v>250</v>
      </c>
      <c r="I498" s="81" t="n">
        <v>6049.454</v>
      </c>
      <c r="J498" s="81" t="n">
        <v>1589.297</v>
      </c>
      <c r="K498" s="81" t="n">
        <v>499580000</v>
      </c>
      <c r="L498" s="82" t="n">
        <v>3.83</v>
      </c>
      <c r="M498" s="81" t="n">
        <v>130.5694</v>
      </c>
      <c r="N498" s="81" t="n">
        <v>0</v>
      </c>
      <c r="O498" s="81" t="n">
        <v>12368.366</v>
      </c>
      <c r="P498" s="82"/>
      <c r="Q498" s="82" t="n">
        <v>225.5</v>
      </c>
      <c r="R498" s="47" t="n">
        <v>24</v>
      </c>
      <c r="S498" s="66" t="s">
        <v>777</v>
      </c>
    </row>
    <row r="499" customFormat="false" ht="15" hidden="false" customHeight="false" outlineLevel="0" collapsed="false">
      <c r="A499" s="78" t="s">
        <v>778</v>
      </c>
      <c r="B499" s="78" t="s">
        <v>247</v>
      </c>
      <c r="C499" s="79" t="n">
        <v>2026</v>
      </c>
      <c r="D499" s="79" t="n">
        <v>3</v>
      </c>
      <c r="E499" s="80" t="n">
        <v>46295</v>
      </c>
      <c r="F499" s="78" t="s">
        <v>248</v>
      </c>
      <c r="G499" s="78" t="s">
        <v>249</v>
      </c>
      <c r="H499" s="78" t="s">
        <v>250</v>
      </c>
      <c r="I499" s="81"/>
      <c r="J499" s="81"/>
      <c r="K499" s="81"/>
      <c r="L499" s="82" t="n">
        <v>5.04966</v>
      </c>
      <c r="M499" s="81"/>
      <c r="N499" s="81"/>
      <c r="O499" s="81"/>
      <c r="P499" s="82"/>
      <c r="Q499" s="82"/>
      <c r="R499" s="47" t="n">
        <v>0</v>
      </c>
      <c r="S499" s="66" t="s">
        <v>779</v>
      </c>
    </row>
    <row r="500" customFormat="false" ht="15" hidden="false" customHeight="false" outlineLevel="0" collapsed="false">
      <c r="A500" s="78" t="s">
        <v>778</v>
      </c>
      <c r="B500" s="78" t="s">
        <v>252</v>
      </c>
      <c r="C500" s="79" t="n">
        <v>2026</v>
      </c>
      <c r="D500" s="79" t="n">
        <v>2</v>
      </c>
      <c r="E500" s="80" t="n">
        <v>46203</v>
      </c>
      <c r="F500" s="78" t="s">
        <v>253</v>
      </c>
      <c r="G500" s="78" t="s">
        <v>254</v>
      </c>
      <c r="H500" s="78" t="s">
        <v>250</v>
      </c>
      <c r="I500" s="81" t="n">
        <v>191063.522</v>
      </c>
      <c r="J500" s="81" t="n">
        <v>40118.355</v>
      </c>
      <c r="K500" s="81" t="n">
        <v>21052104000</v>
      </c>
      <c r="L500" s="82" t="n">
        <v>4.8</v>
      </c>
      <c r="M500" s="81" t="n">
        <v>4460.8331</v>
      </c>
      <c r="N500" s="81" t="n">
        <v>72941505</v>
      </c>
      <c r="O500" s="81" t="n">
        <v>389205.323</v>
      </c>
      <c r="P500" s="82" t="n">
        <v>0</v>
      </c>
      <c r="Q500" s="82" t="n">
        <v>680</v>
      </c>
      <c r="R500" s="47" t="n">
        <v>1</v>
      </c>
      <c r="S500" s="66" t="s">
        <v>780</v>
      </c>
    </row>
    <row r="501" customFormat="false" ht="15" hidden="false" customHeight="false" outlineLevel="0" collapsed="false">
      <c r="A501" s="78" t="s">
        <v>778</v>
      </c>
      <c r="B501" s="78" t="s">
        <v>256</v>
      </c>
      <c r="C501" s="79" t="n">
        <v>2026</v>
      </c>
      <c r="D501" s="79" t="n">
        <v>1</v>
      </c>
      <c r="E501" s="80" t="n">
        <v>46112</v>
      </c>
      <c r="F501" s="78" t="s">
        <v>253</v>
      </c>
      <c r="G501" s="78" t="s">
        <v>254</v>
      </c>
      <c r="H501" s="78" t="s">
        <v>250</v>
      </c>
      <c r="I501" s="81" t="n">
        <v>173662.152</v>
      </c>
      <c r="J501" s="81" t="n">
        <v>34849.839</v>
      </c>
      <c r="K501" s="81" t="n">
        <v>14147537000</v>
      </c>
      <c r="L501" s="82" t="n">
        <v>3.24</v>
      </c>
      <c r="M501" s="81" t="n">
        <v>4447.0298</v>
      </c>
      <c r="N501" s="81" t="n">
        <v>72941505</v>
      </c>
      <c r="O501" s="81" t="n">
        <v>350617.392</v>
      </c>
      <c r="P501" s="82" t="n">
        <v>0</v>
      </c>
      <c r="Q501" s="82" t="n">
        <v>328.5</v>
      </c>
      <c r="R501" s="47" t="n">
        <v>2</v>
      </c>
      <c r="S501" s="66" t="s">
        <v>781</v>
      </c>
    </row>
    <row r="502" customFormat="false" ht="15" hidden="false" customHeight="false" outlineLevel="0" collapsed="false">
      <c r="A502" s="78" t="s">
        <v>778</v>
      </c>
      <c r="B502" s="78" t="s">
        <v>258</v>
      </c>
      <c r="C502" s="79" t="n">
        <v>2025</v>
      </c>
      <c r="D502" s="79" t="n">
        <v>4</v>
      </c>
      <c r="E502" s="80" t="n">
        <v>46022</v>
      </c>
      <c r="F502" s="78" t="s">
        <v>253</v>
      </c>
      <c r="G502" s="78" t="s">
        <v>254</v>
      </c>
      <c r="H502" s="78" t="s">
        <v>250</v>
      </c>
      <c r="I502" s="81" t="n">
        <v>177915.237</v>
      </c>
      <c r="J502" s="81" t="n">
        <v>34735.876</v>
      </c>
      <c r="K502" s="81" t="n">
        <v>14713516000</v>
      </c>
      <c r="L502" s="82" t="n">
        <v>3.38</v>
      </c>
      <c r="M502" s="81" t="n">
        <v>4436.142</v>
      </c>
      <c r="N502" s="81" t="n">
        <v>72941505</v>
      </c>
      <c r="O502" s="81" t="n">
        <v>346899.908</v>
      </c>
      <c r="P502" s="82" t="n">
        <v>0</v>
      </c>
      <c r="Q502" s="82" t="n">
        <v>250.5</v>
      </c>
      <c r="R502" s="47" t="n">
        <v>3</v>
      </c>
      <c r="S502" s="66" t="s">
        <v>782</v>
      </c>
    </row>
    <row r="503" customFormat="false" ht="15" hidden="false" customHeight="false" outlineLevel="0" collapsed="false">
      <c r="A503" s="78" t="s">
        <v>778</v>
      </c>
      <c r="B503" s="78" t="s">
        <v>260</v>
      </c>
      <c r="C503" s="79" t="n">
        <v>2025</v>
      </c>
      <c r="D503" s="79" t="n">
        <v>3</v>
      </c>
      <c r="E503" s="80" t="n">
        <v>45930</v>
      </c>
      <c r="F503" s="78" t="s">
        <v>253</v>
      </c>
      <c r="G503" s="78" t="s">
        <v>254</v>
      </c>
      <c r="H503" s="78" t="s">
        <v>250</v>
      </c>
      <c r="I503" s="81" t="n">
        <v>168568.888</v>
      </c>
      <c r="J503" s="81" t="n">
        <v>28876.742</v>
      </c>
      <c r="K503" s="81" t="n">
        <v>10869762000</v>
      </c>
      <c r="L503" s="82" t="n">
        <v>2.5</v>
      </c>
      <c r="M503" s="81" t="n">
        <v>4422.1752</v>
      </c>
      <c r="N503" s="81" t="n">
        <v>72941505</v>
      </c>
      <c r="O503" s="81" t="n">
        <v>317042.622</v>
      </c>
      <c r="P503" s="82" t="n">
        <v>5.29612031</v>
      </c>
      <c r="Q503" s="82" t="n">
        <v>164</v>
      </c>
      <c r="R503" s="47" t="n">
        <v>4</v>
      </c>
      <c r="S503" s="66" t="s">
        <v>783</v>
      </c>
    </row>
    <row r="504" customFormat="false" ht="15" hidden="false" customHeight="false" outlineLevel="0" collapsed="false">
      <c r="A504" s="78" t="s">
        <v>778</v>
      </c>
      <c r="B504" s="78" t="s">
        <v>262</v>
      </c>
      <c r="C504" s="79" t="n">
        <v>2025</v>
      </c>
      <c r="D504" s="79" t="n">
        <v>2</v>
      </c>
      <c r="E504" s="80" t="n">
        <v>45838</v>
      </c>
      <c r="F504" s="78" t="s">
        <v>253</v>
      </c>
      <c r="G504" s="78" t="s">
        <v>254</v>
      </c>
      <c r="H504" s="78" t="s">
        <v>250</v>
      </c>
      <c r="I504" s="81" t="n">
        <v>150750.323</v>
      </c>
      <c r="J504" s="81" t="n">
        <v>25687.52</v>
      </c>
      <c r="K504" s="81" t="n">
        <v>7521085000</v>
      </c>
      <c r="L504" s="82" t="n">
        <v>1.74</v>
      </c>
      <c r="M504" s="81" t="n">
        <v>4418.9956</v>
      </c>
      <c r="N504" s="81" t="n">
        <v>72941505</v>
      </c>
      <c r="O504" s="81" t="n">
        <v>293770.159</v>
      </c>
      <c r="P504" s="82" t="n">
        <v>0</v>
      </c>
      <c r="Q504" s="82" t="n">
        <v>147.5</v>
      </c>
      <c r="R504" s="47" t="n">
        <v>5</v>
      </c>
      <c r="S504" s="66" t="s">
        <v>784</v>
      </c>
    </row>
    <row r="505" customFormat="false" ht="15" hidden="false" customHeight="false" outlineLevel="0" collapsed="false">
      <c r="A505" s="78" t="s">
        <v>778</v>
      </c>
      <c r="B505" s="78" t="s">
        <v>264</v>
      </c>
      <c r="C505" s="79" t="n">
        <v>2025</v>
      </c>
      <c r="D505" s="79" t="n">
        <v>1</v>
      </c>
      <c r="E505" s="80" t="n">
        <v>45747</v>
      </c>
      <c r="F505" s="78" t="s">
        <v>253</v>
      </c>
      <c r="G505" s="78" t="s">
        <v>254</v>
      </c>
      <c r="H505" s="78" t="s">
        <v>250</v>
      </c>
      <c r="I505" s="81" t="n">
        <v>148153.262</v>
      </c>
      <c r="J505" s="81" t="n">
        <v>24892.736</v>
      </c>
      <c r="K505" s="81" t="n">
        <v>7553833000</v>
      </c>
      <c r="L505" s="82" t="n">
        <v>1.75</v>
      </c>
      <c r="M505" s="81" t="n">
        <v>4414.9305</v>
      </c>
      <c r="N505" s="81" t="n">
        <v>72941505</v>
      </c>
      <c r="O505" s="81" t="n">
        <v>311521.694</v>
      </c>
      <c r="P505" s="82" t="n">
        <v>0</v>
      </c>
      <c r="Q505" s="82" t="n">
        <v>143</v>
      </c>
      <c r="R505" s="47" t="n">
        <v>6</v>
      </c>
      <c r="S505" s="66" t="s">
        <v>785</v>
      </c>
    </row>
    <row r="506" customFormat="false" ht="15" hidden="false" customHeight="false" outlineLevel="0" collapsed="false">
      <c r="A506" s="78" t="s">
        <v>778</v>
      </c>
      <c r="B506" s="78" t="s">
        <v>266</v>
      </c>
      <c r="C506" s="79" t="n">
        <v>2024</v>
      </c>
      <c r="D506" s="79" t="n">
        <v>4</v>
      </c>
      <c r="E506" s="80" t="n">
        <v>45657</v>
      </c>
      <c r="F506" s="78" t="s">
        <v>253</v>
      </c>
      <c r="G506" s="78" t="s">
        <v>254</v>
      </c>
      <c r="H506" s="78" t="s">
        <v>250</v>
      </c>
      <c r="I506" s="81" t="n">
        <v>162263.561</v>
      </c>
      <c r="J506" s="81" t="n">
        <v>26624.622</v>
      </c>
      <c r="K506" s="81" t="n">
        <v>9378473000</v>
      </c>
      <c r="L506" s="82" t="n">
        <v>2.17</v>
      </c>
      <c r="M506" s="81" t="n">
        <v>4412.0643</v>
      </c>
      <c r="N506" s="81" t="n">
        <v>72941505</v>
      </c>
      <c r="O506" s="81" t="n">
        <v>323523.012</v>
      </c>
      <c r="P506" s="82" t="n">
        <v>0</v>
      </c>
      <c r="Q506" s="82" t="n">
        <v>162</v>
      </c>
      <c r="R506" s="47" t="n">
        <v>7</v>
      </c>
      <c r="S506" s="66" t="s">
        <v>786</v>
      </c>
    </row>
    <row r="507" customFormat="false" ht="15" hidden="false" customHeight="false" outlineLevel="0" collapsed="false">
      <c r="A507" s="78" t="s">
        <v>778</v>
      </c>
      <c r="B507" s="78" t="s">
        <v>268</v>
      </c>
      <c r="C507" s="79" t="n">
        <v>2024</v>
      </c>
      <c r="D507" s="79" t="n">
        <v>3</v>
      </c>
      <c r="E507" s="80" t="n">
        <v>45565</v>
      </c>
      <c r="F507" s="78" t="s">
        <v>253</v>
      </c>
      <c r="G507" s="78" t="s">
        <v>254</v>
      </c>
      <c r="H507" s="78" t="s">
        <v>250</v>
      </c>
      <c r="I507" s="81" t="n">
        <v>160105.106</v>
      </c>
      <c r="J507" s="81" t="n">
        <v>26373.145</v>
      </c>
      <c r="K507" s="81" t="n">
        <v>9639048000</v>
      </c>
      <c r="L507" s="82" t="n">
        <v>2.24</v>
      </c>
      <c r="M507" s="81" t="n">
        <v>4406.6781</v>
      </c>
      <c r="N507" s="81" t="n">
        <v>72941505</v>
      </c>
      <c r="O507" s="81" t="n">
        <v>309399.226</v>
      </c>
      <c r="P507" s="82" t="n">
        <v>5.20228257</v>
      </c>
      <c r="Q507" s="82" t="n">
        <v>151</v>
      </c>
      <c r="R507" s="47" t="n">
        <v>8</v>
      </c>
      <c r="S507" s="66" t="s">
        <v>787</v>
      </c>
    </row>
    <row r="508" customFormat="false" ht="15" hidden="false" customHeight="false" outlineLevel="0" collapsed="false">
      <c r="A508" s="78" t="s">
        <v>778</v>
      </c>
      <c r="B508" s="78" t="s">
        <v>270</v>
      </c>
      <c r="C508" s="79" t="n">
        <v>2024</v>
      </c>
      <c r="D508" s="79" t="n">
        <v>2</v>
      </c>
      <c r="E508" s="80" t="n">
        <v>45473</v>
      </c>
      <c r="F508" s="78" t="s">
        <v>253</v>
      </c>
      <c r="G508" s="78" t="s">
        <v>254</v>
      </c>
      <c r="H508" s="78" t="s">
        <v>250</v>
      </c>
      <c r="I508" s="81" t="n">
        <v>140238.063</v>
      </c>
      <c r="J508" s="81" t="n">
        <v>23065.931</v>
      </c>
      <c r="K508" s="81" t="n">
        <v>7783449000</v>
      </c>
      <c r="L508" s="82" t="n">
        <v>1.8</v>
      </c>
      <c r="M508" s="81" t="n">
        <v>4392.5502</v>
      </c>
      <c r="N508" s="81" t="n">
        <v>72941505</v>
      </c>
      <c r="O508" s="81" t="n">
        <v>302347.884</v>
      </c>
      <c r="P508" s="82" t="n">
        <v>0</v>
      </c>
      <c r="Q508" s="82" t="n">
        <v>168.5</v>
      </c>
      <c r="R508" s="47" t="n">
        <v>9</v>
      </c>
      <c r="S508" s="66" t="s">
        <v>788</v>
      </c>
    </row>
    <row r="509" customFormat="false" ht="15" hidden="false" customHeight="false" outlineLevel="0" collapsed="false">
      <c r="A509" s="78" t="s">
        <v>778</v>
      </c>
      <c r="B509" s="78" t="s">
        <v>272</v>
      </c>
      <c r="C509" s="79" t="n">
        <v>2024</v>
      </c>
      <c r="D509" s="79" t="n">
        <v>1</v>
      </c>
      <c r="E509" s="80" t="n">
        <v>45382</v>
      </c>
      <c r="F509" s="78" t="s">
        <v>253</v>
      </c>
      <c r="G509" s="78" t="s">
        <v>254</v>
      </c>
      <c r="H509" s="78" t="s">
        <v>250</v>
      </c>
      <c r="I509" s="81" t="n">
        <v>132802.855</v>
      </c>
      <c r="J509" s="81" t="n">
        <v>20868.046</v>
      </c>
      <c r="K509" s="81" t="n">
        <v>5681509000</v>
      </c>
      <c r="L509" s="82" t="n">
        <v>1.32</v>
      </c>
      <c r="M509" s="81" t="n">
        <v>4384.4117</v>
      </c>
      <c r="N509" s="81" t="n">
        <v>72941505</v>
      </c>
      <c r="O509" s="81" t="n">
        <v>290995.666</v>
      </c>
      <c r="P509" s="82" t="n">
        <v>0</v>
      </c>
      <c r="Q509" s="82" t="n">
        <v>161</v>
      </c>
      <c r="R509" s="47" t="n">
        <v>10</v>
      </c>
      <c r="S509" s="66" t="s">
        <v>789</v>
      </c>
    </row>
    <row r="510" customFormat="false" ht="15" hidden="false" customHeight="false" outlineLevel="0" collapsed="false">
      <c r="A510" s="78" t="s">
        <v>778</v>
      </c>
      <c r="B510" s="78" t="s">
        <v>274</v>
      </c>
      <c r="C510" s="79" t="n">
        <v>2023</v>
      </c>
      <c r="D510" s="79" t="n">
        <v>4</v>
      </c>
      <c r="E510" s="80" t="n">
        <v>45291</v>
      </c>
      <c r="F510" s="78" t="s">
        <v>253</v>
      </c>
      <c r="G510" s="78" t="s">
        <v>254</v>
      </c>
      <c r="H510" s="78" t="s">
        <v>250</v>
      </c>
      <c r="I510" s="81" t="n">
        <v>160581.201</v>
      </c>
      <c r="J510" s="81" t="n">
        <v>25761.324</v>
      </c>
      <c r="K510" s="81" t="n">
        <v>9391973000</v>
      </c>
      <c r="L510" s="82" t="n">
        <v>2.19</v>
      </c>
      <c r="M510" s="81" t="n">
        <v>4380.1992</v>
      </c>
      <c r="N510" s="81" t="n">
        <v>72941505</v>
      </c>
      <c r="O510" s="81" t="n">
        <v>297825.441</v>
      </c>
      <c r="P510" s="82" t="n">
        <v>0</v>
      </c>
      <c r="Q510" s="82" t="n">
        <v>135</v>
      </c>
      <c r="R510" s="47" t="n">
        <v>11</v>
      </c>
      <c r="S510" s="66" t="s">
        <v>790</v>
      </c>
    </row>
    <row r="511" customFormat="false" ht="15" hidden="false" customHeight="false" outlineLevel="0" collapsed="false">
      <c r="A511" s="78" t="s">
        <v>778</v>
      </c>
      <c r="B511" s="78" t="s">
        <v>276</v>
      </c>
      <c r="C511" s="79" t="n">
        <v>2023</v>
      </c>
      <c r="D511" s="79" t="n">
        <v>3</v>
      </c>
      <c r="E511" s="80" t="n">
        <v>45199</v>
      </c>
      <c r="F511" s="78" t="s">
        <v>253</v>
      </c>
      <c r="G511" s="78" t="s">
        <v>254</v>
      </c>
      <c r="H511" s="78" t="s">
        <v>250</v>
      </c>
      <c r="I511" s="81" t="n">
        <v>154166.845</v>
      </c>
      <c r="J511" s="81" t="n">
        <v>24915.662</v>
      </c>
      <c r="K511" s="81" t="n">
        <v>8775842000</v>
      </c>
      <c r="L511" s="82" t="n">
        <v>2.04</v>
      </c>
      <c r="M511" s="81" t="n">
        <v>4376.3608</v>
      </c>
      <c r="N511" s="81" t="n">
        <v>72941505</v>
      </c>
      <c r="O511" s="81" t="n">
        <v>295610.631</v>
      </c>
      <c r="P511" s="82" t="n">
        <v>0</v>
      </c>
      <c r="Q511" s="82" t="n">
        <v>109.5</v>
      </c>
      <c r="R511" s="47" t="n">
        <v>12</v>
      </c>
      <c r="S511" s="66" t="s">
        <v>791</v>
      </c>
    </row>
    <row r="512" customFormat="false" ht="15" hidden="false" customHeight="false" outlineLevel="0" collapsed="false">
      <c r="A512" s="78" t="s">
        <v>778</v>
      </c>
      <c r="B512" s="78" t="s">
        <v>278</v>
      </c>
      <c r="C512" s="79" t="n">
        <v>2023</v>
      </c>
      <c r="D512" s="79" t="n">
        <v>2</v>
      </c>
      <c r="E512" s="80" t="n">
        <v>45107</v>
      </c>
      <c r="F512" s="78" t="s">
        <v>253</v>
      </c>
      <c r="G512" s="78" t="s">
        <v>254</v>
      </c>
      <c r="H512" s="78" t="s">
        <v>250</v>
      </c>
      <c r="I512" s="81" t="n">
        <v>136275.352</v>
      </c>
      <c r="J512" s="81" t="n">
        <v>21740.823</v>
      </c>
      <c r="K512" s="81" t="n">
        <v>7740423000</v>
      </c>
      <c r="L512" s="82" t="n">
        <v>1.8</v>
      </c>
      <c r="M512" s="81" t="n">
        <v>4373.4359</v>
      </c>
      <c r="N512" s="81" t="n">
        <v>72941505</v>
      </c>
      <c r="O512" s="81" t="n">
        <v>278623.853</v>
      </c>
      <c r="P512" s="82" t="n">
        <v>8.7931696</v>
      </c>
      <c r="Q512" s="82" t="n">
        <v>110.5</v>
      </c>
      <c r="R512" s="47" t="n">
        <v>13</v>
      </c>
      <c r="S512" s="66" t="s">
        <v>792</v>
      </c>
    </row>
    <row r="513" customFormat="false" ht="15" hidden="false" customHeight="false" outlineLevel="0" collapsed="false">
      <c r="A513" s="78" t="s">
        <v>778</v>
      </c>
      <c r="B513" s="78" t="s">
        <v>280</v>
      </c>
      <c r="C513" s="79" t="n">
        <v>2023</v>
      </c>
      <c r="D513" s="79" t="n">
        <v>1</v>
      </c>
      <c r="E513" s="80" t="n">
        <v>45016</v>
      </c>
      <c r="F513" s="78" t="s">
        <v>253</v>
      </c>
      <c r="G513" s="78" t="s">
        <v>254</v>
      </c>
      <c r="H513" s="78" t="s">
        <v>250</v>
      </c>
      <c r="I513" s="81" t="n">
        <v>130891.073</v>
      </c>
      <c r="J513" s="81" t="n">
        <v>19339.323</v>
      </c>
      <c r="K513" s="81" t="n">
        <v>5817165000</v>
      </c>
      <c r="L513" s="82" t="n">
        <v>1.36</v>
      </c>
      <c r="M513" s="81" t="n">
        <v>4367.2429</v>
      </c>
      <c r="N513" s="81" t="n">
        <v>72941505</v>
      </c>
      <c r="O513" s="81" t="n">
        <v>270651.349</v>
      </c>
      <c r="P513" s="82" t="n">
        <v>0</v>
      </c>
      <c r="Q513" s="82" t="n">
        <v>112.5</v>
      </c>
      <c r="R513" s="47" t="n">
        <v>14</v>
      </c>
      <c r="S513" s="66" t="s">
        <v>793</v>
      </c>
    </row>
    <row r="514" customFormat="false" ht="15" hidden="false" customHeight="false" outlineLevel="0" collapsed="false">
      <c r="A514" s="78" t="s">
        <v>778</v>
      </c>
      <c r="B514" s="78" t="s">
        <v>282</v>
      </c>
      <c r="C514" s="79" t="n">
        <v>2022</v>
      </c>
      <c r="D514" s="79" t="n">
        <v>4</v>
      </c>
      <c r="E514" s="80" t="n">
        <v>44926</v>
      </c>
      <c r="F514" s="78" t="s">
        <v>253</v>
      </c>
      <c r="G514" s="78" t="s">
        <v>254</v>
      </c>
      <c r="H514" s="78" t="s">
        <v>250</v>
      </c>
      <c r="I514" s="81" t="n">
        <v>177417.239</v>
      </c>
      <c r="J514" s="81" t="n">
        <v>34099.25</v>
      </c>
      <c r="K514" s="81" t="n">
        <v>15730435000</v>
      </c>
      <c r="L514" s="82" t="n">
        <v>3.79</v>
      </c>
      <c r="M514" s="81" t="n">
        <v>4364.2185</v>
      </c>
      <c r="N514" s="81" t="n">
        <v>72941505</v>
      </c>
      <c r="O514" s="81" t="n">
        <v>301285.248</v>
      </c>
      <c r="P514" s="82" t="n">
        <v>0</v>
      </c>
      <c r="Q514" s="82" t="n">
        <v>93.9</v>
      </c>
      <c r="R514" s="47" t="n">
        <v>15</v>
      </c>
      <c r="S514" s="66" t="s">
        <v>794</v>
      </c>
    </row>
    <row r="515" customFormat="false" ht="15" hidden="false" customHeight="false" outlineLevel="0" collapsed="false">
      <c r="A515" s="78" t="s">
        <v>778</v>
      </c>
      <c r="B515" s="78" t="s">
        <v>284</v>
      </c>
      <c r="C515" s="79" t="n">
        <v>2022</v>
      </c>
      <c r="D515" s="79" t="n">
        <v>3</v>
      </c>
      <c r="E515" s="80" t="n">
        <v>44834</v>
      </c>
      <c r="F515" s="78" t="s">
        <v>253</v>
      </c>
      <c r="G515" s="78" t="s">
        <v>254</v>
      </c>
      <c r="H515" s="78" t="s">
        <v>250</v>
      </c>
      <c r="I515" s="81" t="n">
        <v>188625.557</v>
      </c>
      <c r="J515" s="81" t="n">
        <v>37971.974</v>
      </c>
      <c r="K515" s="81" t="n">
        <v>17464626000</v>
      </c>
      <c r="L515" s="82" t="n">
        <v>4.03</v>
      </c>
      <c r="M515" s="81" t="n">
        <v>4359.928</v>
      </c>
      <c r="N515" s="81" t="n">
        <v>72941505</v>
      </c>
      <c r="O515" s="81" t="n">
        <v>288361.421</v>
      </c>
      <c r="P515" s="82" t="n">
        <v>0</v>
      </c>
      <c r="Q515" s="82" t="n">
        <v>80.1</v>
      </c>
      <c r="R515" s="47" t="n">
        <v>16</v>
      </c>
      <c r="S515" s="66" t="s">
        <v>795</v>
      </c>
    </row>
    <row r="516" customFormat="false" ht="15" hidden="false" customHeight="false" outlineLevel="0" collapsed="false">
      <c r="A516" s="78" t="s">
        <v>778</v>
      </c>
      <c r="B516" s="78" t="s">
        <v>286</v>
      </c>
      <c r="C516" s="79" t="n">
        <v>2022</v>
      </c>
      <c r="D516" s="79" t="n">
        <v>2</v>
      </c>
      <c r="E516" s="80" t="n">
        <v>44742</v>
      </c>
      <c r="F516" s="78" t="s">
        <v>253</v>
      </c>
      <c r="G516" s="78" t="s">
        <v>254</v>
      </c>
      <c r="H516" s="78" t="s">
        <v>250</v>
      </c>
      <c r="I516" s="81" t="n">
        <v>160439.02</v>
      </c>
      <c r="J516" s="81" t="n">
        <v>34387.56</v>
      </c>
      <c r="K516" s="81" t="n">
        <v>15988151000</v>
      </c>
      <c r="L516" s="82" t="n">
        <v>3.69</v>
      </c>
      <c r="M516" s="81" t="n">
        <v>4357.5089</v>
      </c>
      <c r="N516" s="81" t="n">
        <v>72941505</v>
      </c>
      <c r="O516" s="81" t="n">
        <v>263039.09</v>
      </c>
      <c r="P516" s="82" t="n">
        <v>6.9959828</v>
      </c>
      <c r="Q516" s="82" t="n">
        <v>76.4</v>
      </c>
      <c r="R516" s="47" t="n">
        <v>17</v>
      </c>
      <c r="S516" s="66" t="s">
        <v>796</v>
      </c>
    </row>
    <row r="517" customFormat="false" ht="15" hidden="false" customHeight="false" outlineLevel="0" collapsed="false">
      <c r="A517" s="78" t="s">
        <v>778</v>
      </c>
      <c r="B517" s="78" t="s">
        <v>288</v>
      </c>
      <c r="C517" s="79" t="n">
        <v>2022</v>
      </c>
      <c r="D517" s="79" t="n">
        <v>1</v>
      </c>
      <c r="E517" s="80" t="n">
        <v>44651</v>
      </c>
      <c r="F517" s="78" t="s">
        <v>253</v>
      </c>
      <c r="G517" s="78" t="s">
        <v>254</v>
      </c>
      <c r="H517" s="78" t="s">
        <v>250</v>
      </c>
      <c r="I517" s="81" t="n">
        <v>144390.827</v>
      </c>
      <c r="J517" s="81" t="n">
        <v>28471.228</v>
      </c>
      <c r="K517" s="81" t="n">
        <v>12907282000</v>
      </c>
      <c r="L517" s="82" t="n">
        <v>3.01</v>
      </c>
      <c r="M517" s="81" t="n">
        <v>4353.0188</v>
      </c>
      <c r="N517" s="81" t="n">
        <v>72941505</v>
      </c>
      <c r="O517" s="81" t="n">
        <v>248373.426</v>
      </c>
      <c r="P517" s="82" t="n">
        <v>0</v>
      </c>
      <c r="Q517" s="82" t="n">
        <v>103.5</v>
      </c>
      <c r="R517" s="47" t="n">
        <v>18</v>
      </c>
      <c r="S517" s="66" t="s">
        <v>797</v>
      </c>
    </row>
    <row r="518" customFormat="false" ht="15" hidden="false" customHeight="false" outlineLevel="0" collapsed="false">
      <c r="A518" s="78" t="s">
        <v>778</v>
      </c>
      <c r="B518" s="78" t="s">
        <v>290</v>
      </c>
      <c r="C518" s="79" t="n">
        <v>2021</v>
      </c>
      <c r="D518" s="79" t="n">
        <v>4</v>
      </c>
      <c r="E518" s="80" t="n">
        <v>44561</v>
      </c>
      <c r="F518" s="78" t="s">
        <v>253</v>
      </c>
      <c r="G518" s="78" t="s">
        <v>254</v>
      </c>
      <c r="H518" s="78" t="s">
        <v>250</v>
      </c>
      <c r="I518" s="81" t="n">
        <v>172936.186</v>
      </c>
      <c r="J518" s="81" t="n">
        <v>32894.294</v>
      </c>
      <c r="K518" s="81" t="n">
        <v>30915852000</v>
      </c>
      <c r="L518" s="82" t="n">
        <v>7.18</v>
      </c>
      <c r="M518" s="81" t="n">
        <v>4403.4146</v>
      </c>
      <c r="N518" s="81" t="n">
        <v>126008505</v>
      </c>
      <c r="O518" s="81" t="n">
        <v>260076.714</v>
      </c>
      <c r="P518" s="82" t="n">
        <v>0</v>
      </c>
      <c r="Q518" s="82" t="n">
        <v>106.5</v>
      </c>
      <c r="R518" s="47" t="n">
        <v>19</v>
      </c>
      <c r="S518" s="66" t="s">
        <v>798</v>
      </c>
    </row>
    <row r="519" customFormat="false" ht="15" hidden="false" customHeight="false" outlineLevel="0" collapsed="false">
      <c r="A519" s="78" t="s">
        <v>778</v>
      </c>
      <c r="B519" s="78" t="s">
        <v>292</v>
      </c>
      <c r="C519" s="79" t="n">
        <v>2021</v>
      </c>
      <c r="D519" s="79" t="n">
        <v>3</v>
      </c>
      <c r="E519" s="80" t="n">
        <v>44469</v>
      </c>
      <c r="F519" s="78" t="s">
        <v>253</v>
      </c>
      <c r="G519" s="78" t="s">
        <v>254</v>
      </c>
      <c r="H519" s="78" t="s">
        <v>250</v>
      </c>
      <c r="I519" s="81" t="n">
        <v>150664.816</v>
      </c>
      <c r="J519" s="81" t="n">
        <v>30783.963</v>
      </c>
      <c r="K519" s="81" t="n">
        <v>14176280000</v>
      </c>
      <c r="L519" s="82" t="n">
        <v>3.29</v>
      </c>
      <c r="M519" s="81" t="n">
        <v>4382.9324</v>
      </c>
      <c r="N519" s="81" t="n">
        <v>72941505</v>
      </c>
      <c r="O519" s="81" t="n">
        <v>235186.09</v>
      </c>
      <c r="P519" s="82" t="n">
        <v>4.19149913</v>
      </c>
      <c r="Q519" s="82" t="n">
        <v>109</v>
      </c>
      <c r="R519" s="47" t="n">
        <v>20</v>
      </c>
      <c r="S519" s="66" t="s">
        <v>799</v>
      </c>
    </row>
    <row r="520" customFormat="false" ht="15" hidden="false" customHeight="false" outlineLevel="0" collapsed="false">
      <c r="A520" s="78" t="s">
        <v>778</v>
      </c>
      <c r="B520" s="78" t="s">
        <v>294</v>
      </c>
      <c r="C520" s="79" t="n">
        <v>2021</v>
      </c>
      <c r="D520" s="79" t="n">
        <v>2</v>
      </c>
      <c r="E520" s="80" t="n">
        <v>44377</v>
      </c>
      <c r="F520" s="78" t="s">
        <v>253</v>
      </c>
      <c r="G520" s="78" t="s">
        <v>254</v>
      </c>
      <c r="H520" s="78" t="s">
        <v>250</v>
      </c>
      <c r="I520" s="81" t="n">
        <v>126926.347</v>
      </c>
      <c r="J520" s="81" t="n">
        <v>24662.478</v>
      </c>
      <c r="K520" s="81" t="n">
        <v>10249964000</v>
      </c>
      <c r="L520" s="82" t="n">
        <v>2.4</v>
      </c>
      <c r="M520" s="81" t="n">
        <v>4379.428</v>
      </c>
      <c r="N520" s="81" t="n">
        <v>72941505</v>
      </c>
      <c r="O520" s="81" t="n">
        <v>238993.243</v>
      </c>
      <c r="P520" s="82" t="n">
        <v>0</v>
      </c>
      <c r="Q520" s="82" t="n">
        <v>112</v>
      </c>
      <c r="R520" s="47" t="n">
        <v>21</v>
      </c>
      <c r="S520" s="66" t="s">
        <v>800</v>
      </c>
    </row>
    <row r="521" customFormat="false" ht="15" hidden="false" customHeight="false" outlineLevel="0" collapsed="false">
      <c r="A521" s="78" t="s">
        <v>778</v>
      </c>
      <c r="B521" s="78" t="s">
        <v>296</v>
      </c>
      <c r="C521" s="79" t="n">
        <v>2021</v>
      </c>
      <c r="D521" s="79" t="n">
        <v>1</v>
      </c>
      <c r="E521" s="80" t="n">
        <v>44286</v>
      </c>
      <c r="F521" s="78" t="s">
        <v>253</v>
      </c>
      <c r="G521" s="78" t="s">
        <v>254</v>
      </c>
      <c r="H521" s="78" t="s">
        <v>250</v>
      </c>
      <c r="I521" s="81" t="n">
        <v>119469.784</v>
      </c>
      <c r="J521" s="81" t="n">
        <v>22028.042</v>
      </c>
      <c r="K521" s="81" t="n">
        <v>8565584000</v>
      </c>
      <c r="L521" s="82" t="n">
        <v>1.99</v>
      </c>
      <c r="M521" s="81" t="n">
        <v>4350.6755</v>
      </c>
      <c r="N521" s="81" t="n">
        <v>72941505</v>
      </c>
      <c r="O521" s="81" t="n">
        <v>229757.391</v>
      </c>
      <c r="P521" s="82" t="n">
        <v>0</v>
      </c>
      <c r="Q521" s="82" t="n">
        <v>107.5</v>
      </c>
      <c r="R521" s="47" t="n">
        <v>22</v>
      </c>
      <c r="S521" s="66" t="s">
        <v>801</v>
      </c>
    </row>
    <row r="522" customFormat="false" ht="15" hidden="false" customHeight="false" outlineLevel="0" collapsed="false">
      <c r="A522" s="78" t="s">
        <v>778</v>
      </c>
      <c r="B522" s="78" t="s">
        <v>298</v>
      </c>
      <c r="C522" s="79" t="n">
        <v>2020</v>
      </c>
      <c r="D522" s="79" t="n">
        <v>4</v>
      </c>
      <c r="E522" s="80" t="n">
        <v>44196</v>
      </c>
      <c r="F522" s="78" t="s">
        <v>253</v>
      </c>
      <c r="G522" s="78" t="s">
        <v>254</v>
      </c>
      <c r="H522" s="78" t="s">
        <v>250</v>
      </c>
      <c r="I522" s="81" t="n">
        <v>148877.383</v>
      </c>
      <c r="J522" s="81" t="n">
        <v>23299.411</v>
      </c>
      <c r="K522" s="81" t="n">
        <v>10044034000</v>
      </c>
      <c r="L522" s="82" t="n">
        <v>2.35</v>
      </c>
      <c r="M522" s="81" t="n">
        <v>4338.5311</v>
      </c>
      <c r="N522" s="81" t="n">
        <v>72941505</v>
      </c>
      <c r="O522" s="81" t="n">
        <v>218635.019</v>
      </c>
      <c r="P522" s="82" t="n">
        <v>0</v>
      </c>
      <c r="Q522" s="82" t="n">
        <v>81.3</v>
      </c>
      <c r="R522" s="47" t="n">
        <v>23</v>
      </c>
      <c r="S522" s="66" t="s">
        <v>802</v>
      </c>
    </row>
    <row r="523" customFormat="false" ht="15" hidden="false" customHeight="false" outlineLevel="0" collapsed="false">
      <c r="A523" s="78" t="s">
        <v>778</v>
      </c>
      <c r="B523" s="78" t="s">
        <v>300</v>
      </c>
      <c r="C523" s="79" t="n">
        <v>2020</v>
      </c>
      <c r="D523" s="79" t="n">
        <v>3</v>
      </c>
      <c r="E523" s="80" t="n">
        <v>44104</v>
      </c>
      <c r="F523" s="78" t="s">
        <v>253</v>
      </c>
      <c r="G523" s="78" t="s">
        <v>254</v>
      </c>
      <c r="H523" s="78" t="s">
        <v>250</v>
      </c>
      <c r="I523" s="81" t="n">
        <v>123195.399</v>
      </c>
      <c r="J523" s="81" t="n">
        <v>19719.808</v>
      </c>
      <c r="K523" s="81" t="n">
        <v>6712720000</v>
      </c>
      <c r="L523" s="82" t="n">
        <v>1.57</v>
      </c>
      <c r="M523" s="81" t="n">
        <v>4338.3451</v>
      </c>
      <c r="N523" s="81" t="n">
        <v>72941505</v>
      </c>
      <c r="O523" s="81" t="n">
        <v>205509.934</v>
      </c>
      <c r="P523" s="82"/>
      <c r="Q523" s="82" t="n">
        <v>59.2</v>
      </c>
      <c r="R523" s="47" t="n">
        <v>24</v>
      </c>
      <c r="S523" s="66" t="s">
        <v>803</v>
      </c>
    </row>
    <row r="524" customFormat="false" ht="15" hidden="false" customHeight="false" outlineLevel="0" collapsed="false">
      <c r="A524" s="78" t="s">
        <v>214</v>
      </c>
      <c r="B524" s="78" t="s">
        <v>247</v>
      </c>
      <c r="C524" s="79" t="n">
        <v>2026</v>
      </c>
      <c r="D524" s="79" t="n">
        <v>3</v>
      </c>
      <c r="E524" s="80" t="n">
        <v>46295</v>
      </c>
      <c r="F524" s="78" t="s">
        <v>248</v>
      </c>
      <c r="G524" s="78" t="s">
        <v>249</v>
      </c>
      <c r="H524" s="78" t="s">
        <v>250</v>
      </c>
      <c r="I524" s="81"/>
      <c r="J524" s="81"/>
      <c r="K524" s="81"/>
      <c r="L524" s="82" t="n">
        <v>1.47057</v>
      </c>
      <c r="M524" s="81"/>
      <c r="N524" s="81"/>
      <c r="O524" s="81"/>
      <c r="P524" s="82"/>
      <c r="Q524" s="82"/>
      <c r="R524" s="47" t="n">
        <v>0</v>
      </c>
      <c r="S524" s="66" t="s">
        <v>804</v>
      </c>
    </row>
    <row r="525" customFormat="false" ht="15" hidden="false" customHeight="false" outlineLevel="0" collapsed="false">
      <c r="A525" s="78" t="s">
        <v>214</v>
      </c>
      <c r="B525" s="78" t="s">
        <v>252</v>
      </c>
      <c r="C525" s="79" t="n">
        <v>2026</v>
      </c>
      <c r="D525" s="79" t="n">
        <v>2</v>
      </c>
      <c r="E525" s="80" t="n">
        <v>46203</v>
      </c>
      <c r="F525" s="78" t="s">
        <v>253</v>
      </c>
      <c r="G525" s="78" t="s">
        <v>254</v>
      </c>
      <c r="H525" s="78" t="s">
        <v>250</v>
      </c>
      <c r="I525" s="81" t="n">
        <v>274447.863</v>
      </c>
      <c r="J525" s="81" t="n">
        <v>12156.04</v>
      </c>
      <c r="K525" s="81" t="n">
        <v>4487630000</v>
      </c>
      <c r="L525" s="82" t="n">
        <v>1.68</v>
      </c>
      <c r="M525" s="81" t="n">
        <v>2675.8522</v>
      </c>
      <c r="N525" s="81" t="n">
        <v>0</v>
      </c>
      <c r="O525" s="81" t="n">
        <v>206921.78</v>
      </c>
      <c r="P525" s="82" t="n">
        <v>4.00943684</v>
      </c>
      <c r="Q525" s="82" t="n">
        <v>83.8</v>
      </c>
      <c r="R525" s="47" t="n">
        <v>1</v>
      </c>
      <c r="S525" s="66" t="s">
        <v>805</v>
      </c>
    </row>
    <row r="526" customFormat="false" ht="15" hidden="false" customHeight="false" outlineLevel="0" collapsed="false">
      <c r="A526" s="78" t="s">
        <v>214</v>
      </c>
      <c r="B526" s="78" t="s">
        <v>256</v>
      </c>
      <c r="C526" s="79" t="n">
        <v>2026</v>
      </c>
      <c r="D526" s="79" t="n">
        <v>1</v>
      </c>
      <c r="E526" s="80" t="n">
        <v>46112</v>
      </c>
      <c r="F526" s="78" t="s">
        <v>253</v>
      </c>
      <c r="G526" s="78" t="s">
        <v>254</v>
      </c>
      <c r="H526" s="78" t="s">
        <v>250</v>
      </c>
      <c r="I526" s="81" t="n">
        <v>244105.4</v>
      </c>
      <c r="J526" s="81" t="n">
        <v>10801.479</v>
      </c>
      <c r="K526" s="81" t="n">
        <v>1561454000</v>
      </c>
      <c r="L526" s="82" t="n">
        <v>0.58</v>
      </c>
      <c r="M526" s="81" t="n">
        <v>2682.0441</v>
      </c>
      <c r="N526" s="81" t="n">
        <v>0</v>
      </c>
      <c r="O526" s="81" t="n">
        <v>203044.619</v>
      </c>
      <c r="P526" s="82" t="n">
        <v>0</v>
      </c>
      <c r="Q526" s="82" t="n">
        <v>76.2</v>
      </c>
      <c r="R526" s="47" t="n">
        <v>2</v>
      </c>
      <c r="S526" s="66" t="s">
        <v>806</v>
      </c>
    </row>
    <row r="527" customFormat="false" ht="15" hidden="false" customHeight="false" outlineLevel="0" collapsed="false">
      <c r="A527" s="78" t="s">
        <v>214</v>
      </c>
      <c r="B527" s="78" t="s">
        <v>258</v>
      </c>
      <c r="C527" s="79" t="n">
        <v>2025</v>
      </c>
      <c r="D527" s="79" t="n">
        <v>4</v>
      </c>
      <c r="E527" s="80" t="n">
        <v>46022</v>
      </c>
      <c r="F527" s="78" t="s">
        <v>253</v>
      </c>
      <c r="G527" s="78" t="s">
        <v>254</v>
      </c>
      <c r="H527" s="78" t="s">
        <v>250</v>
      </c>
      <c r="I527" s="81" t="n">
        <v>319527.992</v>
      </c>
      <c r="J527" s="81" t="n">
        <v>13056.531</v>
      </c>
      <c r="K527" s="81" t="n">
        <v>5266952000</v>
      </c>
      <c r="L527" s="82" t="n">
        <v>1.97</v>
      </c>
      <c r="M527" s="81" t="n">
        <v>2682.1651</v>
      </c>
      <c r="N527" s="81" t="n">
        <v>0</v>
      </c>
      <c r="O527" s="81" t="n">
        <v>207343.291</v>
      </c>
      <c r="P527" s="82" t="n">
        <v>0</v>
      </c>
      <c r="Q527" s="82" t="n">
        <v>68.6</v>
      </c>
      <c r="R527" s="47" t="n">
        <v>3</v>
      </c>
      <c r="S527" s="66" t="s">
        <v>807</v>
      </c>
    </row>
    <row r="528" customFormat="false" ht="15" hidden="false" customHeight="false" outlineLevel="0" collapsed="false">
      <c r="A528" s="78" t="s">
        <v>214</v>
      </c>
      <c r="B528" s="78" t="s">
        <v>260</v>
      </c>
      <c r="C528" s="79" t="n">
        <v>2025</v>
      </c>
      <c r="D528" s="79" t="n">
        <v>3</v>
      </c>
      <c r="E528" s="80" t="n">
        <v>45930</v>
      </c>
      <c r="F528" s="78" t="s">
        <v>253</v>
      </c>
      <c r="G528" s="78" t="s">
        <v>254</v>
      </c>
      <c r="H528" s="78" t="s">
        <v>250</v>
      </c>
      <c r="I528" s="81" t="n">
        <v>257863.123</v>
      </c>
      <c r="J528" s="81" t="n">
        <v>10902.151</v>
      </c>
      <c r="K528" s="81" t="n">
        <v>4544904000</v>
      </c>
      <c r="L528" s="82" t="n">
        <v>1.69</v>
      </c>
      <c r="M528" s="81" t="n">
        <v>2682.2001</v>
      </c>
      <c r="N528" s="81" t="n">
        <v>0</v>
      </c>
      <c r="O528" s="81" t="n">
        <v>192763.319</v>
      </c>
      <c r="P528" s="82" t="n">
        <v>0</v>
      </c>
      <c r="Q528" s="82" t="n">
        <v>70.8</v>
      </c>
      <c r="R528" s="47" t="n">
        <v>4</v>
      </c>
      <c r="S528" s="66" t="s">
        <v>808</v>
      </c>
    </row>
    <row r="529" customFormat="false" ht="15" hidden="false" customHeight="false" outlineLevel="0" collapsed="false">
      <c r="A529" s="78" t="s">
        <v>214</v>
      </c>
      <c r="B529" s="78" t="s">
        <v>262</v>
      </c>
      <c r="C529" s="79" t="n">
        <v>2025</v>
      </c>
      <c r="D529" s="79" t="n">
        <v>2</v>
      </c>
      <c r="E529" s="80" t="n">
        <v>45838</v>
      </c>
      <c r="F529" s="78" t="s">
        <v>253</v>
      </c>
      <c r="G529" s="78" t="s">
        <v>254</v>
      </c>
      <c r="H529" s="78" t="s">
        <v>250</v>
      </c>
      <c r="I529" s="81" t="n">
        <v>267335.783</v>
      </c>
      <c r="J529" s="81" t="n">
        <v>8377.372</v>
      </c>
      <c r="K529" s="81" t="n">
        <v>287394000</v>
      </c>
      <c r="L529" s="82" t="n">
        <v>0.11</v>
      </c>
      <c r="M529" s="81" t="n">
        <v>2661.4986</v>
      </c>
      <c r="N529" s="81" t="n">
        <v>0</v>
      </c>
      <c r="O529" s="81" t="n">
        <v>179373.738</v>
      </c>
      <c r="P529" s="82" t="n">
        <v>4.50282529</v>
      </c>
      <c r="Q529" s="82" t="n">
        <v>76.8</v>
      </c>
      <c r="R529" s="47" t="n">
        <v>5</v>
      </c>
      <c r="S529" s="66" t="s">
        <v>809</v>
      </c>
    </row>
    <row r="530" customFormat="false" ht="15" hidden="false" customHeight="false" outlineLevel="0" collapsed="false">
      <c r="A530" s="78" t="s">
        <v>214</v>
      </c>
      <c r="B530" s="78" t="s">
        <v>264</v>
      </c>
      <c r="C530" s="79" t="n">
        <v>2025</v>
      </c>
      <c r="D530" s="79" t="n">
        <v>1</v>
      </c>
      <c r="E530" s="80" t="n">
        <v>45747</v>
      </c>
      <c r="F530" s="78" t="s">
        <v>253</v>
      </c>
      <c r="G530" s="78" t="s">
        <v>254</v>
      </c>
      <c r="H530" s="78" t="s">
        <v>250</v>
      </c>
      <c r="I530" s="81" t="n">
        <v>272433.483</v>
      </c>
      <c r="J530" s="81" t="n">
        <v>10165.206</v>
      </c>
      <c r="K530" s="81" t="n">
        <v>4303350000</v>
      </c>
      <c r="L530" s="82" t="n">
        <v>1.62</v>
      </c>
      <c r="M530" s="81" t="n">
        <v>2663.1576</v>
      </c>
      <c r="N530" s="81" t="n">
        <v>0</v>
      </c>
      <c r="O530" s="81" t="n">
        <v>201731.624</v>
      </c>
      <c r="P530" s="82" t="n">
        <v>0</v>
      </c>
      <c r="Q530" s="82" t="n">
        <v>83.9</v>
      </c>
      <c r="R530" s="47" t="n">
        <v>6</v>
      </c>
      <c r="S530" s="66" t="s">
        <v>810</v>
      </c>
    </row>
    <row r="531" customFormat="false" ht="15" hidden="false" customHeight="false" outlineLevel="0" collapsed="false">
      <c r="A531" s="78" t="s">
        <v>214</v>
      </c>
      <c r="B531" s="78" t="s">
        <v>266</v>
      </c>
      <c r="C531" s="79" t="n">
        <v>2024</v>
      </c>
      <c r="D531" s="79" t="n">
        <v>4</v>
      </c>
      <c r="E531" s="80" t="n">
        <v>45657</v>
      </c>
      <c r="F531" s="78" t="s">
        <v>253</v>
      </c>
      <c r="G531" s="78" t="s">
        <v>254</v>
      </c>
      <c r="H531" s="78" t="s">
        <v>250</v>
      </c>
      <c r="I531" s="81" t="n">
        <v>327003.835</v>
      </c>
      <c r="J531" s="81" t="n">
        <v>11812.814</v>
      </c>
      <c r="K531" s="81" t="n">
        <v>3737433000</v>
      </c>
      <c r="L531" s="82" t="n">
        <v>1.41</v>
      </c>
      <c r="M531" s="81" t="n">
        <v>2663.1771</v>
      </c>
      <c r="N531" s="81" t="n">
        <v>0</v>
      </c>
      <c r="O531" s="81" t="n">
        <v>207093.133</v>
      </c>
      <c r="P531" s="82" t="n">
        <v>0</v>
      </c>
      <c r="Q531" s="82" t="n">
        <v>91.9</v>
      </c>
      <c r="R531" s="47" t="n">
        <v>7</v>
      </c>
      <c r="S531" s="66" t="s">
        <v>811</v>
      </c>
    </row>
    <row r="532" customFormat="false" ht="15" hidden="false" customHeight="false" outlineLevel="0" collapsed="false">
      <c r="A532" s="78" t="s">
        <v>214</v>
      </c>
      <c r="B532" s="78" t="s">
        <v>268</v>
      </c>
      <c r="C532" s="79" t="n">
        <v>2024</v>
      </c>
      <c r="D532" s="79" t="n">
        <v>3</v>
      </c>
      <c r="E532" s="80" t="n">
        <v>45565</v>
      </c>
      <c r="F532" s="78" t="s">
        <v>253</v>
      </c>
      <c r="G532" s="78" t="s">
        <v>254</v>
      </c>
      <c r="H532" s="78" t="s">
        <v>250</v>
      </c>
      <c r="I532" s="81" t="n">
        <v>294230.234</v>
      </c>
      <c r="J532" s="81" t="n">
        <v>12039.642</v>
      </c>
      <c r="K532" s="81" t="n">
        <v>4295665000</v>
      </c>
      <c r="L532" s="82" t="n">
        <v>1.61</v>
      </c>
      <c r="M532" s="81" t="n">
        <v>2663.1881</v>
      </c>
      <c r="N532" s="81" t="n">
        <v>0</v>
      </c>
      <c r="O532" s="81" t="n">
        <v>197756.418</v>
      </c>
      <c r="P532" s="82" t="n">
        <v>0</v>
      </c>
      <c r="Q532" s="82" t="n">
        <v>103</v>
      </c>
      <c r="R532" s="47" t="n">
        <v>8</v>
      </c>
      <c r="S532" s="66" t="s">
        <v>812</v>
      </c>
    </row>
    <row r="533" customFormat="false" ht="15" hidden="false" customHeight="false" outlineLevel="0" collapsed="false">
      <c r="A533" s="78" t="s">
        <v>214</v>
      </c>
      <c r="B533" s="78" t="s">
        <v>270</v>
      </c>
      <c r="C533" s="79" t="n">
        <v>2024</v>
      </c>
      <c r="D533" s="79" t="n">
        <v>2</v>
      </c>
      <c r="E533" s="80" t="n">
        <v>45473</v>
      </c>
      <c r="F533" s="78" t="s">
        <v>253</v>
      </c>
      <c r="G533" s="78" t="s">
        <v>254</v>
      </c>
      <c r="H533" s="78" t="s">
        <v>250</v>
      </c>
      <c r="I533" s="81" t="n">
        <v>253714.792</v>
      </c>
      <c r="J533" s="81" t="n">
        <v>11597.633</v>
      </c>
      <c r="K533" s="81" t="n">
        <v>5586352000</v>
      </c>
      <c r="L533" s="82" t="n">
        <v>2.1</v>
      </c>
      <c r="M533" s="81" t="n">
        <v>2663.7766</v>
      </c>
      <c r="N533" s="81" t="n">
        <v>0</v>
      </c>
      <c r="O533" s="81" t="n">
        <v>197581.024</v>
      </c>
      <c r="P533" s="82" t="n">
        <v>4.00058413</v>
      </c>
      <c r="Q533" s="82" t="n">
        <v>104.5</v>
      </c>
      <c r="R533" s="47" t="n">
        <v>9</v>
      </c>
      <c r="S533" s="66" t="s">
        <v>813</v>
      </c>
    </row>
    <row r="534" customFormat="false" ht="15" hidden="false" customHeight="false" outlineLevel="0" collapsed="false">
      <c r="A534" s="78" t="s">
        <v>214</v>
      </c>
      <c r="B534" s="78" t="s">
        <v>272</v>
      </c>
      <c r="C534" s="79" t="n">
        <v>2024</v>
      </c>
      <c r="D534" s="79" t="n">
        <v>1</v>
      </c>
      <c r="E534" s="80" t="n">
        <v>45382</v>
      </c>
      <c r="F534" s="78" t="s">
        <v>253</v>
      </c>
      <c r="G534" s="78" t="s">
        <v>254</v>
      </c>
      <c r="H534" s="78" t="s">
        <v>250</v>
      </c>
      <c r="I534" s="81" t="n">
        <v>250399.656</v>
      </c>
      <c r="J534" s="81" t="n">
        <v>10582.703</v>
      </c>
      <c r="K534" s="81" t="n">
        <v>3257428000</v>
      </c>
      <c r="L534" s="82" t="n">
        <v>1.22</v>
      </c>
      <c r="M534" s="81" t="n">
        <v>2663.9794</v>
      </c>
      <c r="N534" s="81" t="n">
        <v>0</v>
      </c>
      <c r="O534" s="81" t="n">
        <v>188744.388</v>
      </c>
      <c r="P534" s="82" t="n">
        <v>0</v>
      </c>
      <c r="Q534" s="82" t="n">
        <v>102</v>
      </c>
      <c r="R534" s="47" t="n">
        <v>10</v>
      </c>
      <c r="S534" s="66" t="s">
        <v>814</v>
      </c>
    </row>
    <row r="535" customFormat="false" ht="15" hidden="false" customHeight="false" outlineLevel="0" collapsed="false">
      <c r="A535" s="78" t="s">
        <v>214</v>
      </c>
      <c r="B535" s="78" t="s">
        <v>274</v>
      </c>
      <c r="C535" s="79" t="n">
        <v>2023</v>
      </c>
      <c r="D535" s="79" t="n">
        <v>4</v>
      </c>
      <c r="E535" s="80" t="n">
        <v>45291</v>
      </c>
      <c r="F535" s="78" t="s">
        <v>253</v>
      </c>
      <c r="G535" s="78" t="s">
        <v>254</v>
      </c>
      <c r="H535" s="78" t="s">
        <v>250</v>
      </c>
      <c r="I535" s="81" t="n">
        <v>342169.48</v>
      </c>
      <c r="J535" s="81" t="n">
        <v>13055.904</v>
      </c>
      <c r="K535" s="81" t="n">
        <v>4994905000</v>
      </c>
      <c r="L535" s="82" t="n">
        <v>1.88</v>
      </c>
      <c r="M535" s="81" t="n">
        <v>2664.2241</v>
      </c>
      <c r="N535" s="81" t="n">
        <v>0</v>
      </c>
      <c r="O535" s="81" t="n">
        <v>188809.892</v>
      </c>
      <c r="P535" s="82" t="n">
        <v>0</v>
      </c>
      <c r="Q535" s="82" t="n">
        <v>87.3</v>
      </c>
      <c r="R535" s="47" t="n">
        <v>11</v>
      </c>
      <c r="S535" s="66" t="s">
        <v>815</v>
      </c>
    </row>
    <row r="536" customFormat="false" ht="15" hidden="false" customHeight="false" outlineLevel="0" collapsed="false">
      <c r="A536" s="78" t="s">
        <v>214</v>
      </c>
      <c r="B536" s="78" t="s">
        <v>276</v>
      </c>
      <c r="C536" s="79" t="n">
        <v>2023</v>
      </c>
      <c r="D536" s="79" t="n">
        <v>3</v>
      </c>
      <c r="E536" s="80" t="n">
        <v>45199</v>
      </c>
      <c r="F536" s="78" t="s">
        <v>253</v>
      </c>
      <c r="G536" s="78" t="s">
        <v>254</v>
      </c>
      <c r="H536" s="78" t="s">
        <v>250</v>
      </c>
      <c r="I536" s="81" t="n">
        <v>315769.11</v>
      </c>
      <c r="J536" s="81" t="n">
        <v>12158.608</v>
      </c>
      <c r="K536" s="81" t="n">
        <v>4582779000</v>
      </c>
      <c r="L536" s="82" t="n">
        <v>1.72</v>
      </c>
      <c r="M536" s="81" t="n">
        <v>2664.5804</v>
      </c>
      <c r="N536" s="81" t="n">
        <v>234500</v>
      </c>
      <c r="O536" s="81" t="n">
        <v>191591.861</v>
      </c>
      <c r="P536" s="82" t="n">
        <v>4.00341673</v>
      </c>
      <c r="Q536" s="82" t="n">
        <v>76.6</v>
      </c>
      <c r="R536" s="47" t="n">
        <v>12</v>
      </c>
      <c r="S536" s="66" t="s">
        <v>816</v>
      </c>
    </row>
    <row r="537" customFormat="false" ht="15" hidden="false" customHeight="false" outlineLevel="0" collapsed="false">
      <c r="A537" s="78" t="s">
        <v>214</v>
      </c>
      <c r="B537" s="78" t="s">
        <v>278</v>
      </c>
      <c r="C537" s="79" t="n">
        <v>2023</v>
      </c>
      <c r="D537" s="79" t="n">
        <v>2</v>
      </c>
      <c r="E537" s="80" t="n">
        <v>45107</v>
      </c>
      <c r="F537" s="78" t="s">
        <v>253</v>
      </c>
      <c r="G537" s="78" t="s">
        <v>254</v>
      </c>
      <c r="H537" s="78" t="s">
        <v>250</v>
      </c>
      <c r="I537" s="81" t="n">
        <v>280708.258</v>
      </c>
      <c r="J537" s="81" t="n">
        <v>10528.651</v>
      </c>
      <c r="K537" s="81" t="n">
        <v>3127407000</v>
      </c>
      <c r="L537" s="82" t="n">
        <v>1.17</v>
      </c>
      <c r="M537" s="81" t="n">
        <v>2666.6484</v>
      </c>
      <c r="N537" s="81" t="n">
        <v>2068038</v>
      </c>
      <c r="O537" s="81" t="n">
        <v>179911.435</v>
      </c>
      <c r="P537" s="82" t="n">
        <v>0</v>
      </c>
      <c r="Q537" s="82" t="n">
        <v>74.8</v>
      </c>
      <c r="R537" s="47" t="n">
        <v>13</v>
      </c>
      <c r="S537" s="66" t="s">
        <v>817</v>
      </c>
    </row>
    <row r="538" customFormat="false" ht="15" hidden="false" customHeight="false" outlineLevel="0" collapsed="false">
      <c r="A538" s="78" t="s">
        <v>214</v>
      </c>
      <c r="B538" s="78" t="s">
        <v>280</v>
      </c>
      <c r="C538" s="79" t="n">
        <v>2023</v>
      </c>
      <c r="D538" s="79" t="n">
        <v>1</v>
      </c>
      <c r="E538" s="80" t="n">
        <v>45016</v>
      </c>
      <c r="F538" s="78" t="s">
        <v>253</v>
      </c>
      <c r="G538" s="78" t="s">
        <v>254</v>
      </c>
      <c r="H538" s="78" t="s">
        <v>250</v>
      </c>
      <c r="I538" s="81" t="n">
        <v>318136.546</v>
      </c>
      <c r="J538" s="81" t="n">
        <v>10363.195</v>
      </c>
      <c r="K538" s="81" t="n">
        <v>3007867000</v>
      </c>
      <c r="L538" s="82" t="n">
        <v>1.13</v>
      </c>
      <c r="M538" s="81" t="n">
        <v>2666.9234</v>
      </c>
      <c r="N538" s="81" t="n">
        <v>275000</v>
      </c>
      <c r="O538" s="81" t="n">
        <v>174530.923</v>
      </c>
      <c r="P538" s="82" t="n">
        <v>0</v>
      </c>
      <c r="Q538" s="82" t="n">
        <v>69.7</v>
      </c>
      <c r="R538" s="47" t="n">
        <v>14</v>
      </c>
      <c r="S538" s="66" t="s">
        <v>818</v>
      </c>
    </row>
    <row r="539" customFormat="false" ht="15" hidden="false" customHeight="false" outlineLevel="0" collapsed="false">
      <c r="A539" s="78" t="s">
        <v>214</v>
      </c>
      <c r="B539" s="78" t="s">
        <v>282</v>
      </c>
      <c r="C539" s="79" t="n">
        <v>2022</v>
      </c>
      <c r="D539" s="79" t="n">
        <v>4</v>
      </c>
      <c r="E539" s="80" t="n">
        <v>44926</v>
      </c>
      <c r="F539" s="78" t="s">
        <v>253</v>
      </c>
      <c r="G539" s="78" t="s">
        <v>254</v>
      </c>
      <c r="H539" s="78" t="s">
        <v>250</v>
      </c>
      <c r="I539" s="81" t="n">
        <v>357250.049</v>
      </c>
      <c r="J539" s="81" t="n">
        <v>15261.083</v>
      </c>
      <c r="K539" s="81" t="n">
        <v>5047404000</v>
      </c>
      <c r="L539" s="82" t="n">
        <v>1.89</v>
      </c>
      <c r="M539" s="81" t="n">
        <v>2667.6337</v>
      </c>
      <c r="N539" s="81" t="n">
        <v>710250</v>
      </c>
      <c r="O539" s="81" t="n">
        <v>182488.565</v>
      </c>
      <c r="P539" s="82" t="n">
        <v>0</v>
      </c>
      <c r="Q539" s="82" t="n">
        <v>63.5</v>
      </c>
      <c r="R539" s="47" t="n">
        <v>15</v>
      </c>
      <c r="S539" s="66" t="s">
        <v>819</v>
      </c>
    </row>
    <row r="540" customFormat="false" ht="15" hidden="false" customHeight="false" outlineLevel="0" collapsed="false">
      <c r="A540" s="78" t="s">
        <v>214</v>
      </c>
      <c r="B540" s="78" t="s">
        <v>284</v>
      </c>
      <c r="C540" s="79" t="n">
        <v>2022</v>
      </c>
      <c r="D540" s="79" t="n">
        <v>3</v>
      </c>
      <c r="E540" s="80" t="n">
        <v>44834</v>
      </c>
      <c r="F540" s="78" t="s">
        <v>253</v>
      </c>
      <c r="G540" s="78" t="s">
        <v>254</v>
      </c>
      <c r="H540" s="78" t="s">
        <v>250</v>
      </c>
      <c r="I540" s="81" t="n">
        <v>352867.049</v>
      </c>
      <c r="J540" s="81" t="n">
        <v>16074.071</v>
      </c>
      <c r="K540" s="81" t="n">
        <v>5265446000</v>
      </c>
      <c r="L540" s="82" t="n">
        <v>1.97</v>
      </c>
      <c r="M540" s="81" t="n">
        <v>2667.9264</v>
      </c>
      <c r="N540" s="81" t="n">
        <v>292750</v>
      </c>
      <c r="O540" s="81" t="n">
        <v>182218.791</v>
      </c>
      <c r="P540" s="82" t="n">
        <v>0</v>
      </c>
      <c r="Q540" s="82" t="n">
        <v>58.5</v>
      </c>
      <c r="R540" s="47" t="n">
        <v>16</v>
      </c>
      <c r="S540" s="66" t="s">
        <v>820</v>
      </c>
    </row>
    <row r="541" customFormat="false" ht="15" hidden="false" customHeight="false" outlineLevel="0" collapsed="false">
      <c r="A541" s="78" t="s">
        <v>214</v>
      </c>
      <c r="B541" s="78" t="s">
        <v>286</v>
      </c>
      <c r="C541" s="79" t="n">
        <v>2022</v>
      </c>
      <c r="D541" s="79" t="n">
        <v>2</v>
      </c>
      <c r="E541" s="80" t="n">
        <v>44742</v>
      </c>
      <c r="F541" s="78" t="s">
        <v>253</v>
      </c>
      <c r="G541" s="78" t="s">
        <v>254</v>
      </c>
      <c r="H541" s="78" t="s">
        <v>250</v>
      </c>
      <c r="I541" s="81" t="n">
        <v>283657.517</v>
      </c>
      <c r="J541" s="81" t="n">
        <v>14493.628</v>
      </c>
      <c r="K541" s="81" t="n">
        <v>3115905000</v>
      </c>
      <c r="L541" s="82" t="n">
        <v>1.17</v>
      </c>
      <c r="M541" s="81" t="n">
        <v>2668.4533</v>
      </c>
      <c r="N541" s="81" t="n">
        <v>526915</v>
      </c>
      <c r="O541" s="81" t="n">
        <v>167452.697</v>
      </c>
      <c r="P541" s="82" t="n">
        <v>5.00137591</v>
      </c>
      <c r="Q541" s="82" t="n">
        <v>57</v>
      </c>
      <c r="R541" s="47" t="n">
        <v>17</v>
      </c>
      <c r="S541" s="66" t="s">
        <v>821</v>
      </c>
    </row>
    <row r="542" customFormat="false" ht="15" hidden="false" customHeight="false" outlineLevel="0" collapsed="false">
      <c r="A542" s="78" t="s">
        <v>214</v>
      </c>
      <c r="B542" s="78" t="s">
        <v>288</v>
      </c>
      <c r="C542" s="79" t="n">
        <v>2022</v>
      </c>
      <c r="D542" s="79" t="n">
        <v>1</v>
      </c>
      <c r="E542" s="80" t="n">
        <v>44651</v>
      </c>
      <c r="F542" s="78" t="s">
        <v>253</v>
      </c>
      <c r="G542" s="78" t="s">
        <v>254</v>
      </c>
      <c r="H542" s="78" t="s">
        <v>250</v>
      </c>
      <c r="I542" s="81" t="n">
        <v>323824.539</v>
      </c>
      <c r="J542" s="81" t="n">
        <v>11454.638</v>
      </c>
      <c r="K542" s="81" t="n">
        <v>1667425000</v>
      </c>
      <c r="L542" s="82" t="n">
        <v>0.62</v>
      </c>
      <c r="M542" s="81" t="n">
        <v>2668.8758</v>
      </c>
      <c r="N542" s="81" t="n">
        <v>422500</v>
      </c>
      <c r="O542" s="81" t="n">
        <v>160588.983</v>
      </c>
      <c r="P542" s="82" t="n">
        <v>0</v>
      </c>
      <c r="Q542" s="82" t="n">
        <v>72.4</v>
      </c>
      <c r="R542" s="47" t="n">
        <v>18</v>
      </c>
      <c r="S542" s="66" t="s">
        <v>822</v>
      </c>
    </row>
    <row r="543" customFormat="false" ht="15" hidden="false" customHeight="false" outlineLevel="0" collapsed="false">
      <c r="A543" s="78" t="s">
        <v>214</v>
      </c>
      <c r="B543" s="78" t="s">
        <v>290</v>
      </c>
      <c r="C543" s="79" t="n">
        <v>2021</v>
      </c>
      <c r="D543" s="79" t="n">
        <v>4</v>
      </c>
      <c r="E543" s="80" t="n">
        <v>44561</v>
      </c>
      <c r="F543" s="78" t="s">
        <v>253</v>
      </c>
      <c r="G543" s="78" t="s">
        <v>254</v>
      </c>
      <c r="H543" s="78" t="s">
        <v>250</v>
      </c>
      <c r="I543" s="81" t="n">
        <v>452022.038</v>
      </c>
      <c r="J543" s="81" t="n">
        <v>15858.077</v>
      </c>
      <c r="K543" s="81" t="n">
        <v>7861002000</v>
      </c>
      <c r="L543" s="82" t="n">
        <v>2.95</v>
      </c>
      <c r="M543" s="81" t="n">
        <v>2669.1316</v>
      </c>
      <c r="N543" s="81" t="n">
        <v>255750</v>
      </c>
      <c r="O543" s="81" t="n">
        <v>166604.545</v>
      </c>
      <c r="P543" s="82" t="n">
        <v>0</v>
      </c>
      <c r="Q543" s="82" t="n">
        <v>69.1</v>
      </c>
      <c r="R543" s="47" t="n">
        <v>19</v>
      </c>
      <c r="S543" s="66" t="s">
        <v>823</v>
      </c>
    </row>
    <row r="544" customFormat="false" ht="15" hidden="false" customHeight="false" outlineLevel="0" collapsed="false">
      <c r="A544" s="78" t="s">
        <v>214</v>
      </c>
      <c r="B544" s="78" t="s">
        <v>292</v>
      </c>
      <c r="C544" s="79" t="n">
        <v>2021</v>
      </c>
      <c r="D544" s="79" t="n">
        <v>3</v>
      </c>
      <c r="E544" s="80" t="n">
        <v>44469</v>
      </c>
      <c r="F544" s="78" t="s">
        <v>253</v>
      </c>
      <c r="G544" s="78" t="s">
        <v>254</v>
      </c>
      <c r="H544" s="78" t="s">
        <v>250</v>
      </c>
      <c r="I544" s="81" t="n">
        <v>322799.637</v>
      </c>
      <c r="J544" s="81" t="n">
        <v>11766.426</v>
      </c>
      <c r="K544" s="81" t="n">
        <v>2668376000</v>
      </c>
      <c r="L544" s="82" t="n">
        <v>1</v>
      </c>
      <c r="M544" s="81" t="n">
        <v>2669.5311</v>
      </c>
      <c r="N544" s="81" t="n">
        <v>399500</v>
      </c>
      <c r="O544" s="81" t="n">
        <v>158630.073</v>
      </c>
      <c r="P544" s="82" t="n">
        <v>0</v>
      </c>
      <c r="Q544" s="82" t="n">
        <v>67</v>
      </c>
      <c r="R544" s="47" t="n">
        <v>20</v>
      </c>
      <c r="S544" s="66" t="s">
        <v>824</v>
      </c>
    </row>
    <row r="545" customFormat="false" ht="15" hidden="false" customHeight="false" outlineLevel="0" collapsed="false">
      <c r="A545" s="78" t="s">
        <v>214</v>
      </c>
      <c r="B545" s="78" t="s">
        <v>294</v>
      </c>
      <c r="C545" s="79" t="n">
        <v>2021</v>
      </c>
      <c r="D545" s="79" t="n">
        <v>2</v>
      </c>
      <c r="E545" s="80" t="n">
        <v>44377</v>
      </c>
      <c r="F545" s="78" t="s">
        <v>253</v>
      </c>
      <c r="G545" s="78" t="s">
        <v>254</v>
      </c>
      <c r="H545" s="78" t="s">
        <v>250</v>
      </c>
      <c r="I545" s="81" t="n">
        <v>272276.88</v>
      </c>
      <c r="J545" s="81" t="n">
        <v>9711.241</v>
      </c>
      <c r="K545" s="81" t="n">
        <v>5343765000</v>
      </c>
      <c r="L545" s="82" t="n">
        <v>2.01</v>
      </c>
      <c r="M545" s="81" t="n">
        <v>2670.3617</v>
      </c>
      <c r="N545" s="81" t="n">
        <v>830600</v>
      </c>
      <c r="O545" s="81" t="n">
        <v>155804.407</v>
      </c>
      <c r="P545" s="82" t="n">
        <v>4.48877769</v>
      </c>
      <c r="Q545" s="82" t="n">
        <v>68.8</v>
      </c>
      <c r="R545" s="47" t="n">
        <v>21</v>
      </c>
      <c r="S545" s="66" t="s">
        <v>825</v>
      </c>
    </row>
    <row r="546" customFormat="false" ht="15" hidden="false" customHeight="false" outlineLevel="0" collapsed="false">
      <c r="A546" s="78" t="s">
        <v>214</v>
      </c>
      <c r="B546" s="78" t="s">
        <v>296</v>
      </c>
      <c r="C546" s="79" t="n">
        <v>2021</v>
      </c>
      <c r="D546" s="79" t="n">
        <v>1</v>
      </c>
      <c r="E546" s="80" t="n">
        <v>44286</v>
      </c>
      <c r="F546" s="78" t="s">
        <v>253</v>
      </c>
      <c r="G546" s="78" t="s">
        <v>254</v>
      </c>
      <c r="H546" s="78" t="s">
        <v>250</v>
      </c>
      <c r="I546" s="81" t="n">
        <v>216621.627</v>
      </c>
      <c r="J546" s="81" t="n">
        <v>9237.624</v>
      </c>
      <c r="K546" s="81" t="n">
        <v>4672500000</v>
      </c>
      <c r="L546" s="82" t="n">
        <v>1.75</v>
      </c>
      <c r="M546" s="81" t="n">
        <v>2662.8737</v>
      </c>
      <c r="N546" s="81" t="n">
        <v>86000</v>
      </c>
      <c r="O546" s="81" t="n">
        <v>153070.569</v>
      </c>
      <c r="P546" s="82" t="n">
        <v>0</v>
      </c>
      <c r="Q546" s="82" t="n">
        <v>74.1</v>
      </c>
      <c r="R546" s="47" t="n">
        <v>22</v>
      </c>
      <c r="S546" s="66" t="s">
        <v>826</v>
      </c>
    </row>
    <row r="547" customFormat="false" ht="15" hidden="false" customHeight="false" outlineLevel="0" collapsed="false">
      <c r="A547" s="78" t="s">
        <v>214</v>
      </c>
      <c r="B547" s="78" t="s">
        <v>298</v>
      </c>
      <c r="C547" s="79" t="n">
        <v>2020</v>
      </c>
      <c r="D547" s="79" t="n">
        <v>4</v>
      </c>
      <c r="E547" s="80" t="n">
        <v>44196</v>
      </c>
      <c r="F547" s="78" t="s">
        <v>253</v>
      </c>
      <c r="G547" s="78" t="s">
        <v>254</v>
      </c>
      <c r="H547" s="78" t="s">
        <v>250</v>
      </c>
      <c r="I547" s="81" t="n">
        <v>457375.71</v>
      </c>
      <c r="J547" s="81" t="n">
        <v>15179.52</v>
      </c>
      <c r="K547" s="81" t="n">
        <v>4771499000</v>
      </c>
      <c r="L547" s="82" t="n">
        <v>1.82</v>
      </c>
      <c r="M547" s="81" t="n">
        <v>2662.8737</v>
      </c>
      <c r="N547" s="81" t="n">
        <v>0</v>
      </c>
      <c r="O547" s="81" t="n">
        <v>162594.581</v>
      </c>
      <c r="P547" s="82" t="n">
        <v>0</v>
      </c>
      <c r="Q547" s="82" t="n">
        <v>67.3</v>
      </c>
      <c r="R547" s="47" t="n">
        <v>23</v>
      </c>
      <c r="S547" s="66" t="s">
        <v>827</v>
      </c>
    </row>
    <row r="548" customFormat="false" ht="15" hidden="false" customHeight="false" outlineLevel="0" collapsed="false">
      <c r="A548" s="78" t="s">
        <v>214</v>
      </c>
      <c r="B548" s="78" t="s">
        <v>300</v>
      </c>
      <c r="C548" s="79" t="n">
        <v>2020</v>
      </c>
      <c r="D548" s="79" t="n">
        <v>3</v>
      </c>
      <c r="E548" s="80" t="n">
        <v>44104</v>
      </c>
      <c r="F548" s="78" t="s">
        <v>253</v>
      </c>
      <c r="G548" s="78" t="s">
        <v>254</v>
      </c>
      <c r="H548" s="78" t="s">
        <v>250</v>
      </c>
      <c r="I548" s="81" t="n">
        <v>335636.087</v>
      </c>
      <c r="J548" s="81" t="n">
        <v>13934.493</v>
      </c>
      <c r="K548" s="81" t="n">
        <v>6817483000</v>
      </c>
      <c r="L548" s="82" t="n">
        <v>2.61</v>
      </c>
      <c r="M548" s="81" t="n">
        <v>2610.511</v>
      </c>
      <c r="N548" s="81" t="n">
        <v>48400</v>
      </c>
      <c r="O548" s="81" t="n">
        <v>159022.194</v>
      </c>
      <c r="P548" s="82"/>
      <c r="Q548" s="82" t="n">
        <v>63.8</v>
      </c>
      <c r="R548" s="47" t="n">
        <v>24</v>
      </c>
      <c r="S548" s="66" t="s">
        <v>828</v>
      </c>
    </row>
    <row r="549" customFormat="false" ht="15" hidden="false" customHeight="false" outlineLevel="0" collapsed="false">
      <c r="A549" s="78" t="s">
        <v>220</v>
      </c>
      <c r="B549" s="78" t="s">
        <v>247</v>
      </c>
      <c r="C549" s="79" t="n">
        <v>2026</v>
      </c>
      <c r="D549" s="79" t="n">
        <v>3</v>
      </c>
      <c r="E549" s="80" t="n">
        <v>46295</v>
      </c>
      <c r="F549" s="78" t="s">
        <v>248</v>
      </c>
      <c r="G549" s="78" t="s">
        <v>249</v>
      </c>
      <c r="H549" s="78" t="s">
        <v>250</v>
      </c>
      <c r="I549" s="81"/>
      <c r="J549" s="81"/>
      <c r="K549" s="81"/>
      <c r="L549" s="82" t="n">
        <v>2.18</v>
      </c>
      <c r="M549" s="81"/>
      <c r="N549" s="81"/>
      <c r="O549" s="81"/>
      <c r="P549" s="82"/>
      <c r="Q549" s="82"/>
      <c r="R549" s="47" t="n">
        <v>0</v>
      </c>
      <c r="S549" s="66" t="s">
        <v>829</v>
      </c>
    </row>
    <row r="550" customFormat="false" ht="15" hidden="false" customHeight="false" outlineLevel="0" collapsed="false">
      <c r="A550" s="78" t="s">
        <v>220</v>
      </c>
      <c r="B550" s="78" t="s">
        <v>252</v>
      </c>
      <c r="C550" s="79" t="n">
        <v>2026</v>
      </c>
      <c r="D550" s="79" t="n">
        <v>2</v>
      </c>
      <c r="E550" s="80" t="n">
        <v>46203</v>
      </c>
      <c r="F550" s="78" t="s">
        <v>253</v>
      </c>
      <c r="G550" s="78" t="s">
        <v>254</v>
      </c>
      <c r="H550" s="78" t="s">
        <v>250</v>
      </c>
      <c r="I550" s="81" t="n">
        <v>1289.108</v>
      </c>
      <c r="J550" s="81" t="n">
        <v>289.327</v>
      </c>
      <c r="K550" s="81" t="n">
        <v>184253000</v>
      </c>
      <c r="L550" s="82" t="n">
        <v>1.29</v>
      </c>
      <c r="M550" s="81" t="n">
        <v>142.3593</v>
      </c>
      <c r="N550" s="81" t="n">
        <v>0</v>
      </c>
      <c r="O550" s="81" t="n">
        <v>4452.14</v>
      </c>
      <c r="P550" s="82" t="n">
        <v>0</v>
      </c>
      <c r="Q550" s="82" t="n">
        <v>474</v>
      </c>
      <c r="R550" s="47" t="n">
        <v>1</v>
      </c>
      <c r="S550" s="66" t="s">
        <v>830</v>
      </c>
    </row>
    <row r="551" customFormat="false" ht="15" hidden="false" customHeight="false" outlineLevel="0" collapsed="false">
      <c r="A551" s="78" t="s">
        <v>220</v>
      </c>
      <c r="B551" s="78" t="s">
        <v>256</v>
      </c>
      <c r="C551" s="79" t="n">
        <v>2026</v>
      </c>
      <c r="D551" s="79" t="n">
        <v>1</v>
      </c>
      <c r="E551" s="80" t="n">
        <v>46112</v>
      </c>
      <c r="F551" s="78" t="s">
        <v>253</v>
      </c>
      <c r="G551" s="78" t="s">
        <v>254</v>
      </c>
      <c r="H551" s="78" t="s">
        <v>250</v>
      </c>
      <c r="I551" s="81" t="n">
        <v>1193.478</v>
      </c>
      <c r="J551" s="81" t="n">
        <v>303.353</v>
      </c>
      <c r="K551" s="81" t="n">
        <v>229653000</v>
      </c>
      <c r="L551" s="82" t="n">
        <v>1.62</v>
      </c>
      <c r="M551" s="81" t="n">
        <v>141.0563</v>
      </c>
      <c r="N551" s="81" t="n">
        <v>0</v>
      </c>
      <c r="O551" s="81" t="n">
        <v>4133.258</v>
      </c>
      <c r="P551" s="82" t="n">
        <v>0</v>
      </c>
      <c r="Q551" s="82" t="n">
        <v>341.5</v>
      </c>
      <c r="R551" s="47" t="n">
        <v>2</v>
      </c>
      <c r="S551" s="66" t="s">
        <v>831</v>
      </c>
    </row>
    <row r="552" customFormat="false" ht="15" hidden="false" customHeight="false" outlineLevel="0" collapsed="false">
      <c r="A552" s="78" t="s">
        <v>220</v>
      </c>
      <c r="B552" s="78" t="s">
        <v>258</v>
      </c>
      <c r="C552" s="79" t="n">
        <v>2025</v>
      </c>
      <c r="D552" s="79" t="n">
        <v>4</v>
      </c>
      <c r="E552" s="80" t="n">
        <v>46022</v>
      </c>
      <c r="F552" s="78" t="s">
        <v>253</v>
      </c>
      <c r="G552" s="78" t="s">
        <v>254</v>
      </c>
      <c r="H552" s="78" t="s">
        <v>250</v>
      </c>
      <c r="I552" s="81" t="n">
        <v>1154.36</v>
      </c>
      <c r="J552" s="81" t="n">
        <v>265.774</v>
      </c>
      <c r="K552" s="81" t="n">
        <v>238473000</v>
      </c>
      <c r="L552" s="82" t="n">
        <v>1.7</v>
      </c>
      <c r="M552" s="81" t="n">
        <v>140.8398</v>
      </c>
      <c r="N552" s="81" t="n">
        <v>0</v>
      </c>
      <c r="O552" s="81" t="n">
        <v>3979.359</v>
      </c>
      <c r="P552" s="82" t="n">
        <v>0</v>
      </c>
      <c r="Q552" s="82" t="n">
        <v>325.5</v>
      </c>
      <c r="R552" s="47" t="n">
        <v>3</v>
      </c>
      <c r="S552" s="66" t="s">
        <v>832</v>
      </c>
    </row>
    <row r="553" customFormat="false" ht="15" hidden="false" customHeight="false" outlineLevel="0" collapsed="false">
      <c r="A553" s="78" t="s">
        <v>220</v>
      </c>
      <c r="B553" s="78" t="s">
        <v>260</v>
      </c>
      <c r="C553" s="79" t="n">
        <v>2025</v>
      </c>
      <c r="D553" s="79" t="n">
        <v>3</v>
      </c>
      <c r="E553" s="80" t="n">
        <v>45930</v>
      </c>
      <c r="F553" s="78" t="s">
        <v>253</v>
      </c>
      <c r="G553" s="78" t="s">
        <v>254</v>
      </c>
      <c r="H553" s="78" t="s">
        <v>250</v>
      </c>
      <c r="I553" s="81" t="n">
        <v>1076.094</v>
      </c>
      <c r="J553" s="81" t="n">
        <v>226.869</v>
      </c>
      <c r="K553" s="81" t="n">
        <v>217711000</v>
      </c>
      <c r="L553" s="82" t="n">
        <v>1.54</v>
      </c>
      <c r="M553" s="81" t="n">
        <v>140.8398</v>
      </c>
      <c r="N553" s="81" t="n">
        <v>0</v>
      </c>
      <c r="O553" s="81" t="n">
        <v>3686.078</v>
      </c>
      <c r="P553" s="82" t="n">
        <v>1.54463283</v>
      </c>
      <c r="Q553" s="82" t="n">
        <v>216</v>
      </c>
      <c r="R553" s="47" t="n">
        <v>4</v>
      </c>
      <c r="S553" s="66" t="s">
        <v>833</v>
      </c>
    </row>
    <row r="554" customFormat="false" ht="15" hidden="false" customHeight="false" outlineLevel="0" collapsed="false">
      <c r="A554" s="78" t="s">
        <v>220</v>
      </c>
      <c r="B554" s="78" t="s">
        <v>262</v>
      </c>
      <c r="C554" s="79" t="n">
        <v>2025</v>
      </c>
      <c r="D554" s="79" t="n">
        <v>2</v>
      </c>
      <c r="E554" s="80" t="n">
        <v>45838</v>
      </c>
      <c r="F554" s="78" t="s">
        <v>253</v>
      </c>
      <c r="G554" s="78" t="s">
        <v>254</v>
      </c>
      <c r="H554" s="78" t="s">
        <v>250</v>
      </c>
      <c r="I554" s="81" t="n">
        <v>1087.486</v>
      </c>
      <c r="J554" s="81" t="n">
        <v>188.391</v>
      </c>
      <c r="K554" s="81" t="n">
        <v>94615000</v>
      </c>
      <c r="L554" s="82" t="n">
        <v>0.67</v>
      </c>
      <c r="M554" s="81" t="n">
        <v>140.8398</v>
      </c>
      <c r="N554" s="81" t="n">
        <v>0</v>
      </c>
      <c r="O554" s="81" t="n">
        <v>3448.591</v>
      </c>
      <c r="P554" s="82" t="n">
        <v>0</v>
      </c>
      <c r="Q554" s="82" t="n">
        <v>180</v>
      </c>
      <c r="R554" s="47" t="n">
        <v>5</v>
      </c>
      <c r="S554" s="66" t="s">
        <v>834</v>
      </c>
    </row>
    <row r="555" customFormat="false" ht="15" hidden="false" customHeight="false" outlineLevel="0" collapsed="false">
      <c r="A555" s="78" t="s">
        <v>220</v>
      </c>
      <c r="B555" s="78" t="s">
        <v>264</v>
      </c>
      <c r="C555" s="79" t="n">
        <v>2025</v>
      </c>
      <c r="D555" s="79" t="n">
        <v>1</v>
      </c>
      <c r="E555" s="80" t="n">
        <v>45747</v>
      </c>
      <c r="F555" s="78" t="s">
        <v>253</v>
      </c>
      <c r="G555" s="78" t="s">
        <v>254</v>
      </c>
      <c r="H555" s="78" t="s">
        <v>250</v>
      </c>
      <c r="I555" s="81" t="n">
        <v>1066.906</v>
      </c>
      <c r="J555" s="81" t="n">
        <v>239.605</v>
      </c>
      <c r="K555" s="81" t="n">
        <v>213446000</v>
      </c>
      <c r="L555" s="82" t="n">
        <v>1.52</v>
      </c>
      <c r="M555" s="81" t="n">
        <v>140.8398</v>
      </c>
      <c r="N555" s="81" t="n">
        <v>0</v>
      </c>
      <c r="O555" s="81" t="n">
        <v>3368.145</v>
      </c>
      <c r="P555" s="82" t="n">
        <v>0</v>
      </c>
      <c r="Q555" s="82" t="n">
        <v>168.5</v>
      </c>
      <c r="R555" s="47" t="n">
        <v>6</v>
      </c>
      <c r="S555" s="66" t="s">
        <v>835</v>
      </c>
    </row>
    <row r="556" customFormat="false" ht="15" hidden="false" customHeight="false" outlineLevel="0" collapsed="false">
      <c r="A556" s="78" t="s">
        <v>220</v>
      </c>
      <c r="B556" s="78" t="s">
        <v>266</v>
      </c>
      <c r="C556" s="79" t="n">
        <v>2024</v>
      </c>
      <c r="D556" s="79" t="n">
        <v>4</v>
      </c>
      <c r="E556" s="80" t="n">
        <v>45657</v>
      </c>
      <c r="F556" s="78" t="s">
        <v>253</v>
      </c>
      <c r="G556" s="78" t="s">
        <v>254</v>
      </c>
      <c r="H556" s="78" t="s">
        <v>250</v>
      </c>
      <c r="I556" s="81" t="n">
        <v>1048.11</v>
      </c>
      <c r="J556" s="81" t="n">
        <v>180.996</v>
      </c>
      <c r="K556" s="81" t="n">
        <v>151886000</v>
      </c>
      <c r="L556" s="82" t="n">
        <v>1.08</v>
      </c>
      <c r="M556" s="81" t="n">
        <v>140.8398</v>
      </c>
      <c r="N556" s="81" t="n">
        <v>0</v>
      </c>
      <c r="O556" s="81" t="n">
        <v>3398.123</v>
      </c>
      <c r="P556" s="82" t="n">
        <v>0</v>
      </c>
      <c r="Q556" s="82" t="n">
        <v>188</v>
      </c>
      <c r="R556" s="47" t="n">
        <v>7</v>
      </c>
      <c r="S556" s="66" t="s">
        <v>836</v>
      </c>
    </row>
    <row r="557" customFormat="false" ht="15" hidden="false" customHeight="false" outlineLevel="0" collapsed="false">
      <c r="A557" s="78" t="s">
        <v>220</v>
      </c>
      <c r="B557" s="78" t="s">
        <v>268</v>
      </c>
      <c r="C557" s="79" t="n">
        <v>2024</v>
      </c>
      <c r="D557" s="79" t="n">
        <v>3</v>
      </c>
      <c r="E557" s="80" t="n">
        <v>45565</v>
      </c>
      <c r="F557" s="78" t="s">
        <v>253</v>
      </c>
      <c r="G557" s="78" t="s">
        <v>254</v>
      </c>
      <c r="H557" s="78" t="s">
        <v>250</v>
      </c>
      <c r="I557" s="81" t="n">
        <v>945.631</v>
      </c>
      <c r="J557" s="81" t="n">
        <v>173.328</v>
      </c>
      <c r="K557" s="81" t="n">
        <v>137872000</v>
      </c>
      <c r="L557" s="82" t="n">
        <v>0.98</v>
      </c>
      <c r="M557" s="81" t="n">
        <v>140.8398</v>
      </c>
      <c r="N557" s="81" t="n">
        <v>0</v>
      </c>
      <c r="O557" s="81" t="n">
        <v>3171.07</v>
      </c>
      <c r="P557" s="82" t="n">
        <v>1.43000433</v>
      </c>
      <c r="Q557" s="82" t="n">
        <v>144.5</v>
      </c>
      <c r="R557" s="47" t="n">
        <v>8</v>
      </c>
      <c r="S557" s="66" t="s">
        <v>837</v>
      </c>
    </row>
    <row r="558" customFormat="false" ht="15" hidden="false" customHeight="false" outlineLevel="0" collapsed="false">
      <c r="A558" s="78" t="s">
        <v>220</v>
      </c>
      <c r="B558" s="78" t="s">
        <v>270</v>
      </c>
      <c r="C558" s="79" t="n">
        <v>2024</v>
      </c>
      <c r="D558" s="79" t="n">
        <v>2</v>
      </c>
      <c r="E558" s="80" t="n">
        <v>45473</v>
      </c>
      <c r="F558" s="78" t="s">
        <v>253</v>
      </c>
      <c r="G558" s="78" t="s">
        <v>254</v>
      </c>
      <c r="H558" s="78" t="s">
        <v>250</v>
      </c>
      <c r="I558" s="81" t="n">
        <v>801.268</v>
      </c>
      <c r="J558" s="81" t="n">
        <v>158.772</v>
      </c>
      <c r="K558" s="81" t="n">
        <v>139418000</v>
      </c>
      <c r="L558" s="82" t="n">
        <v>0.99</v>
      </c>
      <c r="M558" s="81" t="n">
        <v>140.8398</v>
      </c>
      <c r="N558" s="81" t="n">
        <v>0</v>
      </c>
      <c r="O558" s="81" t="n">
        <v>3047.143</v>
      </c>
      <c r="P558" s="82" t="n">
        <v>0</v>
      </c>
      <c r="Q558" s="82" t="n">
        <v>126.5</v>
      </c>
      <c r="R558" s="47" t="n">
        <v>9</v>
      </c>
      <c r="S558" s="66" t="s">
        <v>838</v>
      </c>
    </row>
    <row r="559" customFormat="false" ht="15" hidden="false" customHeight="false" outlineLevel="0" collapsed="false">
      <c r="A559" s="78" t="s">
        <v>220</v>
      </c>
      <c r="B559" s="78" t="s">
        <v>272</v>
      </c>
      <c r="C559" s="79" t="n">
        <v>2024</v>
      </c>
      <c r="D559" s="79" t="n">
        <v>1</v>
      </c>
      <c r="E559" s="80" t="n">
        <v>45382</v>
      </c>
      <c r="F559" s="78" t="s">
        <v>253</v>
      </c>
      <c r="G559" s="78" t="s">
        <v>254</v>
      </c>
      <c r="H559" s="78" t="s">
        <v>250</v>
      </c>
      <c r="I559" s="81" t="n">
        <v>656.034</v>
      </c>
      <c r="J559" s="81" t="n">
        <v>118.692</v>
      </c>
      <c r="K559" s="81" t="n">
        <v>104077000</v>
      </c>
      <c r="L559" s="82" t="n">
        <v>0.74</v>
      </c>
      <c r="M559" s="81" t="n">
        <v>140.8398</v>
      </c>
      <c r="N559" s="81" t="n">
        <v>0</v>
      </c>
      <c r="O559" s="81" t="n">
        <v>2870.506</v>
      </c>
      <c r="P559" s="82" t="n">
        <v>0</v>
      </c>
      <c r="Q559" s="82" t="n">
        <v>124</v>
      </c>
      <c r="R559" s="47" t="n">
        <v>10</v>
      </c>
      <c r="S559" s="66" t="s">
        <v>839</v>
      </c>
    </row>
    <row r="560" customFormat="false" ht="15" hidden="false" customHeight="false" outlineLevel="0" collapsed="false">
      <c r="A560" s="78" t="s">
        <v>220</v>
      </c>
      <c r="B560" s="78" t="s">
        <v>274</v>
      </c>
      <c r="C560" s="79" t="n">
        <v>2023</v>
      </c>
      <c r="D560" s="79" t="n">
        <v>4</v>
      </c>
      <c r="E560" s="80" t="n">
        <v>45291</v>
      </c>
      <c r="F560" s="78" t="s">
        <v>253</v>
      </c>
      <c r="G560" s="78" t="s">
        <v>254</v>
      </c>
      <c r="H560" s="78" t="s">
        <v>250</v>
      </c>
      <c r="I560" s="81" t="n">
        <v>1011.764</v>
      </c>
      <c r="J560" s="81" t="n">
        <v>207.797</v>
      </c>
      <c r="K560" s="81" t="n">
        <v>155244000</v>
      </c>
      <c r="L560" s="82" t="n">
        <v>1.17</v>
      </c>
      <c r="M560" s="81" t="n">
        <v>140.8398</v>
      </c>
      <c r="N560" s="81" t="n">
        <v>0</v>
      </c>
      <c r="O560" s="81" t="n">
        <v>3035.986</v>
      </c>
      <c r="P560" s="82" t="n">
        <v>0</v>
      </c>
      <c r="Q560" s="82" t="n">
        <v>144</v>
      </c>
      <c r="R560" s="47" t="n">
        <v>11</v>
      </c>
      <c r="S560" s="66" t="s">
        <v>840</v>
      </c>
    </row>
    <row r="561" customFormat="false" ht="15" hidden="false" customHeight="false" outlineLevel="0" collapsed="false">
      <c r="A561" s="78" t="s">
        <v>220</v>
      </c>
      <c r="B561" s="78" t="s">
        <v>276</v>
      </c>
      <c r="C561" s="79" t="n">
        <v>2023</v>
      </c>
      <c r="D561" s="79" t="n">
        <v>3</v>
      </c>
      <c r="E561" s="80" t="n">
        <v>45199</v>
      </c>
      <c r="F561" s="78" t="s">
        <v>253</v>
      </c>
      <c r="G561" s="78" t="s">
        <v>254</v>
      </c>
      <c r="H561" s="78" t="s">
        <v>250</v>
      </c>
      <c r="I561" s="81" t="n">
        <v>879.88</v>
      </c>
      <c r="J561" s="81" t="n">
        <v>183.576</v>
      </c>
      <c r="K561" s="81" t="n">
        <v>164898000</v>
      </c>
      <c r="L561" s="82" t="n">
        <v>1.25</v>
      </c>
      <c r="M561" s="81" t="n">
        <v>132.3398</v>
      </c>
      <c r="N561" s="81" t="n">
        <v>0</v>
      </c>
      <c r="O561" s="81" t="n">
        <v>1738.528</v>
      </c>
      <c r="P561" s="82" t="n">
        <v>0.05930807</v>
      </c>
      <c r="Q561" s="82" t="n">
        <v>143</v>
      </c>
      <c r="R561" s="47" t="n">
        <v>12</v>
      </c>
      <c r="S561" s="66" t="s">
        <v>841</v>
      </c>
    </row>
    <row r="562" customFormat="false" ht="15" hidden="false" customHeight="false" outlineLevel="0" collapsed="false">
      <c r="A562" s="78" t="s">
        <v>220</v>
      </c>
      <c r="B562" s="78" t="s">
        <v>278</v>
      </c>
      <c r="C562" s="79" t="n">
        <v>2023</v>
      </c>
      <c r="D562" s="79" t="n">
        <v>2</v>
      </c>
      <c r="E562" s="80" t="n">
        <v>45107</v>
      </c>
      <c r="F562" s="78" t="s">
        <v>253</v>
      </c>
      <c r="G562" s="78" t="s">
        <v>254</v>
      </c>
      <c r="H562" s="78" t="s">
        <v>250</v>
      </c>
      <c r="I562" s="81" t="n">
        <v>577.923</v>
      </c>
      <c r="J562" s="81" t="n">
        <v>110.407</v>
      </c>
      <c r="K562" s="81" t="n">
        <v>82084000</v>
      </c>
      <c r="L562" s="82" t="n">
        <v>0.62</v>
      </c>
      <c r="M562" s="81" t="n">
        <v>132.3398</v>
      </c>
      <c r="N562" s="81" t="n">
        <v>0</v>
      </c>
      <c r="O562" s="81" t="n">
        <v>1580.342</v>
      </c>
      <c r="P562" s="82" t="n">
        <v>0</v>
      </c>
      <c r="Q562" s="82" t="n">
        <v>104.5</v>
      </c>
      <c r="R562" s="47" t="n">
        <v>13</v>
      </c>
      <c r="S562" s="66" t="s">
        <v>842</v>
      </c>
    </row>
    <row r="563" customFormat="false" ht="15" hidden="false" customHeight="false" outlineLevel="0" collapsed="false">
      <c r="A563" s="78" t="s">
        <v>220</v>
      </c>
      <c r="B563" s="78" t="s">
        <v>280</v>
      </c>
      <c r="C563" s="79" t="n">
        <v>2023</v>
      </c>
      <c r="D563" s="79" t="n">
        <v>1</v>
      </c>
      <c r="E563" s="80" t="n">
        <v>45016</v>
      </c>
      <c r="F563" s="78" t="s">
        <v>253</v>
      </c>
      <c r="G563" s="78" t="s">
        <v>254</v>
      </c>
      <c r="H563" s="78" t="s">
        <v>250</v>
      </c>
      <c r="I563" s="81" t="n">
        <v>486.92</v>
      </c>
      <c r="J563" s="81" t="n">
        <v>71.97</v>
      </c>
      <c r="K563" s="81" t="n">
        <v>40162000</v>
      </c>
      <c r="L563" s="82" t="n">
        <v>0.3</v>
      </c>
      <c r="M563" s="81" t="n">
        <v>132.3398</v>
      </c>
      <c r="N563" s="81" t="n">
        <v>0</v>
      </c>
      <c r="O563" s="81" t="n">
        <v>1496.91</v>
      </c>
      <c r="P563" s="82" t="n">
        <v>0</v>
      </c>
      <c r="Q563" s="82" t="n">
        <v>51.5</v>
      </c>
      <c r="R563" s="47" t="n">
        <v>14</v>
      </c>
      <c r="S563" s="66" t="s">
        <v>843</v>
      </c>
    </row>
    <row r="564" customFormat="false" ht="15" hidden="false" customHeight="false" outlineLevel="0" collapsed="false">
      <c r="A564" s="78" t="s">
        <v>220</v>
      </c>
      <c r="B564" s="78" t="s">
        <v>282</v>
      </c>
      <c r="C564" s="79" t="n">
        <v>2022</v>
      </c>
      <c r="D564" s="79" t="n">
        <v>4</v>
      </c>
      <c r="E564" s="80" t="n">
        <v>44926</v>
      </c>
      <c r="F564" s="78" t="s">
        <v>253</v>
      </c>
      <c r="G564" s="78" t="s">
        <v>254</v>
      </c>
      <c r="H564" s="78" t="s">
        <v>250</v>
      </c>
      <c r="I564" s="81" t="n">
        <v>477.125</v>
      </c>
      <c r="J564" s="81" t="n">
        <v>142.678</v>
      </c>
      <c r="K564" s="81" t="n">
        <v>91002000</v>
      </c>
      <c r="L564" s="82" t="n">
        <v>0.69</v>
      </c>
      <c r="M564" s="81" t="n">
        <v>132.3578</v>
      </c>
      <c r="N564" s="81" t="n">
        <v>0</v>
      </c>
      <c r="O564" s="81" t="n">
        <v>1417.018</v>
      </c>
      <c r="P564" s="82" t="n">
        <v>0</v>
      </c>
      <c r="Q564" s="82" t="n">
        <v>39.8</v>
      </c>
      <c r="R564" s="47" t="n">
        <v>15</v>
      </c>
      <c r="S564" s="66" t="s">
        <v>844</v>
      </c>
    </row>
    <row r="565" customFormat="false" ht="15" hidden="false" customHeight="false" outlineLevel="0" collapsed="false">
      <c r="A565" s="78" t="s">
        <v>220</v>
      </c>
      <c r="B565" s="78" t="s">
        <v>284</v>
      </c>
      <c r="C565" s="79" t="n">
        <v>2022</v>
      </c>
      <c r="D565" s="79" t="n">
        <v>3</v>
      </c>
      <c r="E565" s="80" t="n">
        <v>44834</v>
      </c>
      <c r="F565" s="78" t="s">
        <v>253</v>
      </c>
      <c r="G565" s="78" t="s">
        <v>254</v>
      </c>
      <c r="H565" s="78" t="s">
        <v>250</v>
      </c>
      <c r="I565" s="81" t="n">
        <v>342.426</v>
      </c>
      <c r="J565" s="81" t="n">
        <v>113.527</v>
      </c>
      <c r="K565" s="81" t="n">
        <v>98196000</v>
      </c>
      <c r="L565" s="82" t="n">
        <v>0.74</v>
      </c>
      <c r="M565" s="81" t="n">
        <v>132.3578</v>
      </c>
      <c r="N565" s="81" t="n">
        <v>0</v>
      </c>
      <c r="O565" s="81" t="n">
        <v>1355.741</v>
      </c>
      <c r="P565" s="82" t="n">
        <v>0</v>
      </c>
      <c r="Q565" s="82" t="n">
        <v>34.1</v>
      </c>
      <c r="R565" s="47" t="n">
        <v>16</v>
      </c>
      <c r="S565" s="66" t="s">
        <v>845</v>
      </c>
    </row>
    <row r="566" customFormat="false" ht="15" hidden="false" customHeight="false" outlineLevel="0" collapsed="false">
      <c r="A566" s="78" t="s">
        <v>220</v>
      </c>
      <c r="B566" s="78" t="s">
        <v>286</v>
      </c>
      <c r="C566" s="79" t="n">
        <v>2022</v>
      </c>
      <c r="D566" s="79" t="n">
        <v>2</v>
      </c>
      <c r="E566" s="80" t="n">
        <v>44742</v>
      </c>
      <c r="F566" s="78" t="s">
        <v>253</v>
      </c>
      <c r="G566" s="78" t="s">
        <v>254</v>
      </c>
      <c r="H566" s="78" t="s">
        <v>250</v>
      </c>
      <c r="I566" s="81" t="n">
        <v>296.236</v>
      </c>
      <c r="J566" s="81" t="n">
        <v>111.402</v>
      </c>
      <c r="K566" s="81" t="n">
        <v>83390000</v>
      </c>
      <c r="L566" s="82" t="n">
        <v>0.63</v>
      </c>
      <c r="M566" s="81" t="n">
        <v>132.3778</v>
      </c>
      <c r="N566" s="81" t="n">
        <v>0</v>
      </c>
      <c r="O566" s="81" t="n">
        <v>1318.083</v>
      </c>
      <c r="P566" s="82" t="n">
        <v>0</v>
      </c>
      <c r="Q566" s="82" t="n">
        <v>22.6</v>
      </c>
      <c r="R566" s="47" t="n">
        <v>17</v>
      </c>
      <c r="S566" s="66" t="s">
        <v>846</v>
      </c>
    </row>
    <row r="567" customFormat="false" ht="15" hidden="false" customHeight="false" outlineLevel="0" collapsed="false">
      <c r="A567" s="78" t="s">
        <v>220</v>
      </c>
      <c r="B567" s="78" t="s">
        <v>288</v>
      </c>
      <c r="C567" s="79" t="n">
        <v>2022</v>
      </c>
      <c r="D567" s="79" t="n">
        <v>1</v>
      </c>
      <c r="E567" s="80" t="n">
        <v>44651</v>
      </c>
      <c r="F567" s="78" t="s">
        <v>253</v>
      </c>
      <c r="G567" s="78" t="s">
        <v>254</v>
      </c>
      <c r="H567" s="78" t="s">
        <v>250</v>
      </c>
      <c r="I567" s="81" t="n">
        <v>202.759</v>
      </c>
      <c r="J567" s="81" t="n">
        <v>29.179</v>
      </c>
      <c r="K567" s="81" t="n">
        <v>-1793000</v>
      </c>
      <c r="L567" s="82" t="n">
        <v>-0.01</v>
      </c>
      <c r="M567" s="81" t="n">
        <v>132.4535</v>
      </c>
      <c r="N567" s="81" t="n">
        <v>0</v>
      </c>
      <c r="O567" s="81" t="n">
        <v>1235.239</v>
      </c>
      <c r="P567" s="82" t="n">
        <v>0</v>
      </c>
      <c r="Q567" s="82" t="n">
        <v>18.15</v>
      </c>
      <c r="R567" s="47" t="n">
        <v>18</v>
      </c>
      <c r="S567" s="66" t="s">
        <v>847</v>
      </c>
    </row>
    <row r="568" customFormat="false" ht="15" hidden="false" customHeight="false" outlineLevel="0" collapsed="false">
      <c r="A568" s="78" t="s">
        <v>220</v>
      </c>
      <c r="B568" s="78" t="s">
        <v>290</v>
      </c>
      <c r="C568" s="79" t="n">
        <v>2021</v>
      </c>
      <c r="D568" s="79" t="n">
        <v>4</v>
      </c>
      <c r="E568" s="80" t="n">
        <v>44561</v>
      </c>
      <c r="F568" s="78" t="s">
        <v>253</v>
      </c>
      <c r="G568" s="78" t="s">
        <v>254</v>
      </c>
      <c r="H568" s="78" t="s">
        <v>250</v>
      </c>
      <c r="I568" s="81" t="n">
        <v>212.707</v>
      </c>
      <c r="J568" s="81" t="n">
        <v>9.388</v>
      </c>
      <c r="K568" s="81" t="n">
        <v>-98065000</v>
      </c>
      <c r="L568" s="82" t="n">
        <v>-0.75</v>
      </c>
      <c r="M568" s="81" t="n">
        <v>132.5115</v>
      </c>
      <c r="N568" s="81" t="n">
        <v>0</v>
      </c>
      <c r="O568" s="81" t="n">
        <v>1336.501</v>
      </c>
      <c r="P568" s="82" t="n">
        <v>0</v>
      </c>
      <c r="Q568" s="82" t="n">
        <v>20.1</v>
      </c>
      <c r="R568" s="47" t="n">
        <v>19</v>
      </c>
      <c r="S568" s="66" t="s">
        <v>848</v>
      </c>
    </row>
    <row r="569" customFormat="false" ht="15" hidden="false" customHeight="false" outlineLevel="0" collapsed="false">
      <c r="A569" s="78" t="s">
        <v>220</v>
      </c>
      <c r="B569" s="78" t="s">
        <v>292</v>
      </c>
      <c r="C569" s="79" t="n">
        <v>2021</v>
      </c>
      <c r="D569" s="79" t="n">
        <v>3</v>
      </c>
      <c r="E569" s="80" t="n">
        <v>44469</v>
      </c>
      <c r="F569" s="78" t="s">
        <v>253</v>
      </c>
      <c r="G569" s="78" t="s">
        <v>254</v>
      </c>
      <c r="H569" s="78" t="s">
        <v>250</v>
      </c>
      <c r="I569" s="81" t="n">
        <v>202.077</v>
      </c>
      <c r="J569" s="81" t="n">
        <v>-10.63</v>
      </c>
      <c r="K569" s="81" t="n">
        <v>-70384000</v>
      </c>
      <c r="L569" s="82" t="n">
        <v>-0.53</v>
      </c>
      <c r="M569" s="81" t="n">
        <v>132.7263</v>
      </c>
      <c r="N569" s="81" t="n">
        <v>0</v>
      </c>
      <c r="O569" s="81" t="n">
        <v>1437.72</v>
      </c>
      <c r="P569" s="82" t="n">
        <v>0</v>
      </c>
      <c r="Q569" s="82" t="n">
        <v>18.15</v>
      </c>
      <c r="R569" s="47" t="n">
        <v>20</v>
      </c>
      <c r="S569" s="66" t="s">
        <v>849</v>
      </c>
    </row>
    <row r="570" customFormat="false" ht="15" hidden="false" customHeight="false" outlineLevel="0" collapsed="false">
      <c r="A570" s="78" t="s">
        <v>220</v>
      </c>
      <c r="B570" s="78" t="s">
        <v>294</v>
      </c>
      <c r="C570" s="79" t="n">
        <v>2021</v>
      </c>
      <c r="D570" s="79" t="n">
        <v>2</v>
      </c>
      <c r="E570" s="80" t="n">
        <v>44377</v>
      </c>
      <c r="F570" s="78" t="s">
        <v>253</v>
      </c>
      <c r="G570" s="78" t="s">
        <v>254</v>
      </c>
      <c r="H570" s="78" t="s">
        <v>250</v>
      </c>
      <c r="I570" s="81" t="n">
        <v>267.626</v>
      </c>
      <c r="J570" s="81" t="n">
        <v>8.381</v>
      </c>
      <c r="K570" s="81" t="n">
        <v>-43081000</v>
      </c>
      <c r="L570" s="82" t="n">
        <v>-0.33</v>
      </c>
      <c r="M570" s="81" t="n">
        <v>132.9303</v>
      </c>
      <c r="N570" s="81" t="n">
        <v>0</v>
      </c>
      <c r="O570" s="81" t="n">
        <v>1526.944</v>
      </c>
      <c r="P570" s="82" t="n">
        <v>0</v>
      </c>
      <c r="Q570" s="82" t="n">
        <v>18.85</v>
      </c>
      <c r="R570" s="47" t="n">
        <v>21</v>
      </c>
      <c r="S570" s="66" t="s">
        <v>850</v>
      </c>
    </row>
    <row r="571" customFormat="false" ht="15" hidden="false" customHeight="false" outlineLevel="0" collapsed="false">
      <c r="A571" s="78" t="s">
        <v>220</v>
      </c>
      <c r="B571" s="78" t="s">
        <v>296</v>
      </c>
      <c r="C571" s="79" t="n">
        <v>2021</v>
      </c>
      <c r="D571" s="79" t="n">
        <v>1</v>
      </c>
      <c r="E571" s="80" t="n">
        <v>44286</v>
      </c>
      <c r="F571" s="78" t="s">
        <v>253</v>
      </c>
      <c r="G571" s="78" t="s">
        <v>254</v>
      </c>
      <c r="H571" s="78" t="s">
        <v>250</v>
      </c>
      <c r="I571" s="81" t="n">
        <v>183.606</v>
      </c>
      <c r="J571" s="81" t="n">
        <v>-24.522</v>
      </c>
      <c r="K571" s="81" t="n">
        <v>-73434000</v>
      </c>
      <c r="L571" s="82" t="n">
        <v>-0.62</v>
      </c>
      <c r="M571" s="81" t="n">
        <v>120.0363</v>
      </c>
      <c r="N571" s="81" t="n">
        <v>0</v>
      </c>
      <c r="O571" s="81" t="n">
        <v>1264.85</v>
      </c>
      <c r="P571" s="82" t="n">
        <v>0</v>
      </c>
      <c r="Q571" s="82" t="n">
        <v>24.1</v>
      </c>
      <c r="R571" s="47" t="n">
        <v>22</v>
      </c>
      <c r="S571" s="66" t="s">
        <v>851</v>
      </c>
    </row>
    <row r="572" customFormat="false" ht="15" hidden="false" customHeight="false" outlineLevel="0" collapsed="false">
      <c r="A572" s="78" t="s">
        <v>220</v>
      </c>
      <c r="B572" s="78" t="s">
        <v>298</v>
      </c>
      <c r="C572" s="79" t="n">
        <v>2020</v>
      </c>
      <c r="D572" s="79" t="n">
        <v>4</v>
      </c>
      <c r="E572" s="80" t="n">
        <v>44196</v>
      </c>
      <c r="F572" s="78" t="s">
        <v>253</v>
      </c>
      <c r="G572" s="78" t="s">
        <v>254</v>
      </c>
      <c r="H572" s="78" t="s">
        <v>250</v>
      </c>
      <c r="I572" s="81" t="n">
        <v>260.587</v>
      </c>
      <c r="J572" s="81" t="n">
        <v>-14.874</v>
      </c>
      <c r="K572" s="81" t="n">
        <v>-74715000</v>
      </c>
      <c r="L572" s="82" t="n">
        <v>-0.64</v>
      </c>
      <c r="M572" s="81" t="n">
        <v>120.1243</v>
      </c>
      <c r="N572" s="81" t="n">
        <v>0</v>
      </c>
      <c r="O572" s="81" t="n">
        <v>1390.359</v>
      </c>
      <c r="P572" s="82" t="n">
        <v>0</v>
      </c>
      <c r="Q572" s="82" t="n">
        <v>26.95</v>
      </c>
      <c r="R572" s="47" t="n">
        <v>23</v>
      </c>
      <c r="S572" s="66" t="s">
        <v>852</v>
      </c>
    </row>
    <row r="573" customFormat="false" ht="15" hidden="false" customHeight="false" outlineLevel="0" collapsed="false">
      <c r="A573" s="78" t="s">
        <v>220</v>
      </c>
      <c r="B573" s="78" t="s">
        <v>300</v>
      </c>
      <c r="C573" s="79" t="n">
        <v>2020</v>
      </c>
      <c r="D573" s="79" t="n">
        <v>3</v>
      </c>
      <c r="E573" s="80" t="n">
        <v>44104</v>
      </c>
      <c r="F573" s="78" t="s">
        <v>253</v>
      </c>
      <c r="G573" s="78" t="s">
        <v>254</v>
      </c>
      <c r="H573" s="78" t="s">
        <v>250</v>
      </c>
      <c r="I573" s="81" t="n">
        <v>303.651</v>
      </c>
      <c r="J573" s="81" t="n">
        <v>16.52</v>
      </c>
      <c r="K573" s="81" t="n">
        <v>-26260000</v>
      </c>
      <c r="L573" s="82" t="n">
        <v>-0.22</v>
      </c>
      <c r="M573" s="81" t="n">
        <v>120.1243</v>
      </c>
      <c r="N573" s="81" t="n">
        <v>0</v>
      </c>
      <c r="O573" s="81" t="n">
        <v>1231.398</v>
      </c>
      <c r="P573" s="82"/>
      <c r="Q573" s="82" t="n">
        <v>26.8</v>
      </c>
      <c r="R573" s="47" t="n">
        <v>24</v>
      </c>
      <c r="S573" s="66" t="s">
        <v>853</v>
      </c>
    </row>
    <row r="574" customFormat="false" ht="15" hidden="false" customHeight="false" outlineLevel="0" collapsed="false">
      <c r="A574" s="78" t="s">
        <v>175</v>
      </c>
      <c r="B574" s="78" t="s">
        <v>247</v>
      </c>
      <c r="C574" s="79" t="n">
        <v>2026</v>
      </c>
      <c r="D574" s="79" t="n">
        <v>3</v>
      </c>
      <c r="E574" s="80" t="n">
        <v>46295</v>
      </c>
      <c r="F574" s="78" t="s">
        <v>248</v>
      </c>
      <c r="G574" s="78" t="s">
        <v>249</v>
      </c>
      <c r="H574" s="78" t="s">
        <v>250</v>
      </c>
      <c r="I574" s="81"/>
      <c r="J574" s="81"/>
      <c r="K574" s="81"/>
      <c r="L574" s="82" t="n">
        <v>99.01</v>
      </c>
      <c r="M574" s="81"/>
      <c r="N574" s="81"/>
      <c r="O574" s="81"/>
      <c r="P574" s="82"/>
      <c r="Q574" s="82"/>
      <c r="R574" s="47" t="n">
        <v>0</v>
      </c>
      <c r="S574" s="66" t="s">
        <v>854</v>
      </c>
    </row>
    <row r="575" customFormat="false" ht="15" hidden="false" customHeight="false" outlineLevel="0" collapsed="false">
      <c r="A575" s="78" t="s">
        <v>175</v>
      </c>
      <c r="B575" s="78" t="s">
        <v>252</v>
      </c>
      <c r="C575" s="79" t="n">
        <v>2026</v>
      </c>
      <c r="D575" s="79" t="n">
        <v>2</v>
      </c>
      <c r="E575" s="80" t="n">
        <v>46203</v>
      </c>
      <c r="F575" s="78" t="s">
        <v>253</v>
      </c>
      <c r="G575" s="78" t="s">
        <v>254</v>
      </c>
      <c r="H575" s="78" t="s">
        <v>250</v>
      </c>
      <c r="I575" s="81" t="n">
        <v>22443.411</v>
      </c>
      <c r="J575" s="81" t="n">
        <v>14589.612</v>
      </c>
      <c r="K575" s="81" t="n">
        <v>10368072000</v>
      </c>
      <c r="L575" s="82" t="n">
        <v>108.93</v>
      </c>
      <c r="M575" s="81" t="n">
        <v>96.3654</v>
      </c>
      <c r="N575" s="81" t="n">
        <v>0</v>
      </c>
      <c r="O575" s="81" t="n">
        <v>23288.098</v>
      </c>
      <c r="P575" s="82" t="n">
        <v>0</v>
      </c>
      <c r="Q575" s="82" t="n">
        <v>1615</v>
      </c>
      <c r="R575" s="47" t="n">
        <v>1</v>
      </c>
      <c r="S575" s="66" t="s">
        <v>855</v>
      </c>
    </row>
    <row r="576" customFormat="false" ht="15" hidden="false" customHeight="false" outlineLevel="0" collapsed="false">
      <c r="A576" s="78" t="s">
        <v>175</v>
      </c>
      <c r="B576" s="78" t="s">
        <v>256</v>
      </c>
      <c r="C576" s="79" t="n">
        <v>2026</v>
      </c>
      <c r="D576" s="79" t="n">
        <v>1</v>
      </c>
      <c r="E576" s="80" t="n">
        <v>46112</v>
      </c>
      <c r="F576" s="78" t="s">
        <v>253</v>
      </c>
      <c r="G576" s="78" t="s">
        <v>254</v>
      </c>
      <c r="H576" s="78" t="s">
        <v>250</v>
      </c>
      <c r="I576" s="81" t="n">
        <v>13182.608</v>
      </c>
      <c r="J576" s="81" t="n">
        <v>7791.357</v>
      </c>
      <c r="K576" s="81" t="n">
        <v>5466357000</v>
      </c>
      <c r="L576" s="82" t="n">
        <v>57.49</v>
      </c>
      <c r="M576" s="81" t="n">
        <v>96.3552</v>
      </c>
      <c r="N576" s="81" t="n">
        <v>0</v>
      </c>
      <c r="O576" s="81" t="n">
        <v>14500.386</v>
      </c>
      <c r="P576" s="82" t="n">
        <v>0</v>
      </c>
      <c r="Q576" s="82" t="n">
        <v>847</v>
      </c>
      <c r="R576" s="47" t="n">
        <v>2</v>
      </c>
      <c r="S576" s="66" t="s">
        <v>856</v>
      </c>
    </row>
    <row r="577" customFormat="false" ht="15" hidden="false" customHeight="false" outlineLevel="0" collapsed="false">
      <c r="A577" s="78" t="s">
        <v>175</v>
      </c>
      <c r="B577" s="78" t="s">
        <v>258</v>
      </c>
      <c r="C577" s="79" t="n">
        <v>2025</v>
      </c>
      <c r="D577" s="79" t="n">
        <v>4</v>
      </c>
      <c r="E577" s="80" t="n">
        <v>46022</v>
      </c>
      <c r="F577" s="78" t="s">
        <v>253</v>
      </c>
      <c r="G577" s="78" t="s">
        <v>254</v>
      </c>
      <c r="H577" s="78" t="s">
        <v>250</v>
      </c>
      <c r="I577" s="81" t="n">
        <v>4806.69</v>
      </c>
      <c r="J577" s="81" t="n">
        <v>1597.288</v>
      </c>
      <c r="K577" s="81" t="n">
        <v>870716000</v>
      </c>
      <c r="L577" s="82" t="n">
        <v>9.26</v>
      </c>
      <c r="M577" s="81" t="n">
        <v>96.0407</v>
      </c>
      <c r="N577" s="81" t="n">
        <v>0</v>
      </c>
      <c r="O577" s="81" t="n">
        <v>8940.787</v>
      </c>
      <c r="P577" s="82" t="n">
        <v>0</v>
      </c>
      <c r="Q577" s="82" t="n">
        <v>576</v>
      </c>
      <c r="R577" s="47" t="n">
        <v>3</v>
      </c>
      <c r="S577" s="66" t="s">
        <v>857</v>
      </c>
    </row>
    <row r="578" customFormat="false" ht="15" hidden="false" customHeight="false" outlineLevel="0" collapsed="false">
      <c r="A578" s="78" t="s">
        <v>175</v>
      </c>
      <c r="B578" s="78" t="s">
        <v>260</v>
      </c>
      <c r="C578" s="79" t="n">
        <v>2025</v>
      </c>
      <c r="D578" s="79" t="n">
        <v>3</v>
      </c>
      <c r="E578" s="80" t="n">
        <v>45930</v>
      </c>
      <c r="F578" s="78" t="s">
        <v>253</v>
      </c>
      <c r="G578" s="78" t="s">
        <v>254</v>
      </c>
      <c r="H578" s="78" t="s">
        <v>250</v>
      </c>
      <c r="I578" s="81" t="n">
        <v>3807.401</v>
      </c>
      <c r="J578" s="81" t="n">
        <v>1248.818</v>
      </c>
      <c r="K578" s="81" t="n">
        <v>643038000</v>
      </c>
      <c r="L578" s="82" t="n">
        <v>6.87</v>
      </c>
      <c r="M578" s="81" t="n">
        <v>95.3452</v>
      </c>
      <c r="N578" s="81" t="n">
        <v>0</v>
      </c>
      <c r="O578" s="81" t="n">
        <v>7932.37</v>
      </c>
      <c r="P578" s="82" t="n">
        <v>9.37723774</v>
      </c>
      <c r="Q578" s="82" t="n">
        <v>329.5</v>
      </c>
      <c r="R578" s="47" t="n">
        <v>4</v>
      </c>
      <c r="S578" s="66" t="s">
        <v>858</v>
      </c>
    </row>
    <row r="579" customFormat="false" ht="15" hidden="false" customHeight="false" outlineLevel="0" collapsed="false">
      <c r="A579" s="78" t="s">
        <v>175</v>
      </c>
      <c r="B579" s="78" t="s">
        <v>262</v>
      </c>
      <c r="C579" s="79" t="n">
        <v>2025</v>
      </c>
      <c r="D579" s="79" t="n">
        <v>2</v>
      </c>
      <c r="E579" s="80" t="n">
        <v>45838</v>
      </c>
      <c r="F579" s="78" t="s">
        <v>253</v>
      </c>
      <c r="G579" s="78" t="s">
        <v>254</v>
      </c>
      <c r="H579" s="78" t="s">
        <v>250</v>
      </c>
      <c r="I579" s="81" t="n">
        <v>3028.429</v>
      </c>
      <c r="J579" s="81" t="n">
        <v>785.089</v>
      </c>
      <c r="K579" s="81" t="n">
        <v>185349000</v>
      </c>
      <c r="L579" s="82" t="n">
        <v>2.02</v>
      </c>
      <c r="M579" s="81" t="n">
        <v>91.6411</v>
      </c>
      <c r="N579" s="81" t="n">
        <v>0</v>
      </c>
      <c r="O579" s="81" t="n">
        <v>7184.405</v>
      </c>
      <c r="P579" s="82" t="n">
        <v>0</v>
      </c>
      <c r="Q579" s="82" t="n">
        <v>237</v>
      </c>
      <c r="R579" s="47" t="n">
        <v>5</v>
      </c>
      <c r="S579" s="66" t="s">
        <v>859</v>
      </c>
    </row>
    <row r="580" customFormat="false" ht="15" hidden="false" customHeight="false" outlineLevel="0" collapsed="false">
      <c r="A580" s="78" t="s">
        <v>175</v>
      </c>
      <c r="B580" s="78" t="s">
        <v>264</v>
      </c>
      <c r="C580" s="79" t="n">
        <v>2025</v>
      </c>
      <c r="D580" s="79" t="n">
        <v>1</v>
      </c>
      <c r="E580" s="80" t="n">
        <v>45747</v>
      </c>
      <c r="F580" s="78" t="s">
        <v>253</v>
      </c>
      <c r="G580" s="78" t="s">
        <v>254</v>
      </c>
      <c r="H580" s="78" t="s">
        <v>250</v>
      </c>
      <c r="I580" s="81" t="n">
        <v>2618.742</v>
      </c>
      <c r="J580" s="81" t="n">
        <v>800.733</v>
      </c>
      <c r="K580" s="81" t="n">
        <v>336540000</v>
      </c>
      <c r="L580" s="82" t="n">
        <v>3.68</v>
      </c>
      <c r="M580" s="81" t="n">
        <v>91.5746</v>
      </c>
      <c r="N580" s="81" t="n">
        <v>0</v>
      </c>
      <c r="O580" s="81" t="n">
        <v>7854.351</v>
      </c>
      <c r="P580" s="82" t="n">
        <v>0</v>
      </c>
      <c r="Q580" s="82" t="n">
        <v>250.5</v>
      </c>
      <c r="R580" s="47" t="n">
        <v>6</v>
      </c>
      <c r="S580" s="66" t="s">
        <v>860</v>
      </c>
    </row>
    <row r="581" customFormat="false" ht="15" hidden="false" customHeight="false" outlineLevel="0" collapsed="false">
      <c r="A581" s="78" t="s">
        <v>175</v>
      </c>
      <c r="B581" s="78" t="s">
        <v>266</v>
      </c>
      <c r="C581" s="79" t="n">
        <v>2024</v>
      </c>
      <c r="D581" s="79" t="n">
        <v>4</v>
      </c>
      <c r="E581" s="80" t="n">
        <v>45657</v>
      </c>
      <c r="F581" s="78" t="s">
        <v>253</v>
      </c>
      <c r="G581" s="78" t="s">
        <v>254</v>
      </c>
      <c r="H581" s="78" t="s">
        <v>250</v>
      </c>
      <c r="I581" s="81" t="n">
        <v>2228.005</v>
      </c>
      <c r="J581" s="81" t="n">
        <v>648.956</v>
      </c>
      <c r="K581" s="81" t="n">
        <v>271532000</v>
      </c>
      <c r="L581" s="82" t="n">
        <v>2.97</v>
      </c>
      <c r="M581" s="81" t="n">
        <v>91.4561</v>
      </c>
      <c r="N581" s="81" t="n">
        <v>0</v>
      </c>
      <c r="O581" s="81" t="n">
        <v>7491.143</v>
      </c>
      <c r="P581" s="82" t="n">
        <v>0</v>
      </c>
      <c r="Q581" s="82" t="n">
        <v>218</v>
      </c>
      <c r="R581" s="47" t="n">
        <v>7</v>
      </c>
      <c r="S581" s="66" t="s">
        <v>861</v>
      </c>
    </row>
    <row r="582" customFormat="false" ht="15" hidden="false" customHeight="false" outlineLevel="0" collapsed="false">
      <c r="A582" s="78" t="s">
        <v>175</v>
      </c>
      <c r="B582" s="78" t="s">
        <v>268</v>
      </c>
      <c r="C582" s="79" t="n">
        <v>2024</v>
      </c>
      <c r="D582" s="79" t="n">
        <v>3</v>
      </c>
      <c r="E582" s="80" t="n">
        <v>45565</v>
      </c>
      <c r="F582" s="78" t="s">
        <v>253</v>
      </c>
      <c r="G582" s="78" t="s">
        <v>254</v>
      </c>
      <c r="H582" s="78" t="s">
        <v>250</v>
      </c>
      <c r="I582" s="81" t="n">
        <v>2321.419</v>
      </c>
      <c r="J582" s="81" t="n">
        <v>658.433</v>
      </c>
      <c r="K582" s="81" t="n">
        <v>188620000</v>
      </c>
      <c r="L582" s="82" t="n">
        <v>2.08</v>
      </c>
      <c r="M582" s="81" t="n">
        <v>91.3372</v>
      </c>
      <c r="N582" s="81" t="n">
        <v>0</v>
      </c>
      <c r="O582" s="81" t="n">
        <v>7196.228</v>
      </c>
      <c r="P582" s="82" t="n">
        <v>10.2</v>
      </c>
      <c r="Q582" s="82" t="n">
        <v>282</v>
      </c>
      <c r="R582" s="47" t="n">
        <v>8</v>
      </c>
      <c r="S582" s="66" t="s">
        <v>862</v>
      </c>
    </row>
    <row r="583" customFormat="false" ht="15" hidden="false" customHeight="false" outlineLevel="0" collapsed="false">
      <c r="A583" s="78" t="s">
        <v>175</v>
      </c>
      <c r="B583" s="78" t="s">
        <v>270</v>
      </c>
      <c r="C583" s="79" t="n">
        <v>2024</v>
      </c>
      <c r="D583" s="79" t="n">
        <v>2</v>
      </c>
      <c r="E583" s="80" t="n">
        <v>45473</v>
      </c>
      <c r="F583" s="78" t="s">
        <v>253</v>
      </c>
      <c r="G583" s="78" t="s">
        <v>254</v>
      </c>
      <c r="H583" s="78" t="s">
        <v>250</v>
      </c>
      <c r="I583" s="81" t="n">
        <v>2190.229</v>
      </c>
      <c r="J583" s="81" t="n">
        <v>759.289</v>
      </c>
      <c r="K583" s="81" t="n">
        <v>294050000</v>
      </c>
      <c r="L583" s="82" t="n">
        <v>3.26</v>
      </c>
      <c r="M583" s="81" t="n">
        <v>88.3977</v>
      </c>
      <c r="N583" s="81" t="n">
        <v>0</v>
      </c>
      <c r="O583" s="81" t="n">
        <v>6803.334</v>
      </c>
      <c r="P583" s="82" t="n">
        <v>0</v>
      </c>
      <c r="Q583" s="82" t="n">
        <v>302</v>
      </c>
      <c r="R583" s="47" t="n">
        <v>9</v>
      </c>
      <c r="S583" s="66" t="s">
        <v>863</v>
      </c>
    </row>
    <row r="584" customFormat="false" ht="15" hidden="false" customHeight="false" outlineLevel="0" collapsed="false">
      <c r="A584" s="78" t="s">
        <v>175</v>
      </c>
      <c r="B584" s="78" t="s">
        <v>272</v>
      </c>
      <c r="C584" s="79" t="n">
        <v>2024</v>
      </c>
      <c r="D584" s="79" t="n">
        <v>1</v>
      </c>
      <c r="E584" s="80" t="n">
        <v>45382</v>
      </c>
      <c r="F584" s="78" t="s">
        <v>253</v>
      </c>
      <c r="G584" s="78" t="s">
        <v>254</v>
      </c>
      <c r="H584" s="78" t="s">
        <v>250</v>
      </c>
      <c r="I584" s="81" t="n">
        <v>2175.989</v>
      </c>
      <c r="J584" s="81" t="n">
        <v>758.571</v>
      </c>
      <c r="K584" s="81" t="n">
        <v>351970000</v>
      </c>
      <c r="L584" s="82" t="n">
        <v>3.98</v>
      </c>
      <c r="M584" s="81" t="n">
        <v>88.3977</v>
      </c>
      <c r="N584" s="81" t="n">
        <v>0</v>
      </c>
      <c r="O584" s="81" t="n">
        <v>7398.652</v>
      </c>
      <c r="P584" s="82" t="n">
        <v>0</v>
      </c>
      <c r="Q584" s="82" t="n">
        <v>305.5</v>
      </c>
      <c r="R584" s="47" t="n">
        <v>10</v>
      </c>
      <c r="S584" s="66" t="s">
        <v>864</v>
      </c>
    </row>
    <row r="585" customFormat="false" ht="15" hidden="false" customHeight="false" outlineLevel="0" collapsed="false">
      <c r="A585" s="78" t="s">
        <v>175</v>
      </c>
      <c r="B585" s="78" t="s">
        <v>274</v>
      </c>
      <c r="C585" s="79" t="n">
        <v>2023</v>
      </c>
      <c r="D585" s="79" t="n">
        <v>4</v>
      </c>
      <c r="E585" s="80" t="n">
        <v>45291</v>
      </c>
      <c r="F585" s="78" t="s">
        <v>253</v>
      </c>
      <c r="G585" s="78" t="s">
        <v>254</v>
      </c>
      <c r="H585" s="78" t="s">
        <v>250</v>
      </c>
      <c r="I585" s="81" t="n">
        <v>2130.049</v>
      </c>
      <c r="J585" s="81" t="n">
        <v>707.384</v>
      </c>
      <c r="K585" s="81" t="n">
        <v>262238000</v>
      </c>
      <c r="L585" s="82" t="n">
        <v>2.96</v>
      </c>
      <c r="M585" s="81" t="n">
        <v>88.3977</v>
      </c>
      <c r="N585" s="81" t="n">
        <v>0</v>
      </c>
      <c r="O585" s="81" t="n">
        <v>7036.917</v>
      </c>
      <c r="P585" s="82" t="n">
        <v>0</v>
      </c>
      <c r="Q585" s="82" t="n">
        <v>312</v>
      </c>
      <c r="R585" s="47" t="n">
        <v>11</v>
      </c>
      <c r="S585" s="66" t="s">
        <v>865</v>
      </c>
    </row>
    <row r="586" customFormat="false" ht="15" hidden="false" customHeight="false" outlineLevel="0" collapsed="false">
      <c r="A586" s="78" t="s">
        <v>175</v>
      </c>
      <c r="B586" s="78" t="s">
        <v>276</v>
      </c>
      <c r="C586" s="79" t="n">
        <v>2023</v>
      </c>
      <c r="D586" s="79" t="n">
        <v>3</v>
      </c>
      <c r="E586" s="80" t="n">
        <v>45199</v>
      </c>
      <c r="F586" s="78" t="s">
        <v>253</v>
      </c>
      <c r="G586" s="78" t="s">
        <v>254</v>
      </c>
      <c r="H586" s="78" t="s">
        <v>250</v>
      </c>
      <c r="I586" s="81" t="n">
        <v>1993.007</v>
      </c>
      <c r="J586" s="81" t="n">
        <v>687.513</v>
      </c>
      <c r="K586" s="81" t="n">
        <v>306457000</v>
      </c>
      <c r="L586" s="82" t="n">
        <v>3.47</v>
      </c>
      <c r="M586" s="81" t="n">
        <v>88.3977</v>
      </c>
      <c r="N586" s="81" t="n">
        <v>0</v>
      </c>
      <c r="O586" s="81" t="n">
        <v>6756.961</v>
      </c>
      <c r="P586" s="82" t="n">
        <v>13.78192729</v>
      </c>
      <c r="Q586" s="82" t="n">
        <v>296.5</v>
      </c>
      <c r="R586" s="47" t="n">
        <v>12</v>
      </c>
      <c r="S586" s="66" t="s">
        <v>866</v>
      </c>
    </row>
    <row r="587" customFormat="false" ht="15" hidden="false" customHeight="false" outlineLevel="0" collapsed="false">
      <c r="A587" s="78" t="s">
        <v>175</v>
      </c>
      <c r="B587" s="78" t="s">
        <v>278</v>
      </c>
      <c r="C587" s="79" t="n">
        <v>2023</v>
      </c>
      <c r="D587" s="79" t="n">
        <v>2</v>
      </c>
      <c r="E587" s="80" t="n">
        <v>45107</v>
      </c>
      <c r="F587" s="78" t="s">
        <v>253</v>
      </c>
      <c r="G587" s="78" t="s">
        <v>254</v>
      </c>
      <c r="H587" s="78" t="s">
        <v>250</v>
      </c>
      <c r="I587" s="81" t="n">
        <v>1930.516</v>
      </c>
      <c r="J587" s="81" t="n">
        <v>636.105</v>
      </c>
      <c r="K587" s="81" t="n">
        <v>230718000</v>
      </c>
      <c r="L587" s="82" t="n">
        <v>2.66</v>
      </c>
      <c r="M587" s="81" t="n">
        <v>86.6666</v>
      </c>
      <c r="N587" s="81" t="n">
        <v>0</v>
      </c>
      <c r="O587" s="81" t="n">
        <v>6433.521</v>
      </c>
      <c r="P587" s="82" t="n">
        <v>0</v>
      </c>
      <c r="Q587" s="82" t="n">
        <v>324</v>
      </c>
      <c r="R587" s="47" t="n">
        <v>13</v>
      </c>
      <c r="S587" s="66" t="s">
        <v>867</v>
      </c>
    </row>
    <row r="588" customFormat="false" ht="15" hidden="false" customHeight="false" outlineLevel="0" collapsed="false">
      <c r="A588" s="78" t="s">
        <v>175</v>
      </c>
      <c r="B588" s="78" t="s">
        <v>280</v>
      </c>
      <c r="C588" s="79" t="n">
        <v>2023</v>
      </c>
      <c r="D588" s="79" t="n">
        <v>1</v>
      </c>
      <c r="E588" s="80" t="n">
        <v>45016</v>
      </c>
      <c r="F588" s="78" t="s">
        <v>253</v>
      </c>
      <c r="G588" s="78" t="s">
        <v>254</v>
      </c>
      <c r="H588" s="78" t="s">
        <v>250</v>
      </c>
      <c r="I588" s="81" t="n">
        <v>2260.206</v>
      </c>
      <c r="J588" s="81" t="n">
        <v>814.91</v>
      </c>
      <c r="K588" s="81" t="n">
        <v>348203000</v>
      </c>
      <c r="L588" s="82" t="n">
        <v>4.02</v>
      </c>
      <c r="M588" s="81" t="n">
        <v>86.6666</v>
      </c>
      <c r="N588" s="81" t="n">
        <v>0</v>
      </c>
      <c r="O588" s="81" t="n">
        <v>7382.85</v>
      </c>
      <c r="P588" s="82" t="n">
        <v>0</v>
      </c>
      <c r="Q588" s="82" t="n">
        <v>314</v>
      </c>
      <c r="R588" s="47" t="n">
        <v>14</v>
      </c>
      <c r="S588" s="66" t="s">
        <v>868</v>
      </c>
    </row>
    <row r="589" customFormat="false" ht="15" hidden="false" customHeight="false" outlineLevel="0" collapsed="false">
      <c r="A589" s="78" t="s">
        <v>175</v>
      </c>
      <c r="B589" s="78" t="s">
        <v>282</v>
      </c>
      <c r="C589" s="79" t="n">
        <v>2022</v>
      </c>
      <c r="D589" s="79" t="n">
        <v>4</v>
      </c>
      <c r="E589" s="80" t="n">
        <v>44926</v>
      </c>
      <c r="F589" s="78" t="s">
        <v>253</v>
      </c>
      <c r="G589" s="78" t="s">
        <v>254</v>
      </c>
      <c r="H589" s="78" t="s">
        <v>250</v>
      </c>
      <c r="I589" s="81" t="n">
        <v>2286.572</v>
      </c>
      <c r="J589" s="81" t="n">
        <v>860.807</v>
      </c>
      <c r="K589" s="81" t="n">
        <v>385061000</v>
      </c>
      <c r="L589" s="82" t="n">
        <v>4.44</v>
      </c>
      <c r="M589" s="81" t="n">
        <v>86.5531</v>
      </c>
      <c r="N589" s="81" t="n">
        <v>0</v>
      </c>
      <c r="O589" s="81" t="n">
        <v>7012.867</v>
      </c>
      <c r="P589" s="82" t="n">
        <v>0</v>
      </c>
      <c r="Q589" s="82" t="n">
        <v>185.5</v>
      </c>
      <c r="R589" s="47" t="n">
        <v>15</v>
      </c>
      <c r="S589" s="66" t="s">
        <v>869</v>
      </c>
    </row>
    <row r="590" customFormat="false" ht="15" hidden="false" customHeight="false" outlineLevel="0" collapsed="false">
      <c r="A590" s="78" t="s">
        <v>175</v>
      </c>
      <c r="B590" s="78" t="s">
        <v>284</v>
      </c>
      <c r="C590" s="79" t="n">
        <v>2022</v>
      </c>
      <c r="D590" s="79" t="n">
        <v>3</v>
      </c>
      <c r="E590" s="80" t="n">
        <v>44834</v>
      </c>
      <c r="F590" s="78" t="s">
        <v>253</v>
      </c>
      <c r="G590" s="78" t="s">
        <v>254</v>
      </c>
      <c r="H590" s="78" t="s">
        <v>250</v>
      </c>
      <c r="I590" s="81" t="n">
        <v>2560.341</v>
      </c>
      <c r="J590" s="81" t="n">
        <v>914.902</v>
      </c>
      <c r="K590" s="81" t="n">
        <v>542661000</v>
      </c>
      <c r="L590" s="82" t="n">
        <v>6.28</v>
      </c>
      <c r="M590" s="81" t="n">
        <v>86.4706</v>
      </c>
      <c r="N590" s="81" t="n">
        <v>0</v>
      </c>
      <c r="O590" s="81" t="n">
        <v>6611.975</v>
      </c>
      <c r="P590" s="82" t="n">
        <v>11.5240749</v>
      </c>
      <c r="Q590" s="82" t="n">
        <v>161.5</v>
      </c>
      <c r="R590" s="47" t="n">
        <v>16</v>
      </c>
      <c r="S590" s="66" t="s">
        <v>870</v>
      </c>
    </row>
    <row r="591" customFormat="false" ht="15" hidden="false" customHeight="false" outlineLevel="0" collapsed="false">
      <c r="A591" s="78" t="s">
        <v>175</v>
      </c>
      <c r="B591" s="78" t="s">
        <v>286</v>
      </c>
      <c r="C591" s="79" t="n">
        <v>2022</v>
      </c>
      <c r="D591" s="79" t="n">
        <v>2</v>
      </c>
      <c r="E591" s="80" t="n">
        <v>44742</v>
      </c>
      <c r="F591" s="78" t="s">
        <v>253</v>
      </c>
      <c r="G591" s="78" t="s">
        <v>254</v>
      </c>
      <c r="H591" s="78" t="s">
        <v>250</v>
      </c>
      <c r="I591" s="81" t="n">
        <v>2866.579</v>
      </c>
      <c r="J591" s="81" t="n">
        <v>947.502</v>
      </c>
      <c r="K591" s="81" t="n">
        <v>536500000</v>
      </c>
      <c r="L591" s="82" t="n">
        <v>6.41</v>
      </c>
      <c r="M591" s="81" t="n">
        <v>83.895</v>
      </c>
      <c r="N591" s="81" t="n">
        <v>0</v>
      </c>
      <c r="O591" s="81" t="n">
        <v>6043.861</v>
      </c>
      <c r="P591" s="82" t="n">
        <v>0</v>
      </c>
      <c r="Q591" s="82" t="n">
        <v>162.5</v>
      </c>
      <c r="R591" s="47" t="n">
        <v>17</v>
      </c>
      <c r="S591" s="66" t="s">
        <v>871</v>
      </c>
    </row>
    <row r="592" customFormat="false" ht="15" hidden="false" customHeight="false" outlineLevel="0" collapsed="false">
      <c r="A592" s="78" t="s">
        <v>175</v>
      </c>
      <c r="B592" s="78" t="s">
        <v>288</v>
      </c>
      <c r="C592" s="79" t="n">
        <v>2022</v>
      </c>
      <c r="D592" s="79" t="n">
        <v>1</v>
      </c>
      <c r="E592" s="80" t="n">
        <v>44651</v>
      </c>
      <c r="F592" s="78" t="s">
        <v>253</v>
      </c>
      <c r="G592" s="78" t="s">
        <v>254</v>
      </c>
      <c r="H592" s="78" t="s">
        <v>250</v>
      </c>
      <c r="I592" s="81" t="n">
        <v>2589.737</v>
      </c>
      <c r="J592" s="81" t="n">
        <v>735.407</v>
      </c>
      <c r="K592" s="81" t="n">
        <v>385967000</v>
      </c>
      <c r="L592" s="82" t="n">
        <v>4.64</v>
      </c>
      <c r="M592" s="81" t="n">
        <v>83.7225</v>
      </c>
      <c r="N592" s="81" t="n">
        <v>0</v>
      </c>
      <c r="O592" s="81" t="n">
        <v>6458.201</v>
      </c>
      <c r="P592" s="82" t="n">
        <v>0</v>
      </c>
      <c r="Q592" s="82" t="n">
        <v>215</v>
      </c>
      <c r="R592" s="47" t="n">
        <v>18</v>
      </c>
      <c r="S592" s="66" t="s">
        <v>872</v>
      </c>
    </row>
    <row r="593" customFormat="false" ht="15" hidden="false" customHeight="false" outlineLevel="0" collapsed="false">
      <c r="A593" s="78" t="s">
        <v>175</v>
      </c>
      <c r="B593" s="78" t="s">
        <v>290</v>
      </c>
      <c r="C593" s="79" t="n">
        <v>2021</v>
      </c>
      <c r="D593" s="79" t="n">
        <v>4</v>
      </c>
      <c r="E593" s="80" t="n">
        <v>44561</v>
      </c>
      <c r="F593" s="78" t="s">
        <v>253</v>
      </c>
      <c r="G593" s="78" t="s">
        <v>254</v>
      </c>
      <c r="H593" s="78" t="s">
        <v>250</v>
      </c>
      <c r="I593" s="81" t="n">
        <v>2396.847</v>
      </c>
      <c r="J593" s="81" t="n">
        <v>677.529</v>
      </c>
      <c r="K593" s="81" t="n">
        <v>290253000</v>
      </c>
      <c r="L593" s="82" t="n">
        <v>3.51</v>
      </c>
      <c r="M593" s="81" t="n">
        <v>82.668</v>
      </c>
      <c r="N593" s="81" t="n">
        <v>0</v>
      </c>
      <c r="O593" s="81" t="n">
        <v>5960.989</v>
      </c>
      <c r="P593" s="82" t="n">
        <v>0</v>
      </c>
      <c r="Q593" s="82" t="n">
        <v>204</v>
      </c>
      <c r="R593" s="47" t="n">
        <v>19</v>
      </c>
      <c r="S593" s="66" t="s">
        <v>873</v>
      </c>
    </row>
    <row r="594" customFormat="false" ht="15" hidden="false" customHeight="false" outlineLevel="0" collapsed="false">
      <c r="A594" s="78" t="s">
        <v>175</v>
      </c>
      <c r="B594" s="78" t="s">
        <v>292</v>
      </c>
      <c r="C594" s="79" t="n">
        <v>2021</v>
      </c>
      <c r="D594" s="79" t="n">
        <v>3</v>
      </c>
      <c r="E594" s="80" t="n">
        <v>44469</v>
      </c>
      <c r="F594" s="78" t="s">
        <v>253</v>
      </c>
      <c r="G594" s="78" t="s">
        <v>254</v>
      </c>
      <c r="H594" s="78" t="s">
        <v>250</v>
      </c>
      <c r="I594" s="81" t="n">
        <v>2973.845</v>
      </c>
      <c r="J594" s="81" t="n">
        <v>975.336</v>
      </c>
      <c r="K594" s="81" t="n">
        <v>533714000</v>
      </c>
      <c r="L594" s="82" t="n">
        <v>6.46</v>
      </c>
      <c r="M594" s="81" t="n">
        <v>82.628</v>
      </c>
      <c r="N594" s="81" t="n">
        <v>0</v>
      </c>
      <c r="O594" s="81" t="n">
        <v>5663.586</v>
      </c>
      <c r="P594" s="82" t="n">
        <v>6.69560253</v>
      </c>
      <c r="Q594" s="82" t="n">
        <v>182</v>
      </c>
      <c r="R594" s="47" t="n">
        <v>20</v>
      </c>
      <c r="S594" s="66" t="s">
        <v>874</v>
      </c>
    </row>
    <row r="595" customFormat="false" ht="15" hidden="false" customHeight="false" outlineLevel="0" collapsed="false">
      <c r="A595" s="78" t="s">
        <v>175</v>
      </c>
      <c r="B595" s="78" t="s">
        <v>294</v>
      </c>
      <c r="C595" s="79" t="n">
        <v>2021</v>
      </c>
      <c r="D595" s="79" t="n">
        <v>2</v>
      </c>
      <c r="E595" s="80" t="n">
        <v>44377</v>
      </c>
      <c r="F595" s="78" t="s">
        <v>253</v>
      </c>
      <c r="G595" s="78" t="s">
        <v>254</v>
      </c>
      <c r="H595" s="78" t="s">
        <v>250</v>
      </c>
      <c r="I595" s="81" t="n">
        <v>2885.046</v>
      </c>
      <c r="J595" s="81" t="n">
        <v>888.15</v>
      </c>
      <c r="K595" s="81" t="n">
        <v>477358000</v>
      </c>
      <c r="L595" s="82" t="n">
        <v>5.79</v>
      </c>
      <c r="M595" s="81" t="n">
        <v>82.516</v>
      </c>
      <c r="N595" s="81" t="n">
        <v>0</v>
      </c>
      <c r="O595" s="81" t="n">
        <v>5668.615</v>
      </c>
      <c r="P595" s="82" t="n">
        <v>0</v>
      </c>
      <c r="Q595" s="82" t="n">
        <v>190.5</v>
      </c>
      <c r="R595" s="47" t="n">
        <v>21</v>
      </c>
      <c r="S595" s="66" t="s">
        <v>875</v>
      </c>
    </row>
    <row r="596" customFormat="false" ht="15" hidden="false" customHeight="false" outlineLevel="0" collapsed="false">
      <c r="A596" s="78" t="s">
        <v>175</v>
      </c>
      <c r="B596" s="78" t="s">
        <v>296</v>
      </c>
      <c r="C596" s="79" t="n">
        <v>2021</v>
      </c>
      <c r="D596" s="79" t="n">
        <v>1</v>
      </c>
      <c r="E596" s="80" t="n">
        <v>44286</v>
      </c>
      <c r="F596" s="78" t="s">
        <v>253</v>
      </c>
      <c r="G596" s="78" t="s">
        <v>254</v>
      </c>
      <c r="H596" s="78" t="s">
        <v>250</v>
      </c>
      <c r="I596" s="81" t="n">
        <v>1939.92</v>
      </c>
      <c r="J596" s="81" t="n">
        <v>551.203</v>
      </c>
      <c r="K596" s="81" t="n">
        <v>259563000</v>
      </c>
      <c r="L596" s="82" t="n">
        <v>3.17</v>
      </c>
      <c r="M596" s="81" t="n">
        <v>82.459</v>
      </c>
      <c r="N596" s="81" t="n">
        <v>0</v>
      </c>
      <c r="O596" s="81" t="n">
        <v>5182.897</v>
      </c>
      <c r="P596" s="82" t="n">
        <v>0</v>
      </c>
      <c r="Q596" s="82" t="n">
        <v>170</v>
      </c>
      <c r="R596" s="47" t="n">
        <v>22</v>
      </c>
      <c r="S596" s="66" t="s">
        <v>876</v>
      </c>
    </row>
    <row r="597" customFormat="false" ht="15" hidden="false" customHeight="false" outlineLevel="0" collapsed="false">
      <c r="A597" s="78" t="s">
        <v>175</v>
      </c>
      <c r="B597" s="78" t="s">
        <v>298</v>
      </c>
      <c r="C597" s="79" t="n">
        <v>2020</v>
      </c>
      <c r="D597" s="79" t="n">
        <v>4</v>
      </c>
      <c r="E597" s="80" t="n">
        <v>44196</v>
      </c>
      <c r="F597" s="78" t="s">
        <v>253</v>
      </c>
      <c r="G597" s="78" t="s">
        <v>254</v>
      </c>
      <c r="H597" s="78" t="s">
        <v>250</v>
      </c>
      <c r="I597" s="81" t="n">
        <v>1575.49</v>
      </c>
      <c r="J597" s="81" t="n">
        <v>458.968</v>
      </c>
      <c r="K597" s="81" t="n">
        <v>175456000</v>
      </c>
      <c r="L597" s="82" t="n">
        <v>2.16</v>
      </c>
      <c r="M597" s="81" t="n">
        <v>81.324</v>
      </c>
      <c r="N597" s="81" t="n">
        <v>0</v>
      </c>
      <c r="O597" s="81" t="n">
        <v>4816.246</v>
      </c>
      <c r="P597" s="82" t="n">
        <v>0</v>
      </c>
      <c r="Q597" s="82" t="n">
        <v>166</v>
      </c>
      <c r="R597" s="47" t="n">
        <v>23</v>
      </c>
      <c r="S597" s="66" t="s">
        <v>877</v>
      </c>
    </row>
    <row r="598" customFormat="false" ht="15" hidden="false" customHeight="false" outlineLevel="0" collapsed="false">
      <c r="A598" s="78" t="s">
        <v>175</v>
      </c>
      <c r="B598" s="78" t="s">
        <v>300</v>
      </c>
      <c r="C598" s="79" t="n">
        <v>2020</v>
      </c>
      <c r="D598" s="79" t="n">
        <v>3</v>
      </c>
      <c r="E598" s="80" t="n">
        <v>44104</v>
      </c>
      <c r="F598" s="78" t="s">
        <v>253</v>
      </c>
      <c r="G598" s="78" t="s">
        <v>254</v>
      </c>
      <c r="H598" s="78" t="s">
        <v>250</v>
      </c>
      <c r="I598" s="81" t="n">
        <v>1627.205</v>
      </c>
      <c r="J598" s="81" t="n">
        <v>493.122</v>
      </c>
      <c r="K598" s="81" t="n">
        <v>194271000</v>
      </c>
      <c r="L598" s="82" t="n">
        <v>2.39</v>
      </c>
      <c r="M598" s="81" t="n">
        <v>81.324</v>
      </c>
      <c r="N598" s="81" t="n">
        <v>0</v>
      </c>
      <c r="O598" s="81" t="n">
        <v>4634.348</v>
      </c>
      <c r="P598" s="82"/>
      <c r="Q598" s="82" t="n">
        <v>158.5</v>
      </c>
      <c r="R598" s="47" t="n">
        <v>24</v>
      </c>
      <c r="S598" s="66" t="s">
        <v>878</v>
      </c>
    </row>
    <row r="599" customFormat="false" ht="15" hidden="false" customHeight="false" outlineLevel="0" collapsed="false">
      <c r="A599" s="78" t="s">
        <v>190</v>
      </c>
      <c r="B599" s="78" t="s">
        <v>247</v>
      </c>
      <c r="C599" s="79" t="n">
        <v>2026</v>
      </c>
      <c r="D599" s="79" t="n">
        <v>3</v>
      </c>
      <c r="E599" s="80" t="n">
        <v>46295</v>
      </c>
      <c r="F599" s="78" t="s">
        <v>248</v>
      </c>
      <c r="G599" s="78" t="s">
        <v>249</v>
      </c>
      <c r="H599" s="78" t="s">
        <v>250</v>
      </c>
      <c r="I599" s="81"/>
      <c r="J599" s="81"/>
      <c r="K599" s="81"/>
      <c r="L599" s="82" t="n">
        <v>7.90333</v>
      </c>
      <c r="M599" s="81"/>
      <c r="N599" s="81"/>
      <c r="O599" s="81"/>
      <c r="P599" s="82"/>
      <c r="Q599" s="82"/>
      <c r="R599" s="47" t="n">
        <v>0</v>
      </c>
      <c r="S599" s="66" t="s">
        <v>879</v>
      </c>
    </row>
    <row r="600" customFormat="false" ht="15" hidden="false" customHeight="false" outlineLevel="0" collapsed="false">
      <c r="A600" s="78" t="s">
        <v>190</v>
      </c>
      <c r="B600" s="78" t="s">
        <v>252</v>
      </c>
      <c r="C600" s="79" t="n">
        <v>2026</v>
      </c>
      <c r="D600" s="79" t="n">
        <v>2</v>
      </c>
      <c r="E600" s="80" t="n">
        <v>46203</v>
      </c>
      <c r="F600" s="78" t="s">
        <v>253</v>
      </c>
      <c r="G600" s="78" t="s">
        <v>254</v>
      </c>
      <c r="H600" s="78" t="s">
        <v>250</v>
      </c>
      <c r="I600" s="81" t="n">
        <v>20825.411</v>
      </c>
      <c r="J600" s="81" t="n">
        <v>2810.847</v>
      </c>
      <c r="K600" s="81" t="n">
        <v>1535124000</v>
      </c>
      <c r="L600" s="82" t="n">
        <v>7.92</v>
      </c>
      <c r="M600" s="81" t="n">
        <v>194.008</v>
      </c>
      <c r="N600" s="81" t="n">
        <v>0</v>
      </c>
      <c r="O600" s="81" t="n">
        <v>21975.278</v>
      </c>
      <c r="P600" s="82" t="n">
        <v>0</v>
      </c>
      <c r="Q600" s="82" t="n">
        <v>549</v>
      </c>
      <c r="R600" s="47" t="n">
        <v>1</v>
      </c>
      <c r="S600" s="66" t="s">
        <v>880</v>
      </c>
    </row>
    <row r="601" customFormat="false" ht="15" hidden="false" customHeight="false" outlineLevel="0" collapsed="false">
      <c r="A601" s="78" t="s">
        <v>190</v>
      </c>
      <c r="B601" s="78" t="s">
        <v>256</v>
      </c>
      <c r="C601" s="79" t="n">
        <v>2026</v>
      </c>
      <c r="D601" s="79" t="n">
        <v>1</v>
      </c>
      <c r="E601" s="80" t="n">
        <v>46112</v>
      </c>
      <c r="F601" s="78" t="s">
        <v>253</v>
      </c>
      <c r="G601" s="78" t="s">
        <v>254</v>
      </c>
      <c r="H601" s="78" t="s">
        <v>250</v>
      </c>
      <c r="I601" s="81" t="n">
        <v>18536.692</v>
      </c>
      <c r="J601" s="81" t="n">
        <v>2517.46</v>
      </c>
      <c r="K601" s="81" t="n">
        <v>1322921000</v>
      </c>
      <c r="L601" s="82" t="n">
        <v>6.86</v>
      </c>
      <c r="M601" s="81" t="n">
        <v>193.6577</v>
      </c>
      <c r="N601" s="81" t="n">
        <v>0</v>
      </c>
      <c r="O601" s="81" t="n">
        <v>19214.366</v>
      </c>
      <c r="P601" s="82" t="n">
        <v>0</v>
      </c>
      <c r="Q601" s="82" t="n">
        <v>304.5</v>
      </c>
      <c r="R601" s="47" t="n">
        <v>2</v>
      </c>
      <c r="S601" s="66" t="s">
        <v>881</v>
      </c>
    </row>
    <row r="602" customFormat="false" ht="15" hidden="false" customHeight="false" outlineLevel="0" collapsed="false">
      <c r="A602" s="78" t="s">
        <v>190</v>
      </c>
      <c r="B602" s="78" t="s">
        <v>258</v>
      </c>
      <c r="C602" s="79" t="n">
        <v>2025</v>
      </c>
      <c r="D602" s="79" t="n">
        <v>4</v>
      </c>
      <c r="E602" s="80" t="n">
        <v>46022</v>
      </c>
      <c r="F602" s="78" t="s">
        <v>253</v>
      </c>
      <c r="G602" s="78" t="s">
        <v>254</v>
      </c>
      <c r="H602" s="78" t="s">
        <v>250</v>
      </c>
      <c r="I602" s="81" t="n">
        <v>17298.641</v>
      </c>
      <c r="J602" s="81" t="n">
        <v>2303.334</v>
      </c>
      <c r="K602" s="81" t="n">
        <v>1223169000</v>
      </c>
      <c r="L602" s="82" t="n">
        <v>6.36</v>
      </c>
      <c r="M602" s="81" t="n">
        <v>192.3546</v>
      </c>
      <c r="N602" s="81" t="n">
        <v>0</v>
      </c>
      <c r="O602" s="81" t="n">
        <v>19999.753</v>
      </c>
      <c r="P602" s="82" t="n">
        <v>0</v>
      </c>
      <c r="Q602" s="82" t="n">
        <v>291</v>
      </c>
      <c r="R602" s="47" t="n">
        <v>3</v>
      </c>
      <c r="S602" s="66" t="s">
        <v>882</v>
      </c>
    </row>
    <row r="603" customFormat="false" ht="15" hidden="false" customHeight="false" outlineLevel="0" collapsed="false">
      <c r="A603" s="78" t="s">
        <v>190</v>
      </c>
      <c r="B603" s="78" t="s">
        <v>260</v>
      </c>
      <c r="C603" s="79" t="n">
        <v>2025</v>
      </c>
      <c r="D603" s="79" t="n">
        <v>3</v>
      </c>
      <c r="E603" s="80" t="n">
        <v>45930</v>
      </c>
      <c r="F603" s="78" t="s">
        <v>253</v>
      </c>
      <c r="G603" s="78" t="s">
        <v>254</v>
      </c>
      <c r="H603" s="78" t="s">
        <v>250</v>
      </c>
      <c r="I603" s="81" t="n">
        <v>17538.579</v>
      </c>
      <c r="J603" s="81" t="n">
        <v>2251.328</v>
      </c>
      <c r="K603" s="81" t="n">
        <v>1103412000</v>
      </c>
      <c r="L603" s="82" t="n">
        <v>5.75</v>
      </c>
      <c r="M603" s="81" t="n">
        <v>192.1998</v>
      </c>
      <c r="N603" s="81" t="n">
        <v>0</v>
      </c>
      <c r="O603" s="81" t="n">
        <v>18739.987</v>
      </c>
      <c r="P603" s="82" t="n">
        <v>11.98556796</v>
      </c>
      <c r="Q603" s="82" t="n">
        <v>314</v>
      </c>
      <c r="R603" s="47" t="n">
        <v>4</v>
      </c>
      <c r="S603" s="66" t="s">
        <v>883</v>
      </c>
    </row>
    <row r="604" customFormat="false" ht="15" hidden="false" customHeight="false" outlineLevel="0" collapsed="false">
      <c r="A604" s="78" t="s">
        <v>190</v>
      </c>
      <c r="B604" s="78" t="s">
        <v>262</v>
      </c>
      <c r="C604" s="79" t="n">
        <v>2025</v>
      </c>
      <c r="D604" s="79" t="n">
        <v>2</v>
      </c>
      <c r="E604" s="80" t="n">
        <v>45838</v>
      </c>
      <c r="F604" s="78" t="s">
        <v>253</v>
      </c>
      <c r="G604" s="78" t="s">
        <v>254</v>
      </c>
      <c r="H604" s="78" t="s">
        <v>250</v>
      </c>
      <c r="I604" s="81" t="n">
        <v>16986.85</v>
      </c>
      <c r="J604" s="81" t="n">
        <v>1988.366</v>
      </c>
      <c r="K604" s="81" t="n">
        <v>914696000</v>
      </c>
      <c r="L604" s="82" t="n">
        <v>4.78</v>
      </c>
      <c r="M604" s="81" t="n">
        <v>191.3427</v>
      </c>
      <c r="N604" s="81" t="n">
        <v>0</v>
      </c>
      <c r="O604" s="81" t="n">
        <v>17068.444</v>
      </c>
      <c r="P604" s="82" t="n">
        <v>0</v>
      </c>
      <c r="Q604" s="82" t="n">
        <v>274.5</v>
      </c>
      <c r="R604" s="47" t="n">
        <v>5</v>
      </c>
      <c r="S604" s="66" t="s">
        <v>884</v>
      </c>
    </row>
    <row r="605" customFormat="false" ht="15" hidden="false" customHeight="false" outlineLevel="0" collapsed="false">
      <c r="A605" s="78" t="s">
        <v>190</v>
      </c>
      <c r="B605" s="78" t="s">
        <v>264</v>
      </c>
      <c r="C605" s="79" t="n">
        <v>2025</v>
      </c>
      <c r="D605" s="79" t="n">
        <v>1</v>
      </c>
      <c r="E605" s="80" t="n">
        <v>45747</v>
      </c>
      <c r="F605" s="78" t="s">
        <v>253</v>
      </c>
      <c r="G605" s="78" t="s">
        <v>254</v>
      </c>
      <c r="H605" s="78" t="s">
        <v>250</v>
      </c>
      <c r="I605" s="81" t="n">
        <v>15759.461</v>
      </c>
      <c r="J605" s="81" t="n">
        <v>2107.35</v>
      </c>
      <c r="K605" s="81" t="n">
        <v>939170000</v>
      </c>
      <c r="L605" s="82" t="n">
        <v>4.91</v>
      </c>
      <c r="M605" s="81" t="n">
        <v>191.3323</v>
      </c>
      <c r="N605" s="81" t="n">
        <v>0</v>
      </c>
      <c r="O605" s="81" t="n">
        <v>16498.529</v>
      </c>
      <c r="P605" s="82" t="n">
        <v>0</v>
      </c>
      <c r="Q605" s="82" t="n">
        <v>261</v>
      </c>
      <c r="R605" s="47" t="n">
        <v>6</v>
      </c>
      <c r="S605" s="66" t="s">
        <v>885</v>
      </c>
    </row>
    <row r="606" customFormat="false" ht="15" hidden="false" customHeight="false" outlineLevel="0" collapsed="false">
      <c r="A606" s="78" t="s">
        <v>190</v>
      </c>
      <c r="B606" s="78" t="s">
        <v>266</v>
      </c>
      <c r="C606" s="79" t="n">
        <v>2024</v>
      </c>
      <c r="D606" s="79" t="n">
        <v>4</v>
      </c>
      <c r="E606" s="80" t="n">
        <v>45657</v>
      </c>
      <c r="F606" s="78" t="s">
        <v>253</v>
      </c>
      <c r="G606" s="78" t="s">
        <v>254</v>
      </c>
      <c r="H606" s="78" t="s">
        <v>250</v>
      </c>
      <c r="I606" s="81" t="n">
        <v>15907.231</v>
      </c>
      <c r="J606" s="81" t="n">
        <v>2057.74</v>
      </c>
      <c r="K606" s="81" t="n">
        <v>923666000</v>
      </c>
      <c r="L606" s="82" t="n">
        <v>4.84</v>
      </c>
      <c r="M606" s="81" t="n">
        <v>191.0393</v>
      </c>
      <c r="N606" s="81" t="n">
        <v>0</v>
      </c>
      <c r="O606" s="81" t="n">
        <v>17771.222</v>
      </c>
      <c r="P606" s="82" t="n">
        <v>0</v>
      </c>
      <c r="Q606" s="82" t="n">
        <v>280</v>
      </c>
      <c r="R606" s="47" t="n">
        <v>7</v>
      </c>
      <c r="S606" s="66" t="s">
        <v>886</v>
      </c>
    </row>
    <row r="607" customFormat="false" ht="15" hidden="false" customHeight="false" outlineLevel="0" collapsed="false">
      <c r="A607" s="78" t="s">
        <v>190</v>
      </c>
      <c r="B607" s="78" t="s">
        <v>268</v>
      </c>
      <c r="C607" s="79" t="n">
        <v>2024</v>
      </c>
      <c r="D607" s="79" t="n">
        <v>3</v>
      </c>
      <c r="E607" s="80" t="n">
        <v>45565</v>
      </c>
      <c r="F607" s="78" t="s">
        <v>253</v>
      </c>
      <c r="G607" s="78" t="s">
        <v>254</v>
      </c>
      <c r="H607" s="78" t="s">
        <v>250</v>
      </c>
      <c r="I607" s="81" t="n">
        <v>15366.525</v>
      </c>
      <c r="J607" s="81" t="n">
        <v>2043.096</v>
      </c>
      <c r="K607" s="81" t="n">
        <v>936620000</v>
      </c>
      <c r="L607" s="82" t="n">
        <v>4.93</v>
      </c>
      <c r="M607" s="81" t="n">
        <v>190.554</v>
      </c>
      <c r="N607" s="81" t="n">
        <v>0</v>
      </c>
      <c r="O607" s="81" t="n">
        <v>16789.65</v>
      </c>
      <c r="P607" s="82" t="n">
        <v>0</v>
      </c>
      <c r="Q607" s="82" t="n">
        <v>282</v>
      </c>
      <c r="R607" s="47" t="n">
        <v>8</v>
      </c>
      <c r="S607" s="66" t="s">
        <v>887</v>
      </c>
    </row>
    <row r="608" customFormat="false" ht="15" hidden="false" customHeight="false" outlineLevel="0" collapsed="false">
      <c r="A608" s="78" t="s">
        <v>190</v>
      </c>
      <c r="B608" s="78" t="s">
        <v>270</v>
      </c>
      <c r="C608" s="79" t="n">
        <v>2024</v>
      </c>
      <c r="D608" s="79" t="n">
        <v>2</v>
      </c>
      <c r="E608" s="80" t="n">
        <v>45473</v>
      </c>
      <c r="F608" s="78" t="s">
        <v>253</v>
      </c>
      <c r="G608" s="78" t="s">
        <v>254</v>
      </c>
      <c r="H608" s="78" t="s">
        <v>250</v>
      </c>
      <c r="I608" s="81" t="n">
        <v>13791.78</v>
      </c>
      <c r="J608" s="81" t="n">
        <v>1931.406</v>
      </c>
      <c r="K608" s="81" t="n">
        <v>1020612000</v>
      </c>
      <c r="L608" s="82" t="n">
        <v>5.41</v>
      </c>
      <c r="M608" s="81" t="n">
        <v>188.7641</v>
      </c>
      <c r="N608" s="81" t="n">
        <v>0</v>
      </c>
      <c r="O608" s="81" t="n">
        <v>15437.575</v>
      </c>
      <c r="P608" s="82" t="n">
        <v>9.99658303</v>
      </c>
      <c r="Q608" s="82" t="n">
        <v>275</v>
      </c>
      <c r="R608" s="47" t="n">
        <v>9</v>
      </c>
      <c r="S608" s="66" t="s">
        <v>888</v>
      </c>
    </row>
    <row r="609" customFormat="false" ht="15" hidden="false" customHeight="false" outlineLevel="0" collapsed="false">
      <c r="A609" s="78" t="s">
        <v>190</v>
      </c>
      <c r="B609" s="78" t="s">
        <v>272</v>
      </c>
      <c r="C609" s="79" t="n">
        <v>2024</v>
      </c>
      <c r="D609" s="79" t="n">
        <v>1</v>
      </c>
      <c r="E609" s="80" t="n">
        <v>45382</v>
      </c>
      <c r="F609" s="78" t="s">
        <v>253</v>
      </c>
      <c r="G609" s="78" t="s">
        <v>254</v>
      </c>
      <c r="H609" s="78" t="s">
        <v>250</v>
      </c>
      <c r="I609" s="81" t="n">
        <v>11931.577</v>
      </c>
      <c r="J609" s="81" t="n">
        <v>1685.728</v>
      </c>
      <c r="K609" s="81" t="n">
        <v>775037000</v>
      </c>
      <c r="L609" s="82" t="n">
        <v>4.11</v>
      </c>
      <c r="M609" s="81" t="n">
        <v>188.7001</v>
      </c>
      <c r="N609" s="81" t="n">
        <v>0</v>
      </c>
      <c r="O609" s="81" t="n">
        <v>14274.286</v>
      </c>
      <c r="P609" s="82" t="n">
        <v>0</v>
      </c>
      <c r="Q609" s="82" t="n">
        <v>219</v>
      </c>
      <c r="R609" s="47" t="n">
        <v>10</v>
      </c>
      <c r="S609" s="66" t="s">
        <v>889</v>
      </c>
    </row>
    <row r="610" customFormat="false" ht="15" hidden="false" customHeight="false" outlineLevel="0" collapsed="false">
      <c r="A610" s="78" t="s">
        <v>190</v>
      </c>
      <c r="B610" s="78" t="s">
        <v>274</v>
      </c>
      <c r="C610" s="79" t="n">
        <v>2023</v>
      </c>
      <c r="D610" s="79" t="n">
        <v>4</v>
      </c>
      <c r="E610" s="80" t="n">
        <v>45291</v>
      </c>
      <c r="F610" s="78" t="s">
        <v>253</v>
      </c>
      <c r="G610" s="78" t="s">
        <v>254</v>
      </c>
      <c r="H610" s="78" t="s">
        <v>250</v>
      </c>
      <c r="I610" s="81" t="n">
        <v>12233.421</v>
      </c>
      <c r="J610" s="81" t="n">
        <v>1593.449</v>
      </c>
      <c r="K610" s="81" t="n">
        <v>633558000</v>
      </c>
      <c r="L610" s="82" t="n">
        <v>3.35</v>
      </c>
      <c r="M610" s="81" t="n">
        <v>188.6996</v>
      </c>
      <c r="N610" s="81" t="n">
        <v>0</v>
      </c>
      <c r="O610" s="81" t="n">
        <v>15109.065</v>
      </c>
      <c r="P610" s="82" t="n">
        <v>0</v>
      </c>
      <c r="Q610" s="82" t="n">
        <v>182.5</v>
      </c>
      <c r="R610" s="47" t="n">
        <v>11</v>
      </c>
      <c r="S610" s="66" t="s">
        <v>890</v>
      </c>
    </row>
    <row r="611" customFormat="false" ht="15" hidden="false" customHeight="false" outlineLevel="0" collapsed="false">
      <c r="A611" s="78" t="s">
        <v>190</v>
      </c>
      <c r="B611" s="78" t="s">
        <v>276</v>
      </c>
      <c r="C611" s="79" t="n">
        <v>2023</v>
      </c>
      <c r="D611" s="79" t="n">
        <v>3</v>
      </c>
      <c r="E611" s="80" t="n">
        <v>45199</v>
      </c>
      <c r="F611" s="78" t="s">
        <v>253</v>
      </c>
      <c r="G611" s="78" t="s">
        <v>254</v>
      </c>
      <c r="H611" s="78" t="s">
        <v>250</v>
      </c>
      <c r="I611" s="81" t="n">
        <v>12492.338</v>
      </c>
      <c r="J611" s="81" t="n">
        <v>1743.119</v>
      </c>
      <c r="K611" s="81" t="n">
        <v>791913000</v>
      </c>
      <c r="L611" s="82" t="n">
        <v>4.25</v>
      </c>
      <c r="M611" s="81" t="n">
        <v>188.6996</v>
      </c>
      <c r="N611" s="81" t="n">
        <v>0</v>
      </c>
      <c r="O611" s="81" t="n">
        <v>14413.298</v>
      </c>
      <c r="P611" s="82" t="n">
        <v>0</v>
      </c>
      <c r="Q611" s="82" t="n">
        <v>169.5</v>
      </c>
      <c r="R611" s="47" t="n">
        <v>12</v>
      </c>
      <c r="S611" s="66" t="s">
        <v>891</v>
      </c>
    </row>
    <row r="612" customFormat="false" ht="15" hidden="false" customHeight="false" outlineLevel="0" collapsed="false">
      <c r="A612" s="78" t="s">
        <v>190</v>
      </c>
      <c r="B612" s="78" t="s">
        <v>278</v>
      </c>
      <c r="C612" s="79" t="n">
        <v>2023</v>
      </c>
      <c r="D612" s="79" t="n">
        <v>2</v>
      </c>
      <c r="E612" s="80" t="n">
        <v>45107</v>
      </c>
      <c r="F612" s="78" t="s">
        <v>253</v>
      </c>
      <c r="G612" s="78" t="s">
        <v>254</v>
      </c>
      <c r="H612" s="78" t="s">
        <v>250</v>
      </c>
      <c r="I612" s="81" t="n">
        <v>12055.351</v>
      </c>
      <c r="J612" s="81" t="n">
        <v>1581.488</v>
      </c>
      <c r="K612" s="81" t="n">
        <v>669619000</v>
      </c>
      <c r="L612" s="82" t="n">
        <v>3.69</v>
      </c>
      <c r="M612" s="81" t="n">
        <v>181.6996</v>
      </c>
      <c r="N612" s="81" t="n">
        <v>0</v>
      </c>
      <c r="O612" s="81" t="n">
        <v>12564.042</v>
      </c>
      <c r="P612" s="82" t="n">
        <v>10</v>
      </c>
      <c r="Q612" s="82" t="n">
        <v>182.5</v>
      </c>
      <c r="R612" s="47" t="n">
        <v>13</v>
      </c>
      <c r="S612" s="66" t="s">
        <v>892</v>
      </c>
    </row>
    <row r="613" customFormat="false" ht="15" hidden="false" customHeight="false" outlineLevel="0" collapsed="false">
      <c r="A613" s="78" t="s">
        <v>190</v>
      </c>
      <c r="B613" s="78" t="s">
        <v>280</v>
      </c>
      <c r="C613" s="79" t="n">
        <v>2023</v>
      </c>
      <c r="D613" s="79" t="n">
        <v>1</v>
      </c>
      <c r="E613" s="80" t="n">
        <v>45016</v>
      </c>
      <c r="F613" s="78" t="s">
        <v>253</v>
      </c>
      <c r="G613" s="78" t="s">
        <v>254</v>
      </c>
      <c r="H613" s="78" t="s">
        <v>250</v>
      </c>
      <c r="I613" s="81" t="n">
        <v>12492.345</v>
      </c>
      <c r="J613" s="81" t="n">
        <v>1500.744</v>
      </c>
      <c r="K613" s="81" t="n">
        <v>739934000</v>
      </c>
      <c r="L613" s="82" t="n">
        <v>4.07</v>
      </c>
      <c r="M613" s="81" t="n">
        <v>181.6996</v>
      </c>
      <c r="N613" s="81" t="n">
        <v>0</v>
      </c>
      <c r="O613" s="81" t="n">
        <v>11830.406</v>
      </c>
      <c r="P613" s="82" t="n">
        <v>0</v>
      </c>
      <c r="Q613" s="82" t="n">
        <v>189</v>
      </c>
      <c r="R613" s="47" t="n">
        <v>14</v>
      </c>
      <c r="S613" s="66" t="s">
        <v>893</v>
      </c>
    </row>
    <row r="614" customFormat="false" ht="15" hidden="false" customHeight="false" outlineLevel="0" collapsed="false">
      <c r="A614" s="78" t="s">
        <v>190</v>
      </c>
      <c r="B614" s="78" t="s">
        <v>282</v>
      </c>
      <c r="C614" s="79" t="n">
        <v>2022</v>
      </c>
      <c r="D614" s="79" t="n">
        <v>4</v>
      </c>
      <c r="E614" s="80" t="n">
        <v>44926</v>
      </c>
      <c r="F614" s="78" t="s">
        <v>253</v>
      </c>
      <c r="G614" s="78" t="s">
        <v>254</v>
      </c>
      <c r="H614" s="78" t="s">
        <v>250</v>
      </c>
      <c r="I614" s="81" t="n">
        <v>13377.459</v>
      </c>
      <c r="J614" s="81" t="n">
        <v>1601.395</v>
      </c>
      <c r="K614" s="81" t="n">
        <v>565094000</v>
      </c>
      <c r="L614" s="82" t="n">
        <v>3.11</v>
      </c>
      <c r="M614" s="81" t="n">
        <v>181.6996</v>
      </c>
      <c r="N614" s="81" t="n">
        <v>0</v>
      </c>
      <c r="O614" s="81" t="n">
        <v>12959.644</v>
      </c>
      <c r="P614" s="82" t="n">
        <v>0</v>
      </c>
      <c r="Q614" s="82" t="n">
        <v>164</v>
      </c>
      <c r="R614" s="47" t="n">
        <v>15</v>
      </c>
      <c r="S614" s="66" t="s">
        <v>894</v>
      </c>
    </row>
    <row r="615" customFormat="false" ht="15" hidden="false" customHeight="false" outlineLevel="0" collapsed="false">
      <c r="A615" s="78" t="s">
        <v>190</v>
      </c>
      <c r="B615" s="78" t="s">
        <v>284</v>
      </c>
      <c r="C615" s="79" t="n">
        <v>2022</v>
      </c>
      <c r="D615" s="79" t="n">
        <v>3</v>
      </c>
      <c r="E615" s="80" t="n">
        <v>44834</v>
      </c>
      <c r="F615" s="78" t="s">
        <v>253</v>
      </c>
      <c r="G615" s="78" t="s">
        <v>254</v>
      </c>
      <c r="H615" s="78" t="s">
        <v>250</v>
      </c>
      <c r="I615" s="81" t="n">
        <v>13792.845</v>
      </c>
      <c r="J615" s="81" t="n">
        <v>1840.106</v>
      </c>
      <c r="K615" s="81" t="n">
        <v>893203000</v>
      </c>
      <c r="L615" s="82" t="n">
        <v>4.92</v>
      </c>
      <c r="M615" s="81" t="n">
        <v>181.6996</v>
      </c>
      <c r="N615" s="81" t="n">
        <v>0</v>
      </c>
      <c r="O615" s="81" t="n">
        <v>12162.603</v>
      </c>
      <c r="P615" s="82" t="n">
        <v>0</v>
      </c>
      <c r="Q615" s="82" t="n">
        <v>154.5</v>
      </c>
      <c r="R615" s="47" t="n">
        <v>16</v>
      </c>
      <c r="S615" s="66" t="s">
        <v>895</v>
      </c>
    </row>
    <row r="616" customFormat="false" ht="15" hidden="false" customHeight="false" outlineLevel="0" collapsed="false">
      <c r="A616" s="78" t="s">
        <v>190</v>
      </c>
      <c r="B616" s="78" t="s">
        <v>286</v>
      </c>
      <c r="C616" s="79" t="n">
        <v>2022</v>
      </c>
      <c r="D616" s="79" t="n">
        <v>2</v>
      </c>
      <c r="E616" s="80" t="n">
        <v>44742</v>
      </c>
      <c r="F616" s="78" t="s">
        <v>253</v>
      </c>
      <c r="G616" s="78" t="s">
        <v>254</v>
      </c>
      <c r="H616" s="78" t="s">
        <v>250</v>
      </c>
      <c r="I616" s="81" t="n">
        <v>13225.334</v>
      </c>
      <c r="J616" s="81" t="n">
        <v>1622.386</v>
      </c>
      <c r="K616" s="81" t="n">
        <v>900267000</v>
      </c>
      <c r="L616" s="82" t="n">
        <v>4.96</v>
      </c>
      <c r="M616" s="81" t="n">
        <v>181.6996</v>
      </c>
      <c r="N616" s="81" t="n">
        <v>0</v>
      </c>
      <c r="O616" s="81" t="n">
        <v>11202.522</v>
      </c>
      <c r="P616" s="82" t="n">
        <v>8.8</v>
      </c>
      <c r="Q616" s="82" t="n">
        <v>138</v>
      </c>
      <c r="R616" s="47" t="n">
        <v>17</v>
      </c>
      <c r="S616" s="66" t="s">
        <v>896</v>
      </c>
    </row>
    <row r="617" customFormat="false" ht="15" hidden="false" customHeight="false" outlineLevel="0" collapsed="false">
      <c r="A617" s="78" t="s">
        <v>190</v>
      </c>
      <c r="B617" s="78" t="s">
        <v>288</v>
      </c>
      <c r="C617" s="79" t="n">
        <v>2022</v>
      </c>
      <c r="D617" s="79" t="n">
        <v>1</v>
      </c>
      <c r="E617" s="80" t="n">
        <v>44651</v>
      </c>
      <c r="F617" s="78" t="s">
        <v>253</v>
      </c>
      <c r="G617" s="78" t="s">
        <v>254</v>
      </c>
      <c r="H617" s="78" t="s">
        <v>250</v>
      </c>
      <c r="I617" s="81" t="n">
        <v>12582.577</v>
      </c>
      <c r="J617" s="81" t="n">
        <v>1461.477</v>
      </c>
      <c r="K617" s="81" t="n">
        <v>659914000</v>
      </c>
      <c r="L617" s="82" t="n">
        <v>3.63</v>
      </c>
      <c r="M617" s="81" t="n">
        <v>181.6996</v>
      </c>
      <c r="N617" s="81" t="n">
        <v>0</v>
      </c>
      <c r="O617" s="81" t="n">
        <v>10707.907</v>
      </c>
      <c r="P617" s="82" t="n">
        <v>0</v>
      </c>
      <c r="Q617" s="82" t="n">
        <v>170</v>
      </c>
      <c r="R617" s="47" t="n">
        <v>18</v>
      </c>
      <c r="S617" s="66" t="s">
        <v>897</v>
      </c>
    </row>
    <row r="618" customFormat="false" ht="15" hidden="false" customHeight="false" outlineLevel="0" collapsed="false">
      <c r="A618" s="78" t="s">
        <v>190</v>
      </c>
      <c r="B618" s="78" t="s">
        <v>290</v>
      </c>
      <c r="C618" s="79" t="n">
        <v>2021</v>
      </c>
      <c r="D618" s="79" t="n">
        <v>4</v>
      </c>
      <c r="E618" s="80" t="n">
        <v>44561</v>
      </c>
      <c r="F618" s="78" t="s">
        <v>253</v>
      </c>
      <c r="G618" s="78" t="s">
        <v>254</v>
      </c>
      <c r="H618" s="78" t="s">
        <v>250</v>
      </c>
      <c r="I618" s="81" t="n">
        <v>11766.16</v>
      </c>
      <c r="J618" s="81" t="n">
        <v>1498.856</v>
      </c>
      <c r="K618" s="81" t="n">
        <v>633208000</v>
      </c>
      <c r="L618" s="82" t="n">
        <v>3.49</v>
      </c>
      <c r="M618" s="81" t="n">
        <v>181.6996</v>
      </c>
      <c r="N618" s="81" t="n">
        <v>0</v>
      </c>
      <c r="O618" s="81" t="n">
        <v>11596.572</v>
      </c>
      <c r="P618" s="82" t="n">
        <v>0</v>
      </c>
      <c r="Q618" s="82" t="n">
        <v>158</v>
      </c>
      <c r="R618" s="47" t="n">
        <v>19</v>
      </c>
      <c r="S618" s="66" t="s">
        <v>898</v>
      </c>
    </row>
    <row r="619" customFormat="false" ht="15" hidden="false" customHeight="false" outlineLevel="0" collapsed="false">
      <c r="A619" s="78" t="s">
        <v>190</v>
      </c>
      <c r="B619" s="78" t="s">
        <v>292</v>
      </c>
      <c r="C619" s="79" t="n">
        <v>2021</v>
      </c>
      <c r="D619" s="79" t="n">
        <v>3</v>
      </c>
      <c r="E619" s="80" t="n">
        <v>44469</v>
      </c>
      <c r="F619" s="78" t="s">
        <v>253</v>
      </c>
      <c r="G619" s="78" t="s">
        <v>254</v>
      </c>
      <c r="H619" s="78" t="s">
        <v>250</v>
      </c>
      <c r="I619" s="81" t="n">
        <v>10988.763</v>
      </c>
      <c r="J619" s="81" t="n">
        <v>1338.868</v>
      </c>
      <c r="K619" s="81" t="n">
        <v>593514000</v>
      </c>
      <c r="L619" s="82" t="n">
        <v>3.26</v>
      </c>
      <c r="M619" s="81" t="n">
        <v>181.6996</v>
      </c>
      <c r="N619" s="81" t="n">
        <v>0</v>
      </c>
      <c r="O619" s="81" t="n">
        <v>10701.466</v>
      </c>
      <c r="P619" s="82" t="n">
        <v>0</v>
      </c>
      <c r="Q619" s="82" t="n">
        <v>137.5</v>
      </c>
      <c r="R619" s="47" t="n">
        <v>20</v>
      </c>
      <c r="S619" s="66" t="s">
        <v>899</v>
      </c>
    </row>
    <row r="620" customFormat="false" ht="15" hidden="false" customHeight="false" outlineLevel="0" collapsed="false">
      <c r="A620" s="78" t="s">
        <v>190</v>
      </c>
      <c r="B620" s="78" t="s">
        <v>294</v>
      </c>
      <c r="C620" s="79" t="n">
        <v>2021</v>
      </c>
      <c r="D620" s="79" t="n">
        <v>2</v>
      </c>
      <c r="E620" s="80" t="n">
        <v>44377</v>
      </c>
      <c r="F620" s="78" t="s">
        <v>253</v>
      </c>
      <c r="G620" s="78" t="s">
        <v>254</v>
      </c>
      <c r="H620" s="78" t="s">
        <v>250</v>
      </c>
      <c r="I620" s="81" t="n">
        <v>10381.154</v>
      </c>
      <c r="J620" s="81" t="n">
        <v>1276.802</v>
      </c>
      <c r="K620" s="81" t="n">
        <v>613334000</v>
      </c>
      <c r="L620" s="82" t="n">
        <v>3.38</v>
      </c>
      <c r="M620" s="81" t="n">
        <v>181.6996</v>
      </c>
      <c r="N620" s="81" t="n">
        <v>0</v>
      </c>
      <c r="O620" s="81" t="n">
        <v>10141.465</v>
      </c>
      <c r="P620" s="82" t="n">
        <v>8</v>
      </c>
      <c r="Q620" s="82" t="n">
        <v>125</v>
      </c>
      <c r="R620" s="47" t="n">
        <v>21</v>
      </c>
      <c r="S620" s="66" t="s">
        <v>900</v>
      </c>
    </row>
    <row r="621" customFormat="false" ht="15" hidden="false" customHeight="false" outlineLevel="0" collapsed="false">
      <c r="A621" s="78" t="s">
        <v>190</v>
      </c>
      <c r="B621" s="78" t="s">
        <v>296</v>
      </c>
      <c r="C621" s="79" t="n">
        <v>2021</v>
      </c>
      <c r="D621" s="79" t="n">
        <v>1</v>
      </c>
      <c r="E621" s="80" t="n">
        <v>44286</v>
      </c>
      <c r="F621" s="78" t="s">
        <v>253</v>
      </c>
      <c r="G621" s="78" t="s">
        <v>254</v>
      </c>
      <c r="H621" s="78" t="s">
        <v>250</v>
      </c>
      <c r="I621" s="81" t="n">
        <v>9532.889</v>
      </c>
      <c r="J621" s="81" t="n">
        <v>1097.678</v>
      </c>
      <c r="K621" s="81" t="n">
        <v>454402000</v>
      </c>
      <c r="L621" s="82" t="n">
        <v>2.5</v>
      </c>
      <c r="M621" s="81" t="n">
        <v>181.6996</v>
      </c>
      <c r="N621" s="81" t="n">
        <v>0</v>
      </c>
      <c r="O621" s="81" t="n">
        <v>9570.395</v>
      </c>
      <c r="P621" s="82" t="n">
        <v>0</v>
      </c>
      <c r="Q621" s="82" t="n">
        <v>136.5</v>
      </c>
      <c r="R621" s="47" t="n">
        <v>22</v>
      </c>
      <c r="S621" s="66" t="s">
        <v>901</v>
      </c>
    </row>
    <row r="622" customFormat="false" ht="15" hidden="false" customHeight="false" outlineLevel="0" collapsed="false">
      <c r="A622" s="78" t="s">
        <v>190</v>
      </c>
      <c r="B622" s="78" t="s">
        <v>298</v>
      </c>
      <c r="C622" s="79" t="n">
        <v>2020</v>
      </c>
      <c r="D622" s="79" t="n">
        <v>4</v>
      </c>
      <c r="E622" s="80" t="n">
        <v>44196</v>
      </c>
      <c r="F622" s="78" t="s">
        <v>253</v>
      </c>
      <c r="G622" s="78" t="s">
        <v>254</v>
      </c>
      <c r="H622" s="78" t="s">
        <v>250</v>
      </c>
      <c r="I622" s="81" t="n">
        <v>8938.602</v>
      </c>
      <c r="J622" s="81" t="n">
        <v>1094.556</v>
      </c>
      <c r="K622" s="81" t="n">
        <v>548182000</v>
      </c>
      <c r="L622" s="82" t="n">
        <v>3.01</v>
      </c>
      <c r="M622" s="81" t="n">
        <v>181.6996</v>
      </c>
      <c r="N622" s="81" t="n">
        <v>0</v>
      </c>
      <c r="O622" s="81" t="n">
        <v>10573.627</v>
      </c>
      <c r="P622" s="82" t="n">
        <v>0</v>
      </c>
      <c r="Q622" s="82" t="n">
        <v>119.5</v>
      </c>
      <c r="R622" s="47" t="n">
        <v>23</v>
      </c>
      <c r="S622" s="66" t="s">
        <v>902</v>
      </c>
    </row>
    <row r="623" customFormat="false" ht="15" hidden="false" customHeight="false" outlineLevel="0" collapsed="false">
      <c r="A623" s="78" t="s">
        <v>190</v>
      </c>
      <c r="B623" s="78" t="s">
        <v>300</v>
      </c>
      <c r="C623" s="79" t="n">
        <v>2020</v>
      </c>
      <c r="D623" s="79" t="n">
        <v>3</v>
      </c>
      <c r="E623" s="80" t="n">
        <v>44104</v>
      </c>
      <c r="F623" s="78" t="s">
        <v>253</v>
      </c>
      <c r="G623" s="78" t="s">
        <v>254</v>
      </c>
      <c r="H623" s="78" t="s">
        <v>250</v>
      </c>
      <c r="I623" s="81" t="n">
        <v>9067.715</v>
      </c>
      <c r="J623" s="81" t="n">
        <v>1028.467</v>
      </c>
      <c r="K623" s="81" t="n">
        <v>521666000</v>
      </c>
      <c r="L623" s="82" t="n">
        <v>2.87</v>
      </c>
      <c r="M623" s="81" t="n">
        <v>181.6996</v>
      </c>
      <c r="N623" s="81" t="n">
        <v>0</v>
      </c>
      <c r="O623" s="81" t="n">
        <v>9893.143</v>
      </c>
      <c r="P623" s="82"/>
      <c r="Q623" s="82" t="n">
        <v>114</v>
      </c>
      <c r="R623" s="47" t="n">
        <v>24</v>
      </c>
      <c r="S623" s="66" t="s">
        <v>903</v>
      </c>
    </row>
    <row r="624" customFormat="false" ht="15" hidden="false" customHeight="false" outlineLevel="0" collapsed="false">
      <c r="A624" s="78" t="s">
        <v>206</v>
      </c>
      <c r="B624" s="78" t="s">
        <v>247</v>
      </c>
      <c r="C624" s="79" t="n">
        <v>2026</v>
      </c>
      <c r="D624" s="79" t="n">
        <v>3</v>
      </c>
      <c r="E624" s="80" t="n">
        <v>46295</v>
      </c>
      <c r="F624" s="78" t="s">
        <v>248</v>
      </c>
      <c r="G624" s="78" t="s">
        <v>249</v>
      </c>
      <c r="H624" s="78" t="s">
        <v>250</v>
      </c>
      <c r="I624" s="81"/>
      <c r="J624" s="81"/>
      <c r="K624" s="81"/>
      <c r="L624" s="82" t="n">
        <v>13.49</v>
      </c>
      <c r="M624" s="81"/>
      <c r="N624" s="81"/>
      <c r="O624" s="81"/>
      <c r="P624" s="82"/>
      <c r="Q624" s="82"/>
      <c r="R624" s="47" t="n">
        <v>0</v>
      </c>
      <c r="S624" s="66" t="s">
        <v>904</v>
      </c>
    </row>
    <row r="625" customFormat="false" ht="15" hidden="false" customHeight="false" outlineLevel="0" collapsed="false">
      <c r="A625" s="78" t="s">
        <v>206</v>
      </c>
      <c r="B625" s="78" t="s">
        <v>252</v>
      </c>
      <c r="C625" s="79" t="n">
        <v>2026</v>
      </c>
      <c r="D625" s="79" t="n">
        <v>2</v>
      </c>
      <c r="E625" s="80" t="n">
        <v>46203</v>
      </c>
      <c r="F625" s="78" t="s">
        <v>253</v>
      </c>
      <c r="G625" s="78" t="s">
        <v>254</v>
      </c>
      <c r="H625" s="78" t="s">
        <v>250</v>
      </c>
      <c r="I625" s="81" t="n">
        <v>3680.968</v>
      </c>
      <c r="J625" s="81" t="n">
        <v>2301.025</v>
      </c>
      <c r="K625" s="81" t="n">
        <v>890415000</v>
      </c>
      <c r="L625" s="82" t="n">
        <v>11.21</v>
      </c>
      <c r="M625" s="81" t="n">
        <v>80.4502</v>
      </c>
      <c r="N625" s="81" t="n">
        <v>200000</v>
      </c>
      <c r="O625" s="81" t="n">
        <v>13590.598</v>
      </c>
      <c r="P625" s="82" t="n">
        <v>0</v>
      </c>
      <c r="Q625" s="82" t="n">
        <v>1640</v>
      </c>
      <c r="R625" s="47" t="n">
        <v>1</v>
      </c>
      <c r="S625" s="66" t="s">
        <v>905</v>
      </c>
    </row>
    <row r="626" customFormat="false" ht="15" hidden="false" customHeight="false" outlineLevel="0" collapsed="false">
      <c r="A626" s="78" t="s">
        <v>206</v>
      </c>
      <c r="B626" s="78" t="s">
        <v>256</v>
      </c>
      <c r="C626" s="79" t="n">
        <v>2026</v>
      </c>
      <c r="D626" s="79" t="n">
        <v>1</v>
      </c>
      <c r="E626" s="80" t="n">
        <v>46112</v>
      </c>
      <c r="F626" s="78" t="s">
        <v>253</v>
      </c>
      <c r="G626" s="78" t="s">
        <v>254</v>
      </c>
      <c r="H626" s="78" t="s">
        <v>250</v>
      </c>
      <c r="I626" s="81" t="n">
        <v>2705.681</v>
      </c>
      <c r="J626" s="81" t="n">
        <v>1499.18</v>
      </c>
      <c r="K626" s="81" t="n">
        <v>606763000</v>
      </c>
      <c r="L626" s="82" t="n">
        <v>7.82</v>
      </c>
      <c r="M626" s="81" t="n">
        <v>78.0733</v>
      </c>
      <c r="N626" s="81" t="n">
        <v>200000</v>
      </c>
      <c r="O626" s="81" t="n">
        <v>7048.699</v>
      </c>
      <c r="P626" s="82" t="n">
        <v>0</v>
      </c>
      <c r="Q626" s="82" t="n">
        <v>1900</v>
      </c>
      <c r="R626" s="47" t="n">
        <v>2</v>
      </c>
      <c r="S626" s="66" t="s">
        <v>906</v>
      </c>
    </row>
    <row r="627" customFormat="false" ht="15" hidden="false" customHeight="false" outlineLevel="0" collapsed="false">
      <c r="A627" s="78" t="s">
        <v>206</v>
      </c>
      <c r="B627" s="78" t="s">
        <v>258</v>
      </c>
      <c r="C627" s="79" t="n">
        <v>2025</v>
      </c>
      <c r="D627" s="79" t="n">
        <v>4</v>
      </c>
      <c r="E627" s="80" t="n">
        <v>46022</v>
      </c>
      <c r="F627" s="78" t="s">
        <v>253</v>
      </c>
      <c r="G627" s="78" t="s">
        <v>254</v>
      </c>
      <c r="H627" s="78" t="s">
        <v>250</v>
      </c>
      <c r="I627" s="81" t="n">
        <v>2999.698</v>
      </c>
      <c r="J627" s="81" t="n">
        <v>1727.031</v>
      </c>
      <c r="K627" s="81" t="n">
        <v>731967000</v>
      </c>
      <c r="L627" s="82" t="n">
        <v>9.59</v>
      </c>
      <c r="M627" s="81" t="n">
        <v>78.0733</v>
      </c>
      <c r="N627" s="81" t="n">
        <v>200000</v>
      </c>
      <c r="O627" s="81" t="n">
        <v>6844.831</v>
      </c>
      <c r="P627" s="82" t="n">
        <v>0</v>
      </c>
      <c r="Q627" s="82" t="n">
        <v>1360</v>
      </c>
      <c r="R627" s="47" t="n">
        <v>3</v>
      </c>
      <c r="S627" s="66" t="s">
        <v>907</v>
      </c>
    </row>
    <row r="628" customFormat="false" ht="15" hidden="false" customHeight="false" outlineLevel="0" collapsed="false">
      <c r="A628" s="78" t="s">
        <v>206</v>
      </c>
      <c r="B628" s="78" t="s">
        <v>260</v>
      </c>
      <c r="C628" s="79" t="n">
        <v>2025</v>
      </c>
      <c r="D628" s="79" t="n">
        <v>3</v>
      </c>
      <c r="E628" s="80" t="n">
        <v>45930</v>
      </c>
      <c r="F628" s="78" t="s">
        <v>253</v>
      </c>
      <c r="G628" s="78" t="s">
        <v>254</v>
      </c>
      <c r="H628" s="78" t="s">
        <v>250</v>
      </c>
      <c r="I628" s="81" t="n">
        <v>2514.032</v>
      </c>
      <c r="J628" s="81" t="n">
        <v>1517.758</v>
      </c>
      <c r="K628" s="81" t="n">
        <v>529792000</v>
      </c>
      <c r="L628" s="82" t="n">
        <v>7.03</v>
      </c>
      <c r="M628" s="81" t="n">
        <v>76.0002</v>
      </c>
      <c r="N628" s="81" t="n">
        <v>200000</v>
      </c>
      <c r="O628" s="81" t="n">
        <v>4097.937</v>
      </c>
      <c r="P628" s="82" t="n">
        <v>8.62269123</v>
      </c>
      <c r="Q628" s="82" t="n">
        <v>793</v>
      </c>
      <c r="R628" s="47" t="n">
        <v>4</v>
      </c>
      <c r="S628" s="66" t="s">
        <v>908</v>
      </c>
    </row>
    <row r="629" customFormat="false" ht="15" hidden="false" customHeight="false" outlineLevel="0" collapsed="false">
      <c r="A629" s="78" t="s">
        <v>206</v>
      </c>
      <c r="B629" s="78" t="s">
        <v>262</v>
      </c>
      <c r="C629" s="79" t="n">
        <v>2025</v>
      </c>
      <c r="D629" s="79" t="n">
        <v>2</v>
      </c>
      <c r="E629" s="80" t="n">
        <v>45838</v>
      </c>
      <c r="F629" s="78" t="s">
        <v>253</v>
      </c>
      <c r="G629" s="78" t="s">
        <v>254</v>
      </c>
      <c r="H629" s="78" t="s">
        <v>250</v>
      </c>
      <c r="I629" s="81" t="n">
        <v>2908.774</v>
      </c>
      <c r="J629" s="81" t="n">
        <v>1793.874</v>
      </c>
      <c r="K629" s="81" t="n">
        <v>195802000</v>
      </c>
      <c r="L629" s="82" t="n">
        <v>2.6</v>
      </c>
      <c r="M629" s="81" t="n">
        <v>76.0002</v>
      </c>
      <c r="N629" s="81" t="n">
        <v>200000</v>
      </c>
      <c r="O629" s="81" t="n">
        <v>3514.644</v>
      </c>
      <c r="P629" s="82" t="n">
        <v>0</v>
      </c>
      <c r="Q629" s="82" t="n">
        <v>464</v>
      </c>
      <c r="R629" s="47" t="n">
        <v>5</v>
      </c>
      <c r="S629" s="66" t="s">
        <v>909</v>
      </c>
    </row>
    <row r="630" customFormat="false" ht="15" hidden="false" customHeight="false" outlineLevel="0" collapsed="false">
      <c r="A630" s="78" t="s">
        <v>206</v>
      </c>
      <c r="B630" s="78" t="s">
        <v>264</v>
      </c>
      <c r="C630" s="79" t="n">
        <v>2025</v>
      </c>
      <c r="D630" s="79" t="n">
        <v>1</v>
      </c>
      <c r="E630" s="80" t="n">
        <v>45747</v>
      </c>
      <c r="F630" s="78" t="s">
        <v>253</v>
      </c>
      <c r="G630" s="78" t="s">
        <v>254</v>
      </c>
      <c r="H630" s="78" t="s">
        <v>250</v>
      </c>
      <c r="I630" s="81" t="n">
        <v>2104.723</v>
      </c>
      <c r="J630" s="81" t="n">
        <v>1040.2</v>
      </c>
      <c r="K630" s="81" t="n">
        <v>321702000</v>
      </c>
      <c r="L630" s="82" t="n">
        <v>4.26</v>
      </c>
      <c r="M630" s="81" t="n">
        <v>76</v>
      </c>
      <c r="N630" s="81" t="n">
        <v>0</v>
      </c>
      <c r="O630" s="81" t="n">
        <v>3568.399</v>
      </c>
      <c r="P630" s="82" t="n">
        <v>0</v>
      </c>
      <c r="Q630" s="82" t="n">
        <v>412.5</v>
      </c>
      <c r="R630" s="47" t="n">
        <v>6</v>
      </c>
      <c r="S630" s="66" t="s">
        <v>910</v>
      </c>
    </row>
    <row r="631" customFormat="false" ht="15" hidden="false" customHeight="false" outlineLevel="0" collapsed="false">
      <c r="A631" s="78" t="s">
        <v>206</v>
      </c>
      <c r="B631" s="78" t="s">
        <v>266</v>
      </c>
      <c r="C631" s="79" t="n">
        <v>2024</v>
      </c>
      <c r="D631" s="79" t="n">
        <v>4</v>
      </c>
      <c r="E631" s="80" t="n">
        <v>45657</v>
      </c>
      <c r="F631" s="78" t="s">
        <v>253</v>
      </c>
      <c r="G631" s="78" t="s">
        <v>254</v>
      </c>
      <c r="H631" s="78" t="s">
        <v>250</v>
      </c>
      <c r="I631" s="81" t="n">
        <v>2500.991</v>
      </c>
      <c r="J631" s="81" t="n">
        <v>1353.807</v>
      </c>
      <c r="K631" s="81" t="n">
        <v>432057000</v>
      </c>
      <c r="L631" s="82" t="n">
        <v>5.78</v>
      </c>
      <c r="M631" s="81" t="n">
        <v>76</v>
      </c>
      <c r="N631" s="81" t="n">
        <v>0</v>
      </c>
      <c r="O631" s="81" t="n">
        <v>3696.075</v>
      </c>
      <c r="P631" s="82" t="n">
        <v>0</v>
      </c>
      <c r="Q631" s="82" t="n">
        <v>650</v>
      </c>
      <c r="R631" s="47" t="n">
        <v>7</v>
      </c>
      <c r="S631" s="66" t="s">
        <v>911</v>
      </c>
    </row>
    <row r="632" customFormat="false" ht="15" hidden="false" customHeight="false" outlineLevel="0" collapsed="false">
      <c r="A632" s="78" t="s">
        <v>206</v>
      </c>
      <c r="B632" s="78" t="s">
        <v>268</v>
      </c>
      <c r="C632" s="79" t="n">
        <v>2024</v>
      </c>
      <c r="D632" s="79" t="n">
        <v>3</v>
      </c>
      <c r="E632" s="80" t="n">
        <v>45565</v>
      </c>
      <c r="F632" s="78" t="s">
        <v>253</v>
      </c>
      <c r="G632" s="78" t="s">
        <v>254</v>
      </c>
      <c r="H632" s="78" t="s">
        <v>250</v>
      </c>
      <c r="I632" s="81" t="n">
        <v>1641.247</v>
      </c>
      <c r="J632" s="81" t="n">
        <v>1038.896</v>
      </c>
      <c r="K632" s="81" t="n">
        <v>259156000</v>
      </c>
      <c r="L632" s="82" t="n">
        <v>3.43</v>
      </c>
      <c r="M632" s="81" t="n">
        <v>75.6</v>
      </c>
      <c r="N632" s="81" t="n">
        <v>0</v>
      </c>
      <c r="O632" s="81" t="n">
        <v>3137.906</v>
      </c>
      <c r="P632" s="82" t="n">
        <v>2.1</v>
      </c>
      <c r="Q632" s="82" t="n">
        <v>374</v>
      </c>
      <c r="R632" s="47" t="n">
        <v>8</v>
      </c>
      <c r="S632" s="66" t="s">
        <v>912</v>
      </c>
    </row>
    <row r="633" customFormat="false" ht="15" hidden="false" customHeight="false" outlineLevel="0" collapsed="false">
      <c r="A633" s="78" t="s">
        <v>206</v>
      </c>
      <c r="B633" s="78" t="s">
        <v>270</v>
      </c>
      <c r="C633" s="79" t="n">
        <v>2024</v>
      </c>
      <c r="D633" s="79" t="n">
        <v>2</v>
      </c>
      <c r="E633" s="80" t="n">
        <v>45473</v>
      </c>
      <c r="F633" s="78" t="s">
        <v>253</v>
      </c>
      <c r="G633" s="78" t="s">
        <v>254</v>
      </c>
      <c r="H633" s="78" t="s">
        <v>250</v>
      </c>
      <c r="I633" s="81" t="n">
        <v>1441.848</v>
      </c>
      <c r="J633" s="81" t="n">
        <v>766.439</v>
      </c>
      <c r="K633" s="81" t="n">
        <v>247463000</v>
      </c>
      <c r="L633" s="82" t="n">
        <v>3.27</v>
      </c>
      <c r="M633" s="81" t="n">
        <v>75.6</v>
      </c>
      <c r="N633" s="81" t="n">
        <v>0</v>
      </c>
      <c r="O633" s="81" t="n">
        <v>2859.876</v>
      </c>
      <c r="P633" s="82" t="n">
        <v>0</v>
      </c>
      <c r="Q633" s="82" t="n">
        <v>336.5</v>
      </c>
      <c r="R633" s="47" t="n">
        <v>9</v>
      </c>
      <c r="S633" s="66" t="s">
        <v>913</v>
      </c>
    </row>
    <row r="634" customFormat="false" ht="15" hidden="false" customHeight="false" outlineLevel="0" collapsed="false">
      <c r="A634" s="78" t="s">
        <v>206</v>
      </c>
      <c r="B634" s="78" t="s">
        <v>272</v>
      </c>
      <c r="C634" s="79" t="n">
        <v>2024</v>
      </c>
      <c r="D634" s="79" t="n">
        <v>1</v>
      </c>
      <c r="E634" s="80" t="n">
        <v>45382</v>
      </c>
      <c r="F634" s="78" t="s">
        <v>253</v>
      </c>
      <c r="G634" s="78" t="s">
        <v>254</v>
      </c>
      <c r="H634" s="78" t="s">
        <v>250</v>
      </c>
      <c r="I634" s="81" t="n">
        <v>826.319</v>
      </c>
      <c r="J634" s="81" t="n">
        <v>406.034</v>
      </c>
      <c r="K634" s="81" t="n">
        <v>118925000</v>
      </c>
      <c r="L634" s="82" t="n">
        <v>1.72</v>
      </c>
      <c r="M634" s="81" t="n">
        <v>75.6</v>
      </c>
      <c r="N634" s="81" t="n">
        <v>0</v>
      </c>
      <c r="O634" s="81" t="n">
        <v>2757.327</v>
      </c>
      <c r="P634" s="82" t="n">
        <v>0</v>
      </c>
      <c r="Q634" s="82" t="n">
        <v>140.5</v>
      </c>
      <c r="R634" s="47" t="n">
        <v>10</v>
      </c>
      <c r="S634" s="66" t="s">
        <v>914</v>
      </c>
    </row>
    <row r="635" customFormat="false" ht="15" hidden="false" customHeight="false" outlineLevel="0" collapsed="false">
      <c r="A635" s="78" t="s">
        <v>206</v>
      </c>
      <c r="B635" s="78" t="s">
        <v>274</v>
      </c>
      <c r="C635" s="79" t="n">
        <v>2023</v>
      </c>
      <c r="D635" s="79" t="n">
        <v>4</v>
      </c>
      <c r="E635" s="80" t="n">
        <v>45291</v>
      </c>
      <c r="F635" s="78" t="s">
        <v>253</v>
      </c>
      <c r="G635" s="78" t="s">
        <v>254</v>
      </c>
      <c r="H635" s="78" t="s">
        <v>250</v>
      </c>
      <c r="I635" s="81" t="n">
        <v>620.029</v>
      </c>
      <c r="J635" s="81" t="n">
        <v>288.46</v>
      </c>
      <c r="K635" s="81" t="n">
        <v>25907000</v>
      </c>
      <c r="L635" s="82" t="n">
        <v>0.39</v>
      </c>
      <c r="M635" s="81" t="n">
        <v>66.3</v>
      </c>
      <c r="N635" s="81" t="n">
        <v>0</v>
      </c>
      <c r="O635" s="81" t="n">
        <v>2050.726</v>
      </c>
      <c r="P635" s="82" t="n">
        <v>0</v>
      </c>
      <c r="Q635" s="82" t="n">
        <v>70.3</v>
      </c>
      <c r="R635" s="47" t="n">
        <v>11</v>
      </c>
      <c r="S635" s="66" t="s">
        <v>915</v>
      </c>
    </row>
    <row r="636" customFormat="false" ht="15" hidden="false" customHeight="false" outlineLevel="0" collapsed="false">
      <c r="A636" s="78" t="s">
        <v>206</v>
      </c>
      <c r="B636" s="78" t="s">
        <v>276</v>
      </c>
      <c r="C636" s="79" t="n">
        <v>2023</v>
      </c>
      <c r="D636" s="79" t="n">
        <v>3</v>
      </c>
      <c r="E636" s="80" t="n">
        <v>45199</v>
      </c>
      <c r="F636" s="78" t="s">
        <v>253</v>
      </c>
      <c r="G636" s="78" t="s">
        <v>254</v>
      </c>
      <c r="H636" s="78" t="s">
        <v>250</v>
      </c>
      <c r="I636" s="81" t="n">
        <v>666.543</v>
      </c>
      <c r="J636" s="81" t="n">
        <v>224.464</v>
      </c>
      <c r="K636" s="81" t="n">
        <v>67669000</v>
      </c>
      <c r="L636" s="82" t="n">
        <v>1.02</v>
      </c>
      <c r="M636" s="81" t="n">
        <v>66.3</v>
      </c>
      <c r="N636" s="81" t="n">
        <v>0</v>
      </c>
      <c r="O636" s="81" t="n">
        <v>2012.74</v>
      </c>
      <c r="P636" s="82" t="n">
        <v>2.1</v>
      </c>
      <c r="Q636" s="82" t="n">
        <v>76.1</v>
      </c>
      <c r="R636" s="47" t="n">
        <v>12</v>
      </c>
      <c r="S636" s="66" t="s">
        <v>916</v>
      </c>
    </row>
    <row r="637" customFormat="false" ht="15" hidden="false" customHeight="false" outlineLevel="0" collapsed="false">
      <c r="A637" s="78" t="s">
        <v>206</v>
      </c>
      <c r="B637" s="78" t="s">
        <v>278</v>
      </c>
      <c r="C637" s="79" t="n">
        <v>2023</v>
      </c>
      <c r="D637" s="79" t="n">
        <v>2</v>
      </c>
      <c r="E637" s="80" t="n">
        <v>45107</v>
      </c>
      <c r="F637" s="78" t="s">
        <v>253</v>
      </c>
      <c r="G637" s="78" t="s">
        <v>254</v>
      </c>
      <c r="H637" s="78" t="s">
        <v>250</v>
      </c>
      <c r="I637" s="81" t="n">
        <v>698.592</v>
      </c>
      <c r="J637" s="81" t="n">
        <v>250.312</v>
      </c>
      <c r="K637" s="81" t="n">
        <v>70949000</v>
      </c>
      <c r="L637" s="82" t="n">
        <v>1.07</v>
      </c>
      <c r="M637" s="81" t="n">
        <v>66.3</v>
      </c>
      <c r="N637" s="81" t="n">
        <v>0</v>
      </c>
      <c r="O637" s="81" t="n">
        <v>1911.408</v>
      </c>
      <c r="P637" s="82" t="n">
        <v>0</v>
      </c>
      <c r="Q637" s="82" t="n">
        <v>51.4</v>
      </c>
      <c r="R637" s="47" t="n">
        <v>13</v>
      </c>
      <c r="S637" s="66" t="s">
        <v>917</v>
      </c>
    </row>
    <row r="638" customFormat="false" ht="15" hidden="false" customHeight="false" outlineLevel="0" collapsed="false">
      <c r="A638" s="78" t="s">
        <v>206</v>
      </c>
      <c r="B638" s="78" t="s">
        <v>280</v>
      </c>
      <c r="C638" s="79" t="n">
        <v>2023</v>
      </c>
      <c r="D638" s="79" t="n">
        <v>1</v>
      </c>
      <c r="E638" s="80" t="n">
        <v>45016</v>
      </c>
      <c r="F638" s="78" t="s">
        <v>253</v>
      </c>
      <c r="G638" s="78" t="s">
        <v>254</v>
      </c>
      <c r="H638" s="78" t="s">
        <v>250</v>
      </c>
      <c r="I638" s="81" t="n">
        <v>632.221</v>
      </c>
      <c r="J638" s="81" t="n">
        <v>167.151</v>
      </c>
      <c r="K638" s="81" t="n">
        <v>3517000</v>
      </c>
      <c r="L638" s="82" t="n">
        <v>0.05</v>
      </c>
      <c r="M638" s="81" t="n">
        <v>66.3</v>
      </c>
      <c r="N638" s="81" t="n">
        <v>0</v>
      </c>
      <c r="O638" s="81" t="n">
        <v>1855.723</v>
      </c>
      <c r="P638" s="82" t="n">
        <v>0</v>
      </c>
      <c r="Q638" s="82" t="n">
        <v>53.9</v>
      </c>
      <c r="R638" s="47" t="n">
        <v>14</v>
      </c>
      <c r="S638" s="66" t="s">
        <v>918</v>
      </c>
    </row>
    <row r="639" customFormat="false" ht="15" hidden="false" customHeight="false" outlineLevel="0" collapsed="false">
      <c r="A639" s="78" t="s">
        <v>206</v>
      </c>
      <c r="B639" s="78" t="s">
        <v>282</v>
      </c>
      <c r="C639" s="79" t="n">
        <v>2022</v>
      </c>
      <c r="D639" s="79" t="n">
        <v>4</v>
      </c>
      <c r="E639" s="80" t="n">
        <v>44926</v>
      </c>
      <c r="F639" s="78" t="s">
        <v>253</v>
      </c>
      <c r="G639" s="78" t="s">
        <v>254</v>
      </c>
      <c r="H639" s="78" t="s">
        <v>250</v>
      </c>
      <c r="I639" s="81" t="n">
        <v>584.015</v>
      </c>
      <c r="J639" s="81" t="n">
        <v>165.938</v>
      </c>
      <c r="K639" s="81" t="n">
        <v>8688000</v>
      </c>
      <c r="L639" s="82" t="n">
        <v>0.13</v>
      </c>
      <c r="M639" s="81" t="n">
        <v>69.3</v>
      </c>
      <c r="N639" s="81" t="n">
        <v>3000000</v>
      </c>
      <c r="O639" s="81" t="n">
        <v>1992.251</v>
      </c>
      <c r="P639" s="82" t="n">
        <v>0</v>
      </c>
      <c r="Q639" s="82" t="n">
        <v>43.6</v>
      </c>
      <c r="R639" s="47" t="n">
        <v>15</v>
      </c>
      <c r="S639" s="66" t="s">
        <v>919</v>
      </c>
    </row>
    <row r="640" customFormat="false" ht="15" hidden="false" customHeight="false" outlineLevel="0" collapsed="false">
      <c r="A640" s="78" t="s">
        <v>206</v>
      </c>
      <c r="B640" s="78" t="s">
        <v>284</v>
      </c>
      <c r="C640" s="79" t="n">
        <v>2022</v>
      </c>
      <c r="D640" s="79" t="n">
        <v>3</v>
      </c>
      <c r="E640" s="80" t="n">
        <v>44834</v>
      </c>
      <c r="F640" s="78" t="s">
        <v>253</v>
      </c>
      <c r="G640" s="78" t="s">
        <v>254</v>
      </c>
      <c r="H640" s="78" t="s">
        <v>250</v>
      </c>
      <c r="I640" s="81" t="n">
        <v>879.51</v>
      </c>
      <c r="J640" s="81" t="n">
        <v>323.78</v>
      </c>
      <c r="K640" s="81" t="n">
        <v>155277000</v>
      </c>
      <c r="L640" s="82" t="n">
        <v>2.34</v>
      </c>
      <c r="M640" s="81" t="n">
        <v>69.3</v>
      </c>
      <c r="N640" s="81" t="n">
        <v>3000000</v>
      </c>
      <c r="O640" s="81" t="n">
        <v>1992.244</v>
      </c>
      <c r="P640" s="82" t="n">
        <v>1.2</v>
      </c>
      <c r="Q640" s="82" t="n">
        <v>46.9</v>
      </c>
      <c r="R640" s="47" t="n">
        <v>16</v>
      </c>
      <c r="S640" s="66" t="s">
        <v>920</v>
      </c>
    </row>
    <row r="641" customFormat="false" ht="15" hidden="false" customHeight="false" outlineLevel="0" collapsed="false">
      <c r="A641" s="78" t="s">
        <v>206</v>
      </c>
      <c r="B641" s="78" t="s">
        <v>286</v>
      </c>
      <c r="C641" s="79" t="n">
        <v>2022</v>
      </c>
      <c r="D641" s="79" t="n">
        <v>2</v>
      </c>
      <c r="E641" s="80" t="n">
        <v>44742</v>
      </c>
      <c r="F641" s="78" t="s">
        <v>253</v>
      </c>
      <c r="G641" s="78" t="s">
        <v>254</v>
      </c>
      <c r="H641" s="78" t="s">
        <v>250</v>
      </c>
      <c r="I641" s="81" t="n">
        <v>770.139</v>
      </c>
      <c r="J641" s="81" t="n">
        <v>243.689</v>
      </c>
      <c r="K641" s="81" t="n">
        <v>82775000</v>
      </c>
      <c r="L641" s="82" t="n">
        <v>1.25</v>
      </c>
      <c r="M641" s="81" t="n">
        <v>69.3</v>
      </c>
      <c r="N641" s="81" t="n">
        <v>3000000</v>
      </c>
      <c r="O641" s="81" t="n">
        <v>1828.554</v>
      </c>
      <c r="P641" s="82" t="n">
        <v>0</v>
      </c>
      <c r="Q641" s="82" t="n">
        <v>40.85</v>
      </c>
      <c r="R641" s="47" t="n">
        <v>17</v>
      </c>
      <c r="S641" s="66" t="s">
        <v>921</v>
      </c>
    </row>
    <row r="642" customFormat="false" ht="15" hidden="false" customHeight="false" outlineLevel="0" collapsed="false">
      <c r="A642" s="78" t="s">
        <v>206</v>
      </c>
      <c r="B642" s="78" t="s">
        <v>288</v>
      </c>
      <c r="C642" s="79" t="n">
        <v>2022</v>
      </c>
      <c r="D642" s="79" t="n">
        <v>1</v>
      </c>
      <c r="E642" s="80" t="n">
        <v>44651</v>
      </c>
      <c r="F642" s="78" t="s">
        <v>253</v>
      </c>
      <c r="G642" s="78" t="s">
        <v>254</v>
      </c>
      <c r="H642" s="78" t="s">
        <v>250</v>
      </c>
      <c r="I642" s="81" t="n">
        <v>706.524</v>
      </c>
      <c r="J642" s="81" t="n">
        <v>201.814</v>
      </c>
      <c r="K642" s="81" t="n">
        <v>74925000</v>
      </c>
      <c r="L642" s="82" t="n">
        <v>1.13</v>
      </c>
      <c r="M642" s="81" t="n">
        <v>69.3</v>
      </c>
      <c r="N642" s="81" t="n">
        <v>3000000</v>
      </c>
      <c r="O642" s="81" t="n">
        <v>1757.456</v>
      </c>
      <c r="P642" s="82" t="n">
        <v>0</v>
      </c>
      <c r="Q642" s="82" t="n">
        <v>36.25</v>
      </c>
      <c r="R642" s="47" t="n">
        <v>18</v>
      </c>
      <c r="S642" s="66" t="s">
        <v>922</v>
      </c>
    </row>
    <row r="643" customFormat="false" ht="15" hidden="false" customHeight="false" outlineLevel="0" collapsed="false">
      <c r="A643" s="78" t="s">
        <v>206</v>
      </c>
      <c r="B643" s="78" t="s">
        <v>290</v>
      </c>
      <c r="C643" s="79" t="n">
        <v>2021</v>
      </c>
      <c r="D643" s="79" t="n">
        <v>4</v>
      </c>
      <c r="E643" s="80" t="n">
        <v>44561</v>
      </c>
      <c r="F643" s="78" t="s">
        <v>253</v>
      </c>
      <c r="G643" s="78" t="s">
        <v>254</v>
      </c>
      <c r="H643" s="78" t="s">
        <v>250</v>
      </c>
      <c r="I643" s="81" t="n">
        <v>627.018</v>
      </c>
      <c r="J643" s="81" t="n">
        <v>145.045</v>
      </c>
      <c r="K643" s="81" t="n">
        <v>31592000</v>
      </c>
      <c r="L643" s="82" t="n">
        <v>0.48</v>
      </c>
      <c r="M643" s="81" t="n">
        <v>69.3</v>
      </c>
      <c r="N643" s="81" t="n">
        <v>3000000</v>
      </c>
      <c r="O643" s="81" t="n">
        <v>1737.529</v>
      </c>
      <c r="P643" s="82" t="n">
        <v>0</v>
      </c>
      <c r="Q643" s="82" t="n">
        <v>35.95</v>
      </c>
      <c r="R643" s="47" t="n">
        <v>19</v>
      </c>
      <c r="S643" s="66" t="s">
        <v>923</v>
      </c>
    </row>
    <row r="644" customFormat="false" ht="15" hidden="false" customHeight="false" outlineLevel="0" collapsed="false">
      <c r="A644" s="78" t="s">
        <v>206</v>
      </c>
      <c r="B644" s="78" t="s">
        <v>292</v>
      </c>
      <c r="C644" s="79" t="n">
        <v>2021</v>
      </c>
      <c r="D644" s="79" t="n">
        <v>3</v>
      </c>
      <c r="E644" s="80" t="n">
        <v>44469</v>
      </c>
      <c r="F644" s="78" t="s">
        <v>253</v>
      </c>
      <c r="G644" s="78" t="s">
        <v>254</v>
      </c>
      <c r="H644" s="78" t="s">
        <v>250</v>
      </c>
      <c r="I644" s="81" t="n">
        <v>768.611</v>
      </c>
      <c r="J644" s="81" t="n">
        <v>144.113</v>
      </c>
      <c r="K644" s="81" t="n">
        <v>22859000</v>
      </c>
      <c r="L644" s="82" t="n">
        <v>0.34</v>
      </c>
      <c r="M644" s="81" t="n">
        <v>69.3</v>
      </c>
      <c r="N644" s="81" t="n">
        <v>3000000</v>
      </c>
      <c r="O644" s="81" t="n">
        <v>1698.998</v>
      </c>
      <c r="P644" s="82" t="n">
        <v>1</v>
      </c>
      <c r="Q644" s="82" t="n">
        <v>34.9</v>
      </c>
      <c r="R644" s="47" t="n">
        <v>20</v>
      </c>
      <c r="S644" s="66" t="s">
        <v>924</v>
      </c>
    </row>
    <row r="645" customFormat="false" ht="15" hidden="false" customHeight="false" outlineLevel="0" collapsed="false">
      <c r="A645" s="78" t="s">
        <v>206</v>
      </c>
      <c r="B645" s="78" t="s">
        <v>294</v>
      </c>
      <c r="C645" s="79" t="n">
        <v>2021</v>
      </c>
      <c r="D645" s="79" t="n">
        <v>2</v>
      </c>
      <c r="E645" s="80" t="n">
        <v>44377</v>
      </c>
      <c r="F645" s="78" t="s">
        <v>253</v>
      </c>
      <c r="G645" s="78" t="s">
        <v>254</v>
      </c>
      <c r="H645" s="78" t="s">
        <v>250</v>
      </c>
      <c r="I645" s="81" t="n">
        <v>727.566</v>
      </c>
      <c r="J645" s="81" t="n">
        <v>177.768</v>
      </c>
      <c r="K645" s="81" t="n">
        <v>34779000</v>
      </c>
      <c r="L645" s="82" t="n">
        <v>0.53</v>
      </c>
      <c r="M645" s="81" t="n">
        <v>69.3</v>
      </c>
      <c r="N645" s="81" t="n">
        <v>3000000</v>
      </c>
      <c r="O645" s="81" t="n">
        <v>1680.253</v>
      </c>
      <c r="P645" s="82" t="n">
        <v>0</v>
      </c>
      <c r="Q645" s="82" t="n">
        <v>34.55</v>
      </c>
      <c r="R645" s="47" t="n">
        <v>21</v>
      </c>
      <c r="S645" s="66" t="s">
        <v>925</v>
      </c>
    </row>
    <row r="646" customFormat="false" ht="15" hidden="false" customHeight="false" outlineLevel="0" collapsed="false">
      <c r="A646" s="78" t="s">
        <v>206</v>
      </c>
      <c r="B646" s="78" t="s">
        <v>296</v>
      </c>
      <c r="C646" s="79" t="n">
        <v>2021</v>
      </c>
      <c r="D646" s="79" t="n">
        <v>1</v>
      </c>
      <c r="E646" s="80" t="n">
        <v>44286</v>
      </c>
      <c r="F646" s="78" t="s">
        <v>253</v>
      </c>
      <c r="G646" s="78" t="s">
        <v>254</v>
      </c>
      <c r="H646" s="78" t="s">
        <v>250</v>
      </c>
      <c r="I646" s="81" t="n">
        <v>689.821</v>
      </c>
      <c r="J646" s="81" t="n">
        <v>134.327</v>
      </c>
      <c r="K646" s="81" t="n">
        <v>14175000</v>
      </c>
      <c r="L646" s="82" t="n">
        <v>0.21</v>
      </c>
      <c r="M646" s="81" t="n">
        <v>69.3</v>
      </c>
      <c r="N646" s="81" t="n">
        <v>3000000</v>
      </c>
      <c r="O646" s="81" t="n">
        <v>1651.321</v>
      </c>
      <c r="P646" s="82" t="n">
        <v>0</v>
      </c>
      <c r="Q646" s="82" t="n">
        <v>31.75</v>
      </c>
      <c r="R646" s="47" t="n">
        <v>22</v>
      </c>
      <c r="S646" s="66" t="s">
        <v>926</v>
      </c>
    </row>
    <row r="647" customFormat="false" ht="15" hidden="false" customHeight="false" outlineLevel="0" collapsed="false">
      <c r="A647" s="78" t="s">
        <v>206</v>
      </c>
      <c r="B647" s="78" t="s">
        <v>298</v>
      </c>
      <c r="C647" s="79" t="n">
        <v>2020</v>
      </c>
      <c r="D647" s="79" t="n">
        <v>4</v>
      </c>
      <c r="E647" s="80" t="n">
        <v>44196</v>
      </c>
      <c r="F647" s="78" t="s">
        <v>253</v>
      </c>
      <c r="G647" s="78" t="s">
        <v>254</v>
      </c>
      <c r="H647" s="78" t="s">
        <v>250</v>
      </c>
      <c r="I647" s="81" t="n">
        <v>624.778</v>
      </c>
      <c r="J647" s="81" t="n">
        <v>104.654</v>
      </c>
      <c r="K647" s="81" t="n">
        <v>-17035000</v>
      </c>
      <c r="L647" s="82" t="n">
        <v>-0.26</v>
      </c>
      <c r="M647" s="81" t="n">
        <v>69.3</v>
      </c>
      <c r="N647" s="81" t="n">
        <v>3000000</v>
      </c>
      <c r="O647" s="81" t="n">
        <v>1709.033</v>
      </c>
      <c r="P647" s="82" t="n">
        <v>0</v>
      </c>
      <c r="Q647" s="82" t="n">
        <v>29.7</v>
      </c>
      <c r="R647" s="47" t="n">
        <v>23</v>
      </c>
      <c r="S647" s="66" t="s">
        <v>927</v>
      </c>
    </row>
    <row r="648" customFormat="false" ht="15" hidden="false" customHeight="false" outlineLevel="0" collapsed="false">
      <c r="A648" s="78" t="s">
        <v>206</v>
      </c>
      <c r="B648" s="78" t="s">
        <v>300</v>
      </c>
      <c r="C648" s="79" t="n">
        <v>2020</v>
      </c>
      <c r="D648" s="79" t="n">
        <v>3</v>
      </c>
      <c r="E648" s="80" t="n">
        <v>44104</v>
      </c>
      <c r="F648" s="78" t="s">
        <v>253</v>
      </c>
      <c r="G648" s="78" t="s">
        <v>254</v>
      </c>
      <c r="H648" s="78" t="s">
        <v>250</v>
      </c>
      <c r="I648" s="81" t="n">
        <v>652.44</v>
      </c>
      <c r="J648" s="81" t="n">
        <v>133.774</v>
      </c>
      <c r="K648" s="81" t="n">
        <v>8361000</v>
      </c>
      <c r="L648" s="82" t="n">
        <v>0.13</v>
      </c>
      <c r="M648" s="81" t="n">
        <v>69.3</v>
      </c>
      <c r="N648" s="81" t="n">
        <v>3000000</v>
      </c>
      <c r="O648" s="81" t="n">
        <v>1725.055</v>
      </c>
      <c r="P648" s="82"/>
      <c r="Q648" s="82" t="n">
        <v>30.1</v>
      </c>
      <c r="R648" s="47" t="n">
        <v>24</v>
      </c>
      <c r="S648" s="66" t="s">
        <v>928</v>
      </c>
    </row>
    <row r="649" customFormat="false" ht="15" hidden="false" customHeight="false" outlineLevel="0" collapsed="false">
      <c r="A649" s="78" t="s">
        <v>216</v>
      </c>
      <c r="B649" s="78" t="s">
        <v>247</v>
      </c>
      <c r="C649" s="79" t="n">
        <v>2026</v>
      </c>
      <c r="D649" s="79" t="n">
        <v>3</v>
      </c>
      <c r="E649" s="80" t="n">
        <v>46295</v>
      </c>
      <c r="F649" s="78" t="s">
        <v>248</v>
      </c>
      <c r="G649" s="78" t="s">
        <v>249</v>
      </c>
      <c r="H649" s="78" t="s">
        <v>250</v>
      </c>
      <c r="I649" s="81"/>
      <c r="J649" s="81"/>
      <c r="K649" s="81"/>
      <c r="L649" s="82" t="n">
        <v>119.73446</v>
      </c>
      <c r="M649" s="81"/>
      <c r="N649" s="81"/>
      <c r="O649" s="81"/>
      <c r="P649" s="82"/>
      <c r="Q649" s="82"/>
      <c r="R649" s="47" t="n">
        <v>0</v>
      </c>
      <c r="S649" s="66" t="s">
        <v>929</v>
      </c>
    </row>
    <row r="650" customFormat="false" ht="15" hidden="false" customHeight="false" outlineLevel="0" collapsed="false">
      <c r="A650" s="78" t="s">
        <v>216</v>
      </c>
      <c r="B650" s="78" t="s">
        <v>252</v>
      </c>
      <c r="C650" s="79" t="n">
        <v>2026</v>
      </c>
      <c r="D650" s="79" t="n">
        <v>2</v>
      </c>
      <c r="E650" s="80" t="n">
        <v>46203</v>
      </c>
      <c r="F650" s="78" t="s">
        <v>253</v>
      </c>
      <c r="G650" s="78" t="s">
        <v>254</v>
      </c>
      <c r="H650" s="78" t="s">
        <v>250</v>
      </c>
      <c r="I650" s="81" t="n">
        <v>67888.256</v>
      </c>
      <c r="J650" s="81" t="n">
        <v>44364.904</v>
      </c>
      <c r="K650" s="81" t="n">
        <v>26217208000</v>
      </c>
      <c r="L650" s="82" t="n">
        <v>118.57</v>
      </c>
      <c r="M650" s="81" t="n">
        <v>221.0857</v>
      </c>
      <c r="N650" s="81" t="n">
        <v>0</v>
      </c>
      <c r="O650" s="81" t="n">
        <v>102058.81</v>
      </c>
      <c r="P650" s="82" t="n">
        <v>16.96425749</v>
      </c>
      <c r="Q650" s="82" t="n">
        <v>2385</v>
      </c>
      <c r="R650" s="47" t="n">
        <v>1</v>
      </c>
      <c r="S650" s="66" t="s">
        <v>930</v>
      </c>
    </row>
    <row r="651" customFormat="false" ht="15" hidden="false" customHeight="false" outlineLevel="0" collapsed="false">
      <c r="A651" s="78" t="s">
        <v>216</v>
      </c>
      <c r="B651" s="78" t="s">
        <v>256</v>
      </c>
      <c r="C651" s="79" t="n">
        <v>2026</v>
      </c>
      <c r="D651" s="79" t="n">
        <v>1</v>
      </c>
      <c r="E651" s="80" t="n">
        <v>46112</v>
      </c>
      <c r="F651" s="78" t="s">
        <v>253</v>
      </c>
      <c r="G651" s="78" t="s">
        <v>254</v>
      </c>
      <c r="H651" s="78" t="s">
        <v>250</v>
      </c>
      <c r="I651" s="81" t="n">
        <v>40966.953</v>
      </c>
      <c r="J651" s="81" t="n">
        <v>25324.651</v>
      </c>
      <c r="K651" s="81" t="n">
        <v>15174020000</v>
      </c>
      <c r="L651" s="82" t="n">
        <v>68.8</v>
      </c>
      <c r="M651" s="81" t="n">
        <v>217.8343</v>
      </c>
      <c r="N651" s="81" t="n">
        <v>0</v>
      </c>
      <c r="O651" s="81" t="n">
        <v>74118.255</v>
      </c>
      <c r="P651" s="82" t="n">
        <v>0</v>
      </c>
      <c r="Q651" s="82" t="n">
        <v>1500</v>
      </c>
      <c r="R651" s="47" t="n">
        <v>2</v>
      </c>
      <c r="S651" s="66" t="s">
        <v>931</v>
      </c>
    </row>
    <row r="652" customFormat="false" ht="15" hidden="false" customHeight="false" outlineLevel="0" collapsed="false">
      <c r="A652" s="78" t="s">
        <v>216</v>
      </c>
      <c r="B652" s="78" t="s">
        <v>258</v>
      </c>
      <c r="C652" s="79" t="n">
        <v>2025</v>
      </c>
      <c r="D652" s="79" t="n">
        <v>4</v>
      </c>
      <c r="E652" s="80" t="n">
        <v>46022</v>
      </c>
      <c r="F652" s="78" t="s">
        <v>253</v>
      </c>
      <c r="G652" s="78" t="s">
        <v>254</v>
      </c>
      <c r="H652" s="78" t="s">
        <v>250</v>
      </c>
      <c r="I652" s="81" t="n">
        <v>22798.658</v>
      </c>
      <c r="J652" s="81" t="n">
        <v>9547.31</v>
      </c>
      <c r="K652" s="81" t="n">
        <v>4628548000</v>
      </c>
      <c r="L652" s="82" t="n">
        <v>22.08</v>
      </c>
      <c r="M652" s="81" t="n">
        <v>207.9733</v>
      </c>
      <c r="N652" s="81" t="n">
        <v>0</v>
      </c>
      <c r="O652" s="81" t="n">
        <v>60097.121</v>
      </c>
      <c r="P652" s="82" t="n">
        <v>6.2283164</v>
      </c>
      <c r="Q652" s="82" t="n">
        <v>1450</v>
      </c>
      <c r="R652" s="47" t="n">
        <v>3</v>
      </c>
      <c r="S652" s="66" t="s">
        <v>932</v>
      </c>
    </row>
    <row r="653" customFormat="false" ht="15" hidden="false" customHeight="false" outlineLevel="0" collapsed="false">
      <c r="A653" s="78" t="s">
        <v>216</v>
      </c>
      <c r="B653" s="78" t="s">
        <v>260</v>
      </c>
      <c r="C653" s="79" t="n">
        <v>2025</v>
      </c>
      <c r="D653" s="79" t="n">
        <v>3</v>
      </c>
      <c r="E653" s="80" t="n">
        <v>45930</v>
      </c>
      <c r="F653" s="78" t="s">
        <v>253</v>
      </c>
      <c r="G653" s="78" t="s">
        <v>254</v>
      </c>
      <c r="H653" s="78" t="s">
        <v>250</v>
      </c>
      <c r="I653" s="81" t="n">
        <v>18136.797</v>
      </c>
      <c r="J653" s="81" t="n">
        <v>5914.005</v>
      </c>
      <c r="K653" s="81" t="n">
        <v>2225486000</v>
      </c>
      <c r="L653" s="82" t="n">
        <v>10.75</v>
      </c>
      <c r="M653" s="81" t="n">
        <v>206.6278</v>
      </c>
      <c r="N653" s="81" t="n">
        <v>0</v>
      </c>
      <c r="O653" s="81" t="n">
        <v>50069.133</v>
      </c>
      <c r="P653" s="82" t="n">
        <v>11.95899874</v>
      </c>
      <c r="Q653" s="82" t="n">
        <v>706</v>
      </c>
      <c r="R653" s="47" t="n">
        <v>4</v>
      </c>
      <c r="S653" s="66" t="s">
        <v>933</v>
      </c>
    </row>
    <row r="654" customFormat="false" ht="15" hidden="false" customHeight="false" outlineLevel="0" collapsed="false">
      <c r="A654" s="78" t="s">
        <v>216</v>
      </c>
      <c r="B654" s="78" t="s">
        <v>262</v>
      </c>
      <c r="C654" s="79" t="n">
        <v>2025</v>
      </c>
      <c r="D654" s="79" t="n">
        <v>2</v>
      </c>
      <c r="E654" s="80" t="n">
        <v>45838</v>
      </c>
      <c r="F654" s="78" t="s">
        <v>253</v>
      </c>
      <c r="G654" s="78" t="s">
        <v>254</v>
      </c>
      <c r="H654" s="78" t="s">
        <v>250</v>
      </c>
      <c r="I654" s="81" t="n">
        <v>17890.071</v>
      </c>
      <c r="J654" s="81" t="n">
        <v>5224.402</v>
      </c>
      <c r="K654" s="81" t="n">
        <v>744576000</v>
      </c>
      <c r="L654" s="82" t="n">
        <v>3.6</v>
      </c>
      <c r="M654" s="81" t="n">
        <v>206.5528</v>
      </c>
      <c r="N654" s="81" t="n">
        <v>0</v>
      </c>
      <c r="O654" s="81" t="n">
        <v>48521.837</v>
      </c>
      <c r="P654" s="82" t="n">
        <v>0</v>
      </c>
      <c r="Q654" s="82" t="n">
        <v>503</v>
      </c>
      <c r="R654" s="47" t="n">
        <v>5</v>
      </c>
      <c r="S654" s="66" t="s">
        <v>934</v>
      </c>
    </row>
    <row r="655" customFormat="false" ht="15" hidden="false" customHeight="false" outlineLevel="0" collapsed="false">
      <c r="A655" s="78" t="s">
        <v>216</v>
      </c>
      <c r="B655" s="78" t="s">
        <v>264</v>
      </c>
      <c r="C655" s="79" t="n">
        <v>2025</v>
      </c>
      <c r="D655" s="79" t="n">
        <v>1</v>
      </c>
      <c r="E655" s="80" t="n">
        <v>45747</v>
      </c>
      <c r="F655" s="78" t="s">
        <v>253</v>
      </c>
      <c r="G655" s="78" t="s">
        <v>254</v>
      </c>
      <c r="H655" s="78" t="s">
        <v>250</v>
      </c>
      <c r="I655" s="81" t="n">
        <v>13838.565</v>
      </c>
      <c r="J655" s="81" t="n">
        <v>4312.936</v>
      </c>
      <c r="K655" s="81" t="n">
        <v>1140568000</v>
      </c>
      <c r="L655" s="82" t="n">
        <v>5.53</v>
      </c>
      <c r="M655" s="81" t="n">
        <v>205.8178</v>
      </c>
      <c r="N655" s="81" t="n">
        <v>0</v>
      </c>
      <c r="O655" s="81" t="n">
        <v>48217.191</v>
      </c>
      <c r="P655" s="82" t="n">
        <v>13.12356282</v>
      </c>
      <c r="Q655" s="82" t="n">
        <v>526</v>
      </c>
      <c r="R655" s="47" t="n">
        <v>6</v>
      </c>
      <c r="S655" s="66" t="s">
        <v>935</v>
      </c>
    </row>
    <row r="656" customFormat="false" ht="15" hidden="false" customHeight="false" outlineLevel="0" collapsed="false">
      <c r="A656" s="78" t="s">
        <v>216</v>
      </c>
      <c r="B656" s="78" t="s">
        <v>266</v>
      </c>
      <c r="C656" s="79" t="n">
        <v>2024</v>
      </c>
      <c r="D656" s="79" t="n">
        <v>4</v>
      </c>
      <c r="E656" s="80" t="n">
        <v>45657</v>
      </c>
      <c r="F656" s="78" t="s">
        <v>253</v>
      </c>
      <c r="G656" s="78" t="s">
        <v>254</v>
      </c>
      <c r="H656" s="78" t="s">
        <v>250</v>
      </c>
      <c r="I656" s="81" t="n">
        <v>12572.309</v>
      </c>
      <c r="J656" s="81" t="n">
        <v>3813.642</v>
      </c>
      <c r="K656" s="81" t="n">
        <v>2391195000</v>
      </c>
      <c r="L656" s="82" t="n">
        <v>11.64</v>
      </c>
      <c r="M656" s="81" t="n">
        <v>205.3341</v>
      </c>
      <c r="N656" s="81" t="n">
        <v>0</v>
      </c>
      <c r="O656" s="81" t="n">
        <v>49056.697</v>
      </c>
      <c r="P656" s="82" t="n">
        <v>0</v>
      </c>
      <c r="Q656" s="82" t="n">
        <v>534</v>
      </c>
      <c r="R656" s="47" t="n">
        <v>7</v>
      </c>
      <c r="S656" s="66" t="s">
        <v>936</v>
      </c>
    </row>
    <row r="657" customFormat="false" ht="15" hidden="false" customHeight="false" outlineLevel="0" collapsed="false">
      <c r="A657" s="78" t="s">
        <v>216</v>
      </c>
      <c r="B657" s="78" t="s">
        <v>268</v>
      </c>
      <c r="C657" s="79" t="n">
        <v>2024</v>
      </c>
      <c r="D657" s="79" t="n">
        <v>3</v>
      </c>
      <c r="E657" s="80" t="n">
        <v>45565</v>
      </c>
      <c r="F657" s="78" t="s">
        <v>253</v>
      </c>
      <c r="G657" s="78" t="s">
        <v>254</v>
      </c>
      <c r="H657" s="78" t="s">
        <v>250</v>
      </c>
      <c r="I657" s="81" t="n">
        <v>13942.559</v>
      </c>
      <c r="J657" s="81" t="n">
        <v>4082.04</v>
      </c>
      <c r="K657" s="81" t="n">
        <v>691424000</v>
      </c>
      <c r="L657" s="82" t="n">
        <v>3.37</v>
      </c>
      <c r="M657" s="81" t="n">
        <v>204.7811</v>
      </c>
      <c r="N657" s="81" t="n">
        <v>0</v>
      </c>
      <c r="O657" s="81" t="n">
        <v>47315.527</v>
      </c>
      <c r="P657" s="82" t="n">
        <v>8.65930424</v>
      </c>
      <c r="Q657" s="82" t="n">
        <v>494</v>
      </c>
      <c r="R657" s="47" t="n">
        <v>8</v>
      </c>
      <c r="S657" s="66" t="s">
        <v>937</v>
      </c>
    </row>
    <row r="658" customFormat="false" ht="15" hidden="false" customHeight="false" outlineLevel="0" collapsed="false">
      <c r="A658" s="78" t="s">
        <v>216</v>
      </c>
      <c r="B658" s="78" t="s">
        <v>270</v>
      </c>
      <c r="C658" s="79" t="n">
        <v>2024</v>
      </c>
      <c r="D658" s="79" t="n">
        <v>2</v>
      </c>
      <c r="E658" s="80" t="n">
        <v>45473</v>
      </c>
      <c r="F658" s="78" t="s">
        <v>253</v>
      </c>
      <c r="G658" s="78" t="s">
        <v>254</v>
      </c>
      <c r="H658" s="78" t="s">
        <v>250</v>
      </c>
      <c r="I658" s="81" t="n">
        <v>15894.768</v>
      </c>
      <c r="J658" s="81" t="n">
        <v>5604.201</v>
      </c>
      <c r="K658" s="81" t="n">
        <v>2450969000</v>
      </c>
      <c r="L658" s="82" t="n">
        <v>11.97</v>
      </c>
      <c r="M658" s="81" t="n">
        <v>204.7798</v>
      </c>
      <c r="N658" s="81" t="n">
        <v>0</v>
      </c>
      <c r="O658" s="81" t="n">
        <v>49094.506</v>
      </c>
      <c r="P658" s="82" t="n">
        <v>0</v>
      </c>
      <c r="Q658" s="82" t="n">
        <v>617</v>
      </c>
      <c r="R658" s="47" t="n">
        <v>9</v>
      </c>
      <c r="S658" s="66" t="s">
        <v>938</v>
      </c>
    </row>
    <row r="659" customFormat="false" ht="15" hidden="false" customHeight="false" outlineLevel="0" collapsed="false">
      <c r="A659" s="78" t="s">
        <v>216</v>
      </c>
      <c r="B659" s="78" t="s">
        <v>272</v>
      </c>
      <c r="C659" s="79" t="n">
        <v>2024</v>
      </c>
      <c r="D659" s="79" t="n">
        <v>1</v>
      </c>
      <c r="E659" s="80" t="n">
        <v>45382</v>
      </c>
      <c r="F659" s="78" t="s">
        <v>253</v>
      </c>
      <c r="G659" s="78" t="s">
        <v>254</v>
      </c>
      <c r="H659" s="78" t="s">
        <v>250</v>
      </c>
      <c r="I659" s="81" t="n">
        <v>16525.877</v>
      </c>
      <c r="J659" s="81" t="n">
        <v>5607.875</v>
      </c>
      <c r="K659" s="81" t="n">
        <v>2419618000</v>
      </c>
      <c r="L659" s="82" t="n">
        <v>12.02</v>
      </c>
      <c r="M659" s="81" t="n">
        <v>204.769</v>
      </c>
      <c r="N659" s="81" t="n">
        <v>0</v>
      </c>
      <c r="O659" s="81" t="n">
        <v>46537.677</v>
      </c>
      <c r="P659" s="82" t="n">
        <v>0</v>
      </c>
      <c r="Q659" s="82" t="n">
        <v>708</v>
      </c>
      <c r="R659" s="47" t="n">
        <v>10</v>
      </c>
      <c r="S659" s="66" t="s">
        <v>939</v>
      </c>
    </row>
    <row r="660" customFormat="false" ht="15" hidden="false" customHeight="false" outlineLevel="0" collapsed="false">
      <c r="A660" s="78" t="s">
        <v>216</v>
      </c>
      <c r="B660" s="78" t="s">
        <v>274</v>
      </c>
      <c r="C660" s="79" t="n">
        <v>2023</v>
      </c>
      <c r="D660" s="79" t="n">
        <v>4</v>
      </c>
      <c r="E660" s="80" t="n">
        <v>45291</v>
      </c>
      <c r="F660" s="78" t="s">
        <v>253</v>
      </c>
      <c r="G660" s="78" t="s">
        <v>254</v>
      </c>
      <c r="H660" s="78" t="s">
        <v>250</v>
      </c>
      <c r="I660" s="81" t="n">
        <v>15748</v>
      </c>
      <c r="J660" s="81" t="n">
        <v>5689.141</v>
      </c>
      <c r="K660" s="81" t="n">
        <v>2083624000</v>
      </c>
      <c r="L660" s="82" t="n">
        <v>10.57</v>
      </c>
      <c r="M660" s="81" t="n">
        <v>204.469</v>
      </c>
      <c r="N660" s="81" t="n">
        <v>4184500</v>
      </c>
      <c r="O660" s="81" t="n">
        <v>42788.153</v>
      </c>
      <c r="P660" s="82" t="n">
        <v>4.42484464</v>
      </c>
      <c r="Q660" s="82" t="n">
        <v>520</v>
      </c>
      <c r="R660" s="47" t="n">
        <v>11</v>
      </c>
      <c r="S660" s="66" t="s">
        <v>940</v>
      </c>
    </row>
    <row r="661" customFormat="false" ht="15" hidden="false" customHeight="false" outlineLevel="0" collapsed="false">
      <c r="A661" s="78" t="s">
        <v>216</v>
      </c>
      <c r="B661" s="78" t="s">
        <v>276</v>
      </c>
      <c r="C661" s="79" t="n">
        <v>2023</v>
      </c>
      <c r="D661" s="79" t="n">
        <v>3</v>
      </c>
      <c r="E661" s="80" t="n">
        <v>45199</v>
      </c>
      <c r="F661" s="78" t="s">
        <v>253</v>
      </c>
      <c r="G661" s="78" t="s">
        <v>254</v>
      </c>
      <c r="H661" s="78" t="s">
        <v>250</v>
      </c>
      <c r="I661" s="81" t="n">
        <v>12388.565</v>
      </c>
      <c r="J661" s="81" t="n">
        <v>4014.364</v>
      </c>
      <c r="K661" s="81" t="n">
        <v>858013000</v>
      </c>
      <c r="L661" s="82" t="n">
        <v>4.32</v>
      </c>
      <c r="M661" s="81" t="n">
        <v>201.4185</v>
      </c>
      <c r="N661" s="81" t="n">
        <v>4184500</v>
      </c>
      <c r="O661" s="81" t="n">
        <v>40761.054</v>
      </c>
      <c r="P661" s="82" t="n">
        <v>4.45090808</v>
      </c>
      <c r="Q661" s="82" t="n">
        <v>456</v>
      </c>
      <c r="R661" s="47" t="n">
        <v>12</v>
      </c>
      <c r="S661" s="66" t="s">
        <v>941</v>
      </c>
    </row>
    <row r="662" customFormat="false" ht="15" hidden="false" customHeight="false" outlineLevel="0" collapsed="false">
      <c r="A662" s="78" t="s">
        <v>216</v>
      </c>
      <c r="B662" s="78" t="s">
        <v>278</v>
      </c>
      <c r="C662" s="79" t="n">
        <v>2023</v>
      </c>
      <c r="D662" s="79" t="n">
        <v>2</v>
      </c>
      <c r="E662" s="80" t="n">
        <v>45107</v>
      </c>
      <c r="F662" s="78" t="s">
        <v>253</v>
      </c>
      <c r="G662" s="78" t="s">
        <v>254</v>
      </c>
      <c r="H662" s="78" t="s">
        <v>250</v>
      </c>
      <c r="I662" s="81" t="n">
        <v>10006.644</v>
      </c>
      <c r="J662" s="81" t="n">
        <v>3247.823</v>
      </c>
      <c r="K662" s="81" t="n">
        <v>440688000</v>
      </c>
      <c r="L662" s="82" t="n">
        <v>2.28</v>
      </c>
      <c r="M662" s="81" t="n">
        <v>199.6095</v>
      </c>
      <c r="N662" s="81" t="n">
        <v>6860000</v>
      </c>
      <c r="O662" s="81" t="n">
        <v>38588.071</v>
      </c>
      <c r="P662" s="82" t="n">
        <v>0</v>
      </c>
      <c r="Q662" s="82" t="n">
        <v>411.5</v>
      </c>
      <c r="R662" s="47" t="n">
        <v>13</v>
      </c>
      <c r="S662" s="66" t="s">
        <v>942</v>
      </c>
    </row>
    <row r="663" customFormat="false" ht="15" hidden="false" customHeight="false" outlineLevel="0" collapsed="false">
      <c r="A663" s="78" t="s">
        <v>216</v>
      </c>
      <c r="B663" s="78" t="s">
        <v>280</v>
      </c>
      <c r="C663" s="79" t="n">
        <v>2023</v>
      </c>
      <c r="D663" s="79" t="n">
        <v>1</v>
      </c>
      <c r="E663" s="80" t="n">
        <v>45016</v>
      </c>
      <c r="F663" s="78" t="s">
        <v>253</v>
      </c>
      <c r="G663" s="78" t="s">
        <v>254</v>
      </c>
      <c r="H663" s="78" t="s">
        <v>250</v>
      </c>
      <c r="I663" s="81" t="n">
        <v>10078.421</v>
      </c>
      <c r="J663" s="81" t="n">
        <v>3213.11</v>
      </c>
      <c r="K663" s="81" t="n">
        <v>242103000</v>
      </c>
      <c r="L663" s="82" t="n">
        <v>1.26</v>
      </c>
      <c r="M663" s="81" t="n">
        <v>198.6585</v>
      </c>
      <c r="N663" s="81" t="n">
        <v>6860000</v>
      </c>
      <c r="O663" s="81" t="n">
        <v>37401.417</v>
      </c>
      <c r="P663" s="82" t="n">
        <v>0</v>
      </c>
      <c r="Q663" s="82" t="n">
        <v>392</v>
      </c>
      <c r="R663" s="47" t="n">
        <v>14</v>
      </c>
      <c r="S663" s="66" t="s">
        <v>943</v>
      </c>
    </row>
    <row r="664" customFormat="false" ht="15" hidden="false" customHeight="false" outlineLevel="0" collapsed="false">
      <c r="A664" s="78" t="s">
        <v>216</v>
      </c>
      <c r="B664" s="78" t="s">
        <v>282</v>
      </c>
      <c r="C664" s="79" t="n">
        <v>2022</v>
      </c>
      <c r="D664" s="79" t="n">
        <v>4</v>
      </c>
      <c r="E664" s="80" t="n">
        <v>44926</v>
      </c>
      <c r="F664" s="78" t="s">
        <v>253</v>
      </c>
      <c r="G664" s="78" t="s">
        <v>254</v>
      </c>
      <c r="H664" s="78" t="s">
        <v>250</v>
      </c>
      <c r="I664" s="81" t="n">
        <v>12290.26</v>
      </c>
      <c r="J664" s="81" t="n">
        <v>3419.397</v>
      </c>
      <c r="K664" s="81" t="n">
        <v>217217000</v>
      </c>
      <c r="L664" s="82" t="n">
        <v>1.29</v>
      </c>
      <c r="M664" s="81" t="n">
        <v>197.074</v>
      </c>
      <c r="N664" s="81" t="n">
        <v>6860000</v>
      </c>
      <c r="O664" s="81" t="n">
        <v>37631.822</v>
      </c>
      <c r="P664" s="82" t="n">
        <v>10.27746561</v>
      </c>
      <c r="Q664" s="82" t="n">
        <v>315</v>
      </c>
      <c r="R664" s="47" t="n">
        <v>15</v>
      </c>
      <c r="S664" s="66" t="s">
        <v>944</v>
      </c>
    </row>
    <row r="665" customFormat="false" ht="15" hidden="false" customHeight="false" outlineLevel="0" collapsed="false">
      <c r="A665" s="78" t="s">
        <v>216</v>
      </c>
      <c r="B665" s="78" t="s">
        <v>284</v>
      </c>
      <c r="C665" s="79" t="n">
        <v>2022</v>
      </c>
      <c r="D665" s="79" t="n">
        <v>3</v>
      </c>
      <c r="E665" s="80" t="n">
        <v>44834</v>
      </c>
      <c r="F665" s="78" t="s">
        <v>253</v>
      </c>
      <c r="G665" s="78" t="s">
        <v>254</v>
      </c>
      <c r="H665" s="78" t="s">
        <v>250</v>
      </c>
      <c r="I665" s="81" t="n">
        <v>14574.608</v>
      </c>
      <c r="J665" s="81" t="n">
        <v>3532.661</v>
      </c>
      <c r="K665" s="81" t="n">
        <v>1192014000</v>
      </c>
      <c r="L665" s="82" t="n">
        <v>6.13</v>
      </c>
      <c r="M665" s="81" t="n">
        <v>197.074</v>
      </c>
      <c r="N665" s="81" t="n">
        <v>6860000</v>
      </c>
      <c r="O665" s="81" t="n">
        <v>36678.52</v>
      </c>
      <c r="P665" s="82" t="n">
        <v>0</v>
      </c>
      <c r="Q665" s="82" t="n">
        <v>265.5</v>
      </c>
      <c r="R665" s="47" t="n">
        <v>16</v>
      </c>
      <c r="S665" s="66" t="s">
        <v>945</v>
      </c>
    </row>
    <row r="666" customFormat="false" ht="15" hidden="false" customHeight="false" outlineLevel="0" collapsed="false">
      <c r="A666" s="78" t="s">
        <v>216</v>
      </c>
      <c r="B666" s="78" t="s">
        <v>286</v>
      </c>
      <c r="C666" s="79" t="n">
        <v>2022</v>
      </c>
      <c r="D666" s="79" t="n">
        <v>2</v>
      </c>
      <c r="E666" s="80" t="n">
        <v>44742</v>
      </c>
      <c r="F666" s="78" t="s">
        <v>253</v>
      </c>
      <c r="G666" s="78" t="s">
        <v>254</v>
      </c>
      <c r="H666" s="78" t="s">
        <v>250</v>
      </c>
      <c r="I666" s="81" t="n">
        <v>16285.415</v>
      </c>
      <c r="J666" s="81" t="n">
        <v>4991.058</v>
      </c>
      <c r="K666" s="81" t="n">
        <v>1806854000</v>
      </c>
      <c r="L666" s="82" t="n">
        <v>9.17</v>
      </c>
      <c r="M666" s="81" t="n">
        <v>197.074</v>
      </c>
      <c r="N666" s="81" t="n">
        <v>0</v>
      </c>
      <c r="O666" s="81" t="n">
        <v>38987.722</v>
      </c>
      <c r="P666" s="82" t="n">
        <v>13</v>
      </c>
      <c r="Q666" s="82" t="n">
        <v>271</v>
      </c>
      <c r="R666" s="47" t="n">
        <v>17</v>
      </c>
      <c r="S666" s="66" t="s">
        <v>946</v>
      </c>
    </row>
    <row r="667" customFormat="false" ht="15" hidden="false" customHeight="false" outlineLevel="0" collapsed="false">
      <c r="A667" s="78" t="s">
        <v>216</v>
      </c>
      <c r="B667" s="78" t="s">
        <v>288</v>
      </c>
      <c r="C667" s="79" t="n">
        <v>2022</v>
      </c>
      <c r="D667" s="79" t="n">
        <v>1</v>
      </c>
      <c r="E667" s="80" t="n">
        <v>44651</v>
      </c>
      <c r="F667" s="78" t="s">
        <v>253</v>
      </c>
      <c r="G667" s="78" t="s">
        <v>254</v>
      </c>
      <c r="H667" s="78" t="s">
        <v>250</v>
      </c>
      <c r="I667" s="81" t="n">
        <v>17105.859</v>
      </c>
      <c r="J667" s="81" t="n">
        <v>5389.499</v>
      </c>
      <c r="K667" s="81" t="n">
        <v>2185061000</v>
      </c>
      <c r="L667" s="82" t="n">
        <v>11.09</v>
      </c>
      <c r="M667" s="81" t="n">
        <v>197.074</v>
      </c>
      <c r="N667" s="81" t="n">
        <v>0</v>
      </c>
      <c r="O667" s="81" t="n">
        <v>37302.065</v>
      </c>
      <c r="P667" s="82" t="n">
        <v>0</v>
      </c>
      <c r="Q667" s="82" t="n">
        <v>475.5</v>
      </c>
      <c r="R667" s="47" t="n">
        <v>18</v>
      </c>
      <c r="S667" s="66" t="s">
        <v>947</v>
      </c>
    </row>
    <row r="668" customFormat="false" ht="15" hidden="false" customHeight="false" outlineLevel="0" collapsed="false">
      <c r="A668" s="78" t="s">
        <v>216</v>
      </c>
      <c r="B668" s="78" t="s">
        <v>290</v>
      </c>
      <c r="C668" s="79" t="n">
        <v>2021</v>
      </c>
      <c r="D668" s="79" t="n">
        <v>4</v>
      </c>
      <c r="E668" s="80" t="n">
        <v>44561</v>
      </c>
      <c r="F668" s="78" t="s">
        <v>253</v>
      </c>
      <c r="G668" s="78" t="s">
        <v>254</v>
      </c>
      <c r="H668" s="78" t="s">
        <v>250</v>
      </c>
      <c r="I668" s="81" t="n">
        <v>16832.72</v>
      </c>
      <c r="J668" s="81" t="n">
        <v>4763.261</v>
      </c>
      <c r="K668" s="81" t="n">
        <v>1811747000</v>
      </c>
      <c r="L668" s="82" t="n">
        <v>9.19</v>
      </c>
      <c r="M668" s="81" t="n">
        <v>197.074</v>
      </c>
      <c r="N668" s="81" t="n">
        <v>0</v>
      </c>
      <c r="O668" s="81" t="n">
        <v>37308.434</v>
      </c>
      <c r="P668" s="82" t="n">
        <v>10</v>
      </c>
      <c r="Q668" s="82" t="n">
        <v>512</v>
      </c>
      <c r="R668" s="47" t="n">
        <v>19</v>
      </c>
      <c r="S668" s="66" t="s">
        <v>948</v>
      </c>
    </row>
    <row r="669" customFormat="false" ht="15" hidden="false" customHeight="false" outlineLevel="0" collapsed="false">
      <c r="A669" s="78" t="s">
        <v>216</v>
      </c>
      <c r="B669" s="78" t="s">
        <v>292</v>
      </c>
      <c r="C669" s="79" t="n">
        <v>2021</v>
      </c>
      <c r="D669" s="79" t="n">
        <v>3</v>
      </c>
      <c r="E669" s="80" t="n">
        <v>44469</v>
      </c>
      <c r="F669" s="78" t="s">
        <v>253</v>
      </c>
      <c r="G669" s="78" t="s">
        <v>254</v>
      </c>
      <c r="H669" s="78" t="s">
        <v>250</v>
      </c>
      <c r="I669" s="81" t="n">
        <v>16926.546</v>
      </c>
      <c r="J669" s="81" t="n">
        <v>5375.6</v>
      </c>
      <c r="K669" s="81" t="n">
        <v>2383847000</v>
      </c>
      <c r="L669" s="82" t="n">
        <v>12.1</v>
      </c>
      <c r="M669" s="81" t="n">
        <v>197.074</v>
      </c>
      <c r="N669" s="81" t="n">
        <v>0</v>
      </c>
      <c r="O669" s="81" t="n">
        <v>34981.988</v>
      </c>
      <c r="P669" s="82" t="n">
        <v>23</v>
      </c>
      <c r="Q669" s="82" t="n">
        <v>377</v>
      </c>
      <c r="R669" s="47" t="n">
        <v>20</v>
      </c>
      <c r="S669" s="66" t="s">
        <v>949</v>
      </c>
    </row>
    <row r="670" customFormat="false" ht="15" hidden="false" customHeight="false" outlineLevel="0" collapsed="false">
      <c r="A670" s="78" t="s">
        <v>216</v>
      </c>
      <c r="B670" s="78" t="s">
        <v>294</v>
      </c>
      <c r="C670" s="79" t="n">
        <v>2021</v>
      </c>
      <c r="D670" s="79" t="n">
        <v>2</v>
      </c>
      <c r="E670" s="80" t="n">
        <v>44377</v>
      </c>
      <c r="F670" s="78" t="s">
        <v>253</v>
      </c>
      <c r="G670" s="78" t="s">
        <v>254</v>
      </c>
      <c r="H670" s="78" t="s">
        <v>250</v>
      </c>
      <c r="I670" s="81" t="n">
        <v>15909.976</v>
      </c>
      <c r="J670" s="81" t="n">
        <v>5186.681</v>
      </c>
      <c r="K670" s="81" t="n">
        <v>2264081000</v>
      </c>
      <c r="L670" s="82" t="n">
        <v>11.49</v>
      </c>
      <c r="M670" s="81" t="n">
        <v>197.074</v>
      </c>
      <c r="N670" s="81" t="n">
        <v>0</v>
      </c>
      <c r="O670" s="81" t="n">
        <v>34304.007</v>
      </c>
      <c r="P670" s="82" t="n">
        <v>0</v>
      </c>
      <c r="Q670" s="82" t="n">
        <v>480</v>
      </c>
      <c r="R670" s="47" t="n">
        <v>21</v>
      </c>
      <c r="S670" s="66" t="s">
        <v>950</v>
      </c>
    </row>
    <row r="671" customFormat="false" ht="15" hidden="false" customHeight="false" outlineLevel="0" collapsed="false">
      <c r="A671" s="78" t="s">
        <v>216</v>
      </c>
      <c r="B671" s="78" t="s">
        <v>296</v>
      </c>
      <c r="C671" s="79" t="n">
        <v>2021</v>
      </c>
      <c r="D671" s="79" t="n">
        <v>1</v>
      </c>
      <c r="E671" s="80" t="n">
        <v>44286</v>
      </c>
      <c r="F671" s="78" t="s">
        <v>253</v>
      </c>
      <c r="G671" s="78" t="s">
        <v>254</v>
      </c>
      <c r="H671" s="78" t="s">
        <v>250</v>
      </c>
      <c r="I671" s="81" t="n">
        <v>12887.95</v>
      </c>
      <c r="J671" s="81" t="n">
        <v>3828.838</v>
      </c>
      <c r="K671" s="81" t="n">
        <v>1687540000</v>
      </c>
      <c r="L671" s="82" t="n">
        <v>8.56</v>
      </c>
      <c r="M671" s="81" t="n">
        <v>197.074</v>
      </c>
      <c r="N671" s="81" t="n">
        <v>0</v>
      </c>
      <c r="O671" s="81" t="n">
        <v>36554.821</v>
      </c>
      <c r="P671" s="82" t="n">
        <v>0</v>
      </c>
      <c r="Q671" s="82" t="n">
        <v>488.5</v>
      </c>
      <c r="R671" s="47" t="n">
        <v>22</v>
      </c>
      <c r="S671" s="66" t="s">
        <v>951</v>
      </c>
    </row>
    <row r="672" customFormat="false" ht="15" hidden="false" customHeight="false" outlineLevel="0" collapsed="false">
      <c r="A672" s="78" t="s">
        <v>216</v>
      </c>
      <c r="B672" s="78" t="s">
        <v>298</v>
      </c>
      <c r="C672" s="79" t="n">
        <v>2020</v>
      </c>
      <c r="D672" s="79" t="n">
        <v>4</v>
      </c>
      <c r="E672" s="80" t="n">
        <v>44196</v>
      </c>
      <c r="F672" s="78" t="s">
        <v>253</v>
      </c>
      <c r="G672" s="78" t="s">
        <v>254</v>
      </c>
      <c r="H672" s="78" t="s">
        <v>250</v>
      </c>
      <c r="I672" s="81" t="n">
        <v>12840.973</v>
      </c>
      <c r="J672" s="81" t="n">
        <v>2959.936</v>
      </c>
      <c r="K672" s="81" t="n">
        <v>3783938000</v>
      </c>
      <c r="L672" s="82" t="n">
        <v>19.2</v>
      </c>
      <c r="M672" s="81" t="n">
        <v>197.074</v>
      </c>
      <c r="N672" s="81" t="n">
        <v>0</v>
      </c>
      <c r="O672" s="81" t="n">
        <v>35155.467</v>
      </c>
      <c r="P672" s="82" t="n">
        <v>0</v>
      </c>
      <c r="Q672" s="82" t="n">
        <v>332.5</v>
      </c>
      <c r="R672" s="47" t="n">
        <v>23</v>
      </c>
      <c r="S672" s="66" t="s">
        <v>952</v>
      </c>
    </row>
    <row r="673" customFormat="false" ht="15" hidden="false" customHeight="false" outlineLevel="0" collapsed="false">
      <c r="A673" s="78" t="s">
        <v>216</v>
      </c>
      <c r="B673" s="78" t="s">
        <v>300</v>
      </c>
      <c r="C673" s="79" t="n">
        <v>2020</v>
      </c>
      <c r="D673" s="79" t="n">
        <v>3</v>
      </c>
      <c r="E673" s="80" t="n">
        <v>44104</v>
      </c>
      <c r="F673" s="78" t="s">
        <v>253</v>
      </c>
      <c r="G673" s="78" t="s">
        <v>254</v>
      </c>
      <c r="H673" s="78" t="s">
        <v>250</v>
      </c>
      <c r="I673" s="81" t="n">
        <v>11933.997</v>
      </c>
      <c r="J673" s="81" t="n">
        <v>2697.699</v>
      </c>
      <c r="K673" s="81" t="n">
        <v>1833764000</v>
      </c>
      <c r="L673" s="82" t="n">
        <v>9.3</v>
      </c>
      <c r="M673" s="81" t="n">
        <v>197.074</v>
      </c>
      <c r="N673" s="81" t="n">
        <v>0</v>
      </c>
      <c r="O673" s="81" t="n">
        <v>31396.792</v>
      </c>
      <c r="P673" s="82"/>
      <c r="Q673" s="82" t="n">
        <v>264.5</v>
      </c>
      <c r="R673" s="47" t="n">
        <v>24</v>
      </c>
      <c r="S673" s="66" t="s">
        <v>953</v>
      </c>
    </row>
    <row r="675" customFormat="false" ht="15" hidden="false" customHeight="false" outlineLevel="0" collapsed="false">
      <c r="A675" s="83" t="s">
        <v>954</v>
      </c>
    </row>
    <row r="676" customFormat="false" ht="15" hidden="false" customHeight="false" outlineLevel="0" collapsed="false">
      <c r="A676" s="42" t="s">
        <v>955</v>
      </c>
    </row>
    <row r="677" customFormat="false" ht="15" hidden="false" customHeight="false" outlineLevel="0" collapsed="false">
      <c r="A677" s="84" t="s">
        <v>956</v>
      </c>
      <c r="C677" s="24" t="s">
        <v>957</v>
      </c>
    </row>
    <row r="678" customFormat="false" ht="15" hidden="false" customHeight="false" outlineLevel="0" collapsed="false">
      <c r="A678" s="84" t="s">
        <v>958</v>
      </c>
      <c r="C678" s="24" t="s">
        <v>957</v>
      </c>
    </row>
    <row r="679" customFormat="false" ht="15" hidden="false" customHeight="false" outlineLevel="0" collapsed="false">
      <c r="A679" s="84" t="s">
        <v>959</v>
      </c>
      <c r="C679" s="24" t="s">
        <v>957</v>
      </c>
    </row>
    <row r="680" customFormat="false" ht="15" hidden="false" customHeight="false" outlineLevel="0" collapsed="false">
      <c r="A680" s="84" t="s">
        <v>960</v>
      </c>
      <c r="C680" s="24" t="s">
        <v>957</v>
      </c>
    </row>
    <row r="681" customFormat="false" ht="15" hidden="false" customHeight="false" outlineLevel="0" collapsed="false">
      <c r="A681" s="84" t="s">
        <v>961</v>
      </c>
      <c r="C681" s="24" t="s">
        <v>957</v>
      </c>
    </row>
    <row r="682" customFormat="false" ht="15" hidden="false" customHeight="false" outlineLevel="0" collapsed="false">
      <c r="A682" s="84" t="s">
        <v>962</v>
      </c>
      <c r="C682" s="24" t="s">
        <v>963</v>
      </c>
    </row>
    <row r="683" customFormat="false" ht="15" hidden="false" customHeight="false" outlineLevel="0" collapsed="false">
      <c r="A683" s="84" t="s">
        <v>964</v>
      </c>
      <c r="C683" s="24" t="s">
        <v>963</v>
      </c>
    </row>
    <row r="684" customFormat="false" ht="15" hidden="false" customHeight="false" outlineLevel="0" collapsed="false">
      <c r="A684" s="84" t="s">
        <v>965</v>
      </c>
      <c r="C684" s="25" t="s">
        <v>966</v>
      </c>
    </row>
    <row r="685" customFormat="false" ht="15" hidden="false" customHeight="false" outlineLevel="0" collapsed="false">
      <c r="A685" s="84" t="s">
        <v>967</v>
      </c>
      <c r="C685" s="24" t="s">
        <v>968</v>
      </c>
    </row>
    <row r="686" customFormat="false" ht="15" hidden="false" customHeight="false" outlineLevel="0" collapsed="false">
      <c r="A686" s="84" t="s">
        <v>969</v>
      </c>
      <c r="C686" s="24" t="s">
        <v>970</v>
      </c>
    </row>
    <row r="687" customFormat="false" ht="15" hidden="false" customHeight="false" outlineLevel="0" collapsed="false">
      <c r="A687" s="84" t="s">
        <v>971</v>
      </c>
      <c r="C687" s="25" t="s">
        <v>972</v>
      </c>
    </row>
    <row r="688" customFormat="false" ht="15" hidden="false" customHeight="false" outlineLevel="0" collapsed="false">
      <c r="A688" s="84" t="s">
        <v>973</v>
      </c>
      <c r="C688" s="25" t="s">
        <v>974</v>
      </c>
    </row>
    <row r="689" customFormat="false" ht="15" hidden="false" customHeight="false" outlineLevel="0" collapsed="false">
      <c r="A689" s="84" t="s">
        <v>975</v>
      </c>
      <c r="C689" s="24" t="s">
        <v>976</v>
      </c>
    </row>
    <row r="690" customFormat="false" ht="15" hidden="false" customHeight="false" outlineLevel="0" collapsed="false">
      <c r="A690" s="84" t="s">
        <v>977</v>
      </c>
      <c r="C690" s="24" t="s">
        <v>978</v>
      </c>
    </row>
    <row r="691" customFormat="false" ht="15" hidden="false" customHeight="false" outlineLevel="0" collapsed="false">
      <c r="A691" s="84" t="s">
        <v>979</v>
      </c>
      <c r="C691" s="25" t="s">
        <v>980</v>
      </c>
    </row>
    <row r="692" customFormat="false" ht="15" hidden="false" customHeight="false" outlineLevel="0" collapsed="false">
      <c r="A692" s="84" t="s">
        <v>981</v>
      </c>
      <c r="C692" s="24" t="s">
        <v>47</v>
      </c>
    </row>
    <row r="693" customFormat="false" ht="15" hidden="false" customHeight="false" outlineLevel="0" collapsed="false">
      <c r="A693" s="84" t="s">
        <v>982</v>
      </c>
      <c r="C693" s="24" t="s">
        <v>983</v>
      </c>
    </row>
    <row r="695" customFormat="false" ht="15" hidden="false" customHeight="false" outlineLevel="0" collapsed="false">
      <c r="A695" s="24" t="s">
        <v>984</v>
      </c>
    </row>
  </sheetData>
  <autoFilter ref="A1:S6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985</v>
      </c>
      <c r="C1" s="14" t="s">
        <v>986</v>
      </c>
      <c r="D1" s="14" t="s">
        <v>987</v>
      </c>
      <c r="E1" s="14" t="s">
        <v>988</v>
      </c>
      <c r="F1" s="14" t="s">
        <v>989</v>
      </c>
    </row>
    <row r="2" customFormat="false" ht="15" hidden="false" customHeight="false" outlineLevel="0" collapsed="false">
      <c r="A2" s="78" t="s">
        <v>196</v>
      </c>
      <c r="B2" s="82" t="n">
        <v>352.26392</v>
      </c>
      <c r="C2" s="82" t="n">
        <v>497.7669</v>
      </c>
      <c r="D2" s="80" t="n">
        <v>46387</v>
      </c>
      <c r="E2" s="79" t="n">
        <v>11</v>
      </c>
      <c r="F2" s="80" t="n">
        <v>46279</v>
      </c>
    </row>
    <row r="3" customFormat="false" ht="15" hidden="false" customHeight="false" outlineLevel="0" collapsed="false">
      <c r="A3" s="78" t="s">
        <v>208</v>
      </c>
      <c r="B3" s="82" t="n">
        <v>6.98465</v>
      </c>
      <c r="C3" s="82" t="n">
        <v>7.20625</v>
      </c>
      <c r="D3" s="80" t="n">
        <v>46387</v>
      </c>
      <c r="E3" s="79" t="n">
        <v>13</v>
      </c>
      <c r="F3" s="80" t="n">
        <v>46279</v>
      </c>
    </row>
    <row r="4" customFormat="false" ht="15" hidden="false" customHeight="false" outlineLevel="0" collapsed="false">
      <c r="A4" s="78" t="s">
        <v>327</v>
      </c>
      <c r="B4" s="82" t="n">
        <v>19.44485</v>
      </c>
      <c r="C4" s="82" t="n">
        <v>31.60791</v>
      </c>
      <c r="D4" s="80" t="n">
        <v>46387</v>
      </c>
      <c r="E4" s="79" t="n">
        <v>12</v>
      </c>
      <c r="F4" s="80" t="n">
        <v>46279</v>
      </c>
    </row>
    <row r="5" customFormat="false" ht="15" hidden="false" customHeight="false" outlineLevel="0" collapsed="false">
      <c r="A5" s="78" t="s">
        <v>167</v>
      </c>
      <c r="B5" s="82" t="n">
        <v>107.65501</v>
      </c>
      <c r="C5" s="82" t="n">
        <v>142.1165</v>
      </c>
      <c r="D5" s="80" t="n">
        <v>46387</v>
      </c>
      <c r="E5" s="79" t="n">
        <v>23</v>
      </c>
      <c r="F5" s="80" t="n">
        <v>46279</v>
      </c>
    </row>
    <row r="6" customFormat="false" ht="15" hidden="false" customHeight="false" outlineLevel="0" collapsed="false">
      <c r="A6" s="78" t="s">
        <v>224</v>
      </c>
      <c r="B6" s="82" t="n">
        <v>25.4075</v>
      </c>
      <c r="C6" s="82" t="n">
        <v>52.27664</v>
      </c>
      <c r="D6" s="80" t="n">
        <v>46387</v>
      </c>
      <c r="E6" s="79" t="n">
        <v>5</v>
      </c>
      <c r="F6" s="80" t="n">
        <v>46279</v>
      </c>
    </row>
    <row r="7" customFormat="false" ht="15" hidden="false" customHeight="false" outlineLevel="0" collapsed="false">
      <c r="A7" s="78" t="s">
        <v>193</v>
      </c>
      <c r="B7" s="82" t="n">
        <v>33.85612</v>
      </c>
      <c r="C7" s="82" t="n">
        <v>37.25418</v>
      </c>
      <c r="D7" s="80" t="n">
        <v>46387</v>
      </c>
      <c r="E7" s="79" t="n">
        <v>8</v>
      </c>
      <c r="F7" s="80" t="n">
        <v>46279</v>
      </c>
    </row>
    <row r="8" customFormat="false" ht="15" hidden="false" customHeight="false" outlineLevel="0" collapsed="false">
      <c r="A8" s="78" t="s">
        <v>171</v>
      </c>
      <c r="B8" s="82" t="n">
        <v>67.63698</v>
      </c>
      <c r="C8" s="82" t="n">
        <v>100.45386</v>
      </c>
      <c r="D8" s="80" t="n">
        <v>46387</v>
      </c>
      <c r="E8" s="79" t="n">
        <v>6</v>
      </c>
      <c r="F8" s="80" t="n">
        <v>46279</v>
      </c>
    </row>
    <row r="9" customFormat="false" ht="15" hidden="false" customHeight="false" outlineLevel="0" collapsed="false">
      <c r="A9" s="78" t="s">
        <v>453</v>
      </c>
      <c r="B9" s="82" t="n">
        <v>1.38553</v>
      </c>
      <c r="C9" s="82" t="n">
        <v>0.50095</v>
      </c>
      <c r="D9" s="80" t="n">
        <v>46387</v>
      </c>
      <c r="E9" s="79" t="n">
        <v>5</v>
      </c>
      <c r="F9" s="80" t="n">
        <v>46274</v>
      </c>
    </row>
    <row r="10" customFormat="false" ht="15" hidden="false" customHeight="false" outlineLevel="0" collapsed="false">
      <c r="A10" s="78" t="s">
        <v>210</v>
      </c>
      <c r="B10" s="82" t="n">
        <v>68.05389</v>
      </c>
      <c r="C10" s="82" t="n">
        <v>145.58405</v>
      </c>
      <c r="D10" s="80" t="n">
        <v>46387</v>
      </c>
      <c r="E10" s="79" t="n">
        <v>16</v>
      </c>
      <c r="F10" s="80" t="n">
        <v>46279</v>
      </c>
    </row>
    <row r="11" customFormat="false" ht="15" hidden="false" customHeight="false" outlineLevel="0" collapsed="false">
      <c r="A11" s="78" t="s">
        <v>179</v>
      </c>
      <c r="B11" s="82" t="n">
        <v>5.47849</v>
      </c>
      <c r="C11" s="82" t="n">
        <v>8.90121</v>
      </c>
      <c r="D11" s="80" t="n">
        <v>46387</v>
      </c>
      <c r="E11" s="79" t="n">
        <v>9</v>
      </c>
      <c r="F11" s="80" t="n">
        <v>46279</v>
      </c>
    </row>
    <row r="12" customFormat="false" ht="15" hidden="false" customHeight="false" outlineLevel="0" collapsed="false">
      <c r="A12" s="78" t="s">
        <v>212</v>
      </c>
      <c r="B12" s="82"/>
      <c r="C12" s="82"/>
      <c r="D12" s="80"/>
      <c r="E12" s="79"/>
      <c r="F12" s="80" t="n">
        <v>46279</v>
      </c>
    </row>
    <row r="13" customFormat="false" ht="15" hidden="false" customHeight="false" outlineLevel="0" collapsed="false">
      <c r="A13" s="78" t="s">
        <v>184</v>
      </c>
      <c r="B13" s="82" t="n">
        <v>33.70448</v>
      </c>
      <c r="C13" s="82" t="n">
        <v>35.32413</v>
      </c>
      <c r="D13" s="80" t="n">
        <v>46387</v>
      </c>
      <c r="E13" s="79" t="n">
        <v>14</v>
      </c>
      <c r="F13" s="80" t="n">
        <v>46279</v>
      </c>
    </row>
    <row r="14" customFormat="false" ht="15" hidden="false" customHeight="false" outlineLevel="0" collapsed="false">
      <c r="A14" s="78" t="s">
        <v>198</v>
      </c>
      <c r="B14" s="82" t="n">
        <v>19.75802</v>
      </c>
      <c r="C14" s="82" t="n">
        <v>39.34484</v>
      </c>
      <c r="D14" s="80" t="n">
        <v>46387</v>
      </c>
      <c r="E14" s="79" t="n">
        <v>2</v>
      </c>
      <c r="F14" s="80" t="n">
        <v>46279</v>
      </c>
    </row>
    <row r="15" customFormat="false" ht="15" hidden="false" customHeight="false" outlineLevel="0" collapsed="false">
      <c r="A15" s="78" t="s">
        <v>218</v>
      </c>
      <c r="B15" s="82" t="n">
        <v>7.6847</v>
      </c>
      <c r="C15" s="82" t="n">
        <v>9.93347</v>
      </c>
      <c r="D15" s="80" t="n">
        <v>46387</v>
      </c>
      <c r="E15" s="79" t="n">
        <v>9</v>
      </c>
      <c r="F15" s="80" t="n">
        <v>46279</v>
      </c>
    </row>
    <row r="16" customFormat="false" ht="15" hidden="false" customHeight="false" outlineLevel="0" collapsed="false">
      <c r="A16" s="78" t="s">
        <v>200</v>
      </c>
      <c r="B16" s="82"/>
      <c r="C16" s="82"/>
      <c r="D16" s="80"/>
      <c r="E16" s="79"/>
      <c r="F16" s="80" t="n">
        <v>46279</v>
      </c>
    </row>
    <row r="17" customFormat="false" ht="15" hidden="false" customHeight="false" outlineLevel="0" collapsed="false">
      <c r="A17" s="78" t="s">
        <v>204</v>
      </c>
      <c r="B17" s="82" t="n">
        <v>10.41766</v>
      </c>
      <c r="C17" s="82" t="n">
        <v>26.4672</v>
      </c>
      <c r="D17" s="80" t="n">
        <v>46387</v>
      </c>
      <c r="E17" s="79" t="n">
        <v>11</v>
      </c>
      <c r="F17" s="80" t="n">
        <v>46279</v>
      </c>
    </row>
    <row r="18" customFormat="false" ht="15" hidden="false" customHeight="false" outlineLevel="0" collapsed="false">
      <c r="A18" s="78" t="s">
        <v>677</v>
      </c>
      <c r="B18" s="82" t="n">
        <v>55.79346</v>
      </c>
      <c r="C18" s="82" t="n">
        <v>75.15926</v>
      </c>
      <c r="D18" s="80" t="n">
        <v>46387</v>
      </c>
      <c r="E18" s="79" t="n">
        <v>8</v>
      </c>
      <c r="F18" s="80" t="n">
        <v>46275</v>
      </c>
    </row>
    <row r="19" customFormat="false" ht="15" hidden="false" customHeight="false" outlineLevel="0" collapsed="false">
      <c r="A19" s="78" t="s">
        <v>222</v>
      </c>
      <c r="B19" s="82" t="n">
        <v>0.205</v>
      </c>
      <c r="C19" s="82" t="n">
        <v>16.925</v>
      </c>
      <c r="D19" s="80" t="n">
        <v>46387</v>
      </c>
      <c r="E19" s="79" t="n">
        <v>2</v>
      </c>
      <c r="F19" s="80" t="n">
        <v>46279</v>
      </c>
    </row>
    <row r="20" customFormat="false" ht="15" hidden="false" customHeight="false" outlineLevel="0" collapsed="false">
      <c r="A20" s="78" t="s">
        <v>728</v>
      </c>
      <c r="B20" s="82" t="n">
        <v>11.97</v>
      </c>
      <c r="C20" s="82" t="n">
        <v>11.97</v>
      </c>
      <c r="D20" s="80" t="n">
        <v>46387</v>
      </c>
      <c r="E20" s="79"/>
      <c r="F20" s="80" t="n">
        <v>46274</v>
      </c>
    </row>
    <row r="21" customFormat="false" ht="15" hidden="false" customHeight="false" outlineLevel="0" collapsed="false">
      <c r="A21" s="78" t="s">
        <v>186</v>
      </c>
      <c r="B21" s="82" t="n">
        <v>65.61145</v>
      </c>
      <c r="C21" s="82" t="n">
        <v>114.78896</v>
      </c>
      <c r="D21" s="80" t="n">
        <v>46387</v>
      </c>
      <c r="E21" s="79" t="n">
        <v>2</v>
      </c>
      <c r="F21" s="80" t="n">
        <v>46279</v>
      </c>
    </row>
    <row r="22" customFormat="false" ht="15" hidden="false" customHeight="false" outlineLevel="0" collapsed="false">
      <c r="A22" s="78" t="s">
        <v>778</v>
      </c>
      <c r="B22" s="82" t="n">
        <v>18.57398</v>
      </c>
      <c r="C22" s="82" t="n">
        <v>28.04112</v>
      </c>
      <c r="D22" s="80" t="n">
        <v>46387</v>
      </c>
      <c r="E22" s="79" t="n">
        <v>14</v>
      </c>
      <c r="F22" s="80" t="n">
        <v>46275</v>
      </c>
    </row>
    <row r="23" customFormat="false" ht="15" hidden="false" customHeight="false" outlineLevel="0" collapsed="false">
      <c r="A23" s="78" t="s">
        <v>214</v>
      </c>
      <c r="B23" s="82" t="n">
        <v>5.65238</v>
      </c>
      <c r="C23" s="82" t="n">
        <v>7.22044</v>
      </c>
      <c r="D23" s="80" t="n">
        <v>46387</v>
      </c>
      <c r="E23" s="79" t="n">
        <v>6</v>
      </c>
      <c r="F23" s="80" t="n">
        <v>46279</v>
      </c>
    </row>
    <row r="24" customFormat="false" ht="15" hidden="false" customHeight="false" outlineLevel="0" collapsed="false">
      <c r="A24" s="78" t="s">
        <v>220</v>
      </c>
      <c r="B24" s="82" t="n">
        <v>7.39</v>
      </c>
      <c r="C24" s="82" t="n">
        <v>14.13</v>
      </c>
      <c r="D24" s="80" t="n">
        <v>46387</v>
      </c>
      <c r="E24" s="79" t="n">
        <v>1</v>
      </c>
      <c r="F24" s="80" t="n">
        <v>46279</v>
      </c>
    </row>
    <row r="25" customFormat="false" ht="15" hidden="false" customHeight="false" outlineLevel="0" collapsed="false">
      <c r="A25" s="78" t="s">
        <v>175</v>
      </c>
      <c r="B25" s="82" t="n">
        <v>353.215</v>
      </c>
      <c r="C25" s="82" t="n">
        <v>194.82417</v>
      </c>
      <c r="D25" s="80" t="n">
        <v>46387</v>
      </c>
      <c r="E25" s="79" t="n">
        <v>2</v>
      </c>
      <c r="F25" s="80" t="n">
        <v>46279</v>
      </c>
    </row>
    <row r="26" customFormat="false" ht="15" hidden="false" customHeight="false" outlineLevel="0" collapsed="false">
      <c r="A26" s="78" t="s">
        <v>190</v>
      </c>
      <c r="B26" s="82" t="n">
        <v>30.55</v>
      </c>
      <c r="C26" s="82" t="n">
        <v>34.41</v>
      </c>
      <c r="D26" s="80" t="n">
        <v>46387</v>
      </c>
      <c r="E26" s="79" t="n">
        <v>3</v>
      </c>
      <c r="F26" s="80" t="n">
        <v>46279</v>
      </c>
    </row>
    <row r="27" customFormat="false" ht="15" hidden="false" customHeight="false" outlineLevel="0" collapsed="false">
      <c r="A27" s="78" t="s">
        <v>206</v>
      </c>
      <c r="B27" s="82" t="n">
        <v>62.01</v>
      </c>
      <c r="C27" s="82" t="n">
        <v>130</v>
      </c>
      <c r="D27" s="80" t="n">
        <v>46387</v>
      </c>
      <c r="E27" s="79" t="n">
        <v>1</v>
      </c>
      <c r="F27" s="80" t="n">
        <v>46279</v>
      </c>
    </row>
    <row r="28" customFormat="false" ht="15" hidden="false" customHeight="false" outlineLevel="0" collapsed="false">
      <c r="A28" s="78" t="s">
        <v>216</v>
      </c>
      <c r="B28" s="82" t="n">
        <v>359.01566</v>
      </c>
      <c r="C28" s="82" t="n">
        <v>255.73962</v>
      </c>
      <c r="D28" s="80" t="n">
        <v>46387</v>
      </c>
      <c r="E28" s="79" t="n">
        <v>7</v>
      </c>
      <c r="F28" s="80" t="n">
        <v>46279</v>
      </c>
    </row>
    <row r="30" customFormat="false" ht="15" hidden="false" customHeight="false" outlineLevel="0" collapsed="false">
      <c r="A30" s="25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991</v>
      </c>
      <c r="C1" s="14" t="s">
        <v>992</v>
      </c>
      <c r="D1" s="14" t="s">
        <v>993</v>
      </c>
      <c r="E1" s="14" t="s">
        <v>989</v>
      </c>
    </row>
    <row r="2" customFormat="false" ht="15" hidden="false" customHeight="false" outlineLevel="0" collapsed="false">
      <c r="A2" s="78" t="s">
        <v>196</v>
      </c>
      <c r="B2" s="82" t="n">
        <v>11990</v>
      </c>
      <c r="C2" s="80" t="n">
        <v>46279</v>
      </c>
      <c r="D2" s="80"/>
      <c r="E2" s="80" t="n">
        <v>46279</v>
      </c>
    </row>
    <row r="3" customFormat="false" ht="15" hidden="false" customHeight="false" outlineLevel="0" collapsed="false">
      <c r="A3" s="78" t="s">
        <v>208</v>
      </c>
      <c r="B3" s="82" t="n">
        <v>142.5</v>
      </c>
      <c r="C3" s="80" t="n">
        <v>46279</v>
      </c>
      <c r="D3" s="80"/>
      <c r="E3" s="80" t="n">
        <v>46279</v>
      </c>
    </row>
    <row r="4" customFormat="false" ht="15" hidden="false" customHeight="false" outlineLevel="0" collapsed="false">
      <c r="A4" s="78" t="s">
        <v>327</v>
      </c>
      <c r="B4" s="82" t="n">
        <v>545</v>
      </c>
      <c r="C4" s="80" t="n">
        <v>46279</v>
      </c>
      <c r="D4" s="80"/>
      <c r="E4" s="80" t="n">
        <v>46279</v>
      </c>
    </row>
    <row r="5" customFormat="false" ht="15" hidden="false" customHeight="false" outlineLevel="0" collapsed="false">
      <c r="A5" s="78" t="s">
        <v>167</v>
      </c>
      <c r="B5" s="82" t="n">
        <v>2380</v>
      </c>
      <c r="C5" s="80" t="n">
        <v>46279</v>
      </c>
      <c r="D5" s="80"/>
      <c r="E5" s="80" t="n">
        <v>46279</v>
      </c>
    </row>
    <row r="6" customFormat="false" ht="15" hidden="false" customHeight="false" outlineLevel="0" collapsed="false">
      <c r="A6" s="78" t="s">
        <v>224</v>
      </c>
      <c r="B6" s="82" t="n">
        <v>160</v>
      </c>
      <c r="C6" s="80" t="n">
        <v>46279</v>
      </c>
      <c r="D6" s="80"/>
      <c r="E6" s="80" t="n">
        <v>46279</v>
      </c>
    </row>
    <row r="7" customFormat="false" ht="15" hidden="false" customHeight="false" outlineLevel="0" collapsed="false">
      <c r="A7" s="78" t="s">
        <v>193</v>
      </c>
      <c r="B7" s="82" t="n">
        <v>344</v>
      </c>
      <c r="C7" s="80" t="n">
        <v>46279</v>
      </c>
      <c r="D7" s="80"/>
      <c r="E7" s="80" t="n">
        <v>46279</v>
      </c>
    </row>
    <row r="8" customFormat="false" ht="15" hidden="false" customHeight="false" outlineLevel="0" collapsed="false">
      <c r="A8" s="78" t="s">
        <v>171</v>
      </c>
      <c r="B8" s="82" t="n">
        <v>473</v>
      </c>
      <c r="C8" s="80" t="n">
        <v>46279</v>
      </c>
      <c r="D8" s="80"/>
      <c r="E8" s="80" t="n">
        <v>46279</v>
      </c>
    </row>
    <row r="9" customFormat="false" ht="15" hidden="false" customHeight="false" outlineLevel="0" collapsed="false">
      <c r="A9" s="78" t="s">
        <v>453</v>
      </c>
      <c r="B9" s="82" t="n">
        <v>30.5</v>
      </c>
      <c r="C9" s="80" t="n">
        <v>46274</v>
      </c>
      <c r="D9" s="80"/>
      <c r="E9" s="80" t="n">
        <v>46274</v>
      </c>
    </row>
    <row r="10" customFormat="false" ht="15" hidden="false" customHeight="false" outlineLevel="0" collapsed="false">
      <c r="A10" s="78" t="s">
        <v>210</v>
      </c>
      <c r="B10" s="82" t="n">
        <v>4560</v>
      </c>
      <c r="C10" s="80" t="n">
        <v>46279</v>
      </c>
      <c r="D10" s="80"/>
      <c r="E10" s="80" t="n">
        <v>46279</v>
      </c>
    </row>
    <row r="11" customFormat="false" ht="15" hidden="false" customHeight="false" outlineLevel="0" collapsed="false">
      <c r="A11" s="78" t="s">
        <v>179</v>
      </c>
      <c r="B11" s="82" t="n">
        <v>535</v>
      </c>
      <c r="C11" s="80" t="n">
        <v>46279</v>
      </c>
      <c r="D11" s="80"/>
      <c r="E11" s="80" t="n">
        <v>46279</v>
      </c>
    </row>
    <row r="12" customFormat="false" ht="15" hidden="false" customHeight="false" outlineLevel="0" collapsed="false">
      <c r="A12" s="78" t="s">
        <v>212</v>
      </c>
      <c r="B12" s="82" t="n">
        <v>88.6</v>
      </c>
      <c r="C12" s="80" t="n">
        <v>46279</v>
      </c>
      <c r="D12" s="80"/>
      <c r="E12" s="80" t="n">
        <v>46279</v>
      </c>
    </row>
    <row r="13" customFormat="false" ht="15" hidden="false" customHeight="false" outlineLevel="0" collapsed="false">
      <c r="A13" s="78" t="s">
        <v>184</v>
      </c>
      <c r="B13" s="82" t="n">
        <v>556</v>
      </c>
      <c r="C13" s="80" t="n">
        <v>46279</v>
      </c>
      <c r="D13" s="80"/>
      <c r="E13" s="80" t="n">
        <v>46279</v>
      </c>
    </row>
    <row r="14" customFormat="false" ht="15" hidden="false" customHeight="false" outlineLevel="0" collapsed="false">
      <c r="A14" s="78" t="s">
        <v>198</v>
      </c>
      <c r="B14" s="82" t="n">
        <v>2745</v>
      </c>
      <c r="C14" s="80" t="n">
        <v>46279</v>
      </c>
      <c r="D14" s="80"/>
      <c r="E14" s="80" t="n">
        <v>46279</v>
      </c>
    </row>
    <row r="15" customFormat="false" ht="15" hidden="false" customHeight="false" outlineLevel="0" collapsed="false">
      <c r="A15" s="78" t="s">
        <v>218</v>
      </c>
      <c r="B15" s="82" t="n">
        <v>444</v>
      </c>
      <c r="C15" s="80" t="n">
        <v>46279</v>
      </c>
      <c r="D15" s="80"/>
      <c r="E15" s="80" t="n">
        <v>46279</v>
      </c>
    </row>
    <row r="16" customFormat="false" ht="15" hidden="false" customHeight="false" outlineLevel="0" collapsed="false">
      <c r="A16" s="78" t="s">
        <v>200</v>
      </c>
      <c r="B16" s="82" t="n">
        <v>656</v>
      </c>
      <c r="C16" s="80" t="n">
        <v>46279</v>
      </c>
      <c r="D16" s="80"/>
      <c r="E16" s="80" t="n">
        <v>46279</v>
      </c>
    </row>
    <row r="17" customFormat="false" ht="15" hidden="false" customHeight="false" outlineLevel="0" collapsed="false">
      <c r="A17" s="78" t="s">
        <v>204</v>
      </c>
      <c r="B17" s="82" t="n">
        <v>798</v>
      </c>
      <c r="C17" s="80" t="n">
        <v>46279</v>
      </c>
      <c r="D17" s="80"/>
      <c r="E17" s="80" t="n">
        <v>46279</v>
      </c>
    </row>
    <row r="18" customFormat="false" ht="15" hidden="false" customHeight="false" outlineLevel="0" collapsed="false">
      <c r="A18" s="78" t="s">
        <v>677</v>
      </c>
      <c r="B18" s="82" t="n">
        <v>1385</v>
      </c>
      <c r="C18" s="80" t="n">
        <v>46275</v>
      </c>
      <c r="D18" s="80"/>
      <c r="E18" s="80" t="n">
        <v>46275</v>
      </c>
    </row>
    <row r="19" customFormat="false" ht="15" hidden="false" customHeight="false" outlineLevel="0" collapsed="false">
      <c r="A19" s="78" t="s">
        <v>222</v>
      </c>
      <c r="B19" s="82" t="n">
        <v>675</v>
      </c>
      <c r="C19" s="80" t="n">
        <v>46279</v>
      </c>
      <c r="D19" s="80"/>
      <c r="E19" s="80" t="n">
        <v>46279</v>
      </c>
    </row>
    <row r="20" customFormat="false" ht="15" hidden="false" customHeight="false" outlineLevel="0" collapsed="false">
      <c r="A20" s="78" t="s">
        <v>186</v>
      </c>
      <c r="B20" s="82" t="n">
        <v>1955</v>
      </c>
      <c r="C20" s="80" t="n">
        <v>46279</v>
      </c>
      <c r="D20" s="80"/>
      <c r="E20" s="80" t="n">
        <v>46279</v>
      </c>
    </row>
    <row r="21" customFormat="false" ht="15" hidden="false" customHeight="false" outlineLevel="0" collapsed="false">
      <c r="A21" s="78" t="s">
        <v>778</v>
      </c>
      <c r="B21" s="82" t="n">
        <v>640</v>
      </c>
      <c r="C21" s="80" t="n">
        <v>46275</v>
      </c>
      <c r="D21" s="80"/>
      <c r="E21" s="80" t="n">
        <v>46275</v>
      </c>
    </row>
    <row r="22" customFormat="false" ht="15" hidden="false" customHeight="false" outlineLevel="0" collapsed="false">
      <c r="A22" s="78" t="s">
        <v>214</v>
      </c>
      <c r="B22" s="82" t="n">
        <v>90.2</v>
      </c>
      <c r="C22" s="80" t="n">
        <v>46279</v>
      </c>
      <c r="D22" s="80"/>
      <c r="E22" s="80" t="n">
        <v>46279</v>
      </c>
    </row>
    <row r="23" customFormat="false" ht="15" hidden="false" customHeight="false" outlineLevel="0" collapsed="false">
      <c r="A23" s="78" t="s">
        <v>220</v>
      </c>
      <c r="B23" s="82" t="n">
        <v>547</v>
      </c>
      <c r="C23" s="80" t="n">
        <v>46279</v>
      </c>
      <c r="D23" s="80"/>
      <c r="E23" s="80" t="n">
        <v>46279</v>
      </c>
    </row>
    <row r="24" customFormat="false" ht="15" hidden="false" customHeight="false" outlineLevel="0" collapsed="false">
      <c r="A24" s="78" t="s">
        <v>175</v>
      </c>
      <c r="B24" s="82" t="n">
        <v>1290</v>
      </c>
      <c r="C24" s="80" t="n">
        <v>46279</v>
      </c>
      <c r="D24" s="80"/>
      <c r="E24" s="80" t="n">
        <v>46279</v>
      </c>
    </row>
    <row r="25" customFormat="false" ht="15" hidden="false" customHeight="false" outlineLevel="0" collapsed="false">
      <c r="A25" s="78" t="s">
        <v>190</v>
      </c>
      <c r="B25" s="82" t="n">
        <v>539</v>
      </c>
      <c r="C25" s="80" t="n">
        <v>46279</v>
      </c>
      <c r="D25" s="80"/>
      <c r="E25" s="80" t="n">
        <v>46279</v>
      </c>
    </row>
    <row r="26" customFormat="false" ht="15" hidden="false" customHeight="false" outlineLevel="0" collapsed="false">
      <c r="A26" s="78" t="s">
        <v>206</v>
      </c>
      <c r="B26" s="82" t="n">
        <v>1590</v>
      </c>
      <c r="C26" s="80" t="n">
        <v>46279</v>
      </c>
      <c r="D26" s="80"/>
      <c r="E26" s="80" t="n">
        <v>46279</v>
      </c>
    </row>
    <row r="27" customFormat="false" ht="15" hidden="false" customHeight="false" outlineLevel="0" collapsed="false">
      <c r="A27" s="78" t="s">
        <v>216</v>
      </c>
      <c r="B27" s="82" t="n">
        <v>1935</v>
      </c>
      <c r="C27" s="80" t="n">
        <v>46279</v>
      </c>
      <c r="D27" s="80"/>
      <c r="E27" s="80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994</v>
      </c>
      <c r="F1" s="14" t="s">
        <v>995</v>
      </c>
      <c r="G1" s="14" t="s">
        <v>996</v>
      </c>
      <c r="H1" s="14" t="s">
        <v>997</v>
      </c>
      <c r="I1" s="14" t="s">
        <v>68</v>
      </c>
      <c r="J1" s="14" t="s">
        <v>56</v>
      </c>
      <c r="K1" s="14" t="s">
        <v>998</v>
      </c>
      <c r="L1" s="14" t="s">
        <v>999</v>
      </c>
      <c r="M1" s="14" t="s">
        <v>1000</v>
      </c>
      <c r="N1" s="14" t="s">
        <v>58</v>
      </c>
      <c r="O1" s="14" t="s">
        <v>59</v>
      </c>
      <c r="P1" s="14" t="s">
        <v>1001</v>
      </c>
      <c r="Q1" s="15" t="s">
        <v>47</v>
      </c>
      <c r="R1" s="15" t="s">
        <v>60</v>
      </c>
      <c r="S1" s="15" t="s">
        <v>1002</v>
      </c>
      <c r="T1" s="15" t="s">
        <v>1003</v>
      </c>
      <c r="U1" s="15" t="s">
        <v>1004</v>
      </c>
      <c r="V1" s="15" t="s">
        <v>1005</v>
      </c>
      <c r="W1" s="15" t="s">
        <v>64</v>
      </c>
      <c r="X1" s="15" t="s">
        <v>65</v>
      </c>
      <c r="Y1" s="14" t="s">
        <v>1006</v>
      </c>
      <c r="Z1" s="15" t="s">
        <v>1007</v>
      </c>
      <c r="AA1" s="15" t="s">
        <v>1008</v>
      </c>
      <c r="AB1" s="14" t="s">
        <v>1009</v>
      </c>
      <c r="AC1" s="14" t="s">
        <v>71</v>
      </c>
      <c r="AD1" s="15" t="s">
        <v>106</v>
      </c>
      <c r="AE1" s="15" t="s">
        <v>1010</v>
      </c>
      <c r="AF1" s="14" t="s">
        <v>72</v>
      </c>
      <c r="AG1" s="14" t="s">
        <v>73</v>
      </c>
      <c r="AH1" s="14" t="s">
        <v>1011</v>
      </c>
      <c r="AI1" s="15" t="s">
        <v>75</v>
      </c>
      <c r="AJ1" s="15" t="s">
        <v>76</v>
      </c>
      <c r="AK1" s="15" t="s">
        <v>1012</v>
      </c>
      <c r="AL1" s="15" t="s">
        <v>86</v>
      </c>
      <c r="AM1" s="15" t="s">
        <v>87</v>
      </c>
      <c r="AN1" s="15" t="s">
        <v>88</v>
      </c>
      <c r="AO1" s="14" t="s">
        <v>1013</v>
      </c>
      <c r="AP1" s="14" t="s">
        <v>1014</v>
      </c>
      <c r="AQ1" s="14" t="s">
        <v>1015</v>
      </c>
      <c r="AR1" s="14" t="s">
        <v>1016</v>
      </c>
      <c r="AS1" s="14" t="s">
        <v>1017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131.919675561644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18.0412814833513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0.5635955782826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0.434005690692401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90.743659890411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17.4217311233886</v>
      </c>
      <c r="K3" s="52" t="n">
        <f aca="false">IF($A3="","",IFERROR(IF(G3&lt;=0,"N/M",D3/G3),"N/M"))</f>
        <v>9.95834548300607</v>
      </c>
      <c r="L3" s="52" t="n">
        <f aca="false">IF($A3="","",IFERROR(IF(H3&lt;=0,"N/M",D3/H3),"N/M"))</f>
        <v>5.21248537441879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0.107431531888423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0.723465622533518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241.690497780822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7.06655710764174</v>
      </c>
      <c r="K4" s="52" t="n">
        <f aca="false">IF($A4="","",IFERROR(IF(G4&lt;=0,"N/M",D4/G4),"N/M"))</f>
        <v>4.69620299246423</v>
      </c>
      <c r="L4" s="52" t="n">
        <f aca="false">IF($A4="","",IFERROR(IF(H4&lt;=0,"N/M",D4/H4),"N/M"))</f>
        <v>5.33740470496214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0.00442173975012507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0.00726917654263566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7.88845997260274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129.854368932039</v>
      </c>
      <c r="K5" s="52" t="n">
        <f aca="false">IF($A5="","",IFERROR(IF(G5&lt;=0,"N/M",D5/G5),"N/M"))</f>
        <v>113.968246529294</v>
      </c>
      <c r="L5" s="52" t="n">
        <f aca="false">IF($A5="","",IFERROR(IF(H5&lt;=0,"N/M",D5/H5),"N/M"))</f>
        <v>67.8205887914876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2.10909962278152</v>
      </c>
      <c r="O5" s="51" t="n">
        <f aca="false">IF($A5="","",IFERROR(IF(OR(NOT(ISNUMBER(L5)),M5&lt;Config!$B$6),"N/M",L5/(M5*100)),"N/M"))</f>
        <v>1.08555306156588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0.0048982365046729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0.274296026489064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34.8448910958904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19.3930938262993</v>
      </c>
      <c r="K6" s="52" t="n">
        <f aca="false">IF($A6="","",IFERROR(IF(G6&lt;=0,"N/M",D6/G6),"N/M"))</f>
        <v>17.2495472769449</v>
      </c>
      <c r="L6" s="52" t="n">
        <f aca="false">IF($A6="","",IFERROR(IF(H6&lt;=0,"N/M",D6/H6),"N/M"))</f>
        <v>15.9564281165331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0.0503597122302158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100.237806356164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35.8518246836604</v>
      </c>
      <c r="K7" s="52" t="n">
        <f aca="false">IF($A7="","",IFERROR(IF(G7&lt;=0,"N/M",D7/G7),"N/M"))</f>
        <v>32.7121373742444</v>
      </c>
      <c r="L7" s="52" t="n">
        <f aca="false">IF($A7="","",IFERROR(IF(H7&lt;=0,"N/M",D7/H7),"N/M"))</f>
        <v>19.5036191539698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0.623893813464904</v>
      </c>
      <c r="O7" s="51" t="n">
        <f aca="false">IF($A7="","",IFERROR(IF(OR(NOT(ISNUMBER(L7)),M7&lt;Config!$B$6),"N/M",L7/(M7*100)),"N/M"))</f>
        <v>0.26021259167854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0.00537364833248082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539</v>
      </c>
      <c r="E8" s="48" t="n">
        <f aca="false">IF($A8="","",IFERROR(SUMIFS(Raw_Q!$I$2:$I$600,Raw_Q!$A$2:$A$600,$A8,Raw_Q!$R$2:$R$600,"&gt;=1",Raw_Q!$R$2:$R$600,"&lt;=4"),""))</f>
        <v>20825.411</v>
      </c>
      <c r="F8" s="51" t="n">
        <f aca="false">IF($A8="","",IFERROR(SUMIFS(Raw_Q!$L$2:$L$600,Raw_Q!$A$2:$A$600,$A8,Raw_Q!$R$2:$R$600,"&gt;=1",Raw_Q!$R$2:$R$600,"&lt;=4"),""))</f>
        <v>7.92</v>
      </c>
      <c r="G8" s="51" t="n">
        <f aca="false">IF($A8="","",IFERROR(SUMIFS(Raw_Q!$L$2:$L$600,Raw_Q!$A$2:$A$600,$A8,Raw_Q!$R$2:$R$600,"&gt;=0",Raw_Q!$R$2:$R$600,"&lt;=3"),""))</f>
        <v>15.82333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33.2678630136986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n">
        <f aca="false">IF($A8="","",IFERROR(IF(F8&lt;=0,"N/M",D8/F8),"N/M"))</f>
        <v>68.0555555555556</v>
      </c>
      <c r="K8" s="52" t="n">
        <f aca="false">IF($A8="","",IFERROR(IF(G8&lt;=0,"N/M",D8/G8),"N/M"))</f>
        <v>34.0636263036921</v>
      </c>
      <c r="L8" s="52" t="n">
        <f aca="false">IF($A8="","",IFERROR(IF(H8&lt;=0,"N/M",D8/H8),"N/M"))</f>
        <v>16.2018221542531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1.28229447360734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n">
        <f aca="false">IF($A8="","",IFERROR(SUMIFS(Raw_Q!$J$2:$J$600,Raw_Q!$A$2:$A$600,$A8,Raw_Q!$R$2:$R$600,"&gt;=1",Raw_Q!$R$2:$R$600,"&lt;=4")/E8,""))</f>
        <v>0.134971982065564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0.134971982065564</v>
      </c>
      <c r="AB8" s="50" t="n">
        <f aca="false">IF($A8="","",IFERROR((Z8-AA8)*10000,""))</f>
        <v>0</v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1536.54336</v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N/M</v>
      </c>
      <c r="AG8" s="49" t="str">
        <f aca="false">IF($A8="","",IFERROR(AVERAGE(AO8:AS8),""))</f>
        <v/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46279</v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344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36.248726630137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12.8790715087982</v>
      </c>
      <c r="K9" s="52" t="n">
        <f aca="false">IF($A9="","",IFERROR(IF(G9&lt;=0,"N/M",D9/G9),"N/M"))</f>
        <v>11.3282132443937</v>
      </c>
      <c r="L9" s="52" t="n">
        <f aca="false">IF($A9="","",IFERROR(IF(H9&lt;=0,"N/M",D9/H9),"N/M"))</f>
        <v>9.48998853145921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0.205514435543699</v>
      </c>
      <c r="O9" s="51" t="n">
        <f aca="false">IF($A9="","",IFERROR(IF(OR(NOT(ISNUMBER(L9)),M9&lt;Config!$B$6),"N/M",L9/(M9*100)),"N/M"))</f>
        <v>0.945522417260751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0.0290697674418605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46279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11990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454.713963452055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66.1006670709521</v>
      </c>
      <c r="K10" s="52" t="n">
        <f aca="false">IF($A10="","",IFERROR(IF(G10&lt;=0,"N/M",D10/G10),"N/M"))</f>
        <v>45.0344284261519</v>
      </c>
      <c r="L10" s="52" t="n">
        <f aca="false">IF($A10="","",IFERROR(IF(H10&lt;=0,"N/M",D10/H10),"N/M"))</f>
        <v>26.3682247824004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0.392225936458434</v>
      </c>
      <c r="O10" s="51" t="n">
        <f aca="false">IF($A10="","",IFERROR(IF(OR(NOT(ISNUMBER(L10)),M10&lt;Config!$B$6),"N/M",L10/(M10*100)),"N/M"))</f>
        <v>0.638376906458515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0.00268557130942452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2745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33.5492877808219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244.870651204282</v>
      </c>
      <c r="K11" s="52" t="n">
        <f aca="false">IF($A11="","",IFERROR(IF(G11&lt;=0,"N/M",D11/G11),"N/M"))</f>
        <v>172.424623115578</v>
      </c>
      <c r="L11" s="52" t="n">
        <f aca="false">IF($A11="","",IFERROR(IF(H11&lt;=0,"N/M",D11/H11),"N/M"))</f>
        <v>81.8199187396506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0.434696849301719</v>
      </c>
      <c r="O11" s="51" t="n">
        <f aca="false">IF($A11="","",IFERROR(IF(OR(NOT(ISNUMBER(L11)),M11&lt;Config!$B$6),"N/M",L11/(M11*100)),"N/M"))</f>
        <v>0.825350715867298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0.000182157431693989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68.0497925311204</v>
      </c>
      <c r="K12" s="52" t="n">
        <f aca="false">IF($A12="","",IFERROR(IF(G12&lt;=0,"N/M",D12/G12),"N/M"))</f>
        <v>95.6268221574344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0.255308066129596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798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21.7182950136986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135.254237288136</v>
      </c>
      <c r="K13" s="52" t="n">
        <f aca="false">IF($A13="","",IFERROR(IF(G13&lt;=0,"N/M",D13/G13),"N/M"))</f>
        <v>95.7494675585686</v>
      </c>
      <c r="L13" s="52" t="n">
        <f aca="false">IF($A13="","",IFERROR(IF(H13&lt;=0,"N/M",D13/H13),"N/M"))</f>
        <v>36.743215777144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0.348950164432077</v>
      </c>
      <c r="O13" s="51" t="n">
        <f aca="false">IF($A13="","",IFERROR(IF(OR(NOT(ISNUMBER(L13)),M13&lt;Config!$B$6),"N/M",L13/(M13*100)),"N/M"))</f>
        <v>0.238498006343436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0.00125334828320802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1590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109.882410958904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14.4700137731293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0.131973165770224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n">
        <f aca="false">IF($A14="","",IFERROR(SUMPRODUCT((Raw_Q!$A$2:$A$600=$A14)*(Raw_Q!$R$2:$R$600&gt;=1)*(Raw_Q!$R$2:$R$600&lt;=4)*Raw_Q!$L$2:$L$600*Raw_Q!$M$2:$M$600),""))</f>
        <v>0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>N/M</v>
      </c>
      <c r="AI14" s="51" t="n">
        <f aca="false">IF($A14="","",IFERROR(SUMIFS(Raw_Q!$L$2:$L$600,Raw_Q!$A$2:$A$600,$A14,Raw_Q!$R$2:$R$600,0),""))</f>
        <v>0</v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46279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7.14068068493151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21.3323353293413</v>
      </c>
      <c r="K15" s="52" t="n">
        <f aca="false">IF($A15="","",IFERROR(IF(G15&lt;=0,"N/M",D15/G15),"N/M"))</f>
        <v>20.6779464259802</v>
      </c>
      <c r="L15" s="52" t="n">
        <f aca="false">IF($A15="","",IFERROR(IF(H15&lt;=0,"N/M",D15/H15),"N/M"))</f>
        <v>19.9560806998005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0.192659552689493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4560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122.64361909589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75.1359367276322</v>
      </c>
      <c r="K16" s="52" t="n">
        <f aca="false">IF($A16="","",IFERROR(IF(G16&lt;=0,"N/M",D16/G16),"N/M"))</f>
        <v>75.6415347667404</v>
      </c>
      <c r="L16" s="52" t="n">
        <f aca="false">IF($A16="","",IFERROR(IF(H16&lt;=0,"N/M",D16/H16),"N/M"))</f>
        <v>37.1808988809659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0.326363934054357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0.0118421529539474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88.6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32.8148148148148</v>
      </c>
      <c r="K17" s="52" t="n">
        <f aca="false">IF($A17="","",IFERROR(IF(G17&lt;=0,"N/M",D17/G17),"N/M"))</f>
        <v>28.3067092651757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6.75646608219178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15.2364864864865</v>
      </c>
      <c r="K18" s="52" t="n">
        <f aca="false">IF($A18="","",IFERROR(IF(G18&lt;=0,"N/M",D18/G18),"N/M"))</f>
        <v>15.8229791055982</v>
      </c>
      <c r="L18" s="52" t="n">
        <f aca="false">IF($A18="","",IFERROR(IF(H18&lt;=0,"N/M",D18/H18),"N/M"))</f>
        <v>13.3501743223048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0.618575306075306</v>
      </c>
      <c r="O18" s="51" t="n">
        <f aca="false">IF($A18="","",IFERROR(IF(OR(NOT(ISNUMBER(L18)),M18&lt;Config!$B$6),"N/M",L18/(M18*100)),"N/M"))</f>
        <v>0.481233233013464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0.0444505192904656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286.298009917808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6.75869175812821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46279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444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9.26808052054794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52.1739130434783</v>
      </c>
      <c r="K20" s="52" t="n">
        <f aca="false">IF($A20="","",IFERROR(IF(G20&lt;=0,"N/M",D20/G20),"N/M"))</f>
        <v>54.7624862168743</v>
      </c>
      <c r="L20" s="52" t="n">
        <f aca="false">IF($A20="","",IFERROR(IF(H20&lt;=0,"N/M",D20/H20),"N/M"))</f>
        <v>47.9063597921514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1.63709940587408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0.0045045045045045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12.135698630137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45.0736308366802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0.494204943446686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IF($A21="","",IFERROR((T21-(SUMIFS(Raw_Q!$I$2:$I$600,Raw_Q!$A$2:$A$600,$A21,Raw_Q!$R$2:$R$600,5)/SUMIFS(Raw_Q!$I$2:$I$600,Raw_Q!$A$2:$A$600,$A21,Raw_Q!$R$2:$R$600,6)-1))*100,""))</f>
        <v>6.08377358331886</v>
      </c>
      <c r="Y21" s="49" t="n">
        <f aca="false">IF($A21="","",IFERROR(SUMIFS(Raw_Q!$L$2:$L$600,Raw_Q!$A$2:$A$600,$A21,Raw_Q!$R$2:$R$600,1)/SUMIFS(Raw_Q!$L$2:$L$600,Raw_Q!$A$2:$A$600,$A21,Raw_Q!$R$2:$R$600,5)-1,""))</f>
        <v>0.925373134328358</v>
      </c>
      <c r="Z21" s="49" t="n">
        <f aca="false">IF($A21="","",IFERROR(SUMIFS(Raw_Q!$J$2:$J$600,Raw_Q!$A$2:$A$600,$A21,Raw_Q!$R$2:$R$600,"&gt;=1",Raw_Q!$R$2:$R$600,"&lt;=4")/E21,""))</f>
        <v>0.230280880281092</v>
      </c>
      <c r="AA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B21" s="50" t="n">
        <f aca="false">IF($A21="","",IFERROR((Z21-AA21)*10000,""))</f>
        <v>227.688595927956</v>
      </c>
      <c r="AC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D21" s="51" t="n">
        <f aca="false">IF($A21="","",IFERROR(SUMIFS(Raw_Q!$O$2:$O$600,Raw_Q!$A$2:$A$600,$A21,Raw_Q!$R$2:$R$600,1)/SUMIFS(Raw_Q!$M$2:$M$600,Raw_Q!$A$2:$A$600,$A21,Raw_Q!$R$2:$R$600,1),""))</f>
        <v>31.2739666463659</v>
      </c>
      <c r="AE21" s="48" t="n">
        <f aca="false">IF($A21="","",IFERROR(SUMPRODUCT((Raw_Q!$A$2:$A$600=$A21)*(Raw_Q!$R$2:$R$600&gt;=1)*(Raw_Q!$R$2:$R$600&lt;=4)*Raw_Q!$L$2:$L$600*Raw_Q!$M$2:$M$600),""))</f>
        <v>868.475655</v>
      </c>
      <c r="AF21" s="49" t="n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>0.219846911633873</v>
      </c>
      <c r="AG21" s="49" t="n">
        <f aca="false">IF($A21="","",IFERROR(AVERAGE(AO21:AS21),""))</f>
        <v>0.161032334137756</v>
      </c>
      <c r="AH21" s="49" t="n">
        <f aca="false">IF($A21="","",IFERROR(IF(AD21&lt;=0,"N/M",INDEX(Raw_Est!$B$2:$B$100,MATCH($A21,Raw_Est!$A$2:$A$100,0))/AD21),"N/M"))</f>
        <v>0.236298774746526</v>
      </c>
      <c r="AI21" s="51" t="n">
        <f aca="false">IF($A21="","",IFERROR(SUMIFS(Raw_Q!$L$2:$L$600,Raw_Q!$A$2:$A$600,$A21,Raw_Q!$R$2:$R$600,0),""))</f>
        <v>2.18</v>
      </c>
      <c r="AJ21" s="66" t="str">
        <f aca="false">IF($A21="","",IFERROR(INDEX(Raw_Q!$B$2:$B$600,MATCH($A21&amp;"|"&amp;0,Raw_Q!$S$2:$S$600,0)),""))</f>
        <v>FY2026Q3E</v>
      </c>
      <c r="AK21" s="66" t="str">
        <f aca="false">IF($A21="","",IFERROR(INDEX(Raw_Q!$G$2:$G$600,MATCH($A21&amp;"|"&amp;0,Raw_Q!$S$2:$S$600,0)),""))</f>
        <v>consensus</v>
      </c>
      <c r="AL21" s="47" t="n">
        <f aca="false">IF($A21="","",IFERROR(INDEX(Raw_Est!$E$2:$E$100,MATCH($A21,Raw_Est!$A$2:$A$100,0)),""))</f>
        <v>1</v>
      </c>
      <c r="AM21" s="67" t="n">
        <f aca="false">IF($A21="","",IFERROR(INDEX(Raw_Price!$D$2:$D$100,MATCH($A21,Raw_Price!$A$2:$A$100,0)),""))</f>
        <v>0</v>
      </c>
      <c r="AN21" s="67" t="n">
        <f aca="false">IF($A21="","",IFERROR(INDEX(Raw_Price!$E$2:$E$100,MATCH($A21,Raw_Price!$A$2:$A$100,0)),""))</f>
        <v>46279</v>
      </c>
      <c r="AO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P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Q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R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S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6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11.9777123287671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56.3546678591402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0.0069095137028252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66" t="str">
        <f aca="false">IF($A22="","",IFERROR(IF(NOT(ISNUMBER(T22)),"",IF(T22&gt;0,IF(V22&gt;0,"成長且加速","成長但減速"),IF(V22&gt;0,"衰退但收斂","衰退且惡化"))),""))</f>
        <v>成長且加速</v>
      </c>
      <c r="X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Y22" s="49" t="n">
        <f aca="false">IF($A22="","",IFERROR(SUMIFS(Raw_Q!$L$2:$L$600,Raw_Q!$A$2:$A$600,$A22,Raw_Q!$R$2:$R$600,1)/SUMIFS(Raw_Q!$L$2:$L$600,Raw_Q!$A$2:$A$600,$A22,Raw_Q!$R$2:$R$600,5)-1,""))</f>
        <v>-2.375</v>
      </c>
      <c r="Z22" s="49" t="n">
        <f aca="false">IF($A22="","",IFERROR(SUMIFS(Raw_Q!$J$2:$J$600,Raw_Q!$A$2:$A$600,$A22,Raw_Q!$R$2:$R$600,"&gt;=1",Raw_Q!$R$2:$R$600,"&lt;=4")/E22,""))</f>
        <v>0.103895951972074</v>
      </c>
      <c r="AA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B22" s="50" t="n">
        <f aca="false">IF($A22="","",IFERROR((Z22-AA22)*10000,""))</f>
        <v>-624.913192046118</v>
      </c>
      <c r="AC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D22" s="51" t="n">
        <f aca="false">IF($A22="","",IFERROR(SUMIFS(Raw_Q!$O$2:$O$600,Raw_Q!$A$2:$A$600,$A22,Raw_Q!$R$2:$R$600,1)/SUMIFS(Raw_Q!$M$2:$M$600,Raw_Q!$A$2:$A$600,$A22,Raw_Q!$R$2:$R$600,1),""))</f>
        <v>50.3090620781657</v>
      </c>
      <c r="AE22" s="48" t="n">
        <f aca="false">IF($A22="","",IFERROR(SUMPRODUCT((Raw_Q!$A$2:$A$600=$A22)*(Raw_Q!$R$2:$R$600&gt;=1)*(Raw_Q!$R$2:$R$600&lt;=4)*Raw_Q!$L$2:$L$600*Raw_Q!$M$2:$M$600),""))</f>
        <v>-137.405126</v>
      </c>
      <c r="AF22" s="49" t="n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>-0.0333504997048567</v>
      </c>
      <c r="AG22" s="49" t="n">
        <f aca="false">IF($A22="","",IFERROR(AVERAGE(AO22:AS22),""))</f>
        <v>0.0197197224365461</v>
      </c>
      <c r="AH22" s="49" t="n">
        <f aca="false">IF($A22="","",IFERROR(IF(AD22&lt;=0,"N/M",INDEX(Raw_Est!$B$2:$B$100,MATCH($A22,Raw_Est!$A$2:$A$100,0))/AD22),"N/M"))</f>
        <v>0.00407481259900034</v>
      </c>
      <c r="AI22" s="51" t="n">
        <f aca="false">IF($A22="","",IFERROR(SUMIFS(Raw_Q!$L$2:$L$600,Raw_Q!$A$2:$A$600,$A22,Raw_Q!$R$2:$R$600,0),""))</f>
        <v>0.19</v>
      </c>
      <c r="AJ22" s="66" t="str">
        <f aca="false">IF($A22="","",IFERROR(INDEX(Raw_Q!$B$2:$B$600,MATCH($A22&amp;"|"&amp;0,Raw_Q!$S$2:$S$600,0)),""))</f>
        <v>FY2026Q3E</v>
      </c>
      <c r="AK22" s="66" t="str">
        <f aca="false">IF($A22="","",IFERROR(INDEX(Raw_Q!$G$2:$G$600,MATCH($A22&amp;"|"&amp;0,Raw_Q!$S$2:$S$600,0)),""))</f>
        <v>consensus</v>
      </c>
      <c r="AL22" s="47" t="n">
        <f aca="false">IF($A22="","",IFERROR(INDEX(Raw_Est!$E$2:$E$100,MATCH($A22,Raw_Est!$A$2:$A$100,0)),""))</f>
        <v>2</v>
      </c>
      <c r="AM22" s="67" t="n">
        <f aca="false">IF($A22="","",IFERROR(INDEX(Raw_Price!$D$2:$D$100,MATCH($A22,Raw_Price!$A$2:$A$100,0)),""))</f>
        <v>0</v>
      </c>
      <c r="AN22" s="67" t="n">
        <f aca="false">IF($A22="","",IFERROR(INDEX(Raw_Price!$E$2:$E$100,MATCH($A22,Raw_Price!$A$2:$A$100,0)),""))</f>
        <v>46279</v>
      </c>
      <c r="AO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P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Q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R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S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6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44.3263191232877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17.6600441501104</v>
      </c>
      <c r="K23" s="52" t="n">
        <f aca="false">IF($A23="","",IFERROR(IF(G23&lt;=0,"N/M",D23/G23),"N/M"))</f>
        <v>9.69166571264332</v>
      </c>
      <c r="L23" s="52" t="n">
        <f aca="false">IF($A23="","",IFERROR(IF(H23&lt;=0,"N/M",D23/H23),"N/M"))</f>
        <v>3.6095936492038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0.034132372916344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0.003125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66" t="str">
        <f aca="false">IF($A23="","",IFERROR(IF(NOT(ISNUMBER(T23)),"",IF(T23&gt;0,IF(V23&gt;0,"成長且加速","成長但減速"),IF(V23&gt;0,"衰退但收斂","衰退且惡化"))),""))</f>
        <v>成長且加速</v>
      </c>
      <c r="X23" s="68" t="n">
        <f aca="false">IF($A23="","",IFERROR((T23-(SUMIFS(Raw_Q!$I$2:$I$600,Raw_Q!$A$2:$A$600,$A23,Raw_Q!$R$2:$R$600,5)/SUMIFS(Raw_Q!$I$2:$I$600,Raw_Q!$A$2:$A$600,$A23,Raw_Q!$R$2:$R$600,6)-1))*100,""))</f>
        <v>51.3118555762804</v>
      </c>
      <c r="Y23" s="49" t="n">
        <f aca="false">IF($A23="","",IFERROR(SUMIFS(Raw_Q!$L$2:$L$600,Raw_Q!$A$2:$A$600,$A23,Raw_Q!$R$2:$R$600,1)/SUMIFS(Raw_Q!$L$2:$L$600,Raw_Q!$A$2:$A$600,$A23,Raw_Q!$R$2:$R$600,5)-1,""))</f>
        <v>-19.6206896551724</v>
      </c>
      <c r="Z23" s="49" t="n">
        <f aca="false">IF($A23="","",IFERROR(SUMIFS(Raw_Q!$J$2:$J$600,Raw_Q!$A$2:$A$600,$A23,Raw_Q!$R$2:$R$600,"&gt;=1",Raw_Q!$R$2:$R$600,"&lt;=4")/E23,""))</f>
        <v>0.555471063982052</v>
      </c>
      <c r="AA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B23" s="50" t="n">
        <f aca="false">IF($A23="","",IFERROR((Z23-AA23)*10000,""))</f>
        <v>1394.87591484962</v>
      </c>
      <c r="AC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D23" s="51" t="n">
        <f aca="false">IF($A23="","",IFERROR(SUMIFS(Raw_Q!$O$2:$O$600,Raw_Q!$A$2:$A$600,$A23,Raw_Q!$R$2:$R$600,1)/SUMIFS(Raw_Q!$M$2:$M$600,Raw_Q!$A$2:$A$600,$A23,Raw_Q!$R$2:$R$600,1),""))</f>
        <v>36.6688045924976</v>
      </c>
      <c r="AE23" s="48" t="n">
        <f aca="false">IF($A23="","",IFERROR(SUMPRODUCT((Raw_Q!$A$2:$A$600=$A23)*(Raw_Q!$R$2:$R$600&gt;=1)*(Raw_Q!$R$2:$R$600&lt;=4)*Raw_Q!$L$2:$L$600*Raw_Q!$M$2:$M$600),""))</f>
        <v>40770.001812</v>
      </c>
      <c r="AF23" s="49" t="n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>0.322710406766239</v>
      </c>
      <c r="AG23" s="49" t="n">
        <f aca="false">IF($A23="","",IFERROR(AVERAGE(AO23:AS23),""))</f>
        <v>0.110509176651133</v>
      </c>
      <c r="AH23" s="49" t="n">
        <f aca="false">IF($A23="","",IFERROR(IF(AD23&lt;=0,"N/M",INDEX(Raw_Est!$B$2:$B$100,MATCH($A23,Raw_Est!$A$2:$A$100,0))/AD23),"N/M"))</f>
        <v>0.692891417714729</v>
      </c>
      <c r="AI23" s="51" t="n">
        <f aca="false">IF($A23="","",IFERROR(SUMIFS(Raw_Q!$L$2:$L$600,Raw_Q!$A$2:$A$600,$A23,Raw_Q!$R$2:$R$600,0),""))</f>
        <v>8.09903</v>
      </c>
      <c r="AJ23" s="66" t="str">
        <f aca="false">IF($A23="","",IFERROR(INDEX(Raw_Q!$B$2:$B$600,MATCH($A23&amp;"|"&amp;0,Raw_Q!$S$2:$S$600,0)),""))</f>
        <v>FY2026Q3E</v>
      </c>
      <c r="AK23" s="66" t="str">
        <f aca="false">IF($A23="","",IFERROR(INDEX(Raw_Q!$G$2:$G$600,MATCH($A23&amp;"|"&amp;0,Raw_Q!$S$2:$S$600,0)),""))</f>
        <v>consensus</v>
      </c>
      <c r="AL23" s="47" t="n">
        <f aca="false">IF($A23="","",IFERROR(INDEX(Raw_Est!$E$2:$E$100,MATCH($A23,Raw_Est!$A$2:$A$100,0)),""))</f>
        <v>5</v>
      </c>
      <c r="AM23" s="67" t="n">
        <f aca="false">IF($A23="","",IFERROR(INDEX(Raw_Price!$D$2:$D$100,MATCH($A23,Raw_Price!$A$2:$A$100,0)),""))</f>
        <v>0</v>
      </c>
      <c r="AN23" s="67" t="n">
        <f aca="false">IF($A23="","",IFERROR(INDEX(Raw_Price!$E$2:$E$100,MATCH($A23,Raw_Price!$A$2:$A$100,0)),""))</f>
        <v>46279</v>
      </c>
      <c r="AO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P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Q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R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S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IF($A26="","",IFERROR((T26-(SUMIFS(Raw_Q!$I$2:$I$600,Raw_Q!$A$2:$A$600,$A26,Raw_Q!$R$2:$R$600,5)/SUMIFS(Raw_Q!$I$2:$I$600,Raw_Q!$A$2:$A$600,$A26,Raw_Q!$R$2:$R$600,6)-1))*100,""))</f>
        <v/>
      </c>
      <c r="Y26" s="49" t="str">
        <f aca="false">IF($A26="","",IFERROR(SUMIFS(Raw_Q!$L$2:$L$600,Raw_Q!$A$2:$A$600,$A26,Raw_Q!$R$2:$R$600,1)/SUMIFS(Raw_Q!$L$2:$L$600,Raw_Q!$A$2:$A$600,$A26,Raw_Q!$R$2:$R$600,5)-1,""))</f>
        <v/>
      </c>
      <c r="Z26" s="49" t="str">
        <f aca="false">IF($A26="","",IFERROR(SUMIFS(Raw_Q!$J$2:$J$600,Raw_Q!$A$2:$A$600,$A26,Raw_Q!$R$2:$R$600,"&gt;=1",Raw_Q!$R$2:$R$600,"&lt;=4")/E26,""))</f>
        <v/>
      </c>
      <c r="AA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D26" s="51" t="str">
        <f aca="false">IF($A26="","",IFERROR(SUMIFS(Raw_Q!$O$2:$O$600,Raw_Q!$A$2:$A$600,$A26,Raw_Q!$R$2:$R$600,1)/SUMIFS(Raw_Q!$M$2:$M$600,Raw_Q!$A$2:$A$600,$A26,Raw_Q!$R$2:$R$600,1),""))</f>
        <v/>
      </c>
      <c r="AE26" s="48" t="str">
        <f aca="false">IF($A26="","",IFERROR(SUMPRODUCT((Raw_Q!$A$2:$A$600=$A26)*(Raw_Q!$R$2:$R$600&gt;=1)*(Raw_Q!$R$2:$R$600&lt;=4)*Raw_Q!$L$2:$L$600*Raw_Q!$M$2:$M$600),""))</f>
        <v/>
      </c>
      <c r="AF26" s="49" t="str">
        <f aca="false">IF($A26="","",IFERROR(IF(MIN(SUMIFS(Raw_Q!$O$2:$O$600,Raw_Q!$A$2:$A$600,$A26,Raw_Q!$R$2:$R$600,1),SUMIFS(Raw_Q!$O$2:$O$600,Raw_Q!$A$2:$A$600,$A26,Raw_Q!$R$2:$R$600,5))&lt;=0,"N/M",AE26/((SUMIFS(Raw_Q!$O$2:$O$600,Raw_Q!$A$2:$A$600,$A26,Raw_Q!$R$2:$R$600,1)+SUMIFS(Raw_Q!$O$2:$O$600,Raw_Q!$A$2:$A$600,$A26,Raw_Q!$R$2:$R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IF($A26="","",IFERROR(SUMIFS(Raw_Q!$L$2:$L$600,Raw_Q!$A$2:$A$600,$A26,Raw_Q!$R$2:$R$600,0),""))</f>
        <v/>
      </c>
      <c r="AJ26" s="66" t="str">
        <f aca="false">IF($A26="","",IFERROR(INDEX(Raw_Q!$B$2:$B$600,MATCH($A26&amp;"|"&amp;0,Raw_Q!$S$2:$S$600,0)),""))</f>
        <v/>
      </c>
      <c r="AK26" s="66" t="str">
        <f aca="false">IF($A26="","",IFERROR(INDEX(Raw_Q!$G$2:$G$600,MATCH($A26&amp;"|"&amp;0,Raw_Q!$S$2:$S$600,0)),""))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P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Q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R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S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6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66" t="str">
        <f aca="false">IF($A27="","",IFERROR(IF(NOT(ISNUMBER(T27)),"",IF(T27&gt;0,IF(V27&gt;0,"成長且加速","成長但減速"),IF(V27&gt;0,"衰退但收斂","衰退且惡化"))),""))</f>
        <v/>
      </c>
      <c r="X27" s="68" t="str">
        <f aca="false">IF($A27="","",IFERROR((T27-(SUMIFS(Raw_Q!$I$2:$I$600,Raw_Q!$A$2:$A$600,$A27,Raw_Q!$R$2:$R$600,5)/SUMIFS(Raw_Q!$I$2:$I$600,Raw_Q!$A$2:$A$600,$A27,Raw_Q!$R$2:$R$600,6)-1))*100,""))</f>
        <v/>
      </c>
      <c r="Y27" s="49" t="str">
        <f aca="false">IF($A27="","",IFERROR(SUMIFS(Raw_Q!$L$2:$L$600,Raw_Q!$A$2:$A$600,$A27,Raw_Q!$R$2:$R$600,1)/SUMIFS(Raw_Q!$L$2:$L$600,Raw_Q!$A$2:$A$600,$A27,Raw_Q!$R$2:$R$600,5)-1,""))</f>
        <v/>
      </c>
      <c r="Z27" s="49" t="str">
        <f aca="false">IF($A27="","",IFERROR(SUMIFS(Raw_Q!$J$2:$J$600,Raw_Q!$A$2:$A$600,$A27,Raw_Q!$R$2:$R$600,"&gt;=1",Raw_Q!$R$2:$R$600,"&lt;=4")/E27,""))</f>
        <v/>
      </c>
      <c r="AA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B27" s="50" t="str">
        <f aca="false">IF($A27="","",IFERROR((Z27-AA27)*10000,""))</f>
        <v/>
      </c>
      <c r="AC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D27" s="51" t="str">
        <f aca="false">IF($A27="","",IFERROR(SUMIFS(Raw_Q!$O$2:$O$600,Raw_Q!$A$2:$A$600,$A27,Raw_Q!$R$2:$R$600,1)/SUMIFS(Raw_Q!$M$2:$M$600,Raw_Q!$A$2:$A$600,$A27,Raw_Q!$R$2:$R$600,1),""))</f>
        <v/>
      </c>
      <c r="AE27" s="48" t="str">
        <f aca="false">IF($A27="","",IFERROR(SUMPRODUCT((Raw_Q!$A$2:$A$600=$A27)*(Raw_Q!$R$2:$R$600&gt;=1)*(Raw_Q!$R$2:$R$600&lt;=4)*Raw_Q!$L$2:$L$600*Raw_Q!$M$2:$M$600),""))</f>
        <v/>
      </c>
      <c r="AF27" s="49" t="str">
        <f aca="false">IF($A27="","",IFERROR(IF(MIN(SUMIFS(Raw_Q!$O$2:$O$600,Raw_Q!$A$2:$A$600,$A27,Raw_Q!$R$2:$R$600,1),SUMIFS(Raw_Q!$O$2:$O$600,Raw_Q!$A$2:$A$600,$A27,Raw_Q!$R$2:$R$600,5))&lt;=0,"N/M",AE27/((SUMIFS(Raw_Q!$O$2:$O$600,Raw_Q!$A$2:$A$600,$A27,Raw_Q!$R$2:$R$600,1)+SUMIFS(Raw_Q!$O$2:$O$600,Raw_Q!$A$2:$A$600,$A27,Raw_Q!$R$2:$R$600,5))/2)),"N/M"))</f>
        <v/>
      </c>
      <c r="AG27" s="49" t="str">
        <f aca="false">IF($A27="","",IFERROR(AVERAGE(AO27:AS27),""))</f>
        <v/>
      </c>
      <c r="AH27" s="49" t="str">
        <f aca="false">IF($A27="","",IFERROR(IF(AD27&lt;=0,"N/M",INDEX(Raw_Est!$B$2:$B$100,MATCH($A27,Raw_Est!$A$2:$A$100,0))/AD27),"N/M"))</f>
        <v/>
      </c>
      <c r="AI27" s="51" t="str">
        <f aca="false">IF($A27="","",IFERROR(SUMIFS(Raw_Q!$L$2:$L$600,Raw_Q!$A$2:$A$600,$A27,Raw_Q!$R$2:$R$600,0),""))</f>
        <v/>
      </c>
      <c r="AJ27" s="66" t="str">
        <f aca="false">IF($A27="","",IFERROR(INDEX(Raw_Q!$B$2:$B$600,MATCH($A27&amp;"|"&amp;0,Raw_Q!$S$2:$S$600,0)),""))</f>
        <v/>
      </c>
      <c r="AK27" s="66" t="str">
        <f aca="false">IF($A27="","",IFERROR(INDEX(Raw_Q!$G$2:$G$600,MATCH($A27&amp;"|"&amp;0,Raw_Q!$S$2:$S$600,0)),""))</f>
        <v/>
      </c>
      <c r="AL27" s="47" t="str">
        <f aca="false">IF($A27="","",IFERROR(INDEX(Raw_Est!$E$2:$E$100,MATCH($A27,Raw_Est!$A$2:$A$100,0)),""))</f>
        <v/>
      </c>
      <c r="AM27" s="67" t="str">
        <f aca="false">IF($A27="","",IFERROR(INDEX(Raw_Price!$D$2:$D$100,MATCH($A27,Raw_Price!$A$2:$A$100,0)),""))</f>
        <v/>
      </c>
      <c r="AN27" s="67" t="str">
        <f aca="false">IF($A27="","",IFERROR(INDEX(Raw_Price!$E$2:$E$100,MATCH($A27,Raw_Price!$A$2:$A$100,0)),""))</f>
        <v/>
      </c>
      <c r="AO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P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Q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R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S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6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66" t="str">
        <f aca="false">IF($A28="","",IFERROR(IF(NOT(ISNUMBER(T28)),"",IF(T28&gt;0,IF(V28&gt;0,"成長且加速","成長但減速"),IF(V28&gt;0,"衰退但收斂","衰退且惡化"))),""))</f>
        <v/>
      </c>
      <c r="X28" s="68" t="str">
        <f aca="false">IF($A28="","",IFERROR((T28-(SUMIFS(Raw_Q!$I$2:$I$600,Raw_Q!$A$2:$A$600,$A28,Raw_Q!$R$2:$R$600,5)/SUMIFS(Raw_Q!$I$2:$I$600,Raw_Q!$A$2:$A$600,$A28,Raw_Q!$R$2:$R$600,6)-1))*100,""))</f>
        <v/>
      </c>
      <c r="Y28" s="49" t="str">
        <f aca="false">IF($A28="","",IFERROR(SUMIFS(Raw_Q!$L$2:$L$600,Raw_Q!$A$2:$A$600,$A28,Raw_Q!$R$2:$R$600,1)/SUMIFS(Raw_Q!$L$2:$L$600,Raw_Q!$A$2:$A$600,$A28,Raw_Q!$R$2:$R$600,5)-1,""))</f>
        <v/>
      </c>
      <c r="Z28" s="49" t="str">
        <f aca="false">IF($A28="","",IFERROR(SUMIFS(Raw_Q!$J$2:$J$600,Raw_Q!$A$2:$A$600,$A28,Raw_Q!$R$2:$R$600,"&gt;=1",Raw_Q!$R$2:$R$600,"&lt;=4")/E28,""))</f>
        <v/>
      </c>
      <c r="AA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B28" s="50" t="str">
        <f aca="false">IF($A28="","",IFERROR((Z28-AA28)*10000,""))</f>
        <v/>
      </c>
      <c r="AC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D28" s="51" t="str">
        <f aca="false">IF($A28="","",IFERROR(SUMIFS(Raw_Q!$O$2:$O$600,Raw_Q!$A$2:$A$600,$A28,Raw_Q!$R$2:$R$600,1)/SUMIFS(Raw_Q!$M$2:$M$600,Raw_Q!$A$2:$A$600,$A28,Raw_Q!$R$2:$R$600,1),""))</f>
        <v/>
      </c>
      <c r="AE28" s="48" t="str">
        <f aca="false">IF($A28="","",IFERROR(SUMPRODUCT((Raw_Q!$A$2:$A$600=$A28)*(Raw_Q!$R$2:$R$600&gt;=1)*(Raw_Q!$R$2:$R$600&lt;=4)*Raw_Q!$L$2:$L$600*Raw_Q!$M$2:$M$600),""))</f>
        <v/>
      </c>
      <c r="AF28" s="49" t="str">
        <f aca="false">IF($A28="","",IFERROR(IF(MIN(SUMIFS(Raw_Q!$O$2:$O$600,Raw_Q!$A$2:$A$600,$A28,Raw_Q!$R$2:$R$600,1),SUMIFS(Raw_Q!$O$2:$O$600,Raw_Q!$A$2:$A$600,$A28,Raw_Q!$R$2:$R$600,5))&lt;=0,"N/M",AE28/((SUMIFS(Raw_Q!$O$2:$O$600,Raw_Q!$A$2:$A$600,$A28,Raw_Q!$R$2:$R$600,1)+SUMIFS(Raw_Q!$O$2:$O$600,Raw_Q!$A$2:$A$600,$A28,Raw_Q!$R$2:$R$600,5))/2)),"N/M"))</f>
        <v/>
      </c>
      <c r="AG28" s="49" t="str">
        <f aca="false">IF($A28="","",IFERROR(AVERAGE(AO28:AS28),""))</f>
        <v/>
      </c>
      <c r="AH28" s="49" t="str">
        <f aca="false">IF($A28="","",IFERROR(IF(AD28&lt;=0,"N/M",INDEX(Raw_Est!$B$2:$B$100,MATCH($A28,Raw_Est!$A$2:$A$100,0))/AD28),"N/M"))</f>
        <v/>
      </c>
      <c r="AI28" s="51" t="str">
        <f aca="false">IF($A28="","",IFERROR(SUMIFS(Raw_Q!$L$2:$L$600,Raw_Q!$A$2:$A$600,$A28,Raw_Q!$R$2:$R$600,0),""))</f>
        <v/>
      </c>
      <c r="AJ28" s="66" t="str">
        <f aca="false">IF($A28="","",IFERROR(INDEX(Raw_Q!$B$2:$B$600,MATCH($A28&amp;"|"&amp;0,Raw_Q!$S$2:$S$600,0)),""))</f>
        <v/>
      </c>
      <c r="AK28" s="66" t="str">
        <f aca="false">IF($A28="","",IFERROR(INDEX(Raw_Q!$G$2:$G$600,MATCH($A28&amp;"|"&amp;0,Raw_Q!$S$2:$S$600,0)),""))</f>
        <v/>
      </c>
      <c r="AL28" s="47" t="str">
        <f aca="false">IF($A28="","",IFERROR(INDEX(Raw_Est!$E$2:$E$100,MATCH($A28,Raw_Est!$A$2:$A$100,0)),""))</f>
        <v/>
      </c>
      <c r="AM28" s="67" t="str">
        <f aca="false">IF($A28="","",IFERROR(INDEX(Raw_Price!$D$2:$D$100,MATCH($A28,Raw_Price!$A$2:$A$100,0)),""))</f>
        <v/>
      </c>
      <c r="AN28" s="67" t="str">
        <f aca="false">IF($A28="","",IFERROR(INDEX(Raw_Price!$E$2:$E$100,MATCH($A28,Raw_Price!$A$2:$A$100,0)),""))</f>
        <v/>
      </c>
      <c r="AO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P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Q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R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S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6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66" t="str">
        <f aca="false">IF($A29="","",IFERROR(IF(NOT(ISNUMBER(T29)),"",IF(T29&gt;0,IF(V29&gt;0,"成長且加速","成長但減速"),IF(V29&gt;0,"衰退但收斂","衰退且惡化"))),""))</f>
        <v/>
      </c>
      <c r="X29" s="68" t="str">
        <f aca="false">IF($A29="","",IFERROR((T29-(SUMIFS(Raw_Q!$I$2:$I$600,Raw_Q!$A$2:$A$600,$A29,Raw_Q!$R$2:$R$600,5)/SUMIFS(Raw_Q!$I$2:$I$600,Raw_Q!$A$2:$A$600,$A29,Raw_Q!$R$2:$R$600,6)-1))*100,""))</f>
        <v/>
      </c>
      <c r="Y29" s="49" t="str">
        <f aca="false">IF($A29="","",IFERROR(SUMIFS(Raw_Q!$L$2:$L$600,Raw_Q!$A$2:$A$600,$A29,Raw_Q!$R$2:$R$600,1)/SUMIFS(Raw_Q!$L$2:$L$600,Raw_Q!$A$2:$A$600,$A29,Raw_Q!$R$2:$R$600,5)-1,""))</f>
        <v/>
      </c>
      <c r="Z29" s="49" t="str">
        <f aca="false">IF($A29="","",IFERROR(SUMIFS(Raw_Q!$J$2:$J$600,Raw_Q!$A$2:$A$600,$A29,Raw_Q!$R$2:$R$600,"&gt;=1",Raw_Q!$R$2:$R$600,"&lt;=4")/E29,""))</f>
        <v/>
      </c>
      <c r="AA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B29" s="50" t="str">
        <f aca="false">IF($A29="","",IFERROR((Z29-AA29)*10000,""))</f>
        <v/>
      </c>
      <c r="AC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D29" s="51" t="str">
        <f aca="false">IF($A29="","",IFERROR(SUMIFS(Raw_Q!$O$2:$O$600,Raw_Q!$A$2:$A$600,$A29,Raw_Q!$R$2:$R$600,1)/SUMIFS(Raw_Q!$M$2:$M$600,Raw_Q!$A$2:$A$600,$A29,Raw_Q!$R$2:$R$600,1),""))</f>
        <v/>
      </c>
      <c r="AE29" s="48" t="str">
        <f aca="false">IF($A29="","",IFERROR(SUMPRODUCT((Raw_Q!$A$2:$A$600=$A29)*(Raw_Q!$R$2:$R$600&gt;=1)*(Raw_Q!$R$2:$R$600&lt;=4)*Raw_Q!$L$2:$L$600*Raw_Q!$M$2:$M$600),""))</f>
        <v/>
      </c>
      <c r="AF29" s="49" t="str">
        <f aca="false">IF($A29="","",IFERROR(IF(MIN(SUMIFS(Raw_Q!$O$2:$O$600,Raw_Q!$A$2:$A$600,$A29,Raw_Q!$R$2:$R$600,1),SUMIFS(Raw_Q!$O$2:$O$600,Raw_Q!$A$2:$A$600,$A29,Raw_Q!$R$2:$R$600,5))&lt;=0,"N/M",AE29/((SUMIFS(Raw_Q!$O$2:$O$600,Raw_Q!$A$2:$A$600,$A29,Raw_Q!$R$2:$R$600,1)+SUMIFS(Raw_Q!$O$2:$O$600,Raw_Q!$A$2:$A$600,$A29,Raw_Q!$R$2:$R$600,5))/2)),"N/M"))</f>
        <v/>
      </c>
      <c r="AG29" s="49" t="str">
        <f aca="false">IF($A29="","",IFERROR(AVERAGE(AO29:AS29),""))</f>
        <v/>
      </c>
      <c r="AH29" s="49" t="str">
        <f aca="false">IF($A29="","",IFERROR(IF(AD29&lt;=0,"N/M",INDEX(Raw_Est!$B$2:$B$100,MATCH($A29,Raw_Est!$A$2:$A$100,0))/AD29),"N/M"))</f>
        <v/>
      </c>
      <c r="AI29" s="51" t="str">
        <f aca="false">IF($A29="","",IFERROR(SUMIFS(Raw_Q!$L$2:$L$600,Raw_Q!$A$2:$A$600,$A29,Raw_Q!$R$2:$R$600,0),""))</f>
        <v/>
      </c>
      <c r="AJ29" s="66" t="str">
        <f aca="false">IF($A29="","",IFERROR(INDEX(Raw_Q!$B$2:$B$600,MATCH($A29&amp;"|"&amp;0,Raw_Q!$S$2:$S$600,0)),""))</f>
        <v/>
      </c>
      <c r="AK29" s="66" t="str">
        <f aca="false">IF($A29="","",IFERROR(INDEX(Raw_Q!$G$2:$G$600,MATCH($A29&amp;"|"&amp;0,Raw_Q!$S$2:$S$600,0)),""))</f>
        <v/>
      </c>
      <c r="AL29" s="47" t="str">
        <f aca="false">IF($A29="","",IFERROR(INDEX(Raw_Est!$E$2:$E$100,MATCH($A29,Raw_Est!$A$2:$A$100,0)),""))</f>
        <v/>
      </c>
      <c r="AM29" s="67" t="str">
        <f aca="false">IF($A29="","",IFERROR(INDEX(Raw_Price!$D$2:$D$100,MATCH($A29,Raw_Price!$A$2:$A$100,0)),""))</f>
        <v/>
      </c>
      <c r="AN29" s="67" t="str">
        <f aca="false">IF($A29="","",IFERROR(INDEX(Raw_Price!$E$2:$E$100,MATCH($A29,Raw_Price!$A$2:$A$100,0)),""))</f>
        <v/>
      </c>
      <c r="AO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P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Q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R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S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1" customFormat="false" ht="15" hidden="false" customHeight="false" outlineLevel="0" collapsed="false">
      <c r="A31" s="25" t="s">
        <v>1018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1019</v>
      </c>
    </row>
    <row r="3" customFormat="false" ht="31.5" hidden="false" customHeight="true" outlineLevel="0" collapsed="false">
      <c r="A3" s="15" t="s">
        <v>1020</v>
      </c>
      <c r="B3" s="15" t="s">
        <v>1021</v>
      </c>
      <c r="C3" s="15" t="s">
        <v>1022</v>
      </c>
    </row>
    <row r="4" customFormat="false" ht="15" hidden="false" customHeight="false" outlineLevel="0" collapsed="false">
      <c r="A4" s="5" t="s">
        <v>1023</v>
      </c>
      <c r="B4" s="85" t="n">
        <v>24</v>
      </c>
      <c r="C4" s="25" t="s">
        <v>1024</v>
      </c>
    </row>
    <row r="5" customFormat="false" ht="15" hidden="false" customHeight="false" outlineLevel="0" collapsed="false">
      <c r="A5" s="5" t="s">
        <v>1025</v>
      </c>
      <c r="B5" s="85" t="n">
        <v>20</v>
      </c>
      <c r="C5" s="25" t="s">
        <v>1026</v>
      </c>
    </row>
    <row r="6" customFormat="false" ht="15" hidden="false" customHeight="false" outlineLevel="0" collapsed="false">
      <c r="A6" s="2" t="s">
        <v>1027</v>
      </c>
      <c r="B6" s="86" t="n">
        <v>0.05</v>
      </c>
      <c r="C6" s="24" t="s">
        <v>1028</v>
      </c>
    </row>
    <row r="7" customFormat="false" ht="15" hidden="false" customHeight="false" outlineLevel="0" collapsed="false">
      <c r="A7" s="5" t="s">
        <v>1029</v>
      </c>
      <c r="B7" s="85" t="n">
        <v>5</v>
      </c>
      <c r="C7" s="24" t="s">
        <v>1030</v>
      </c>
    </row>
    <row r="8" customFormat="false" ht="15" hidden="false" customHeight="false" outlineLevel="0" collapsed="false">
      <c r="A8" s="2" t="s">
        <v>1031</v>
      </c>
      <c r="B8" s="85" t="n">
        <v>365</v>
      </c>
      <c r="C8" s="25" t="s">
        <v>1032</v>
      </c>
    </row>
    <row r="11" customFormat="false" ht="15" hidden="false" customHeight="false" outlineLevel="0" collapsed="false">
      <c r="A11" s="24" t="s">
        <v>1033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2026-09-14T13:13:27Z</dcterms:created>
  <dc:creator>openpyxl</dc:creator>
  <dc:description/>
  <dc:language>en-US</dc:language>
  <cp:lastModifiedBy/>
  <dcterms:modified xsi:type="dcterms:W3CDTF">2026-09-14T13:13:27Z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