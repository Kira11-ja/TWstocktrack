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<sst xmlns="http://schemas.openxmlformats.org/spreadsheetml/2006/main" count="8221" uniqueCount="1534">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</sst>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2420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0.444947607890085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28.0482151135837</v>
      </c>
      <c r="P3" s="22" t="n">
        <f aca="false">IF(Calc!$A$2="","",Calc!L$2)</f>
        <v>17.1161368830456</v>
      </c>
      <c r="Q3" s="18" t="n">
        <f aca="false">IF(Calc!$A$2="","",Calc!N$2)</f>
        <v>0.526991989671637</v>
      </c>
      <c r="R3" s="18" t="n">
        <f aca="false">IF(Calc!$A$2="","",Calc!O$2)</f>
        <v>0.490563922994207</v>
      </c>
      <c r="S3" s="19" t="n">
        <f aca="false">IF(Calc!$A$2="","",Calc!Q$2)</f>
        <v>0.00909095048760331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436.5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16.0773480662983</v>
      </c>
      <c r="P4" s="22" t="n">
        <f aca="false">IF(Calc!$A$3="","",Calc!L$3)</f>
        <v>3.95541837859722</v>
      </c>
      <c r="Q4" s="18" t="str">
        <f aca="false">IF(Calc!$A$3="","",Calc!N$3)</f>
        <v>N/M</v>
      </c>
      <c r="R4" s="18" t="n">
        <f aca="false">IF(Calc!$A$3="","",Calc!O$3)</f>
        <v>0.0698258068611118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1095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4.57168020941383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490.5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119.053398058252</v>
      </c>
      <c r="P6" s="22" t="n">
        <f aca="false">IF(Calc!$A$5="","",Calc!L$5)</f>
        <v>56.3100182562311</v>
      </c>
      <c r="Q6" s="18" t="n">
        <f aca="false">IF(Calc!$A$5="","",Calc!N$5)</f>
        <v>1.93366984107353</v>
      </c>
      <c r="R6" s="18" t="n">
        <f aca="false">IF(Calc!$A$5="","",Calc!O$5)</f>
        <v>0.827146663635879</v>
      </c>
      <c r="S6" s="19" t="n">
        <f aca="false">IF(Calc!$A$5="","",Calc!Q$5)</f>
        <v>0.0053426228950051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590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20.5790024415766</v>
      </c>
      <c r="P7" s="22" t="n">
        <f aca="false">IF(Calc!$A$6="","",Calc!L$6)</f>
        <v>16.7975417209927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0.0474576271186441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1950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35.7601320374106</v>
      </c>
      <c r="P8" s="22" t="n">
        <f aca="false">IF(Calc!$A$7="","",Calc!L$7)</f>
        <v>16.6294898873288</v>
      </c>
      <c r="Q8" s="18" t="n">
        <f aca="false">IF(Calc!$A$7="","",Calc!N$7)</f>
        <v>0.622298177113331</v>
      </c>
      <c r="R8" s="18" t="n">
        <f aca="false">IF(Calc!$A$7="","",Calc!O$7)</f>
        <v>0.20152907067128</v>
      </c>
      <c r="S8" s="19" t="n">
        <f aca="false">IF(Calc!$A$7="","",Calc!Q$7)</f>
        <v>0.00538742691794872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573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17.1896823440893</v>
      </c>
      <c r="Q9" s="18" t="str">
        <f aca="false">IF(Calc!$A$8="","",Calc!N$8)</f>
        <v>N/M</v>
      </c>
      <c r="R9" s="18" t="n">
        <f aca="false">IF(Calc!$A$8="","",Calc!O$8)</f>
        <v>1.54510168095064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358.5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13.4219393485586</v>
      </c>
      <c r="P10" s="22" t="n">
        <f aca="false">IF(Calc!$A$9="","",Calc!L$9)</f>
        <v>9.78913957331975</v>
      </c>
      <c r="Q10" s="18" t="n">
        <f aca="false">IF(Calc!$A$9="","",Calc!N$9)</f>
        <v>0.21417710797214</v>
      </c>
      <c r="R10" s="18" t="n">
        <f aca="false">IF(Calc!$A$9="","",Calc!O$9)</f>
        <v>0.881745981022454</v>
      </c>
      <c r="S10" s="19" t="n">
        <f aca="false">IF(Calc!$A$9="","",Calc!Q$9)</f>
        <v>0.0278940027894003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10080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55.570869397431</v>
      </c>
      <c r="P11" s="22" t="n">
        <f aca="false">IF(Calc!$A$10="","",Calc!L$10)</f>
        <v>21.5309818603971</v>
      </c>
      <c r="Q11" s="18" t="n">
        <f aca="false">IF(Calc!$A$10="","",Calc!N$10)</f>
        <v>0.329744573769893</v>
      </c>
      <c r="R11" s="18" t="n">
        <f aca="false">IF(Calc!$A$10="","",Calc!O$10)</f>
        <v>0.517588673410835</v>
      </c>
      <c r="S11" s="19" t="n">
        <f aca="false">IF(Calc!$A$10="","",Calc!Q$10)</f>
        <v>0.00319444444444444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234.165923282783</v>
      </c>
      <c r="P12" s="22" t="n">
        <f aca="false">IF(Calc!$A$11="","",Calc!L$11)</f>
        <v>73.8487478508454</v>
      </c>
      <c r="Q12" s="18" t="n">
        <f aca="false">IF(Calc!$A$11="","",Calc!N$11)</f>
        <v>0.415693708348638</v>
      </c>
      <c r="R12" s="18" t="n">
        <f aca="false">IF(Calc!$A$11="","",Calc!O$11)</f>
        <v>0.732055646009908</v>
      </c>
      <c r="S12" s="19" t="n">
        <f aca="false">IF(Calc!$A$11="","",Calc!Q$11)</f>
        <v>0.000190484628571429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583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60.4771784232365</v>
      </c>
      <c r="P13" s="22" t="str">
        <f aca="false">IF(Calc!$A$12="","",Calc!L$12)</f>
        <v>N/M</v>
      </c>
      <c r="Q13" s="18" t="n">
        <f aca="false">IF(Calc!$A$12="","",Calc!N$12)</f>
        <v>0.226897259990174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1010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0.141799796168161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171.186440677966</v>
      </c>
      <c r="P14" s="22" t="n">
        <f aca="false">IF(Calc!$A$13="","",Calc!L$13)</f>
        <v>37.723388307145</v>
      </c>
      <c r="Q14" s="18" t="n">
        <f aca="false">IF(Calc!$A$13="","",Calc!N$13)</f>
        <v>0.441653716887717</v>
      </c>
      <c r="R14" s="18" t="n">
        <f aca="false">IF(Calc!$A$13="","",Calc!O$13)</f>
        <v>0.245565323465186</v>
      </c>
      <c r="S14" s="19" t="n">
        <f aca="false">IF(Calc!$A$13="","",Calc!Q$13)</f>
        <v>0.000990269237623763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1500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12.8452648834389</v>
      </c>
      <c r="Q15" s="18" t="str">
        <f aca="false">IF(Calc!$A$14="","",Calc!N$14)</f>
        <v>N/M</v>
      </c>
      <c r="R15" s="18" t="n">
        <f aca="false">IF(Calc!$A$14="","",Calc!O$14)</f>
        <v>0.117154710313582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128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0.202489003331745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19.1616766467066</v>
      </c>
      <c r="P16" s="22" t="n">
        <f aca="false">IF(Calc!$A$15="","",Calc!L$15)</f>
        <v>17.4648430130793</v>
      </c>
      <c r="Q16" s="18" t="n">
        <f aca="false">IF(Calc!$A$15="","",Calc!N$15)</f>
        <v>0.173055598205299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4140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0.260566178225507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68.2155215027187</v>
      </c>
      <c r="P17" s="22" t="n">
        <f aca="false">IF(Calc!$A$16="","",Calc!L$16)</f>
        <v>31.2099663017747</v>
      </c>
      <c r="Q17" s="18" t="str">
        <f aca="false">IF(Calc!$A$16="","",Calc!N$16)</f>
        <v>N/M</v>
      </c>
      <c r="R17" s="18" t="n">
        <f aca="false">IF(Calc!$A$16="","",Calc!O$16)</f>
        <v>0.271807161473655</v>
      </c>
      <c r="S17" s="19" t="n">
        <f aca="false">IF(Calc!$A$16="","",Calc!Q$16)</f>
        <v>0.0130435307898551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87.5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32.4074074074074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17.7364864864865</v>
      </c>
      <c r="P19" s="22" t="n">
        <f aca="false">IF(Calc!$A$18="","",Calc!L$18)</f>
        <v>14.7505776049076</v>
      </c>
      <c r="Q19" s="18" t="n">
        <f aca="false">IF(Calc!$A$18="","",Calc!N$18)</f>
        <v>0.720071032571033</v>
      </c>
      <c r="R19" s="18" t="n">
        <f aca="false">IF(Calc!$A$18="","",Calc!O$18)</f>
        <v>0.517816991730494</v>
      </c>
      <c r="S19" s="19" t="n">
        <f aca="false">IF(Calc!$A$18="","",Calc!Q$18)</f>
        <v>0.0381851127619048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1930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6.28706082011301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512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60.1645123384254</v>
      </c>
      <c r="P21" s="22" t="n">
        <f aca="false">IF(Calc!$A$20="","",Calc!L$20)</f>
        <v>52.4887200229598</v>
      </c>
      <c r="Q21" s="18" t="str">
        <f aca="false">IF(Calc!$A$20="","",Calc!N$20)</f>
        <v>N/M</v>
      </c>
      <c r="R21" s="18" t="n">
        <f aca="false">IF(Calc!$A$20="","",Calc!O$20)</f>
        <v>1.68457426542459</v>
      </c>
      <c r="S21" s="19" t="n">
        <f aca="false">IF(Calc!$A$20="","",Calc!Q$20)</f>
        <v>0.00390625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488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79.349593495935</v>
      </c>
      <c r="P22" s="22" t="n">
        <f aca="false">IF(Calc!$A$21="","",Calc!L$21)</f>
        <v>38.0686954867694</v>
      </c>
      <c r="Q22" s="18" t="n">
        <f aca="false">IF(Calc!$A$21="","",Calc!N$21)</f>
        <v>1.77492511767223</v>
      </c>
      <c r="R22" s="18" t="n">
        <f aca="false">IF(Calc!$A$21="","",Calc!O$21)</f>
        <v>0.417400088497367</v>
      </c>
      <c r="S22" s="19" t="n">
        <f aca="false">IF(Calc!$A$21="","",Calc!Q$21)</f>
        <v>0.00316523120901639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549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62.8285494810077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159.5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17.6048565121413</v>
      </c>
      <c r="P24" s="22" t="n">
        <f aca="false">IF(Calc!$A$23="","",Calc!L$23)</f>
        <v>3.3741683698651</v>
      </c>
      <c r="Q24" s="18" t="str">
        <f aca="false">IF(Calc!$A$23="","",Calc!N$23)</f>
        <v>N/M</v>
      </c>
      <c r="R24" s="18" t="n">
        <f aca="false">IF(Calc!$A$23="","",Calc!O$23)</f>
        <v>0.0316121016034211</v>
      </c>
      <c r="S24" s="19" t="n">
        <f aca="false">IF(Calc!$A$23="","",Calc!Q$23)</f>
        <v>0.00313479623824451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450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91.4634146341464</v>
      </c>
      <c r="P26" s="22" t="n">
        <f aca="false">IF(Calc!$A$25="","",Calc!L$25)</f>
        <v>37.593984962406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0.00222222222222222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493.5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37.5229665490391</v>
      </c>
      <c r="Q27" s="18" t="str">
        <f aca="false">IF(Calc!$A$26="","",Calc!N$26)</f>
        <v>N/M</v>
      </c>
      <c r="R27" s="18" t="n">
        <f aca="false">IF(Calc!$A$26="","",Calc!O$26)</f>
        <v>0.148857106785036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8000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205.075621635478</v>
      </c>
      <c r="P28" s="22" t="n">
        <f aca="false">IF(Calc!$A$27="","",Calc!L$27)</f>
        <v>72.5406468900974</v>
      </c>
      <c r="Q28" s="18" t="n">
        <f aca="false">IF(Calc!$A$27="","",Calc!N$27)</f>
        <v>4.63261888807296</v>
      </c>
      <c r="R28" s="18" t="n">
        <f aca="false">IF(Calc!$A$27="","",Calc!O$27)</f>
        <v>0.559099272370052</v>
      </c>
      <c r="S28" s="19" t="n">
        <f aca="false">IF(Calc!$A$27="","",Calc!Q$27)</f>
        <v>0.0025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1">
      <formula>"N/M"</formula>
    </cfRule>
  </conditionalFormatting>
  <conditionalFormatting sqref="Q3:Q33">
    <cfRule type="cellIs" priority="8" operator="lessThan" aboveAverage="0" equalAverage="0" bottom="0" percent="0" rank="0" text="" dxfId="62">
      <formula>1.5</formula>
    </cfRule>
  </conditionalFormatting>
  <conditionalFormatting sqref="R3:R33">
    <cfRule type="cellIs" priority="9" operator="lessThan" aboveAverage="0" equalAverage="0" bottom="0" percent="0" rank="0" text="" dxfId="62">
      <formula>1.5</formula>
    </cfRule>
  </conditionalFormatting>
  <conditionalFormatting sqref="L3:L33">
    <cfRule type="cellIs" priority="10" operator="equal" aboveAverage="0" equalAverage="0" bottom="0" percent="0" rank="0" text="" dxfId="62">
      <formula>"成長且加速"</formula>
    </cfRule>
    <cfRule type="cellIs" priority="11" operator="equal" aboveAverage="0" equalAverage="0" bottom="0" percent="0" rank="0" text="" dxfId="63">
      <formula>"成長但減速"</formula>
    </cfRule>
    <cfRule type="cellIs" priority="12" operator="equal" aboveAverage="0" equalAverage="0" bottom="0" percent="0" rank="0" text="" dxfId="63">
      <formula>"衰退但收斂"</formula>
    </cfRule>
    <cfRule type="cellIs" priority="13" operator="equal" aboveAverage="0" equalAverage="0" bottom="0" percent="0" rank="0" text="" dxfId="64">
      <formula>"衰退且惡化"</formula>
    </cfRule>
  </conditionalFormatting>
  <conditionalFormatting sqref="A3:W33">
    <cfRule type="expression" priority="14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2420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46316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28.0482151135837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17.1161368830456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0.526991989671637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0.490563922994207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141.387044082192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0.00909095048760331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0.444947607890085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0.348907371308015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2420</v>
      </c>
      <c r="L12" s="55" t="n">
        <f aca="false">IF(Stock_Card!$B$2="","",IFERROR(INDEX(Calc!$Q$2:$Q$100,MATCH(Stock_Card!$B$2,Calc!$A$2:$A$100,0)),""))</f>
        <v>0.00909095048760331</v>
      </c>
      <c r="M12" s="58" t="n">
        <f aca="false">IF(Stock_Card!$B$2="","",IFERROR(INDEX(Calc!$J$2:$J$100,MATCH(Stock_Card!$B$2,Calc!$A$2:$A$100,0)),""))</f>
        <v>28.0482151135837</v>
      </c>
      <c r="N12" s="57" t="n">
        <f aca="false">IF(Stock_Card!$B$2="","",IFERROR(INDEX(Calc!$N$2:$N$100,MATCH(Stock_Card!$B$2,Calc!$A$2:$A$100,0)),""))</f>
        <v>0.526991989671637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141.387044082192</v>
      </c>
      <c r="H13" s="55" t="n">
        <f aca="false">IF(Stock_Card!$B$2="","",IFERROR(INDEX(Calc!$M$2:$M$100,MATCH(Stock_Card!$B$2,Calc!$A$2:$A$100,0)),""))</f>
        <v>0.348907371308015</v>
      </c>
      <c r="I13" s="55" t="n">
        <f aca="false">IF(Stock_Card!$B$2="","",IFERROR(INDEX(Calc!$AI$2:$AI$100,MATCH(Stock_Card!$B$2,Calc!$A$2:$A$100,0)),""))</f>
        <v>0.444947607890085</v>
      </c>
      <c r="J13" s="59"/>
      <c r="K13" s="59"/>
      <c r="L13" s="59"/>
      <c r="M13" s="58" t="n">
        <f aca="false">IF(Stock_Card!$B$2="","",IFERROR(INDEX(Calc!$L$2:$L$100,MATCH(Stock_Card!$B$2,Calc!$A$2:$A$100,0)),""))</f>
        <v>17.1161368830456</v>
      </c>
      <c r="N13" s="57" t="n">
        <f aca="false">IF(Stock_Card!$B$2="","",IFERROR(INDEX(Calc!$O$2:$O$100,MATCH(Stock_Card!$B$2,Calc!$A$2:$A$100,0)),""))</f>
        <v>0.490563922994207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{F02F10F4-7FD9-455A-9915-BD28CAF2F06F}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2F10F4-7FD9-455A-9915-BD28CAF2F06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-46316</v>
      </c>
      <c r="I4" s="67" t="n">
        <f aca="false">IF($A4="","",IFERROR(INDEX(Raw_Price!$E$2:$E$100,MATCH($A4,Raw_Price!$A$2:$A$100,0)),""))</f>
        <v>46316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-46316</v>
      </c>
      <c r="I5" s="67" t="n">
        <f aca="false">IF($A5="","",IFERROR(INDEX(Raw_Price!$E$2:$E$100,MATCH($A5,Raw_Price!$A$2:$A$100,0)),""))</f>
        <v>46316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-46316</v>
      </c>
      <c r="I6" s="67" t="n">
        <f aca="false">IF($A6="","",IFERROR(INDEX(Raw_Price!$E$2:$E$100,MATCH($A6,Raw_Price!$A$2:$A$100,0)),""))</f>
        <v>46316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-46316</v>
      </c>
      <c r="I7" s="67" t="n">
        <f aca="false">IF($A7="","",IFERROR(INDEX(Raw_Price!$E$2:$E$100,MATCH($A7,Raw_Price!$A$2:$A$100,0)),""))</f>
        <v>46316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-46316</v>
      </c>
      <c r="I8" s="67" t="n">
        <f aca="false">IF($A8="","",IFERROR(INDEX(Raw_Price!$E$2:$E$100,MATCH($A8,Raw_Price!$A$2:$A$100,0)),""))</f>
        <v>46316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-46316</v>
      </c>
      <c r="I9" s="67" t="n">
        <f aca="false">IF($A9="","",IFERROR(INDEX(Raw_Price!$E$2:$E$100,MATCH($A9,Raw_Price!$A$2:$A$100,0)),""))</f>
        <v>46316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-46316</v>
      </c>
      <c r="I10" s="67" t="n">
        <f aca="false">IF($A10="","",IFERROR(INDEX(Raw_Price!$E$2:$E$100,MATCH($A10,Raw_Price!$A$2:$A$100,0)),""))</f>
        <v>46316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-46316</v>
      </c>
      <c r="I11" s="67" t="n">
        <f aca="false">IF($A11="","",IFERROR(INDEX(Raw_Price!$E$2:$E$100,MATCH($A11,Raw_Price!$A$2:$A$100,0)),""))</f>
        <v>46316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-46316</v>
      </c>
      <c r="I12" s="67" t="n">
        <f aca="false">IF($A12="","",IFERROR(INDEX(Raw_Price!$E$2:$E$100,MATCH($A12,Raw_Price!$A$2:$A$100,0)),""))</f>
        <v>46316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-46316</v>
      </c>
      <c r="I13" s="67" t="n">
        <f aca="false">IF($A13="","",IFERROR(INDEX(Raw_Price!$E$2:$E$100,MATCH($A13,Raw_Price!$A$2:$A$100,0)),""))</f>
        <v>46316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-46316</v>
      </c>
      <c r="I14" s="67" t="n">
        <f aca="false">IF($A14="","",IFERROR(INDEX(Raw_Price!$E$2:$E$100,MATCH($A14,Raw_Price!$A$2:$A$100,0)),""))</f>
        <v>46316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-46316</v>
      </c>
      <c r="I15" s="67" t="n">
        <f aca="false">IF($A15="","",IFERROR(INDEX(Raw_Price!$E$2:$E$100,MATCH($A15,Raw_Price!$A$2:$A$100,0)),""))</f>
        <v>46316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-46316</v>
      </c>
      <c r="I16" s="67" t="n">
        <f aca="false">IF($A16="","",IFERROR(INDEX(Raw_Price!$E$2:$E$100,MATCH($A16,Raw_Price!$A$2:$A$100,0)),""))</f>
        <v>46316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-46316</v>
      </c>
      <c r="I17" s="67" t="n">
        <f aca="false">IF($A17="","",IFERROR(INDEX(Raw_Price!$E$2:$E$100,MATCH($A17,Raw_Price!$A$2:$A$100,0)),""))</f>
        <v>46316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-46316</v>
      </c>
      <c r="I18" s="67" t="n">
        <f aca="false">IF($A18="","",IFERROR(INDEX(Raw_Price!$E$2:$E$100,MATCH($A18,Raw_Price!$A$2:$A$100,0)),""))</f>
        <v>46316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-46316</v>
      </c>
      <c r="I19" s="67" t="n">
        <f aca="false">IF($A19="","",IFERROR(INDEX(Raw_Price!$E$2:$E$100,MATCH($A19,Raw_Price!$A$2:$A$100,0)),""))</f>
        <v>46316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-46316</v>
      </c>
      <c r="I20" s="67" t="n">
        <f aca="false">IF($A20="","",IFERROR(INDEX(Raw_Price!$E$2:$E$100,MATCH($A20,Raw_Price!$A$2:$A$100,0)),""))</f>
        <v>46316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-46316</v>
      </c>
      <c r="I21" s="67" t="n">
        <f aca="false">IF($A21="","",IFERROR(INDEX(Raw_Price!$E$2:$E$100,MATCH($A21,Raw_Price!$A$2:$A$100,0)),""))</f>
        <v>46316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-46316</v>
      </c>
      <c r="I22" s="67" t="n">
        <f aca="false">IF($A22="","",IFERROR(INDEX(Raw_Price!$E$2:$E$100,MATCH($A22,Raw_Price!$A$2:$A$100,0)),""))</f>
        <v>46316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-46316</v>
      </c>
      <c r="I23" s="67" t="n">
        <f aca="false">IF($A23="","",IFERROR(INDEX(Raw_Price!$E$2:$E$100,MATCH($A23,Raw_Price!$A$2:$A$100,0)),""))</f>
        <v>46316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-46316</v>
      </c>
      <c r="I24" s="67" t="n">
        <f aca="false">IF($A24="","",IFERROR(INDEX(Raw_Price!$E$2:$E$100,MATCH($A24,Raw_Price!$A$2:$A$100,0)),""))</f>
        <v>46316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-46316</v>
      </c>
      <c r="I25" s="67" t="n">
        <f aca="false">IF($A25="","",IFERROR(INDEX(Raw_Price!$E$2:$E$100,MATCH($A25,Raw_Price!$A$2:$A$100,0)),""))</f>
        <v>46316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-46316</v>
      </c>
      <c r="I27" s="67" t="n">
        <f aca="false">IF($A27="","",IFERROR(INDEX(Raw_Price!$E$2:$E$100,MATCH($A27,Raw_Price!$A$2:$A$100,0)),""))</f>
        <v>46316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-46316</v>
      </c>
      <c r="I28" s="67" t="n">
        <f aca="false">IF($A28="","",IFERROR(INDEX(Raw_Price!$E$2:$E$100,MATCH($A28,Raw_Price!$A$2:$A$100,0)),""))</f>
        <v>46316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-46316</v>
      </c>
      <c r="I29" s="67" t="n">
        <f aca="false">IF($A29="","",IFERROR(INDEX(Raw_Price!$E$2:$E$100,MATCH($A29,Raw_Price!$A$2:$A$100,0)),""))</f>
        <v>46316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46316</v>
      </c>
    </row>
    <row r="3" customFormat="false" ht="15" hidden="false" customHeight="false" outlineLevel="0" collapsed="false">
      <c r="A3" s="79" t="s">
        <v>220</v>
      </c>
      <c r="B3" s="83" t="n">
        <v>7.1471</v>
      </c>
      <c r="C3" s="83" t="n">
        <v>7.37294</v>
      </c>
      <c r="D3" s="81" t="n">
        <v>46387</v>
      </c>
      <c r="E3" s="80" t="n">
        <v>14</v>
      </c>
      <c r="F3" s="81" t="n">
        <v>46316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46316</v>
      </c>
    </row>
    <row r="5" customFormat="false" ht="15" hidden="false" customHeight="false" outlineLevel="0" collapsed="false">
      <c r="A5" s="79" t="s">
        <v>79</v>
      </c>
      <c r="B5" s="83" t="n">
        <v>110.36915</v>
      </c>
      <c r="C5" s="83" t="n">
        <v>148.87776</v>
      </c>
      <c r="D5" s="81" t="n">
        <v>46387</v>
      </c>
      <c r="E5" s="80" t="n">
        <v>21</v>
      </c>
      <c r="F5" s="81" t="n">
        <v>46316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46316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46316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46316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68.91324</v>
      </c>
      <c r="C10" s="83" t="n">
        <v>148.04213</v>
      </c>
      <c r="D10" s="81" t="n">
        <v>46387</v>
      </c>
      <c r="E10" s="80" t="n">
        <v>15</v>
      </c>
      <c r="F10" s="81" t="n">
        <v>46316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46316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46316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46316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46316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46316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46316</v>
      </c>
    </row>
    <row r="17" customFormat="false" ht="15" hidden="false" customHeight="false" outlineLevel="0" collapsed="false">
      <c r="A17" s="79" t="s">
        <v>216</v>
      </c>
      <c r="B17" s="83" t="n">
        <v>11.96668</v>
      </c>
      <c r="C17" s="83" t="n">
        <v>30.34972</v>
      </c>
      <c r="D17" s="81" t="n">
        <v>46387</v>
      </c>
      <c r="E17" s="80" t="n">
        <v>8</v>
      </c>
      <c r="F17" s="81" t="n">
        <v>46316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46316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46316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46316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46316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46316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46316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46316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46316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46316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46316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46316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10080</v>
      </c>
      <c r="C2" s="81" t="n">
        <v>46316</v>
      </c>
      <c r="D2" s="81"/>
      <c r="E2" s="81" t="n">
        <v>46316</v>
      </c>
    </row>
    <row r="3" customFormat="false" ht="15" hidden="false" customHeight="false" outlineLevel="0" collapsed="false">
      <c r="A3" s="79" t="s">
        <v>220</v>
      </c>
      <c r="B3" s="83" t="n">
        <v>128</v>
      </c>
      <c r="C3" s="81" t="n">
        <v>46316</v>
      </c>
      <c r="D3" s="81"/>
      <c r="E3" s="81" t="n">
        <v>46316</v>
      </c>
    </row>
    <row r="4" customFormat="false" ht="15" hidden="false" customHeight="false" outlineLevel="0" collapsed="false">
      <c r="A4" s="79" t="s">
        <v>345</v>
      </c>
      <c r="B4" s="83" t="n">
        <v>542</v>
      </c>
      <c r="C4" s="81" t="n">
        <v>46316</v>
      </c>
      <c r="D4" s="81"/>
      <c r="E4" s="81" t="n">
        <v>46316</v>
      </c>
    </row>
    <row r="5" customFormat="false" ht="15" hidden="false" customHeight="false" outlineLevel="0" collapsed="false">
      <c r="A5" s="79" t="s">
        <v>79</v>
      </c>
      <c r="B5" s="83" t="n">
        <v>2420</v>
      </c>
      <c r="C5" s="81" t="n">
        <v>46316</v>
      </c>
      <c r="D5" s="81"/>
      <c r="E5" s="81" t="n">
        <v>46316</v>
      </c>
    </row>
    <row r="6" customFormat="false" ht="15" hidden="false" customHeight="false" outlineLevel="0" collapsed="false">
      <c r="A6" s="79" t="s">
        <v>236</v>
      </c>
      <c r="B6" s="83" t="n">
        <v>159.5</v>
      </c>
      <c r="C6" s="81" t="n">
        <v>46316</v>
      </c>
      <c r="D6" s="81"/>
      <c r="E6" s="81" t="n">
        <v>46316</v>
      </c>
    </row>
    <row r="7" customFormat="false" ht="15" hidden="false" customHeight="false" outlineLevel="0" collapsed="false">
      <c r="A7" s="79" t="s">
        <v>205</v>
      </c>
      <c r="B7" s="83" t="n">
        <v>358.5</v>
      </c>
      <c r="C7" s="81" t="n">
        <v>46316</v>
      </c>
      <c r="D7" s="81"/>
      <c r="E7" s="81" t="n">
        <v>46316</v>
      </c>
    </row>
    <row r="8" customFormat="false" ht="15" hidden="false" customHeight="false" outlineLevel="0" collapsed="false">
      <c r="A8" s="79" t="s">
        <v>182</v>
      </c>
      <c r="B8" s="83" t="n">
        <v>436.5</v>
      </c>
      <c r="C8" s="81" t="n">
        <v>46316</v>
      </c>
      <c r="D8" s="81"/>
      <c r="E8" s="81" t="n">
        <v>46316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4140</v>
      </c>
      <c r="C10" s="81" t="n">
        <v>46316</v>
      </c>
      <c r="D10" s="81"/>
      <c r="E10" s="81" t="n">
        <v>46316</v>
      </c>
    </row>
    <row r="11" customFormat="false" ht="15" hidden="false" customHeight="false" outlineLevel="0" collapsed="false">
      <c r="A11" s="79" t="s">
        <v>190</v>
      </c>
      <c r="B11" s="83" t="n">
        <v>490.5</v>
      </c>
      <c r="C11" s="81" t="n">
        <v>46316</v>
      </c>
      <c r="D11" s="81"/>
      <c r="E11" s="81" t="n">
        <v>46316</v>
      </c>
    </row>
    <row r="12" customFormat="false" ht="15" hidden="false" customHeight="false" outlineLevel="0" collapsed="false">
      <c r="A12" s="79" t="s">
        <v>224</v>
      </c>
      <c r="B12" s="83" t="n">
        <v>87.5</v>
      </c>
      <c r="C12" s="81" t="n">
        <v>46316</v>
      </c>
      <c r="D12" s="81"/>
      <c r="E12" s="81" t="n">
        <v>46316</v>
      </c>
    </row>
    <row r="13" customFormat="false" ht="15" hidden="false" customHeight="false" outlineLevel="0" collapsed="false">
      <c r="A13" s="79" t="s">
        <v>195</v>
      </c>
      <c r="B13" s="83" t="n">
        <v>590</v>
      </c>
      <c r="C13" s="81" t="n">
        <v>46316</v>
      </c>
      <c r="D13" s="81"/>
      <c r="E13" s="81" t="n">
        <v>46316</v>
      </c>
    </row>
    <row r="14" customFormat="false" ht="15" hidden="false" customHeight="false" outlineLevel="0" collapsed="false">
      <c r="A14" s="79" t="s">
        <v>210</v>
      </c>
      <c r="B14" s="83" t="n">
        <v>2625</v>
      </c>
      <c r="C14" s="81" t="n">
        <v>46316</v>
      </c>
      <c r="D14" s="81"/>
      <c r="E14" s="81" t="n">
        <v>46316</v>
      </c>
    </row>
    <row r="15" customFormat="false" ht="15" hidden="false" customHeight="false" outlineLevel="0" collapsed="false">
      <c r="A15" s="79" t="s">
        <v>230</v>
      </c>
      <c r="B15" s="83" t="n">
        <v>512</v>
      </c>
      <c r="C15" s="81" t="n">
        <v>46316</v>
      </c>
      <c r="D15" s="81"/>
      <c r="E15" s="81" t="n">
        <v>46316</v>
      </c>
    </row>
    <row r="16" customFormat="false" ht="15" hidden="false" customHeight="false" outlineLevel="0" collapsed="false">
      <c r="A16" s="79" t="s">
        <v>212</v>
      </c>
      <c r="B16" s="83" t="n">
        <v>583</v>
      </c>
      <c r="C16" s="81" t="n">
        <v>46316</v>
      </c>
      <c r="D16" s="81"/>
      <c r="E16" s="81" t="n">
        <v>46316</v>
      </c>
    </row>
    <row r="17" customFormat="false" ht="15" hidden="false" customHeight="false" outlineLevel="0" collapsed="false">
      <c r="A17" s="79" t="s">
        <v>216</v>
      </c>
      <c r="B17" s="83" t="n">
        <v>1010</v>
      </c>
      <c r="C17" s="81" t="n">
        <v>46316</v>
      </c>
      <c r="D17" s="81"/>
      <c r="E17" s="81" t="n">
        <v>46316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549</v>
      </c>
      <c r="C19" s="81" t="n">
        <v>46316</v>
      </c>
      <c r="D19" s="81"/>
      <c r="E19" s="81" t="n">
        <v>46316</v>
      </c>
    </row>
    <row r="20" customFormat="false" ht="15" hidden="false" customHeight="false" outlineLevel="0" collapsed="false">
      <c r="A20" s="79" t="s">
        <v>245</v>
      </c>
      <c r="B20" s="83" t="n">
        <v>8000</v>
      </c>
      <c r="C20" s="81" t="n">
        <v>46316</v>
      </c>
      <c r="D20" s="81"/>
      <c r="E20" s="81" t="n">
        <v>46316</v>
      </c>
    </row>
    <row r="21" customFormat="false" ht="15" hidden="false" customHeight="false" outlineLevel="0" collapsed="false">
      <c r="A21" s="79" t="s">
        <v>241</v>
      </c>
      <c r="B21" s="83" t="n">
        <v>450</v>
      </c>
      <c r="C21" s="81" t="n">
        <v>46316</v>
      </c>
      <c r="D21" s="81"/>
      <c r="E21" s="81" t="n">
        <v>46316</v>
      </c>
    </row>
    <row r="22" customFormat="false" ht="15" hidden="false" customHeight="false" outlineLevel="0" collapsed="false">
      <c r="A22" s="79" t="s">
        <v>197</v>
      </c>
      <c r="B22" s="83" t="n">
        <v>1950</v>
      </c>
      <c r="C22" s="81" t="n">
        <v>46316</v>
      </c>
      <c r="D22" s="81"/>
      <c r="E22" s="81" t="n">
        <v>46316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105</v>
      </c>
      <c r="C24" s="81" t="n">
        <v>46316</v>
      </c>
      <c r="D24" s="81"/>
      <c r="E24" s="81" t="n">
        <v>46316</v>
      </c>
    </row>
    <row r="25" customFormat="false" ht="15" hidden="false" customHeight="false" outlineLevel="0" collapsed="false">
      <c r="A25" s="79" t="s">
        <v>232</v>
      </c>
      <c r="B25" s="83" t="n">
        <v>488</v>
      </c>
      <c r="C25" s="81" t="n">
        <v>46316</v>
      </c>
      <c r="D25" s="81"/>
      <c r="E25" s="81" t="n">
        <v>46316</v>
      </c>
    </row>
    <row r="26" customFormat="false" ht="15" hidden="false" customHeight="false" outlineLevel="0" collapsed="false">
      <c r="A26" s="79" t="s">
        <v>186</v>
      </c>
      <c r="B26" s="83" t="n">
        <v>1095</v>
      </c>
      <c r="C26" s="81" t="n">
        <v>46316</v>
      </c>
      <c r="D26" s="81"/>
      <c r="E26" s="81" t="n">
        <v>46316</v>
      </c>
    </row>
    <row r="27" customFormat="false" ht="15" hidden="false" customHeight="false" outlineLevel="0" collapsed="false">
      <c r="A27" s="79" t="s">
        <v>201</v>
      </c>
      <c r="B27" s="83" t="n">
        <v>573</v>
      </c>
      <c r="C27" s="81" t="n">
        <v>46316</v>
      </c>
      <c r="D27" s="81"/>
      <c r="E27" s="81" t="n">
        <v>46316</v>
      </c>
    </row>
    <row r="28" customFormat="false" ht="15" hidden="false" customHeight="false" outlineLevel="0" collapsed="false">
      <c r="A28" s="79" t="s">
        <v>218</v>
      </c>
      <c r="B28" s="83" t="n">
        <v>1500</v>
      </c>
      <c r="C28" s="81" t="n">
        <v>46316</v>
      </c>
      <c r="D28" s="81"/>
      <c r="E28" s="81" t="n">
        <v>46316</v>
      </c>
    </row>
    <row r="29" customFormat="false" ht="15" hidden="false" customHeight="false" outlineLevel="0" collapsed="false">
      <c r="A29" s="79" t="s">
        <v>243</v>
      </c>
      <c r="B29" s="83" t="n">
        <v>493.5</v>
      </c>
      <c r="C29" s="81" t="n">
        <v>46316</v>
      </c>
      <c r="D29" s="81"/>
      <c r="E29" s="81" t="n">
        <v>46316</v>
      </c>
    </row>
    <row r="30" customFormat="false" ht="15" hidden="false" customHeight="false" outlineLevel="0" collapsed="false">
      <c r="A30" s="79" t="s">
        <v>228</v>
      </c>
      <c r="B30" s="83" t="n">
        <v>1930</v>
      </c>
      <c r="C30" s="81" t="n">
        <v>46316</v>
      </c>
      <c r="D30" s="81"/>
      <c r="E30" s="81" t="n">
        <v>46316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2420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141.387044082192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28.0482151135837</v>
      </c>
      <c r="K2" s="52" t="n">
        <f aca="false">IF($A2="","",IFERROR(IF(G2&lt;=0,"N/M",D2/G2),"N/M"))</f>
        <v>24.940362131997</v>
      </c>
      <c r="L2" s="52" t="n">
        <f aca="false">IF($A2="","",IFERROR(IF(H2&lt;=0,"N/M",D2/H2),"N/M"))</f>
        <v>17.1161368830456</v>
      </c>
      <c r="M2" s="49" t="n">
        <f aca="false">IF($A2="","",IFERROR(INDEX(Raw_Est!$C$2:$C$100,MATCH($A2,Raw_Est!$A$2:$A$100,0))/INDEX(Raw_Est!$B$2:$B$100,MATCH($A2,Raw_Est!$A$2:$A$100,0))-1,""))</f>
        <v>0.348907371308015</v>
      </c>
      <c r="N2" s="51" t="n">
        <f aca="false">IF($A2="","",IFERROR(IF(OR(NOT(ISNUMBER(J2)),I2&lt;Config!$B$6),"N/M",J2/(I2*100)),"N/M"))</f>
        <v>0.526991989671637</v>
      </c>
      <c r="O2" s="51" t="n">
        <f aca="false">IF($A2="","",IFERROR(IF(OR(NOT(ISNUMBER(L2)),M2&lt;Config!$B$6),"N/M",L2/(M2*100)),"N/M"))</f>
        <v>0.490563922994207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0.00909095048760331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0.444947607890085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46316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436.5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110.354950657534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16.0773480662983</v>
      </c>
      <c r="K3" s="52" t="n">
        <f aca="false">IF($A3="","",IFERROR(IF(G3&lt;=0,"N/M",D3/G3),"N/M"))</f>
        <v>9.18988964763668</v>
      </c>
      <c r="L3" s="52" t="n">
        <f aca="false">IF($A3="","",IFERROR(IF(H3&lt;=0,"N/M",D3/H3),"N/M"))</f>
        <v>3.95541837859722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0.0698258068611118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46316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1095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239.518065534247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4.57168020941383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46316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490.5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8.71070575342466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119.053398058252</v>
      </c>
      <c r="K5" s="52" t="n">
        <f aca="false">IF($A5="","",IFERROR(IF(G5&lt;=0,"N/M",D5/G5),"N/M"))</f>
        <v>104.488644715175</v>
      </c>
      <c r="L5" s="52" t="n">
        <f aca="false">IF($A5="","",IFERROR(IF(H5&lt;=0,"N/M",D5/H5),"N/M"))</f>
        <v>56.3100182562311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1.93366984107353</v>
      </c>
      <c r="O5" s="51" t="n">
        <f aca="false">IF($A5="","",IFERROR(IF(OR(NOT(ISNUMBER(L5)),M5&lt;Config!$B$6),"N/M",L5/(M5*100)),"N/M"))</f>
        <v>0.827146663635879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0.0053426228950051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46316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590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35.1241872054795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20.5790024415766</v>
      </c>
      <c r="K6" s="52" t="n">
        <f aca="false">IF($A6="","",IFERROR(IF(G6&lt;=0,"N/M",D6/G6),"N/M"))</f>
        <v>18.3043757075494</v>
      </c>
      <c r="L6" s="52" t="n">
        <f aca="false">IF($A6="","",IFERROR(IF(H6&lt;=0,"N/M",D6/H6),"N/M"))</f>
        <v>16.7975417209927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0.0474576271186441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46316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117.261564438356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35.7601320374106</v>
      </c>
      <c r="K7" s="52" t="n">
        <f aca="false">IF($A7="","",IFERROR(IF(G7&lt;=0,"N/M",D7/G7),"N/M"))</f>
        <v>32.6284746188116</v>
      </c>
      <c r="L7" s="52" t="n">
        <f aca="false">IF($A7="","",IFERROR(IF(H7&lt;=0,"N/M",D7/H7),"N/M"))</f>
        <v>16.6294898873288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0.622298177113331</v>
      </c>
      <c r="O7" s="51" t="n">
        <f aca="false">IF($A7="","",IFERROR(IF(OR(NOT(ISNUMBER(L7)),M7&lt;Config!$B$6),"N/M",L7/(M7*100)),"N/M"))</f>
        <v>0.20152907067128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0.00538742691794872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46316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573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33.3339493150685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17.1896823440893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1.54510168095064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46316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358.5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36.6222176438356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13.4219393485586</v>
      </c>
      <c r="K9" s="52" t="n">
        <f aca="false">IF($A9="","",IFERROR(IF(G9&lt;=0,"N/M",D9/G9),"N/M"))</f>
        <v>11.8057106049859</v>
      </c>
      <c r="L9" s="52" t="n">
        <f aca="false">IF($A9="","",IFERROR(IF(H9&lt;=0,"N/M",D9/H9),"N/M"))</f>
        <v>9.78913957331975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0.21417710797214</v>
      </c>
      <c r="O9" s="51" t="n">
        <f aca="false">IF($A9="","",IFERROR(IF(OR(NOT(ISNUMBER(L9)),M9&lt;Config!$B$6),"N/M",L9/(M9*100)),"N/M"))</f>
        <v>0.881745981022454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0.0278940027894003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46316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10080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468.162579178082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55.570869397431</v>
      </c>
      <c r="K10" s="52" t="n">
        <f aca="false">IF($A10="","",IFERROR(IF(G10&lt;=0,"N/M",D10/G10),"N/M"))</f>
        <v>37.8604702698591</v>
      </c>
      <c r="L10" s="52" t="n">
        <f aca="false">IF($A10="","",IFERROR(IF(H10&lt;=0,"N/M",D10/H10),"N/M"))</f>
        <v>21.5309818603971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0.329744573769893</v>
      </c>
      <c r="O10" s="51" t="n">
        <f aca="false">IF($A10="","",IFERROR(IF(OR(NOT(ISNUMBER(L10)),M10&lt;Config!$B$6),"N/M",L10/(M10*100)),"N/M"))</f>
        <v>0.517588673410835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0.00319444444444444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46316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35.5456263835616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234.165923282783</v>
      </c>
      <c r="K11" s="52" t="n">
        <f aca="false">IF($A11="","",IFERROR(IF(G11&lt;=0,"N/M",D11/G11),"N/M"))</f>
        <v>164.886934673367</v>
      </c>
      <c r="L11" s="52" t="n">
        <f aca="false">IF($A11="","",IFERROR(IF(H11&lt;=0,"N/M",D11/H11),"N/M"))</f>
        <v>73.8487478508454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0.415693708348638</v>
      </c>
      <c r="O11" s="51" t="n">
        <f aca="false">IF($A11="","",IFERROR(IF(OR(NOT(ISNUMBER(L11)),M11&lt;Config!$B$6),"N/M",L11/(M11*100)),"N/M"))</f>
        <v>0.732055646009908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0.000190484628571429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46316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583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60.4771784232365</v>
      </c>
      <c r="K12" s="52" t="n">
        <f aca="false">IF($A12="","",IFERROR(IF(G12&lt;=0,"N/M",D12/G12),"N/M"))</f>
        <v>84.9854227405248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0.226897259990174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46316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1010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26.7738409863014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171.186440677966</v>
      </c>
      <c r="K13" s="52" t="n">
        <f aca="false">IF($A13="","",IFERROR(IF(G13&lt;=0,"N/M",D13/G13),"N/M"))</f>
        <v>121.186669466359</v>
      </c>
      <c r="L13" s="52" t="n">
        <f aca="false">IF($A13="","",IFERROR(IF(H13&lt;=0,"N/M",D13/H13),"N/M"))</f>
        <v>37.723388307145</v>
      </c>
      <c r="M13" s="49" t="n">
        <f aca="false">IF($A13="","",IFERROR(INDEX(Raw_Est!$C$2:$C$100,MATCH($A13,Raw_Est!$A$2:$A$100,0))/INDEX(Raw_Est!$B$2:$B$100,MATCH($A13,Raw_Est!$A$2:$A$100,0))-1,""))</f>
        <v>1.53618547500226</v>
      </c>
      <c r="N13" s="51" t="n">
        <f aca="false">IF($A13="","",IFERROR(IF(OR(NOT(ISNUMBER(J13)),I13&lt;Config!$B$6),"N/M",J13/(I13*100)),"N/M"))</f>
        <v>0.441653716887717</v>
      </c>
      <c r="O13" s="51" t="n">
        <f aca="false">IF($A13="","",IFERROR(IF(OR(NOT(ISNUMBER(L13)),M13&lt;Config!$B$6),"N/M",L13/(M13*100)),"N/M"))</f>
        <v>0.245565323465186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0.000990269237623763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0.141799796168161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8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46316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1500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116.774547945205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12.8452648834389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0.117154710313582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46316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128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7.32900947945206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19.1616766467066</v>
      </c>
      <c r="K15" s="52" t="n">
        <f aca="false">IF($A15="","",IFERROR(IF(G15&lt;=0,"N/M",D15/G15),"N/M"))</f>
        <v>18.5738746843892</v>
      </c>
      <c r="L15" s="52" t="n">
        <f aca="false">IF($A15="","",IFERROR(IF(H15&lt;=0,"N/M",D15/H15),"N/M"))</f>
        <v>17.4648430130793</v>
      </c>
      <c r="M15" s="49" t="n">
        <f aca="false">IF($A15="","",IFERROR(INDEX(Raw_Est!$C$2:$C$100,MATCH($A15,Raw_Est!$A$2:$A$100,0))/INDEX(Raw_Est!$B$2:$B$100,MATCH($A15,Raw_Est!$A$2:$A$100,0))-1,""))</f>
        <v>0.0315988302948049</v>
      </c>
      <c r="N15" s="51" t="n">
        <f aca="false">IF($A15="","",IFERROR(IF(OR(NOT(ISNUMBER(J15)),I15&lt;Config!$B$6),"N/M",J15/(I15*100)),"N/M"))</f>
        <v>0.173055598205299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0.202489003331745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46316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4140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132.649934958904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68.2155215027187</v>
      </c>
      <c r="K16" s="52" t="n">
        <f aca="false">IF($A16="","",IFERROR(IF(G16&lt;=0,"N/M",D16/G16),"N/M"))</f>
        <v>68.6745513013828</v>
      </c>
      <c r="L16" s="52" t="n">
        <f aca="false">IF($A16="","",IFERROR(IF(H16&lt;=0,"N/M",D16/H16),"N/M"))</f>
        <v>31.2099663017747</v>
      </c>
      <c r="M16" s="49" t="n">
        <f aca="false">IF($A16="","",IFERROR(INDEX(Raw_Est!$C$2:$C$100,MATCH($A16,Raw_Est!$A$2:$A$100,0))/INDEX(Raw_Est!$B$2:$B$100,MATCH($A16,Raw_Est!$A$2:$A$100,0))-1,""))</f>
        <v>1.14823929334914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0.271807161473655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0.0130435307898551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0.260566178225507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46316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87.5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32.4074074074074</v>
      </c>
      <c r="K17" s="52" t="n">
        <f aca="false">IF($A17="","",IFERROR(IF(G17&lt;=0,"N/M",D17/G17),"N/M"))</f>
        <v>27.9552715654952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46316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7.11836531506849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17.7364864864865</v>
      </c>
      <c r="K18" s="52" t="n">
        <f aca="false">IF($A18="","",IFERROR(IF(G18&lt;=0,"N/M",D18/G18),"N/M"))</f>
        <v>18.4192107105079</v>
      </c>
      <c r="L18" s="52" t="n">
        <f aca="false">IF($A18="","",IFERROR(IF(H18&lt;=0,"N/M",D18/H18),"N/M"))</f>
        <v>14.7505776049076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0.720071032571033</v>
      </c>
      <c r="O18" s="51" t="n">
        <f aca="false">IF($A18="","",IFERROR(IF(OR(NOT(ISNUMBER(L18)),M18&lt;Config!$B$6),"N/M",L18/(M18*100)),"N/M"))</f>
        <v>0.517816991730494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0.0381851127619048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46316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306.979692931507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6.28706082011301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46316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512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9.75447676712329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60.1645123384254</v>
      </c>
      <c r="K20" s="52" t="n">
        <f aca="false">IF($A20="","",IFERROR(IF(G20&lt;=0,"N/M",D20/G20),"N/M"))</f>
        <v>63.1495336554946</v>
      </c>
      <c r="L20" s="52" t="n">
        <f aca="false">IF($A20="","",IFERROR(IF(H20&lt;=0,"N/M",D20/H20),"N/M"))</f>
        <v>52.4887200229598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1.68457426542459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0.00390625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46316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488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12.8189315068493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79.349593495935</v>
      </c>
      <c r="K21" s="52" t="n">
        <f aca="false">IF($A21="","",IFERROR(IF(G21&lt;=0,"N/M",D21/G21),"N/M"))</f>
        <v>71.8703976435935</v>
      </c>
      <c r="L21" s="52" t="n">
        <f aca="false">IF($A21="","",IFERROR(IF(H21&lt;=0,"N/M",D21/H21),"N/M"))</f>
        <v>38.0686954867694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1.77492511767223</v>
      </c>
      <c r="O21" s="51" t="n">
        <f aca="false">IF($A21="","",IFERROR(IF(OR(NOT(ISNUMBER(L21)),M21&lt;Config!$B$6),"N/M",L21/(M21*100)),"N/M"))</f>
        <v>0.417400088497367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0.00316523120901639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46316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549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8.73806580821918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62.8285494810077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46316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159.5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47.2709072328767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17.6048565121413</v>
      </c>
      <c r="K23" s="52" t="n">
        <f aca="false">IF($A23="","",IFERROR(IF(G23&lt;=0,"N/M",D23/G23),"N/M"))</f>
        <v>9.66137925729131</v>
      </c>
      <c r="L23" s="52" t="n">
        <f aca="false">IF($A23="","",IFERROR(IF(H23&lt;=0,"N/M",D23/H23),"N/M"))</f>
        <v>3.3741683698651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0.0316121016034211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0.00313479623824451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46316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450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91.4634146341464</v>
      </c>
      <c r="K25" s="52" t="n">
        <f aca="false">IF($A25="","",IFERROR(IF(G25&lt;=0,"N/M",D25/G25),"N/M"))</f>
        <v>104.408352668213</v>
      </c>
      <c r="L25" s="52" t="n">
        <f aca="false">IF($A25="","",IFERROR(IF(H25&lt;=0,"N/M",D25/H25),"N/M"))</f>
        <v>37.593984962406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0.00222222222222222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46316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493.5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13.1519452054795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37.5229665490391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0.148857106785036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46316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8000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110.282997780822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205.075621635478</v>
      </c>
      <c r="K27" s="52" t="n">
        <f aca="false">IF($A27="","",IFERROR(IF(G27&lt;=0,"N/M",D27/G27),"N/M"))</f>
        <v>178.212576862528</v>
      </c>
      <c r="L27" s="52" t="n">
        <f aca="false">IF($A27="","",IFERROR(IF(H27&lt;=0,"N/M",D27/H27),"N/M"))</f>
        <v>72.5406468900974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4.63261888807296</v>
      </c>
      <c r="O27" s="51" t="n">
        <f aca="false">IF($A27="","",IFERROR(IF(OR(NOT(ISNUMBER(L27)),M27&lt;Config!$B$6),"N/M",L27/(M27*100)),"N/M"))</f>
        <v>0.559099272370052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46316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2026-10-21T12:13:50Z</dcterms:created>
  <dc:creator>openpyxl</dc:creator>
  <dc:description/>
  <dc:language>en-US</dc:language>
  <cp:lastModifiedBy/>
  <dcterms:modified xsi:type="dcterms:W3CDTF">2026-10-21T12:13:51Z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