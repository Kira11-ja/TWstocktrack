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<sst xmlns="http://schemas.openxmlformats.org/spreadsheetml/2006/main" count="8221" uniqueCount="1533">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</sst>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BC88F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2475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0.434802829118384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28.6856745479833</v>
      </c>
      <c r="P3" s="22" t="n">
        <f aca="false">IF(Calc!$A$2="","",Calc!L$2)</f>
        <v>18.4816623506904</v>
      </c>
      <c r="Q3" s="18" t="n">
        <f aca="false">IF(Calc!$A$2="","",Calc!N$2)</f>
        <v>0.538969080345993</v>
      </c>
      <c r="R3" s="18" t="n">
        <f aca="false">IF(Calc!$A$2="","",Calc!O$2)</f>
        <v>0.56782061381458</v>
      </c>
      <c r="S3" s="19" t="n">
        <f aca="false">IF(Calc!$A$2="","",Calc!Q$2)</f>
        <v>0.00888892936565657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503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18.5267034990792</v>
      </c>
      <c r="P4" s="22" t="n">
        <f aca="false">IF(Calc!$A$3="","",Calc!L$3)</f>
        <v>5.37069552049499</v>
      </c>
      <c r="Q4" s="18" t="str">
        <f aca="false">IF(Calc!$A$3="","",Calc!N$3)</f>
        <v>N/M</v>
      </c>
      <c r="R4" s="18" t="n">
        <f aca="false">IF(Calc!$A$3="","",Calc!O$3)</f>
        <v>0.114492725708552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1305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5.53869112367891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554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134.466019417476</v>
      </c>
      <c r="P6" s="22" t="n">
        <f aca="false">IF(Calc!$A$5="","",Calc!L$5)</f>
        <v>66.5789286268024</v>
      </c>
      <c r="Q6" s="18" t="n">
        <f aca="false">IF(Calc!$A$5="","",Calc!N$5)</f>
        <v>2.18400222620741</v>
      </c>
      <c r="R6" s="18" t="n">
        <f aca="false">IF(Calc!$A$5="","",Calc!O$5)</f>
        <v>0.984545615496209</v>
      </c>
      <c r="S6" s="19" t="n">
        <f aca="false">IF(Calc!$A$5="","",Calc!Q$5)</f>
        <v>0.00473024644404332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543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18.9396581792815</v>
      </c>
      <c r="P7" s="22" t="n">
        <f aca="false">IF(Calc!$A$6="","",Calc!L$6)</f>
        <v>15.5556126849364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0.0515653775322284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2340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0.26974271139166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42.9121584448927</v>
      </c>
      <c r="P8" s="22" t="n">
        <f aca="false">IF(Calc!$A$7="","",Calc!L$7)</f>
        <v>22.342777038693</v>
      </c>
      <c r="Q8" s="18" t="n">
        <f aca="false">IF(Calc!$A$7="","",Calc!N$7)</f>
        <v>0.746757812535997</v>
      </c>
      <c r="R8" s="18" t="n">
        <f aca="false">IF(Calc!$A$7="","",Calc!O$7)</f>
        <v>0.314057399995265</v>
      </c>
      <c r="S8" s="19" t="n">
        <f aca="false">IF(Calc!$A$7="","",Calc!Q$7)</f>
        <v>0.00448952243162393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542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16.219814853228</v>
      </c>
      <c r="Q9" s="18" t="str">
        <f aca="false">IF(Calc!$A$8="","",Calc!N$8)</f>
        <v>N/M</v>
      </c>
      <c r="R9" s="18" t="n">
        <f aca="false">IF(Calc!$A$8="","",Calc!O$8)</f>
        <v>1.2837185071661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361.5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0.346627437746392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13.5342568326469</v>
      </c>
      <c r="P10" s="22" t="n">
        <f aca="false">IF(Calc!$A$9="","",Calc!L$9)</f>
        <v>9.85183150055482</v>
      </c>
      <c r="Q10" s="18" t="n">
        <f aca="false">IF(Calc!$A$9="","",Calc!N$9)</f>
        <v>0.2159693850263</v>
      </c>
      <c r="R10" s="18" t="n">
        <f aca="false">IF(Calc!$A$9="","",Calc!O$9)</f>
        <v>1.10756626398288</v>
      </c>
      <c r="S10" s="19" t="n">
        <f aca="false">IF(Calc!$A$9="","",Calc!Q$9)</f>
        <v>0.0276625172890733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12350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68.0853409780032</v>
      </c>
      <c r="P11" s="22" t="n">
        <f aca="false">IF(Calc!$A$10="","",Calc!L$10)</f>
        <v>26.8306253421905</v>
      </c>
      <c r="Q11" s="18" t="n">
        <f aca="false">IF(Calc!$A$10="","",Calc!N$10)</f>
        <v>0.404002528378787</v>
      </c>
      <c r="R11" s="18" t="n">
        <f aca="false">IF(Calc!$A$10="","",Calc!O$10)</f>
        <v>0.649571662318624</v>
      </c>
      <c r="S11" s="19" t="n">
        <f aca="false">IF(Calc!$A$10="","",Calc!Q$10)</f>
        <v>0.00260728744939271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2700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240.85637823372</v>
      </c>
      <c r="P12" s="22" t="n">
        <f aca="false">IF(Calc!$A$11="","",Calc!L$11)</f>
        <v>78.7159089665234</v>
      </c>
      <c r="Q12" s="18" t="n">
        <f aca="false">IF(Calc!$A$11="","",Calc!N$11)</f>
        <v>0.427570671444314</v>
      </c>
      <c r="R12" s="18" t="n">
        <f aca="false">IF(Calc!$A$11="","",Calc!O$11)</f>
        <v>0.794039309943497</v>
      </c>
      <c r="S12" s="19" t="n">
        <f aca="false">IF(Calc!$A$11="","",Calc!Q$11)</f>
        <v>0.000185193388888889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653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67.7385892116183</v>
      </c>
      <c r="P13" s="22" t="str">
        <f aca="false">IF(Calc!$A$12="","",Calc!L$12)</f>
        <v>N/M</v>
      </c>
      <c r="Q13" s="18" t="n">
        <f aca="false">IF(Calc!$A$12="","",Calc!N$12)</f>
        <v>0.254140498754003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962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163.050847457627</v>
      </c>
      <c r="P14" s="22" t="n">
        <f aca="false">IF(Calc!$A$13="","",Calc!L$13)</f>
        <v>43.0735458966842</v>
      </c>
      <c r="Q14" s="18" t="n">
        <f aca="false">IF(Calc!$A$13="","",Calc!N$13)</f>
        <v>0.420664233312855</v>
      </c>
      <c r="R14" s="18" t="n">
        <f aca="false">IF(Calc!$A$13="","",Calc!O$13)</f>
        <v>0.279587798869034</v>
      </c>
      <c r="S14" s="19" t="n">
        <f aca="false">IF(Calc!$A$13="","",Calc!Q$13)</f>
        <v>0.00103967976091476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1530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13.6011791829015</v>
      </c>
      <c r="Q15" s="18" t="str">
        <f aca="false">IF(Calc!$A$14="","",Calc!N$14)</f>
        <v>N/M</v>
      </c>
      <c r="R15" s="18" t="n">
        <f aca="false">IF(Calc!$A$14="","",Calc!O$14)</f>
        <v>0.12404899560696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154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23.0538922155689</v>
      </c>
      <c r="P16" s="22" t="n">
        <f aca="false">IF(Calc!$A$15="","",Calc!L$15)</f>
        <v>21.5409307287777</v>
      </c>
      <c r="Q16" s="18" t="n">
        <f aca="false">IF(Calc!$A$15="","",Calc!N$15)</f>
        <v>0.20820751659075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5285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0.25722990825737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87.0818915801615</v>
      </c>
      <c r="P17" s="22" t="n">
        <f aca="false">IF(Calc!$A$16="","",Calc!L$16)</f>
        <v>42.0112793657354</v>
      </c>
      <c r="Q17" s="18" t="str">
        <f aca="false">IF(Calc!$A$16="","",Calc!N$16)</f>
        <v>N/M</v>
      </c>
      <c r="R17" s="18" t="n">
        <f aca="false">IF(Calc!$A$16="","",Calc!O$16)</f>
        <v>0.367329713821738</v>
      </c>
      <c r="S17" s="19" t="n">
        <f aca="false">IF(Calc!$A$16="","",Calc!Q$16)</f>
        <v>0.0102176381210974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88.9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32.9259259259259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91.3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0.073062602823811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15.4222972972973</v>
      </c>
      <c r="P19" s="22" t="n">
        <f aca="false">IF(Calc!$A$18="","",Calc!L$18)</f>
        <v>13.3968420309248</v>
      </c>
      <c r="Q19" s="18" t="n">
        <f aca="false">IF(Calc!$A$18="","",Calc!N$18)</f>
        <v>0.626118907368907</v>
      </c>
      <c r="R19" s="18" t="n">
        <f aca="false">IF(Calc!$A$18="","",Calc!O$18)</f>
        <v>0.482317386964217</v>
      </c>
      <c r="S19" s="19" t="n">
        <f aca="false">IF(Calc!$A$18="","",Calc!Q$18)</f>
        <v>0.0439149708652793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2125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7.29209949850667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502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58.9894242068155</v>
      </c>
      <c r="P21" s="22" t="n">
        <f aca="false">IF(Calc!$A$20="","",Calc!L$20)</f>
        <v>53.664960196301</v>
      </c>
      <c r="Q21" s="18" t="str">
        <f aca="false">IF(Calc!$A$20="","",Calc!N$20)</f>
        <v>N/M</v>
      </c>
      <c r="R21" s="18" t="n">
        <f aca="false">IF(Calc!$A$20="","",Calc!O$20)</f>
        <v>1.83388750125853</v>
      </c>
      <c r="S21" s="19" t="n">
        <f aca="false">IF(Calc!$A$20="","",Calc!Q$20)</f>
        <v>0.00398406374501992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563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91.5447154471545</v>
      </c>
      <c r="P22" s="22" t="n">
        <f aca="false">IF(Calc!$A$21="","",Calc!L$21)</f>
        <v>45.4244024501038</v>
      </c>
      <c r="Q22" s="18" t="n">
        <f aca="false">IF(Calc!$A$21="","",Calc!N$21)</f>
        <v>2.0477107402653</v>
      </c>
      <c r="R22" s="18" t="n">
        <f aca="false">IF(Calc!$A$21="","",Calc!O$21)</f>
        <v>0.498050940810485</v>
      </c>
      <c r="S22" s="19" t="n">
        <f aca="false">IF(Calc!$A$21="","",Calc!Q$21)</f>
        <v>0.00274357518650089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652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51.6680073253154</v>
      </c>
      <c r="Q23" s="18" t="str">
        <f aca="false">IF(Calc!$A$22="","",Calc!N$22)</f>
        <v>N/M</v>
      </c>
      <c r="R23" s="18" t="n">
        <f aca="false">IF(Calc!$A$22="","",Calc!O$22)</f>
        <v>0.00633489324263736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171.5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18.9293598233996</v>
      </c>
      <c r="P24" s="22" t="n">
        <f aca="false">IF(Calc!$A$23="","",Calc!L$23)</f>
        <v>3.86662083537317</v>
      </c>
      <c r="Q24" s="18" t="str">
        <f aca="false">IF(Calc!$A$23="","",Calc!N$23)</f>
        <v>N/M</v>
      </c>
      <c r="R24" s="18" t="n">
        <f aca="false">IF(Calc!$A$23="","",Calc!O$23)</f>
        <v>0.0388065384226572</v>
      </c>
      <c r="S24" s="19" t="n">
        <f aca="false">IF(Calc!$A$23="","",Calc!Q$23)</f>
        <v>0.00291545189504373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513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104.268292682927</v>
      </c>
      <c r="P26" s="22" t="n">
        <f aca="false">IF(Calc!$A$25="","",Calc!L$25)</f>
        <v>42.8571428571429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0.00194931773879142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540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44.2685580937793</v>
      </c>
      <c r="Q27" s="18" t="str">
        <f aca="false">IF(Calc!$A$26="","",Calc!N$26)</f>
        <v>N/M</v>
      </c>
      <c r="R27" s="18" t="n">
        <f aca="false">IF(Calc!$A$26="","",Calc!O$26)</f>
        <v>0.238548007375092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8525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0.523332851670599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218.533709305306</v>
      </c>
      <c r="P28" s="22" t="n">
        <f aca="false">IF(Calc!$A$27="","",Calc!L$27)</f>
        <v>83.611512088765</v>
      </c>
      <c r="Q28" s="18" t="n">
        <f aca="false">IF(Calc!$A$27="","",Calc!N$27)</f>
        <v>4.93663450260274</v>
      </c>
      <c r="R28" s="18" t="n">
        <f aca="false">IF(Calc!$A$27="","",Calc!O$27)</f>
        <v>0.661120237578894</v>
      </c>
      <c r="S28" s="19" t="n">
        <f aca="false">IF(Calc!$A$27="","",Calc!Q$27)</f>
        <v>0.00234604105571848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4">
      <formula>"N/M"</formula>
    </cfRule>
  </conditionalFormatting>
  <conditionalFormatting sqref="Q3:Q33">
    <cfRule type="cellIs" priority="8" operator="lessThan" aboveAverage="0" equalAverage="0" bottom="0" percent="0" rank="0" text="" dxfId="65">
      <formula>1.5</formula>
    </cfRule>
  </conditionalFormatting>
  <conditionalFormatting sqref="R3:R33">
    <cfRule type="cellIs" priority="9" operator="lessThan" aboveAverage="0" equalAverage="0" bottom="0" percent="0" rank="0" text="" dxfId="65">
      <formula>1.5</formula>
    </cfRule>
  </conditionalFormatting>
  <conditionalFormatting sqref="L3:L33">
    <cfRule type="cellIs" priority="10" operator="equal" aboveAverage="0" equalAverage="0" bottom="0" percent="0" rank="0" text="" dxfId="65">
      <formula>"成長且加速"</formula>
    </cfRule>
    <cfRule type="cellIs" priority="11" operator="equal" aboveAverage="0" equalAverage="0" bottom="0" percent="0" rank="0" text="" dxfId="66">
      <formula>"成長但減速"</formula>
    </cfRule>
    <cfRule type="cellIs" priority="12" operator="equal" aboveAverage="0" equalAverage="0" bottom="0" percent="0" rank="0" text="" dxfId="66">
      <formula>"衰退但收斂"</formula>
    </cfRule>
    <cfRule type="cellIs" priority="13" operator="equal" aboveAverage="0" equalAverage="0" bottom="0" percent="0" rank="0" text="" dxfId="67">
      <formula>"衰退且惡化"</formula>
    </cfRule>
  </conditionalFormatting>
  <conditionalFormatting sqref="A3:W33">
    <cfRule type="expression" priority="14" aboveAverage="0" equalAverage="0" bottom="0" percent="0" rank="0" text="" dxfId="6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2475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46293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28.6856745479833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18.4816623506904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0.538969080345993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0.56782061381458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133.91652509589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0.00888892936565657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0.434802829118384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0.325484174069199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2475</v>
      </c>
      <c r="L12" s="55" t="n">
        <f aca="false">IF(Stock_Card!$B$2="","",IFERROR(INDEX(Calc!$Q$2:$Q$100,MATCH(Stock_Card!$B$2,Calc!$A$2:$A$100,0)),""))</f>
        <v>0.00888892936565657</v>
      </c>
      <c r="M12" s="58" t="n">
        <f aca="false">IF(Stock_Card!$B$2="","",IFERROR(INDEX(Calc!$J$2:$J$100,MATCH(Stock_Card!$B$2,Calc!$A$2:$A$100,0)),""))</f>
        <v>28.6856745479833</v>
      </c>
      <c r="N12" s="57" t="n">
        <f aca="false">IF(Stock_Card!$B$2="","",IFERROR(INDEX(Calc!$N$2:$N$100,MATCH(Stock_Card!$B$2,Calc!$A$2:$A$100,0)),""))</f>
        <v>0.538969080345993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133.91652509589</v>
      </c>
      <c r="H13" s="55" t="n">
        <f aca="false">IF(Stock_Card!$B$2="","",IFERROR(INDEX(Calc!$M$2:$M$100,MATCH(Stock_Card!$B$2,Calc!$A$2:$A$100,0)),""))</f>
        <v>0.325484174069199</v>
      </c>
      <c r="I13" s="55" t="n">
        <f aca="false">IF(Stock_Card!$B$2="","",IFERROR(INDEX(Calc!$AI$2:$AI$100,MATCH(Stock_Card!$B$2,Calc!$A$2:$A$100,0)),""))</f>
        <v>0.434802829118384</v>
      </c>
      <c r="J13" s="59"/>
      <c r="K13" s="59"/>
      <c r="L13" s="59"/>
      <c r="M13" s="58" t="n">
        <f aca="false">IF(Stock_Card!$B$2="","",IFERROR(INDEX(Calc!$L$2:$L$100,MATCH(Stock_Card!$B$2,Calc!$A$2:$A$100,0)),""))</f>
        <v>18.4816623506904</v>
      </c>
      <c r="N13" s="57" t="n">
        <f aca="false">IF(Stock_Card!$B$2="","",IFERROR(INDEX(Calc!$O$2:$O$100,MATCH(Stock_Card!$B$2,Calc!$A$2:$A$100,0)),""))</f>
        <v>0.56782061381458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{B4DE1910-B071-4E70-BEE1-45CC67C112BA}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5">
      <formula>"成長且加速"</formula>
    </cfRule>
    <cfRule type="cellIs" priority="5" operator="equal" aboveAverage="0" equalAverage="0" bottom="0" percent="0" rank="0" text="" dxfId="66">
      <formula>"成長但減速"</formula>
    </cfRule>
    <cfRule type="cellIs" priority="6" operator="equal" aboveAverage="0" equalAverage="0" bottom="0" percent="0" rank="0" text="" dxfId="66">
      <formula>"衰退但收斂"</formula>
    </cfRule>
    <cfRule type="cellIs" priority="7" operator="equal" aboveAverage="0" equalAverage="0" bottom="0" percent="0" rank="0" text="" dxfId="6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9">
      <formula>$O5="預估"</formula>
    </cfRule>
  </conditionalFormatting>
  <conditionalFormatting sqref="B24:B28">
    <cfRule type="expression" priority="12" aboveAverage="0" equalAverage="0" bottom="0" percent="0" rank="0" text="" dxfId="6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DE1910-B071-4E70-BEE1-45CC67C112BA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-46293</v>
      </c>
      <c r="I4" s="67" t="n">
        <f aca="false">IF($A4="","",IFERROR(INDEX(Raw_Price!$E$2:$E$100,MATCH($A4,Raw_Price!$A$2:$A$100,0)),""))</f>
        <v>46293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-46293</v>
      </c>
      <c r="I5" s="67" t="n">
        <f aca="false">IF($A5="","",IFERROR(INDEX(Raw_Price!$E$2:$E$100,MATCH($A5,Raw_Price!$A$2:$A$100,0)),""))</f>
        <v>46293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-46293</v>
      </c>
      <c r="I6" s="67" t="n">
        <f aca="false">IF($A6="","",IFERROR(INDEX(Raw_Price!$E$2:$E$100,MATCH($A6,Raw_Price!$A$2:$A$100,0)),""))</f>
        <v>46293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-46293</v>
      </c>
      <c r="I7" s="67" t="n">
        <f aca="false">IF($A7="","",IFERROR(INDEX(Raw_Price!$E$2:$E$100,MATCH($A7,Raw_Price!$A$2:$A$100,0)),""))</f>
        <v>46293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-46293</v>
      </c>
      <c r="I8" s="67" t="n">
        <f aca="false">IF($A8="","",IFERROR(INDEX(Raw_Price!$E$2:$E$100,MATCH($A8,Raw_Price!$A$2:$A$100,0)),""))</f>
        <v>46293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-46293</v>
      </c>
      <c r="I9" s="67" t="n">
        <f aca="false">IF($A9="","",IFERROR(INDEX(Raw_Price!$E$2:$E$100,MATCH($A9,Raw_Price!$A$2:$A$100,0)),""))</f>
        <v>46293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-46293</v>
      </c>
      <c r="I10" s="67" t="n">
        <f aca="false">IF($A10="","",IFERROR(INDEX(Raw_Price!$E$2:$E$100,MATCH($A10,Raw_Price!$A$2:$A$100,0)),""))</f>
        <v>46293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-46293</v>
      </c>
      <c r="I11" s="67" t="n">
        <f aca="false">IF($A11="","",IFERROR(INDEX(Raw_Price!$E$2:$E$100,MATCH($A11,Raw_Price!$A$2:$A$100,0)),""))</f>
        <v>46293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-46293</v>
      </c>
      <c r="I12" s="67" t="n">
        <f aca="false">IF($A12="","",IFERROR(INDEX(Raw_Price!$E$2:$E$100,MATCH($A12,Raw_Price!$A$2:$A$100,0)),""))</f>
        <v>46293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-46293</v>
      </c>
      <c r="I13" s="67" t="n">
        <f aca="false">IF($A13="","",IFERROR(INDEX(Raw_Price!$E$2:$E$100,MATCH($A13,Raw_Price!$A$2:$A$100,0)),""))</f>
        <v>46293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-46293</v>
      </c>
      <c r="I14" s="67" t="n">
        <f aca="false">IF($A14="","",IFERROR(INDEX(Raw_Price!$E$2:$E$100,MATCH($A14,Raw_Price!$A$2:$A$100,0)),""))</f>
        <v>46293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-46293</v>
      </c>
      <c r="I15" s="67" t="n">
        <f aca="false">IF($A15="","",IFERROR(INDEX(Raw_Price!$E$2:$E$100,MATCH($A15,Raw_Price!$A$2:$A$100,0)),""))</f>
        <v>46293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-46293</v>
      </c>
      <c r="I16" s="67" t="n">
        <f aca="false">IF($A16="","",IFERROR(INDEX(Raw_Price!$E$2:$E$100,MATCH($A16,Raw_Price!$A$2:$A$100,0)),""))</f>
        <v>46293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-46293</v>
      </c>
      <c r="I17" s="67" t="n">
        <f aca="false">IF($A17="","",IFERROR(INDEX(Raw_Price!$E$2:$E$100,MATCH($A17,Raw_Price!$A$2:$A$100,0)),""))</f>
        <v>46293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-46293</v>
      </c>
      <c r="I18" s="67" t="n">
        <f aca="false">IF($A18="","",IFERROR(INDEX(Raw_Price!$E$2:$E$100,MATCH($A18,Raw_Price!$A$2:$A$100,0)),""))</f>
        <v>46293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-46293</v>
      </c>
      <c r="I19" s="67" t="n">
        <f aca="false">IF($A19="","",IFERROR(INDEX(Raw_Price!$E$2:$E$100,MATCH($A19,Raw_Price!$A$2:$A$100,0)),""))</f>
        <v>46293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-46293</v>
      </c>
      <c r="I20" s="67" t="n">
        <f aca="false">IF($A20="","",IFERROR(INDEX(Raw_Price!$E$2:$E$100,MATCH($A20,Raw_Price!$A$2:$A$100,0)),""))</f>
        <v>46293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-46293</v>
      </c>
      <c r="I21" s="67" t="n">
        <f aca="false">IF($A21="","",IFERROR(INDEX(Raw_Price!$E$2:$E$100,MATCH($A21,Raw_Price!$A$2:$A$100,0)),""))</f>
        <v>46293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-46293</v>
      </c>
      <c r="I22" s="67" t="n">
        <f aca="false">IF($A22="","",IFERROR(INDEX(Raw_Price!$E$2:$E$100,MATCH($A22,Raw_Price!$A$2:$A$100,0)),""))</f>
        <v>46293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-46293</v>
      </c>
      <c r="I23" s="67" t="n">
        <f aca="false">IF($A23="","",IFERROR(INDEX(Raw_Price!$E$2:$E$100,MATCH($A23,Raw_Price!$A$2:$A$100,0)),""))</f>
        <v>46293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-46293</v>
      </c>
      <c r="I24" s="67" t="n">
        <f aca="false">IF($A24="","",IFERROR(INDEX(Raw_Price!$E$2:$E$100,MATCH($A24,Raw_Price!$A$2:$A$100,0)),""))</f>
        <v>46293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-46293</v>
      </c>
      <c r="I25" s="67" t="n">
        <f aca="false">IF($A25="","",IFERROR(INDEX(Raw_Price!$E$2:$E$100,MATCH($A25,Raw_Price!$A$2:$A$100,0)),""))</f>
        <v>46293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-46293</v>
      </c>
      <c r="I27" s="67" t="n">
        <f aca="false">IF($A27="","",IFERROR(INDEX(Raw_Price!$E$2:$E$100,MATCH($A27,Raw_Price!$A$2:$A$100,0)),""))</f>
        <v>46293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-46293</v>
      </c>
      <c r="I28" s="67" t="n">
        <f aca="false">IF($A28="","",IFERROR(INDEX(Raw_Price!$E$2:$E$100,MATCH($A28,Raw_Price!$A$2:$A$100,0)),""))</f>
        <v>46293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-46293</v>
      </c>
      <c r="I29" s="67" t="n">
        <f aca="false">IF($A29="","",IFERROR(INDEX(Raw_Price!$E$2:$E$100,MATCH($A29,Raw_Price!$A$2:$A$100,0)),""))</f>
        <v>46293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70">
      <formula>"OK"</formula>
    </cfRule>
    <cfRule type="cellIs" priority="3" operator="equal" aboveAverage="0" equalAverage="0" bottom="0" percent="0" rank="0" text="" dxfId="71">
      <formula>"待更新財報"</formula>
    </cfRule>
    <cfRule type="expression" priority="4" aboveAverage="0" equalAverage="0" bottom="0" percent="0" rank="0" text="" dxfId="72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6.21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1079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1080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1081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1082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1083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1084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1085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1086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1087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1088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1089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1090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1091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1092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1093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1094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1095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1096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1097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1098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1099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1100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1101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1102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1103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1105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1107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1109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1111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1113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1115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1117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1119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1121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1123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1125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1210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1211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1212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1213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1214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1215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1216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1217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1218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1219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1220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1221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1222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1223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1224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1225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1226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1227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1228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1229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1230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1231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1232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1233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1234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1235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1236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1237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1238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1239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1240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1241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1242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1243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1244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1245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1246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1247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1248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1249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1250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1251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1252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1253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1254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1255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1256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1257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1258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1259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1260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1261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1262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1263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1264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1265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1266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1267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1268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1269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1270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1271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1272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1273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1274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1275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1276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1277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1278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1279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1280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1281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1282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1283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1284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1285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1286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1287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1288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1289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1290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1291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1292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1293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1294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1295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1296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1297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1298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1299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1300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1301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1302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1303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1304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1305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1306</v>
      </c>
    </row>
    <row r="578" customFormat="false" ht="15" hidden="false" customHeight="false" outlineLevel="0" collapsed="false">
      <c r="A578" s="79" t="s">
        <v>695</v>
      </c>
      <c r="B578" s="79" t="s">
        <v>1079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1080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1081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1082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1083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1084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1085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1086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1087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1088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1089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1090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1091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1092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1093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1094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1095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1096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1097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1098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1099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1100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1101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1102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1103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1307</v>
      </c>
    </row>
    <row r="603" customFormat="false" ht="15" hidden="false" customHeight="false" outlineLevel="0" collapsed="false">
      <c r="A603" s="79" t="s">
        <v>695</v>
      </c>
      <c r="B603" s="79" t="s">
        <v>1105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1308</v>
      </c>
    </row>
    <row r="604" customFormat="false" ht="15" hidden="false" customHeight="false" outlineLevel="0" collapsed="false">
      <c r="A604" s="79" t="s">
        <v>695</v>
      </c>
      <c r="B604" s="79" t="s">
        <v>1107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1309</v>
      </c>
    </row>
    <row r="605" customFormat="false" ht="15" hidden="false" customHeight="false" outlineLevel="0" collapsed="false">
      <c r="A605" s="79" t="s">
        <v>695</v>
      </c>
      <c r="B605" s="79" t="s">
        <v>1109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1310</v>
      </c>
    </row>
    <row r="606" customFormat="false" ht="15" hidden="false" customHeight="false" outlineLevel="0" collapsed="false">
      <c r="A606" s="79" t="s">
        <v>695</v>
      </c>
      <c r="B606" s="79" t="s">
        <v>1111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1311</v>
      </c>
    </row>
    <row r="607" customFormat="false" ht="15" hidden="false" customHeight="false" outlineLevel="0" collapsed="false">
      <c r="A607" s="79" t="s">
        <v>695</v>
      </c>
      <c r="B607" s="79" t="s">
        <v>1113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1312</v>
      </c>
    </row>
    <row r="608" customFormat="false" ht="15" hidden="false" customHeight="false" outlineLevel="0" collapsed="false">
      <c r="A608" s="79" t="s">
        <v>695</v>
      </c>
      <c r="B608" s="79" t="s">
        <v>1115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1313</v>
      </c>
    </row>
    <row r="609" customFormat="false" ht="15" hidden="false" customHeight="false" outlineLevel="0" collapsed="false">
      <c r="A609" s="79" t="s">
        <v>695</v>
      </c>
      <c r="B609" s="79" t="s">
        <v>1117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1314</v>
      </c>
    </row>
    <row r="610" customFormat="false" ht="15" hidden="false" customHeight="false" outlineLevel="0" collapsed="false">
      <c r="A610" s="79" t="s">
        <v>695</v>
      </c>
      <c r="B610" s="79" t="s">
        <v>1119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1315</v>
      </c>
    </row>
    <row r="611" customFormat="false" ht="15" hidden="false" customHeight="false" outlineLevel="0" collapsed="false">
      <c r="A611" s="79" t="s">
        <v>695</v>
      </c>
      <c r="B611" s="79" t="s">
        <v>1121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1316</v>
      </c>
    </row>
    <row r="612" customFormat="false" ht="15" hidden="false" customHeight="false" outlineLevel="0" collapsed="false">
      <c r="A612" s="79" t="s">
        <v>695</v>
      </c>
      <c r="B612" s="79" t="s">
        <v>1123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1317</v>
      </c>
    </row>
    <row r="613" customFormat="false" ht="15" hidden="false" customHeight="false" outlineLevel="0" collapsed="false">
      <c r="A613" s="79" t="s">
        <v>695</v>
      </c>
      <c r="B613" s="79" t="s">
        <v>1125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1318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1319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1320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1321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1322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1323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1324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1325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1326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1327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1328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1329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1330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202609</v>
      </c>
      <c r="D650" s="81" t="n">
        <v>46266</v>
      </c>
      <c r="E650" s="82" t="n">
        <v>5840.094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202608</v>
      </c>
      <c r="D651" s="81" t="n">
        <v>46235</v>
      </c>
      <c r="E651" s="82" t="n">
        <v>5769.17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202607</v>
      </c>
      <c r="D652" s="81" t="n">
        <v>46204</v>
      </c>
      <c r="E652" s="82" t="n">
        <v>4928.512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202606</v>
      </c>
      <c r="D653" s="81" t="n">
        <v>46174</v>
      </c>
      <c r="E653" s="82" t="n">
        <v>4674.012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202605</v>
      </c>
      <c r="D654" s="81" t="n">
        <v>46143</v>
      </c>
      <c r="E654" s="82" t="n">
        <v>4294.033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202604</v>
      </c>
      <c r="D655" s="81" t="n">
        <v>46113</v>
      </c>
      <c r="E655" s="82" t="n">
        <v>3860.47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202603</v>
      </c>
      <c r="D656" s="81" t="n">
        <v>46082</v>
      </c>
      <c r="E656" s="82" t="n">
        <v>3351.5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202602</v>
      </c>
      <c r="D657" s="81" t="n">
        <v>46054</v>
      </c>
      <c r="E657" s="82" t="n">
        <v>4235.842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202601</v>
      </c>
      <c r="D658" s="81" t="n">
        <v>46023</v>
      </c>
      <c r="E658" s="82" t="n">
        <v>4747.837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202512</v>
      </c>
      <c r="D659" s="81" t="n">
        <v>45992</v>
      </c>
      <c r="E659" s="82" t="n">
        <v>3936.093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202511</v>
      </c>
      <c r="D660" s="81" t="n">
        <v>45962</v>
      </c>
      <c r="E660" s="82" t="n">
        <v>3715.719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202510</v>
      </c>
      <c r="D661" s="81" t="n">
        <v>45931</v>
      </c>
      <c r="E661" s="82" t="n">
        <v>3612.747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202509</v>
      </c>
      <c r="D662" s="81" t="n">
        <v>45901</v>
      </c>
      <c r="E662" s="82" t="n">
        <v>2767.549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202508</v>
      </c>
      <c r="D663" s="81" t="n">
        <v>45870</v>
      </c>
      <c r="E663" s="82" t="n">
        <v>2232.812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202507</v>
      </c>
      <c r="D664" s="81" t="n">
        <v>45839</v>
      </c>
      <c r="E664" s="82" t="n">
        <v>2419.27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202506</v>
      </c>
      <c r="D665" s="81" t="n">
        <v>45809</v>
      </c>
      <c r="E665" s="82" t="n">
        <v>2013.507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202505</v>
      </c>
      <c r="D666" s="81" t="n">
        <v>45778</v>
      </c>
      <c r="E666" s="82" t="n">
        <v>1671.8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202504</v>
      </c>
      <c r="D667" s="81" t="n">
        <v>45748</v>
      </c>
      <c r="E667" s="82" t="n">
        <v>2892.233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202503</v>
      </c>
      <c r="D668" s="81" t="n">
        <v>45717</v>
      </c>
      <c r="E668" s="82" t="n">
        <v>2092.746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202502</v>
      </c>
      <c r="D669" s="81" t="n">
        <v>45689</v>
      </c>
      <c r="E669" s="82" t="n">
        <v>2038.665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202501</v>
      </c>
      <c r="D670" s="81" t="n">
        <v>45658</v>
      </c>
      <c r="E670" s="82" t="n">
        <v>2702.478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202412</v>
      </c>
      <c r="D671" s="81" t="n">
        <v>45627</v>
      </c>
      <c r="E671" s="82" t="n">
        <v>1837.436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202411</v>
      </c>
      <c r="D672" s="81" t="n">
        <v>45597</v>
      </c>
      <c r="E672" s="82" t="n">
        <v>1482.729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202410</v>
      </c>
      <c r="D673" s="81" t="n">
        <v>45566</v>
      </c>
      <c r="E673" s="82" t="n">
        <v>1763.514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202409</v>
      </c>
      <c r="D674" s="81" t="n">
        <v>45536</v>
      </c>
      <c r="E674" s="82" t="n">
        <v>1944.75</v>
      </c>
      <c r="F674" s="80" t="n">
        <v>25</v>
      </c>
      <c r="G674" s="79" t="s">
        <v>1331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202408</v>
      </c>
      <c r="D675" s="81" t="n">
        <v>45505</v>
      </c>
      <c r="E675" s="82" t="n">
        <v>2903.133</v>
      </c>
      <c r="F675" s="80" t="n">
        <v>26</v>
      </c>
      <c r="G675" s="79" t="s">
        <v>1332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202407</v>
      </c>
      <c r="D676" s="81" t="n">
        <v>45474</v>
      </c>
      <c r="E676" s="82" t="n">
        <v>2673.12</v>
      </c>
      <c r="F676" s="80" t="n">
        <v>27</v>
      </c>
      <c r="G676" s="79" t="s">
        <v>1333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202406</v>
      </c>
      <c r="D677" s="81" t="n">
        <v>45444</v>
      </c>
      <c r="E677" s="82" t="n">
        <v>2353.184</v>
      </c>
      <c r="F677" s="80" t="n">
        <v>28</v>
      </c>
      <c r="G677" s="79" t="s">
        <v>1334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202405</v>
      </c>
      <c r="D678" s="81" t="n">
        <v>45413</v>
      </c>
      <c r="E678" s="82" t="n">
        <v>1693.477</v>
      </c>
      <c r="F678" s="80" t="n">
        <v>29</v>
      </c>
      <c r="G678" s="79" t="s">
        <v>1335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202404</v>
      </c>
      <c r="D679" s="81" t="n">
        <v>45383</v>
      </c>
      <c r="E679" s="82" t="n">
        <v>2192.386</v>
      </c>
      <c r="F679" s="80" t="n">
        <v>30</v>
      </c>
      <c r="G679" s="79" t="s">
        <v>1336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202403</v>
      </c>
      <c r="D680" s="81" t="n">
        <v>45352</v>
      </c>
      <c r="E680" s="82" t="n">
        <v>1760.131</v>
      </c>
      <c r="F680" s="80" t="n">
        <v>31</v>
      </c>
      <c r="G680" s="79" t="s">
        <v>1337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202402</v>
      </c>
      <c r="D681" s="81" t="n">
        <v>45323</v>
      </c>
      <c r="E681" s="82" t="n">
        <v>1737.854</v>
      </c>
      <c r="F681" s="80" t="n">
        <v>32</v>
      </c>
      <c r="G681" s="79" t="s">
        <v>1338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202401</v>
      </c>
      <c r="D682" s="81" t="n">
        <v>45292</v>
      </c>
      <c r="E682" s="82" t="n">
        <v>2208.208</v>
      </c>
      <c r="F682" s="80" t="n">
        <v>33</v>
      </c>
      <c r="G682" s="79" t="s">
        <v>1339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202312</v>
      </c>
      <c r="D683" s="81" t="n">
        <v>45261</v>
      </c>
      <c r="E683" s="82" t="n">
        <v>1978.714</v>
      </c>
      <c r="F683" s="80" t="n">
        <v>34</v>
      </c>
      <c r="G683" s="79" t="s">
        <v>1340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202311</v>
      </c>
      <c r="D684" s="81" t="n">
        <v>45231</v>
      </c>
      <c r="E684" s="82" t="n">
        <v>2127.874</v>
      </c>
      <c r="F684" s="80" t="n">
        <v>35</v>
      </c>
      <c r="G684" s="79" t="s">
        <v>1341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202310</v>
      </c>
      <c r="D685" s="81" t="n">
        <v>45200</v>
      </c>
      <c r="E685" s="82" t="n">
        <v>2324.969</v>
      </c>
      <c r="F685" s="80" t="n">
        <v>36</v>
      </c>
      <c r="G685" s="79" t="s">
        <v>1342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202609</v>
      </c>
      <c r="D686" s="81" t="n">
        <v>46266</v>
      </c>
      <c r="E686" s="82" t="n">
        <v>1247.981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202608</v>
      </c>
      <c r="D687" s="81" t="n">
        <v>46235</v>
      </c>
      <c r="E687" s="82" t="n">
        <v>1218.533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202607</v>
      </c>
      <c r="D688" s="81" t="n">
        <v>46204</v>
      </c>
      <c r="E688" s="82" t="n">
        <v>1138.635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202606</v>
      </c>
      <c r="D689" s="81" t="n">
        <v>46174</v>
      </c>
      <c r="E689" s="82" t="n">
        <v>960.221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202605</v>
      </c>
      <c r="D690" s="81" t="n">
        <v>46143</v>
      </c>
      <c r="E690" s="82" t="n">
        <v>877.785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202604</v>
      </c>
      <c r="D691" s="81" t="n">
        <v>46113</v>
      </c>
      <c r="E691" s="82" t="n">
        <v>727.713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202603</v>
      </c>
      <c r="D692" s="81" t="n">
        <v>46082</v>
      </c>
      <c r="E692" s="82" t="n">
        <v>607.616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202602</v>
      </c>
      <c r="D693" s="81" t="n">
        <v>46054</v>
      </c>
      <c r="E693" s="82" t="n">
        <v>751.552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202601</v>
      </c>
      <c r="D694" s="81" t="n">
        <v>46023</v>
      </c>
      <c r="E694" s="82" t="n">
        <v>791.973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202512</v>
      </c>
      <c r="D695" s="81" t="n">
        <v>45992</v>
      </c>
      <c r="E695" s="82" t="n">
        <v>631.105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202511</v>
      </c>
      <c r="D696" s="81" t="n">
        <v>45962</v>
      </c>
      <c r="E696" s="82" t="n">
        <v>698.87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202510</v>
      </c>
      <c r="D697" s="81" t="n">
        <v>45931</v>
      </c>
      <c r="E697" s="82" t="n">
        <v>645.366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202509</v>
      </c>
      <c r="D698" s="81" t="n">
        <v>45901</v>
      </c>
      <c r="E698" s="82" t="n">
        <v>594.962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202508</v>
      </c>
      <c r="D699" s="81" t="n">
        <v>45870</v>
      </c>
      <c r="E699" s="82" t="n">
        <v>615.415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202507</v>
      </c>
      <c r="D700" s="81" t="n">
        <v>45839</v>
      </c>
      <c r="E700" s="82" t="n">
        <v>605.082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202506</v>
      </c>
      <c r="D701" s="81" t="n">
        <v>45809</v>
      </c>
      <c r="E701" s="82" t="n">
        <v>640.52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202505</v>
      </c>
      <c r="D702" s="81" t="n">
        <v>45778</v>
      </c>
      <c r="E702" s="82" t="n">
        <v>603.299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202504</v>
      </c>
      <c r="D703" s="81" t="n">
        <v>45748</v>
      </c>
      <c r="E703" s="82" t="n">
        <v>977.959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202503</v>
      </c>
      <c r="D704" s="81" t="n">
        <v>45717</v>
      </c>
      <c r="E704" s="82" t="n">
        <v>958.464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202502</v>
      </c>
      <c r="D705" s="81" t="n">
        <v>45689</v>
      </c>
      <c r="E705" s="82" t="n">
        <v>821.579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202501</v>
      </c>
      <c r="D706" s="81" t="n">
        <v>45658</v>
      </c>
      <c r="E706" s="82" t="n">
        <v>824.908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202412</v>
      </c>
      <c r="D707" s="81" t="n">
        <v>45627</v>
      </c>
      <c r="E707" s="82" t="n">
        <v>786.997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202411</v>
      </c>
      <c r="D708" s="81" t="n">
        <v>45597</v>
      </c>
      <c r="E708" s="82" t="n">
        <v>864.645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202410</v>
      </c>
      <c r="D709" s="81" t="n">
        <v>45566</v>
      </c>
      <c r="E709" s="82" t="n">
        <v>797.761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202409</v>
      </c>
      <c r="D710" s="81" t="n">
        <v>45536</v>
      </c>
      <c r="E710" s="82" t="n">
        <v>658.197</v>
      </c>
      <c r="F710" s="80" t="n">
        <v>25</v>
      </c>
      <c r="G710" s="79" t="s">
        <v>1343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202408</v>
      </c>
      <c r="D711" s="81" t="n">
        <v>45505</v>
      </c>
      <c r="E711" s="82" t="n">
        <v>644.812</v>
      </c>
      <c r="F711" s="80" t="n">
        <v>26</v>
      </c>
      <c r="G711" s="79" t="s">
        <v>1344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202407</v>
      </c>
      <c r="D712" s="81" t="n">
        <v>45474</v>
      </c>
      <c r="E712" s="82" t="n">
        <v>540.921</v>
      </c>
      <c r="F712" s="80" t="n">
        <v>27</v>
      </c>
      <c r="G712" s="79" t="s">
        <v>1345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202406</v>
      </c>
      <c r="D713" s="81" t="n">
        <v>45444</v>
      </c>
      <c r="E713" s="82" t="n">
        <v>575.706</v>
      </c>
      <c r="F713" s="80" t="n">
        <v>28</v>
      </c>
      <c r="G713" s="79" t="s">
        <v>1346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202405</v>
      </c>
      <c r="D714" s="81" t="n">
        <v>45413</v>
      </c>
      <c r="E714" s="82" t="n">
        <v>588.227</v>
      </c>
      <c r="F714" s="80" t="n">
        <v>29</v>
      </c>
      <c r="G714" s="79" t="s">
        <v>1347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202404</v>
      </c>
      <c r="D715" s="81" t="n">
        <v>45383</v>
      </c>
      <c r="E715" s="82" t="n">
        <v>477.34</v>
      </c>
      <c r="F715" s="80" t="n">
        <v>30</v>
      </c>
      <c r="G715" s="79" t="s">
        <v>1348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202403</v>
      </c>
      <c r="D716" s="81" t="n">
        <v>45352</v>
      </c>
      <c r="E716" s="82" t="n">
        <v>385.194</v>
      </c>
      <c r="F716" s="80" t="n">
        <v>31</v>
      </c>
      <c r="G716" s="79" t="s">
        <v>1349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202402</v>
      </c>
      <c r="D717" s="81" t="n">
        <v>45323</v>
      </c>
      <c r="E717" s="82" t="n">
        <v>422.954</v>
      </c>
      <c r="F717" s="80" t="n">
        <v>32</v>
      </c>
      <c r="G717" s="79" t="s">
        <v>1350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202401</v>
      </c>
      <c r="D718" s="81" t="n">
        <v>45292</v>
      </c>
      <c r="E718" s="82" t="n">
        <v>454.498</v>
      </c>
      <c r="F718" s="80" t="n">
        <v>33</v>
      </c>
      <c r="G718" s="79" t="s">
        <v>1351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202312</v>
      </c>
      <c r="D719" s="81" t="n">
        <v>45261</v>
      </c>
      <c r="E719" s="82" t="n">
        <v>484.156</v>
      </c>
      <c r="F719" s="80" t="n">
        <v>34</v>
      </c>
      <c r="G719" s="79" t="s">
        <v>1352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202311</v>
      </c>
      <c r="D720" s="81" t="n">
        <v>45231</v>
      </c>
      <c r="E720" s="82" t="n">
        <v>499.66</v>
      </c>
      <c r="F720" s="80" t="n">
        <v>35</v>
      </c>
      <c r="G720" s="79" t="s">
        <v>1353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202310</v>
      </c>
      <c r="D721" s="81" t="n">
        <v>45200</v>
      </c>
      <c r="E721" s="82" t="n">
        <v>489.071</v>
      </c>
      <c r="F721" s="80" t="n">
        <v>36</v>
      </c>
      <c r="G721" s="79" t="s">
        <v>1354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202609</v>
      </c>
      <c r="D722" s="81" t="n">
        <v>46266</v>
      </c>
      <c r="E722" s="82" t="n">
        <v>8891.805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202608</v>
      </c>
      <c r="D723" s="81" t="n">
        <v>46235</v>
      </c>
      <c r="E723" s="82" t="n">
        <v>9630.165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202607</v>
      </c>
      <c r="D724" s="81" t="n">
        <v>46204</v>
      </c>
      <c r="E724" s="82" t="n">
        <v>8518.109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202606</v>
      </c>
      <c r="D725" s="81" t="n">
        <v>46174</v>
      </c>
      <c r="E725" s="82" t="n">
        <v>7352.121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202605</v>
      </c>
      <c r="D726" s="81" t="n">
        <v>46143</v>
      </c>
      <c r="E726" s="82" t="n">
        <v>7382.955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202604</v>
      </c>
      <c r="D727" s="81" t="n">
        <v>46113</v>
      </c>
      <c r="E727" s="82" t="n">
        <v>7013.696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202603</v>
      </c>
      <c r="D728" s="81" t="n">
        <v>46082</v>
      </c>
      <c r="E728" s="82" t="n">
        <v>6387.852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202602</v>
      </c>
      <c r="D729" s="81" t="n">
        <v>46054</v>
      </c>
      <c r="E729" s="82" t="n">
        <v>7455.82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202601</v>
      </c>
      <c r="D730" s="81" t="n">
        <v>46023</v>
      </c>
      <c r="E730" s="82" t="n">
        <v>6640.666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202512</v>
      </c>
      <c r="D731" s="81" t="n">
        <v>45992</v>
      </c>
      <c r="E731" s="82" t="n">
        <v>6538.775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202511</v>
      </c>
      <c r="D732" s="81" t="n">
        <v>45962</v>
      </c>
      <c r="E732" s="82" t="n">
        <v>6581.49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202510</v>
      </c>
      <c r="D733" s="81" t="n">
        <v>45931</v>
      </c>
      <c r="E733" s="82" t="n">
        <v>6706.222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202509</v>
      </c>
      <c r="D734" s="81" t="n">
        <v>45901</v>
      </c>
      <c r="E734" s="82" t="n">
        <v>5774.218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202508</v>
      </c>
      <c r="D735" s="81" t="n">
        <v>45870</v>
      </c>
      <c r="E735" s="82" t="n">
        <v>6034.282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202507</v>
      </c>
      <c r="D736" s="81" t="n">
        <v>45839</v>
      </c>
      <c r="E736" s="82" t="n">
        <v>5200.632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202506</v>
      </c>
      <c r="D737" s="81" t="n">
        <v>45809</v>
      </c>
      <c r="E737" s="82" t="n">
        <v>5201.409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202505</v>
      </c>
      <c r="D738" s="81" t="n">
        <v>45778</v>
      </c>
      <c r="E738" s="82" t="n">
        <v>6228.086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202504</v>
      </c>
      <c r="D739" s="81" t="n">
        <v>45748</v>
      </c>
      <c r="E739" s="82" t="n">
        <v>5738.989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202503</v>
      </c>
      <c r="D740" s="81" t="n">
        <v>45717</v>
      </c>
      <c r="E740" s="82" t="n">
        <v>5001.88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202502</v>
      </c>
      <c r="D741" s="81" t="n">
        <v>45689</v>
      </c>
      <c r="E741" s="82" t="n">
        <v>5555.836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202501</v>
      </c>
      <c r="D742" s="81" t="n">
        <v>45658</v>
      </c>
      <c r="E742" s="82" t="n">
        <v>4641.987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202412</v>
      </c>
      <c r="D743" s="81" t="n">
        <v>45627</v>
      </c>
      <c r="E743" s="82" t="n">
        <v>4910.75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202411</v>
      </c>
      <c r="D744" s="81" t="n">
        <v>45597</v>
      </c>
      <c r="E744" s="82" t="n">
        <v>4911.147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202410</v>
      </c>
      <c r="D745" s="81" t="n">
        <v>45566</v>
      </c>
      <c r="E745" s="82" t="n">
        <v>4589.632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202409</v>
      </c>
      <c r="D746" s="81" t="n">
        <v>45536</v>
      </c>
      <c r="E746" s="82" t="n">
        <v>4558.801</v>
      </c>
      <c r="F746" s="80" t="n">
        <v>25</v>
      </c>
      <c r="G746" s="79" t="s">
        <v>1355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202408</v>
      </c>
      <c r="D747" s="81" t="n">
        <v>45505</v>
      </c>
      <c r="E747" s="82" t="n">
        <v>5010.561</v>
      </c>
      <c r="F747" s="80" t="n">
        <v>26</v>
      </c>
      <c r="G747" s="79" t="s">
        <v>1356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202407</v>
      </c>
      <c r="D748" s="81" t="n">
        <v>45474</v>
      </c>
      <c r="E748" s="82" t="n">
        <v>4270.645</v>
      </c>
      <c r="F748" s="80" t="n">
        <v>27</v>
      </c>
      <c r="G748" s="79" t="s">
        <v>1357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202406</v>
      </c>
      <c r="D749" s="81" t="n">
        <v>45444</v>
      </c>
      <c r="E749" s="82" t="n">
        <v>4319.672</v>
      </c>
      <c r="F749" s="80" t="n">
        <v>28</v>
      </c>
      <c r="G749" s="79" t="s">
        <v>1358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202405</v>
      </c>
      <c r="D750" s="81" t="n">
        <v>45413</v>
      </c>
      <c r="E750" s="82" t="n">
        <v>4501.705</v>
      </c>
      <c r="F750" s="80" t="n">
        <v>29</v>
      </c>
      <c r="G750" s="79" t="s">
        <v>1359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202404</v>
      </c>
      <c r="D751" s="81" t="n">
        <v>45383</v>
      </c>
      <c r="E751" s="82" t="n">
        <v>4270.952</v>
      </c>
      <c r="F751" s="80" t="n">
        <v>30</v>
      </c>
      <c r="G751" s="79" t="s">
        <v>1360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202403</v>
      </c>
      <c r="D752" s="81" t="n">
        <v>45352</v>
      </c>
      <c r="E752" s="82" t="n">
        <v>3836.515</v>
      </c>
      <c r="F752" s="80" t="n">
        <v>31</v>
      </c>
      <c r="G752" s="79" t="s">
        <v>1361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202402</v>
      </c>
      <c r="D753" s="81" t="n">
        <v>45323</v>
      </c>
      <c r="E753" s="82" t="n">
        <v>4256.429</v>
      </c>
      <c r="F753" s="80" t="n">
        <v>32</v>
      </c>
      <c r="G753" s="79" t="s">
        <v>1362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202401</v>
      </c>
      <c r="D754" s="81" t="n">
        <v>45292</v>
      </c>
      <c r="E754" s="82" t="n">
        <v>3488.338</v>
      </c>
      <c r="F754" s="80" t="n">
        <v>33</v>
      </c>
      <c r="G754" s="79" t="s">
        <v>1363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202312</v>
      </c>
      <c r="D755" s="81" t="n">
        <v>45261</v>
      </c>
      <c r="E755" s="82" t="n">
        <v>4142.794</v>
      </c>
      <c r="F755" s="80" t="n">
        <v>34</v>
      </c>
      <c r="G755" s="79" t="s">
        <v>1364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202311</v>
      </c>
      <c r="D756" s="81" t="n">
        <v>45231</v>
      </c>
      <c r="E756" s="82" t="n">
        <v>4486.505</v>
      </c>
      <c r="F756" s="80" t="n">
        <v>35</v>
      </c>
      <c r="G756" s="79" t="s">
        <v>1365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202310</v>
      </c>
      <c r="D757" s="81" t="n">
        <v>45200</v>
      </c>
      <c r="E757" s="82" t="n">
        <v>4304.914</v>
      </c>
      <c r="F757" s="80" t="n">
        <v>36</v>
      </c>
      <c r="G757" s="79" t="s">
        <v>1366</v>
      </c>
    </row>
    <row r="758" customFormat="false" ht="15" hidden="false" customHeight="false" outlineLevel="0" collapsed="false">
      <c r="A758" s="79" t="s">
        <v>820</v>
      </c>
      <c r="B758" s="79" t="s">
        <v>1079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1080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1081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1082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1083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1084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1085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1086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1087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1088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1089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1090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1091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1092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1093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1094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1095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1096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1097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1098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1099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1100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1101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1102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1103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1367</v>
      </c>
    </row>
    <row r="783" customFormat="false" ht="15" hidden="false" customHeight="false" outlineLevel="0" collapsed="false">
      <c r="A783" s="79" t="s">
        <v>820</v>
      </c>
      <c r="B783" s="79" t="s">
        <v>1105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1368</v>
      </c>
    </row>
    <row r="784" customFormat="false" ht="15" hidden="false" customHeight="false" outlineLevel="0" collapsed="false">
      <c r="A784" s="79" t="s">
        <v>820</v>
      </c>
      <c r="B784" s="79" t="s">
        <v>1107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1369</v>
      </c>
    </row>
    <row r="785" customFormat="false" ht="15" hidden="false" customHeight="false" outlineLevel="0" collapsed="false">
      <c r="A785" s="79" t="s">
        <v>820</v>
      </c>
      <c r="B785" s="79" t="s">
        <v>1109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1370</v>
      </c>
    </row>
    <row r="786" customFormat="false" ht="15" hidden="false" customHeight="false" outlineLevel="0" collapsed="false">
      <c r="A786" s="79" t="s">
        <v>820</v>
      </c>
      <c r="B786" s="79" t="s">
        <v>1111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1371</v>
      </c>
    </row>
    <row r="787" customFormat="false" ht="15" hidden="false" customHeight="false" outlineLevel="0" collapsed="false">
      <c r="A787" s="79" t="s">
        <v>820</v>
      </c>
      <c r="B787" s="79" t="s">
        <v>1113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1372</v>
      </c>
    </row>
    <row r="788" customFormat="false" ht="15" hidden="false" customHeight="false" outlineLevel="0" collapsed="false">
      <c r="A788" s="79" t="s">
        <v>820</v>
      </c>
      <c r="B788" s="79" t="s">
        <v>1115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1373</v>
      </c>
    </row>
    <row r="789" customFormat="false" ht="15" hidden="false" customHeight="false" outlineLevel="0" collapsed="false">
      <c r="A789" s="79" t="s">
        <v>820</v>
      </c>
      <c r="B789" s="79" t="s">
        <v>1117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1374</v>
      </c>
    </row>
    <row r="790" customFormat="false" ht="15" hidden="false" customHeight="false" outlineLevel="0" collapsed="false">
      <c r="A790" s="79" t="s">
        <v>820</v>
      </c>
      <c r="B790" s="79" t="s">
        <v>1119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1375</v>
      </c>
    </row>
    <row r="791" customFormat="false" ht="15" hidden="false" customHeight="false" outlineLevel="0" collapsed="false">
      <c r="A791" s="79" t="s">
        <v>820</v>
      </c>
      <c r="B791" s="79" t="s">
        <v>1121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1376</v>
      </c>
    </row>
    <row r="792" customFormat="false" ht="15" hidden="false" customHeight="false" outlineLevel="0" collapsed="false">
      <c r="A792" s="79" t="s">
        <v>820</v>
      </c>
      <c r="B792" s="79" t="s">
        <v>1123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1377</v>
      </c>
    </row>
    <row r="793" customFormat="false" ht="15" hidden="false" customHeight="false" outlineLevel="0" collapsed="false">
      <c r="A793" s="79" t="s">
        <v>820</v>
      </c>
      <c r="B793" s="79" t="s">
        <v>1125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1378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202609</v>
      </c>
      <c r="D794" s="81" t="n">
        <v>46266</v>
      </c>
      <c r="E794" s="82" t="n">
        <v>88304.931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202608</v>
      </c>
      <c r="D795" s="81" t="n">
        <v>46235</v>
      </c>
      <c r="E795" s="82" t="n">
        <v>86015.154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202607</v>
      </c>
      <c r="D796" s="81" t="n">
        <v>46204</v>
      </c>
      <c r="E796" s="82" t="n">
        <v>91295.615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202606</v>
      </c>
      <c r="D797" s="81" t="n">
        <v>46174</v>
      </c>
      <c r="E797" s="82" t="n">
        <v>95962.959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202605</v>
      </c>
      <c r="D798" s="81" t="n">
        <v>46143</v>
      </c>
      <c r="E798" s="82" t="n">
        <v>87189.236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202604</v>
      </c>
      <c r="D799" s="81" t="n">
        <v>46113</v>
      </c>
      <c r="E799" s="82" t="n">
        <v>83964.774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202603</v>
      </c>
      <c r="D800" s="81" t="n">
        <v>46082</v>
      </c>
      <c r="E800" s="82" t="n">
        <v>67982.207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202602</v>
      </c>
      <c r="D801" s="81" t="n">
        <v>46054</v>
      </c>
      <c r="E801" s="82" t="n">
        <v>92158.23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202601</v>
      </c>
      <c r="D802" s="81" t="n">
        <v>46023</v>
      </c>
      <c r="E802" s="82" t="n">
        <v>99893.947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202512</v>
      </c>
      <c r="D803" s="81" t="n">
        <v>45992</v>
      </c>
      <c r="E803" s="82" t="n">
        <v>101800.641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202511</v>
      </c>
      <c r="D804" s="81" t="n">
        <v>45962</v>
      </c>
      <c r="E804" s="82" t="n">
        <v>117826.131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202510</v>
      </c>
      <c r="D805" s="81" t="n">
        <v>45931</v>
      </c>
      <c r="E805" s="82" t="n">
        <v>114908.884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202509</v>
      </c>
      <c r="D806" s="81" t="n">
        <v>45901</v>
      </c>
      <c r="E806" s="82" t="n">
        <v>65843.721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202508</v>
      </c>
      <c r="D807" s="81" t="n">
        <v>45870</v>
      </c>
      <c r="E807" s="82" t="n">
        <v>77103.455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202507</v>
      </c>
      <c r="D808" s="81" t="n">
        <v>45839</v>
      </c>
      <c r="E808" s="82" t="n">
        <v>78771.196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202506</v>
      </c>
      <c r="D809" s="81" t="n">
        <v>45809</v>
      </c>
      <c r="E809" s="82" t="n">
        <v>85685.084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202505</v>
      </c>
      <c r="D810" s="81" t="n">
        <v>45778</v>
      </c>
      <c r="E810" s="82" t="n">
        <v>102871.394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202504</v>
      </c>
      <c r="D811" s="81" t="n">
        <v>45748</v>
      </c>
      <c r="E811" s="82" t="n">
        <v>84630.395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202503</v>
      </c>
      <c r="D812" s="81" t="n">
        <v>45717</v>
      </c>
      <c r="E812" s="82" t="n">
        <v>82478.016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202502</v>
      </c>
      <c r="D813" s="81" t="n">
        <v>45689</v>
      </c>
      <c r="E813" s="82" t="n">
        <v>105321.84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202501</v>
      </c>
      <c r="D814" s="81" t="n">
        <v>45658</v>
      </c>
      <c r="E814" s="82" t="n">
        <v>102445.999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202412</v>
      </c>
      <c r="D815" s="81" t="n">
        <v>45627</v>
      </c>
      <c r="E815" s="82" t="n">
        <v>105757.504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202411</v>
      </c>
      <c r="D816" s="81" t="n">
        <v>45597</v>
      </c>
      <c r="E816" s="82" t="n">
        <v>118801.102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202410</v>
      </c>
      <c r="D817" s="81" t="n">
        <v>45566</v>
      </c>
      <c r="E817" s="82" t="n">
        <v>109264.099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202409</v>
      </c>
      <c r="D818" s="81" t="n">
        <v>45536</v>
      </c>
      <c r="E818" s="82" t="n">
        <v>88437.775</v>
      </c>
      <c r="F818" s="80" t="n">
        <v>25</v>
      </c>
      <c r="G818" s="79" t="s">
        <v>1379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202408</v>
      </c>
      <c r="D819" s="81" t="n">
        <v>45505</v>
      </c>
      <c r="E819" s="82" t="n">
        <v>96528.903</v>
      </c>
      <c r="F819" s="80" t="n">
        <v>26</v>
      </c>
      <c r="G819" s="79" t="s">
        <v>1380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202407</v>
      </c>
      <c r="D820" s="81" t="n">
        <v>45474</v>
      </c>
      <c r="E820" s="82" t="n">
        <v>70928.276</v>
      </c>
      <c r="F820" s="80" t="n">
        <v>27</v>
      </c>
      <c r="G820" s="79" t="s">
        <v>1381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202406</v>
      </c>
      <c r="D821" s="81" t="n">
        <v>45444</v>
      </c>
      <c r="E821" s="82" t="n">
        <v>93103.612</v>
      </c>
      <c r="F821" s="80" t="n">
        <v>28</v>
      </c>
      <c r="G821" s="79" t="s">
        <v>1382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202405</v>
      </c>
      <c r="D822" s="81" t="n">
        <v>45413</v>
      </c>
      <c r="E822" s="82" t="n">
        <v>89675.82</v>
      </c>
      <c r="F822" s="80" t="n">
        <v>29</v>
      </c>
      <c r="G822" s="79" t="s">
        <v>1383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202404</v>
      </c>
      <c r="D823" s="81" t="n">
        <v>45383</v>
      </c>
      <c r="E823" s="82" t="n">
        <v>74751.634</v>
      </c>
      <c r="F823" s="80" t="n">
        <v>30</v>
      </c>
      <c r="G823" s="79" t="s">
        <v>1384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202403</v>
      </c>
      <c r="D824" s="81" t="n">
        <v>45352</v>
      </c>
      <c r="E824" s="82" t="n">
        <v>66296.038</v>
      </c>
      <c r="F824" s="80" t="n">
        <v>31</v>
      </c>
      <c r="G824" s="79" t="s">
        <v>1385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202402</v>
      </c>
      <c r="D825" s="81" t="n">
        <v>45323</v>
      </c>
      <c r="E825" s="82" t="n">
        <v>109353.732</v>
      </c>
      <c r="F825" s="80" t="n">
        <v>32</v>
      </c>
      <c r="G825" s="79" t="s">
        <v>1386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202401</v>
      </c>
      <c r="D826" s="81" t="n">
        <v>45292</v>
      </c>
      <c r="E826" s="82" t="n">
        <v>83100.034</v>
      </c>
      <c r="F826" s="80" t="n">
        <v>33</v>
      </c>
      <c r="G826" s="79" t="s">
        <v>1387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202312</v>
      </c>
      <c r="D827" s="81" t="n">
        <v>45261</v>
      </c>
      <c r="E827" s="82" t="n">
        <v>116781.153</v>
      </c>
      <c r="F827" s="80" t="n">
        <v>34</v>
      </c>
      <c r="G827" s="79" t="s">
        <v>1388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202311</v>
      </c>
      <c r="D828" s="81" t="n">
        <v>45231</v>
      </c>
      <c r="E828" s="82" t="n">
        <v>142204.362</v>
      </c>
      <c r="F828" s="80" t="n">
        <v>35</v>
      </c>
      <c r="G828" s="79" t="s">
        <v>1389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202310</v>
      </c>
      <c r="D829" s="81" t="n">
        <v>45200</v>
      </c>
      <c r="E829" s="82" t="n">
        <v>132827.701</v>
      </c>
      <c r="F829" s="80" t="n">
        <v>36</v>
      </c>
      <c r="G829" s="79" t="s">
        <v>1390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202609</v>
      </c>
      <c r="D830" s="81" t="n">
        <v>46266</v>
      </c>
      <c r="E830" s="82" t="n">
        <v>545.866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202608</v>
      </c>
      <c r="D831" s="81" t="n">
        <v>46235</v>
      </c>
      <c r="E831" s="82" t="n">
        <v>508.777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202607</v>
      </c>
      <c r="D832" s="81" t="n">
        <v>46204</v>
      </c>
      <c r="E832" s="82" t="n">
        <v>455.083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202606</v>
      </c>
      <c r="D833" s="81" t="n">
        <v>46174</v>
      </c>
      <c r="E833" s="82" t="n">
        <v>421.247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202605</v>
      </c>
      <c r="D834" s="81" t="n">
        <v>46143</v>
      </c>
      <c r="E834" s="82" t="n">
        <v>412.778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202604</v>
      </c>
      <c r="D835" s="81" t="n">
        <v>46113</v>
      </c>
      <c r="E835" s="82" t="n">
        <v>451.568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202603</v>
      </c>
      <c r="D836" s="81" t="n">
        <v>46082</v>
      </c>
      <c r="E836" s="82" t="n">
        <v>329.586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202602</v>
      </c>
      <c r="D837" s="81" t="n">
        <v>46054</v>
      </c>
      <c r="E837" s="82" t="n">
        <v>412.324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202601</v>
      </c>
      <c r="D838" s="81" t="n">
        <v>46023</v>
      </c>
      <c r="E838" s="82" t="n">
        <v>421.117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202512</v>
      </c>
      <c r="D839" s="81" t="n">
        <v>45992</v>
      </c>
      <c r="E839" s="82" t="n">
        <v>414.874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202511</v>
      </c>
      <c r="D840" s="81" t="n">
        <v>45962</v>
      </c>
      <c r="E840" s="82" t="n">
        <v>318.369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202510</v>
      </c>
      <c r="D841" s="81" t="n">
        <v>45931</v>
      </c>
      <c r="E841" s="82" t="n">
        <v>290.607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202509</v>
      </c>
      <c r="D842" s="81" t="n">
        <v>45901</v>
      </c>
      <c r="E842" s="82" t="n">
        <v>397.141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202508</v>
      </c>
      <c r="D843" s="81" t="n">
        <v>45870</v>
      </c>
      <c r="E843" s="82" t="n">
        <v>388.346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202507</v>
      </c>
      <c r="D844" s="81" t="n">
        <v>45839</v>
      </c>
      <c r="E844" s="82" t="n">
        <v>356.414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202506</v>
      </c>
      <c r="D845" s="81" t="n">
        <v>45809</v>
      </c>
      <c r="E845" s="82" t="n">
        <v>347.922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202505</v>
      </c>
      <c r="D846" s="81" t="n">
        <v>45778</v>
      </c>
      <c r="E846" s="82" t="n">
        <v>383.15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202504</v>
      </c>
      <c r="D847" s="81" t="n">
        <v>45748</v>
      </c>
      <c r="E847" s="82" t="n">
        <v>375.732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202503</v>
      </c>
      <c r="D848" s="81" t="n">
        <v>45717</v>
      </c>
      <c r="E848" s="82" t="n">
        <v>366.068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202502</v>
      </c>
      <c r="D849" s="81" t="n">
        <v>45689</v>
      </c>
      <c r="E849" s="82" t="n">
        <v>325.106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202501</v>
      </c>
      <c r="D850" s="81" t="n">
        <v>45658</v>
      </c>
      <c r="E850" s="82" t="n">
        <v>351.851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202412</v>
      </c>
      <c r="D851" s="81" t="n">
        <v>45627</v>
      </c>
      <c r="E851" s="82" t="n">
        <v>366.735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202411</v>
      </c>
      <c r="D852" s="81" t="n">
        <v>45597</v>
      </c>
      <c r="E852" s="82" t="n">
        <v>329.524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202410</v>
      </c>
      <c r="D853" s="81" t="n">
        <v>45566</v>
      </c>
      <c r="E853" s="82" t="n">
        <v>324.554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202409</v>
      </c>
      <c r="D854" s="81" t="n">
        <v>45536</v>
      </c>
      <c r="E854" s="82" t="n">
        <v>319.033</v>
      </c>
      <c r="F854" s="80" t="n">
        <v>25</v>
      </c>
      <c r="G854" s="79" t="s">
        <v>1391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202408</v>
      </c>
      <c r="D855" s="81" t="n">
        <v>45505</v>
      </c>
      <c r="E855" s="82" t="n">
        <v>302.044</v>
      </c>
      <c r="F855" s="80" t="n">
        <v>26</v>
      </c>
      <c r="G855" s="79" t="s">
        <v>1392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202407</v>
      </c>
      <c r="D856" s="81" t="n">
        <v>45474</v>
      </c>
      <c r="E856" s="82" t="n">
        <v>267.703</v>
      </c>
      <c r="F856" s="80" t="n">
        <v>27</v>
      </c>
      <c r="G856" s="79" t="s">
        <v>1393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202406</v>
      </c>
      <c r="D857" s="81" t="n">
        <v>45444</v>
      </c>
      <c r="E857" s="82" t="n">
        <v>264.096</v>
      </c>
      <c r="F857" s="80" t="n">
        <v>28</v>
      </c>
      <c r="G857" s="79" t="s">
        <v>1394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202405</v>
      </c>
      <c r="D858" s="81" t="n">
        <v>45413</v>
      </c>
      <c r="E858" s="82" t="n">
        <v>269.469</v>
      </c>
      <c r="F858" s="80" t="n">
        <v>29</v>
      </c>
      <c r="G858" s="79" t="s">
        <v>1395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202404</v>
      </c>
      <c r="D859" s="81" t="n">
        <v>45383</v>
      </c>
      <c r="E859" s="82" t="n">
        <v>263.114</v>
      </c>
      <c r="F859" s="80" t="n">
        <v>30</v>
      </c>
      <c r="G859" s="79" t="s">
        <v>1396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202403</v>
      </c>
      <c r="D860" s="81" t="n">
        <v>45352</v>
      </c>
      <c r="E860" s="82" t="n">
        <v>178.135</v>
      </c>
      <c r="F860" s="80" t="n">
        <v>31</v>
      </c>
      <c r="G860" s="79" t="s">
        <v>1397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202402</v>
      </c>
      <c r="D861" s="81" t="n">
        <v>45323</v>
      </c>
      <c r="E861" s="82" t="n">
        <v>214.785</v>
      </c>
      <c r="F861" s="80" t="n">
        <v>32</v>
      </c>
      <c r="G861" s="79" t="s">
        <v>1398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202401</v>
      </c>
      <c r="D862" s="81" t="n">
        <v>45292</v>
      </c>
      <c r="E862" s="82" t="n">
        <v>293.695</v>
      </c>
      <c r="F862" s="80" t="n">
        <v>33</v>
      </c>
      <c r="G862" s="79" t="s">
        <v>1399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202312</v>
      </c>
      <c r="D863" s="81" t="n">
        <v>45261</v>
      </c>
      <c r="E863" s="82" t="n">
        <v>390.314</v>
      </c>
      <c r="F863" s="80" t="n">
        <v>34</v>
      </c>
      <c r="G863" s="79" t="s">
        <v>1400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202311</v>
      </c>
      <c r="D864" s="81" t="n">
        <v>45231</v>
      </c>
      <c r="E864" s="82" t="n">
        <v>327.755</v>
      </c>
      <c r="F864" s="80" t="n">
        <v>35</v>
      </c>
      <c r="G864" s="79" t="s">
        <v>1401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202310</v>
      </c>
      <c r="D865" s="81" t="n">
        <v>45200</v>
      </c>
      <c r="E865" s="82" t="n">
        <v>299.362</v>
      </c>
      <c r="F865" s="80" t="n">
        <v>36</v>
      </c>
      <c r="G865" s="79" t="s">
        <v>1402</v>
      </c>
    </row>
    <row r="866" customFormat="false" ht="15" hidden="false" customHeight="false" outlineLevel="0" collapsed="false">
      <c r="A866" s="79" t="s">
        <v>896</v>
      </c>
      <c r="B866" s="79" t="s">
        <v>1079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1080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1081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1082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1083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1084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1085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1086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1087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1088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1089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1090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1091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1092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1093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1094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1095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1096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1097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1098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1099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1100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1101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1102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1103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1403</v>
      </c>
    </row>
    <row r="891" customFormat="false" ht="15" hidden="false" customHeight="false" outlineLevel="0" collapsed="false">
      <c r="A891" s="79" t="s">
        <v>896</v>
      </c>
      <c r="B891" s="79" t="s">
        <v>1105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1404</v>
      </c>
    </row>
    <row r="892" customFormat="false" ht="15" hidden="false" customHeight="false" outlineLevel="0" collapsed="false">
      <c r="A892" s="79" t="s">
        <v>896</v>
      </c>
      <c r="B892" s="79" t="s">
        <v>1107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1405</v>
      </c>
    </row>
    <row r="893" customFormat="false" ht="15" hidden="false" customHeight="false" outlineLevel="0" collapsed="false">
      <c r="A893" s="79" t="s">
        <v>896</v>
      </c>
      <c r="B893" s="79" t="s">
        <v>1109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1406</v>
      </c>
    </row>
    <row r="894" customFormat="false" ht="15" hidden="false" customHeight="false" outlineLevel="0" collapsed="false">
      <c r="A894" s="79" t="s">
        <v>896</v>
      </c>
      <c r="B894" s="79" t="s">
        <v>1111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1407</v>
      </c>
    </row>
    <row r="895" customFormat="false" ht="15" hidden="false" customHeight="false" outlineLevel="0" collapsed="false">
      <c r="A895" s="79" t="s">
        <v>896</v>
      </c>
      <c r="B895" s="79" t="s">
        <v>1113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1408</v>
      </c>
    </row>
    <row r="896" customFormat="false" ht="15" hidden="false" customHeight="false" outlineLevel="0" collapsed="false">
      <c r="A896" s="79" t="s">
        <v>896</v>
      </c>
      <c r="B896" s="79" t="s">
        <v>1115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1409</v>
      </c>
    </row>
    <row r="897" customFormat="false" ht="15" hidden="false" customHeight="false" outlineLevel="0" collapsed="false">
      <c r="A897" s="79" t="s">
        <v>896</v>
      </c>
      <c r="B897" s="79" t="s">
        <v>1117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1410</v>
      </c>
    </row>
    <row r="898" customFormat="false" ht="15" hidden="false" customHeight="false" outlineLevel="0" collapsed="false">
      <c r="A898" s="79" t="s">
        <v>896</v>
      </c>
      <c r="B898" s="79" t="s">
        <v>1119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1411</v>
      </c>
    </row>
    <row r="899" customFormat="false" ht="15" hidden="false" customHeight="false" outlineLevel="0" collapsed="false">
      <c r="A899" s="79" t="s">
        <v>896</v>
      </c>
      <c r="B899" s="79" t="s">
        <v>1121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1412</v>
      </c>
    </row>
    <row r="900" customFormat="false" ht="15" hidden="false" customHeight="false" outlineLevel="0" collapsed="false">
      <c r="A900" s="79" t="s">
        <v>896</v>
      </c>
      <c r="B900" s="79" t="s">
        <v>1123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1413</v>
      </c>
    </row>
    <row r="901" customFormat="false" ht="15" hidden="false" customHeight="false" outlineLevel="0" collapsed="false">
      <c r="A901" s="79" t="s">
        <v>896</v>
      </c>
      <c r="B901" s="79" t="s">
        <v>1125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1414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202609</v>
      </c>
      <c r="D902" s="81" t="n">
        <v>46266</v>
      </c>
      <c r="E902" s="82" t="n">
        <v>8680.123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202608</v>
      </c>
      <c r="D903" s="81" t="n">
        <v>46235</v>
      </c>
      <c r="E903" s="82" t="n">
        <v>8494.81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202607</v>
      </c>
      <c r="D904" s="81" t="n">
        <v>46204</v>
      </c>
      <c r="E904" s="82" t="n">
        <v>8207.987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202606</v>
      </c>
      <c r="D905" s="81" t="n">
        <v>46174</v>
      </c>
      <c r="E905" s="82" t="n">
        <v>7564.591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202605</v>
      </c>
      <c r="D906" s="81" t="n">
        <v>46143</v>
      </c>
      <c r="E906" s="82" t="n">
        <v>6670.833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202604</v>
      </c>
      <c r="D907" s="81" t="n">
        <v>46113</v>
      </c>
      <c r="E907" s="82" t="n">
        <v>5672.453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202603</v>
      </c>
      <c r="D908" s="81" t="n">
        <v>46082</v>
      </c>
      <c r="E908" s="82" t="n">
        <v>4178.683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202602</v>
      </c>
      <c r="D909" s="81" t="n">
        <v>46054</v>
      </c>
      <c r="E909" s="82" t="n">
        <v>3331.472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202601</v>
      </c>
      <c r="D910" s="81" t="n">
        <v>46023</v>
      </c>
      <c r="E910" s="82" t="n">
        <v>1813.153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202512</v>
      </c>
      <c r="D911" s="81" t="n">
        <v>45992</v>
      </c>
      <c r="E911" s="82" t="n">
        <v>1596.065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202511</v>
      </c>
      <c r="D912" s="81" t="n">
        <v>45962</v>
      </c>
      <c r="E912" s="82" t="n">
        <v>1397.472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202510</v>
      </c>
      <c r="D913" s="81" t="n">
        <v>45931</v>
      </c>
      <c r="E913" s="82" t="n">
        <v>1370.557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202509</v>
      </c>
      <c r="D914" s="81" t="n">
        <v>45901</v>
      </c>
      <c r="E914" s="82" t="n">
        <v>1283.486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202508</v>
      </c>
      <c r="D915" s="81" t="n">
        <v>45870</v>
      </c>
      <c r="E915" s="82" t="n">
        <v>1153.358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202507</v>
      </c>
      <c r="D916" s="81" t="n">
        <v>45839</v>
      </c>
      <c r="E916" s="82" t="n">
        <v>1030.756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202506</v>
      </c>
      <c r="D917" s="81" t="n">
        <v>45809</v>
      </c>
      <c r="E917" s="82" t="n">
        <v>1021.135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202505</v>
      </c>
      <c r="D918" s="81" t="n">
        <v>45778</v>
      </c>
      <c r="E918" s="82" t="n">
        <v>976.538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202504</v>
      </c>
      <c r="D919" s="81" t="n">
        <v>45748</v>
      </c>
      <c r="E919" s="82" t="n">
        <v>970.015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202503</v>
      </c>
      <c r="D920" s="81" t="n">
        <v>45717</v>
      </c>
      <c r="E920" s="82" t="n">
        <v>830.404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202502</v>
      </c>
      <c r="D921" s="81" t="n">
        <v>45689</v>
      </c>
      <c r="E921" s="82" t="n">
        <v>818.323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202501</v>
      </c>
      <c r="D922" s="81" t="n">
        <v>45658</v>
      </c>
      <c r="E922" s="82" t="n">
        <v>720.756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202412</v>
      </c>
      <c r="D923" s="81" t="n">
        <v>45627</v>
      </c>
      <c r="E923" s="82" t="n">
        <v>759.244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202411</v>
      </c>
      <c r="D924" s="81" t="n">
        <v>45597</v>
      </c>
      <c r="E924" s="82" t="n">
        <v>748.005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202410</v>
      </c>
      <c r="D925" s="81" t="n">
        <v>45566</v>
      </c>
      <c r="E925" s="82" t="n">
        <v>712.853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202409</v>
      </c>
      <c r="D926" s="81" t="n">
        <v>45536</v>
      </c>
      <c r="E926" s="82" t="n">
        <v>789.6</v>
      </c>
      <c r="F926" s="80" t="n">
        <v>25</v>
      </c>
      <c r="G926" s="79" t="s">
        <v>1415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202408</v>
      </c>
      <c r="D927" s="81" t="n">
        <v>45505</v>
      </c>
      <c r="E927" s="82" t="n">
        <v>818.966</v>
      </c>
      <c r="F927" s="80" t="n">
        <v>26</v>
      </c>
      <c r="G927" s="79" t="s">
        <v>1416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202407</v>
      </c>
      <c r="D928" s="81" t="n">
        <v>45474</v>
      </c>
      <c r="E928" s="82" t="n">
        <v>749.527</v>
      </c>
      <c r="F928" s="80" t="n">
        <v>27</v>
      </c>
      <c r="G928" s="79" t="s">
        <v>1417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202406</v>
      </c>
      <c r="D929" s="81" t="n">
        <v>45444</v>
      </c>
      <c r="E929" s="82" t="n">
        <v>675.797</v>
      </c>
      <c r="F929" s="80" t="n">
        <v>28</v>
      </c>
      <c r="G929" s="79" t="s">
        <v>1418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202405</v>
      </c>
      <c r="D930" s="81" t="n">
        <v>45413</v>
      </c>
      <c r="E930" s="82" t="n">
        <v>764.905</v>
      </c>
      <c r="F930" s="80" t="n">
        <v>29</v>
      </c>
      <c r="G930" s="79" t="s">
        <v>1419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202404</v>
      </c>
      <c r="D931" s="81" t="n">
        <v>45383</v>
      </c>
      <c r="E931" s="82" t="n">
        <v>755.176</v>
      </c>
      <c r="F931" s="80" t="n">
        <v>30</v>
      </c>
      <c r="G931" s="79" t="s">
        <v>1420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202403</v>
      </c>
      <c r="D932" s="81" t="n">
        <v>45352</v>
      </c>
      <c r="E932" s="82" t="n">
        <v>623.797</v>
      </c>
      <c r="F932" s="80" t="n">
        <v>31</v>
      </c>
      <c r="G932" s="79" t="s">
        <v>1421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202402</v>
      </c>
      <c r="D933" s="81" t="n">
        <v>45323</v>
      </c>
      <c r="E933" s="82" t="n">
        <v>797.016</v>
      </c>
      <c r="F933" s="80" t="n">
        <v>32</v>
      </c>
      <c r="G933" s="79" t="s">
        <v>1422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202401</v>
      </c>
      <c r="D934" s="81" t="n">
        <v>45292</v>
      </c>
      <c r="E934" s="82" t="n">
        <v>718.585</v>
      </c>
      <c r="F934" s="80" t="n">
        <v>33</v>
      </c>
      <c r="G934" s="79" t="s">
        <v>1423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202312</v>
      </c>
      <c r="D935" s="81" t="n">
        <v>45261</v>
      </c>
      <c r="E935" s="82" t="n">
        <v>722.497</v>
      </c>
      <c r="F935" s="80" t="n">
        <v>34</v>
      </c>
      <c r="G935" s="79" t="s">
        <v>1424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202311</v>
      </c>
      <c r="D936" s="81" t="n">
        <v>45231</v>
      </c>
      <c r="E936" s="82" t="n">
        <v>688.967</v>
      </c>
      <c r="F936" s="80" t="n">
        <v>35</v>
      </c>
      <c r="G936" s="79" t="s">
        <v>1425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202310</v>
      </c>
      <c r="D937" s="81" t="n">
        <v>45200</v>
      </c>
      <c r="E937" s="82" t="n">
        <v>696.511</v>
      </c>
      <c r="F937" s="80" t="n">
        <v>36</v>
      </c>
      <c r="G937" s="79" t="s">
        <v>1426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202609</v>
      </c>
      <c r="D938" s="81" t="n">
        <v>46266</v>
      </c>
      <c r="E938" s="82" t="n">
        <v>7791.761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202608</v>
      </c>
      <c r="D939" s="81" t="n">
        <v>46235</v>
      </c>
      <c r="E939" s="82" t="n">
        <v>8173.773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202607</v>
      </c>
      <c r="D940" s="81" t="n">
        <v>46204</v>
      </c>
      <c r="E940" s="82" t="n">
        <v>7507.318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202606</v>
      </c>
      <c r="D941" s="81" t="n">
        <v>46174</v>
      </c>
      <c r="E941" s="82" t="n">
        <v>6542.058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202605</v>
      </c>
      <c r="D942" s="81" t="n">
        <v>46143</v>
      </c>
      <c r="E942" s="82" t="n">
        <v>6776.034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202604</v>
      </c>
      <c r="D943" s="81" t="n">
        <v>46113</v>
      </c>
      <c r="E943" s="82" t="n">
        <v>7014.545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202603</v>
      </c>
      <c r="D944" s="81" t="n">
        <v>46082</v>
      </c>
      <c r="E944" s="82" t="n">
        <v>5517.727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202602</v>
      </c>
      <c r="D945" s="81" t="n">
        <v>46054</v>
      </c>
      <c r="E945" s="82" t="n">
        <v>6004.421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202601</v>
      </c>
      <c r="D946" s="81" t="n">
        <v>46023</v>
      </c>
      <c r="E946" s="82" t="n">
        <v>6479.605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202512</v>
      </c>
      <c r="D947" s="81" t="n">
        <v>45992</v>
      </c>
      <c r="E947" s="82" t="n">
        <v>5740.079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202511</v>
      </c>
      <c r="D948" s="81" t="n">
        <v>45962</v>
      </c>
      <c r="E948" s="82" t="n">
        <v>5078.957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202510</v>
      </c>
      <c r="D949" s="81" t="n">
        <v>45931</v>
      </c>
      <c r="E949" s="82" t="n">
        <v>6092.008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202509</v>
      </c>
      <c r="D950" s="81" t="n">
        <v>45901</v>
      </c>
      <c r="E950" s="82" t="n">
        <v>5715.135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202508</v>
      </c>
      <c r="D951" s="81" t="n">
        <v>45870</v>
      </c>
      <c r="E951" s="82" t="n">
        <v>5731.436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202507</v>
      </c>
      <c r="D952" s="81" t="n">
        <v>45839</v>
      </c>
      <c r="E952" s="82" t="n">
        <v>5650.654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202506</v>
      </c>
      <c r="D953" s="81" t="n">
        <v>45809</v>
      </c>
      <c r="E953" s="82" t="n">
        <v>5515.648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202505</v>
      </c>
      <c r="D954" s="81" t="n">
        <v>45778</v>
      </c>
      <c r="E954" s="82" t="n">
        <v>5820.548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202504</v>
      </c>
      <c r="D955" s="81" t="n">
        <v>45748</v>
      </c>
      <c r="E955" s="82" t="n">
        <v>5369.196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202503</v>
      </c>
      <c r="D956" s="81" t="n">
        <v>45717</v>
      </c>
      <c r="E956" s="82" t="n">
        <v>4843.533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202502</v>
      </c>
      <c r="D957" s="81" t="n">
        <v>45689</v>
      </c>
      <c r="E957" s="82" t="n">
        <v>5546.732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202501</v>
      </c>
      <c r="D958" s="81" t="n">
        <v>45658</v>
      </c>
      <c r="E958" s="82" t="n">
        <v>5450.18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202412</v>
      </c>
      <c r="D959" s="81" t="n">
        <v>45627</v>
      </c>
      <c r="E959" s="82" t="n">
        <v>5218.606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202411</v>
      </c>
      <c r="D960" s="81" t="n">
        <v>45597</v>
      </c>
      <c r="E960" s="82" t="n">
        <v>5238.146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202410</v>
      </c>
      <c r="D961" s="81" t="n">
        <v>45566</v>
      </c>
      <c r="E961" s="82" t="n">
        <v>5314.01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202409</v>
      </c>
      <c r="D962" s="81" t="n">
        <v>45536</v>
      </c>
      <c r="E962" s="82" t="n">
        <v>5304.489</v>
      </c>
      <c r="F962" s="80" t="n">
        <v>25</v>
      </c>
      <c r="G962" s="79" t="s">
        <v>1427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202408</v>
      </c>
      <c r="D963" s="81" t="n">
        <v>45505</v>
      </c>
      <c r="E963" s="82" t="n">
        <v>4748.025</v>
      </c>
      <c r="F963" s="80" t="n">
        <v>26</v>
      </c>
      <c r="G963" s="79" t="s">
        <v>1428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202407</v>
      </c>
      <c r="D964" s="81" t="n">
        <v>45474</v>
      </c>
      <c r="E964" s="82" t="n">
        <v>4530.736</v>
      </c>
      <c r="F964" s="80" t="n">
        <v>27</v>
      </c>
      <c r="G964" s="79" t="s">
        <v>1429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202406</v>
      </c>
      <c r="D965" s="81" t="n">
        <v>45444</v>
      </c>
      <c r="E965" s="82" t="n">
        <v>4581.022</v>
      </c>
      <c r="F965" s="80" t="n">
        <v>28</v>
      </c>
      <c r="G965" s="79" t="s">
        <v>1430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202405</v>
      </c>
      <c r="D966" s="81" t="n">
        <v>45413</v>
      </c>
      <c r="E966" s="82" t="n">
        <v>4679.738</v>
      </c>
      <c r="F966" s="80" t="n">
        <v>29</v>
      </c>
      <c r="G966" s="79" t="s">
        <v>1431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202404</v>
      </c>
      <c r="D967" s="81" t="n">
        <v>45383</v>
      </c>
      <c r="E967" s="82" t="n">
        <v>4138.871</v>
      </c>
      <c r="F967" s="80" t="n">
        <v>30</v>
      </c>
      <c r="G967" s="79" t="s">
        <v>1432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202403</v>
      </c>
      <c r="D968" s="81" t="n">
        <v>45352</v>
      </c>
      <c r="E968" s="82" t="n">
        <v>3744.48</v>
      </c>
      <c r="F968" s="80" t="n">
        <v>31</v>
      </c>
      <c r="G968" s="79" t="s">
        <v>1433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202402</v>
      </c>
      <c r="D969" s="81" t="n">
        <v>45323</v>
      </c>
      <c r="E969" s="82" t="n">
        <v>4048.51</v>
      </c>
      <c r="F969" s="80" t="n">
        <v>32</v>
      </c>
      <c r="G969" s="79" t="s">
        <v>1434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202401</v>
      </c>
      <c r="D970" s="81" t="n">
        <v>45292</v>
      </c>
      <c r="E970" s="82" t="n">
        <v>3927.48</v>
      </c>
      <c r="F970" s="80" t="n">
        <v>33</v>
      </c>
      <c r="G970" s="79" t="s">
        <v>1435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202312</v>
      </c>
      <c r="D971" s="81" t="n">
        <v>45261</v>
      </c>
      <c r="E971" s="82" t="n">
        <v>3961.991</v>
      </c>
      <c r="F971" s="80" t="n">
        <v>34</v>
      </c>
      <c r="G971" s="79" t="s">
        <v>1436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202311</v>
      </c>
      <c r="D972" s="81" t="n">
        <v>45231</v>
      </c>
      <c r="E972" s="82" t="n">
        <v>4343.215</v>
      </c>
      <c r="F972" s="80" t="n">
        <v>35</v>
      </c>
      <c r="G972" s="79" t="s">
        <v>1437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202310</v>
      </c>
      <c r="D973" s="81" t="n">
        <v>45200</v>
      </c>
      <c r="E973" s="82" t="n">
        <v>4210.501</v>
      </c>
      <c r="F973" s="80" t="n">
        <v>36</v>
      </c>
      <c r="G973" s="79" t="s">
        <v>1438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202609</v>
      </c>
      <c r="D974" s="81" t="n">
        <v>46266</v>
      </c>
      <c r="E974" s="82" t="n">
        <v>1628.177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202608</v>
      </c>
      <c r="D975" s="81" t="n">
        <v>46235</v>
      </c>
      <c r="E975" s="82" t="n">
        <v>1229.355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202607</v>
      </c>
      <c r="D976" s="81" t="n">
        <v>46204</v>
      </c>
      <c r="E976" s="82" t="n">
        <v>1069.405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202606</v>
      </c>
      <c r="D977" s="81" t="n">
        <v>46174</v>
      </c>
      <c r="E977" s="82" t="n">
        <v>1725.672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202605</v>
      </c>
      <c r="D978" s="81" t="n">
        <v>46143</v>
      </c>
      <c r="E978" s="82" t="n">
        <v>886.439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202604</v>
      </c>
      <c r="D979" s="81" t="n">
        <v>46113</v>
      </c>
      <c r="E979" s="82" t="n">
        <v>1012.955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202603</v>
      </c>
      <c r="D980" s="81" t="n">
        <v>46082</v>
      </c>
      <c r="E980" s="82" t="n">
        <v>738.625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202602</v>
      </c>
      <c r="D981" s="81" t="n">
        <v>46054</v>
      </c>
      <c r="E981" s="82" t="n">
        <v>954.509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202601</v>
      </c>
      <c r="D982" s="81" t="n">
        <v>46023</v>
      </c>
      <c r="E982" s="82" t="n">
        <v>1185.469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202512</v>
      </c>
      <c r="D983" s="81" t="n">
        <v>45992</v>
      </c>
      <c r="E983" s="82" t="n">
        <v>809.742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202511</v>
      </c>
      <c r="D984" s="81" t="n">
        <v>45962</v>
      </c>
      <c r="E984" s="82" t="n">
        <v>1006.381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202510</v>
      </c>
      <c r="D985" s="81" t="n">
        <v>45931</v>
      </c>
      <c r="E985" s="82" t="n">
        <v>1045.018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202509</v>
      </c>
      <c r="D986" s="81" t="n">
        <v>45901</v>
      </c>
      <c r="E986" s="82" t="n">
        <v>645.477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202508</v>
      </c>
      <c r="D987" s="81" t="n">
        <v>45870</v>
      </c>
      <c r="E987" s="82" t="n">
        <v>823.662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202507</v>
      </c>
      <c r="D988" s="81" t="n">
        <v>45839</v>
      </c>
      <c r="E988" s="82" t="n">
        <v>1052.104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202506</v>
      </c>
      <c r="D989" s="81" t="n">
        <v>45809</v>
      </c>
      <c r="E989" s="82" t="n">
        <v>798.847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202505</v>
      </c>
      <c r="D990" s="81" t="n">
        <v>45778</v>
      </c>
      <c r="E990" s="82" t="n">
        <v>1057.879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202504</v>
      </c>
      <c r="D991" s="81" t="n">
        <v>45748</v>
      </c>
      <c r="E991" s="82" t="n">
        <v>576.974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202503</v>
      </c>
      <c r="D992" s="81" t="n">
        <v>45717</v>
      </c>
      <c r="E992" s="82" t="n">
        <v>512.631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202502</v>
      </c>
      <c r="D993" s="81" t="n">
        <v>45689</v>
      </c>
      <c r="E993" s="82" t="n">
        <v>1015.105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202501</v>
      </c>
      <c r="D994" s="81" t="n">
        <v>45658</v>
      </c>
      <c r="E994" s="82" t="n">
        <v>1361.285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202412</v>
      </c>
      <c r="D995" s="81" t="n">
        <v>45627</v>
      </c>
      <c r="E995" s="82" t="n">
        <v>554.701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202411</v>
      </c>
      <c r="D996" s="81" t="n">
        <v>45597</v>
      </c>
      <c r="E996" s="82" t="n">
        <v>587.739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202410</v>
      </c>
      <c r="D997" s="81" t="n">
        <v>45566</v>
      </c>
      <c r="E997" s="82" t="n">
        <v>561.522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202409</v>
      </c>
      <c r="D998" s="81" t="n">
        <v>45536</v>
      </c>
      <c r="E998" s="82" t="n">
        <v>533.264</v>
      </c>
      <c r="F998" s="80" t="n">
        <v>25</v>
      </c>
      <c r="G998" s="79" t="s">
        <v>1439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202408</v>
      </c>
      <c r="D999" s="81" t="n">
        <v>45505</v>
      </c>
      <c r="E999" s="82" t="n">
        <v>546.113</v>
      </c>
      <c r="F999" s="80" t="n">
        <v>26</v>
      </c>
      <c r="G999" s="79" t="s">
        <v>1440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202407</v>
      </c>
      <c r="D1000" s="81" t="n">
        <v>45474</v>
      </c>
      <c r="E1000" s="82" t="n">
        <v>588.151</v>
      </c>
      <c r="F1000" s="80" t="n">
        <v>27</v>
      </c>
      <c r="G1000" s="79" t="s">
        <v>1441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202406</v>
      </c>
      <c r="D1001" s="81" t="n">
        <v>45444</v>
      </c>
      <c r="E1001" s="82" t="n">
        <v>495.06</v>
      </c>
      <c r="F1001" s="80" t="n">
        <v>28</v>
      </c>
      <c r="G1001" s="79" t="s">
        <v>1442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202405</v>
      </c>
      <c r="D1002" s="81" t="n">
        <v>45413</v>
      </c>
      <c r="E1002" s="82" t="n">
        <v>359.103</v>
      </c>
      <c r="F1002" s="80" t="n">
        <v>29</v>
      </c>
      <c r="G1002" s="79" t="s">
        <v>1443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202404</v>
      </c>
      <c r="D1003" s="81" t="n">
        <v>45383</v>
      </c>
      <c r="E1003" s="82" t="n">
        <v>322.871</v>
      </c>
      <c r="F1003" s="80" t="n">
        <v>30</v>
      </c>
      <c r="G1003" s="79" t="s">
        <v>1444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202403</v>
      </c>
      <c r="D1004" s="81" t="n">
        <v>45352</v>
      </c>
      <c r="E1004" s="82" t="n">
        <v>250.814</v>
      </c>
      <c r="F1004" s="80" t="n">
        <v>31</v>
      </c>
      <c r="G1004" s="79" t="s">
        <v>1445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202402</v>
      </c>
      <c r="D1005" s="81" t="n">
        <v>45323</v>
      </c>
      <c r="E1005" s="82" t="n">
        <v>252.633</v>
      </c>
      <c r="F1005" s="80" t="n">
        <v>32</v>
      </c>
      <c r="G1005" s="79" t="s">
        <v>1446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202401</v>
      </c>
      <c r="D1006" s="81" t="n">
        <v>45292</v>
      </c>
      <c r="E1006" s="82" t="n">
        <v>232.903</v>
      </c>
      <c r="F1006" s="80" t="n">
        <v>33</v>
      </c>
      <c r="G1006" s="79" t="s">
        <v>1447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202312</v>
      </c>
      <c r="D1007" s="81" t="n">
        <v>45261</v>
      </c>
      <c r="E1007" s="82" t="n">
        <v>156.024</v>
      </c>
      <c r="F1007" s="80" t="n">
        <v>34</v>
      </c>
      <c r="G1007" s="79" t="s">
        <v>1448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202311</v>
      </c>
      <c r="D1008" s="81" t="n">
        <v>45231</v>
      </c>
      <c r="E1008" s="82" t="n">
        <v>231.218</v>
      </c>
      <c r="F1008" s="80" t="n">
        <v>35</v>
      </c>
      <c r="G1008" s="79" t="s">
        <v>1449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202310</v>
      </c>
      <c r="D1009" s="81" t="n">
        <v>45200</v>
      </c>
      <c r="E1009" s="82" t="n">
        <v>201.507</v>
      </c>
      <c r="F1009" s="80" t="n">
        <v>36</v>
      </c>
      <c r="G1009" s="79" t="s">
        <v>1450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202609</v>
      </c>
      <c r="D1010" s="81" t="n">
        <v>46266</v>
      </c>
      <c r="E1010" s="82" t="n">
        <v>254.051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202608</v>
      </c>
      <c r="D1011" s="81" t="n">
        <v>46235</v>
      </c>
      <c r="E1011" s="82" t="n">
        <v>240.751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202607</v>
      </c>
      <c r="D1012" s="81" t="n">
        <v>46204</v>
      </c>
      <c r="E1012" s="82" t="n">
        <v>206.268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202606</v>
      </c>
      <c r="D1013" s="81" t="n">
        <v>46174</v>
      </c>
      <c r="E1013" s="82" t="n">
        <v>217.107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202605</v>
      </c>
      <c r="D1014" s="81" t="n">
        <v>46143</v>
      </c>
      <c r="E1014" s="82" t="n">
        <v>211.78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202604</v>
      </c>
      <c r="D1015" s="81" t="n">
        <v>46113</v>
      </c>
      <c r="E1015" s="82" t="n">
        <v>224.233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202603</v>
      </c>
      <c r="D1016" s="81" t="n">
        <v>46082</v>
      </c>
      <c r="E1016" s="82" t="n">
        <v>152.439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202602</v>
      </c>
      <c r="D1017" s="81" t="n">
        <v>46054</v>
      </c>
      <c r="E1017" s="82" t="n">
        <v>202.054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202601</v>
      </c>
      <c r="D1018" s="81" t="n">
        <v>46023</v>
      </c>
      <c r="E1018" s="82" t="n">
        <v>213.484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202512</v>
      </c>
      <c r="D1019" s="81" t="n">
        <v>45992</v>
      </c>
      <c r="E1019" s="82" t="n">
        <v>207.144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202511</v>
      </c>
      <c r="D1020" s="81" t="n">
        <v>45962</v>
      </c>
      <c r="E1020" s="82" t="n">
        <v>171.566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202510</v>
      </c>
      <c r="D1021" s="81" t="n">
        <v>45931</v>
      </c>
      <c r="E1021" s="82" t="n">
        <v>193.543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202509</v>
      </c>
      <c r="D1022" s="81" t="n">
        <v>45901</v>
      </c>
      <c r="E1022" s="82" t="n">
        <v>192.532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202508</v>
      </c>
      <c r="D1023" s="81" t="n">
        <v>45870</v>
      </c>
      <c r="E1023" s="82" t="n">
        <v>190.849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202507</v>
      </c>
      <c r="D1024" s="81" t="n">
        <v>45839</v>
      </c>
      <c r="E1024" s="82" t="n">
        <v>186.903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202506</v>
      </c>
      <c r="D1025" s="81" t="n">
        <v>45809</v>
      </c>
      <c r="E1025" s="82" t="n">
        <v>181.797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202505</v>
      </c>
      <c r="D1026" s="81" t="n">
        <v>45778</v>
      </c>
      <c r="E1026" s="82" t="n">
        <v>176.136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202504</v>
      </c>
      <c r="D1027" s="81" t="n">
        <v>45748</v>
      </c>
      <c r="E1027" s="82" t="n">
        <v>182.487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202503</v>
      </c>
      <c r="D1028" s="81" t="n">
        <v>45717</v>
      </c>
      <c r="E1028" s="82" t="n">
        <v>121.2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202502</v>
      </c>
      <c r="D1029" s="81" t="n">
        <v>45689</v>
      </c>
      <c r="E1029" s="82" t="n">
        <v>161.006</v>
      </c>
      <c r="F1029" s="80" t="n">
        <v>20</v>
      </c>
      <c r="G1029" s="79" t="s">
        <v>1451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202501</v>
      </c>
      <c r="D1030" s="81" t="n">
        <v>45658</v>
      </c>
      <c r="E1030" s="82" t="n">
        <v>174.821</v>
      </c>
      <c r="F1030" s="80" t="n">
        <v>21</v>
      </c>
      <c r="G1030" s="79" t="s">
        <v>1452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202412</v>
      </c>
      <c r="D1031" s="81" t="n">
        <v>45627</v>
      </c>
      <c r="E1031" s="82" t="n">
        <v>168.464</v>
      </c>
      <c r="F1031" s="80" t="n">
        <v>22</v>
      </c>
      <c r="G1031" s="79" t="s">
        <v>1453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202411</v>
      </c>
      <c r="D1032" s="81" t="n">
        <v>45597</v>
      </c>
      <c r="E1032" s="82" t="n">
        <v>160.73</v>
      </c>
      <c r="F1032" s="80" t="n">
        <v>23</v>
      </c>
      <c r="G1032" s="79" t="s">
        <v>1454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202410</v>
      </c>
      <c r="D1033" s="81" t="n">
        <v>45566</v>
      </c>
      <c r="E1033" s="82" t="n">
        <v>166.502</v>
      </c>
      <c r="F1033" s="80" t="n">
        <v>24</v>
      </c>
      <c r="G1033" s="79" t="s">
        <v>1455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202409</v>
      </c>
      <c r="D1034" s="81" t="n">
        <v>45536</v>
      </c>
      <c r="E1034" s="82" t="n">
        <v>170.87</v>
      </c>
      <c r="F1034" s="80" t="n">
        <v>25</v>
      </c>
      <c r="G1034" s="79" t="s">
        <v>1456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202408</v>
      </c>
      <c r="D1035" s="81" t="n">
        <v>45505</v>
      </c>
      <c r="E1035" s="82" t="n">
        <v>181.14</v>
      </c>
      <c r="F1035" s="80" t="n">
        <v>26</v>
      </c>
      <c r="G1035" s="79" t="s">
        <v>1457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202407</v>
      </c>
      <c r="D1036" s="81" t="n">
        <v>45474</v>
      </c>
      <c r="E1036" s="82" t="n">
        <v>174.683</v>
      </c>
      <c r="F1036" s="80" t="n">
        <v>27</v>
      </c>
      <c r="G1036" s="79" t="s">
        <v>1458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202406</v>
      </c>
      <c r="D1037" s="81" t="n">
        <v>45444</v>
      </c>
      <c r="E1037" s="82" t="n">
        <v>181.012</v>
      </c>
      <c r="F1037" s="80" t="n">
        <v>28</v>
      </c>
      <c r="G1037" s="79" t="s">
        <v>1459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202405</v>
      </c>
      <c r="D1038" s="81" t="n">
        <v>45413</v>
      </c>
      <c r="E1038" s="82" t="n">
        <v>153.596</v>
      </c>
      <c r="F1038" s="80" t="n">
        <v>29</v>
      </c>
      <c r="G1038" s="79" t="s">
        <v>1460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202404</v>
      </c>
      <c r="D1039" s="81" t="n">
        <v>45383</v>
      </c>
      <c r="E1039" s="82" t="n">
        <v>152.794</v>
      </c>
      <c r="F1039" s="80" t="n">
        <v>30</v>
      </c>
      <c r="G1039" s="79" t="s">
        <v>1461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202403</v>
      </c>
      <c r="D1040" s="81" t="n">
        <v>45352</v>
      </c>
      <c r="E1040" s="82" t="n">
        <v>123.583</v>
      </c>
      <c r="F1040" s="80" t="n">
        <v>31</v>
      </c>
      <c r="G1040" s="79" t="s">
        <v>1462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202402</v>
      </c>
      <c r="D1041" s="81" t="n">
        <v>45323</v>
      </c>
      <c r="E1041" s="82" t="n">
        <v>158.474</v>
      </c>
      <c r="F1041" s="80" t="n">
        <v>32</v>
      </c>
      <c r="G1041" s="79" t="s">
        <v>1463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202401</v>
      </c>
      <c r="D1042" s="81" t="n">
        <v>45292</v>
      </c>
      <c r="E1042" s="82" t="n">
        <v>161.516</v>
      </c>
      <c r="F1042" s="80" t="n">
        <v>33</v>
      </c>
      <c r="G1042" s="79" t="s">
        <v>1464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202312</v>
      </c>
      <c r="D1043" s="81" t="n">
        <v>45261</v>
      </c>
      <c r="E1043" s="82" t="n">
        <v>164.562</v>
      </c>
      <c r="F1043" s="80" t="n">
        <v>34</v>
      </c>
      <c r="G1043" s="79" t="s">
        <v>1465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202311</v>
      </c>
      <c r="D1044" s="81" t="n">
        <v>45231</v>
      </c>
      <c r="E1044" s="82" t="n">
        <v>143.023</v>
      </c>
      <c r="F1044" s="80" t="n">
        <v>35</v>
      </c>
      <c r="G1044" s="79" t="s">
        <v>1466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202310</v>
      </c>
      <c r="D1045" s="81" t="n">
        <v>45200</v>
      </c>
      <c r="E1045" s="82" t="n">
        <v>165.018</v>
      </c>
      <c r="F1045" s="80" t="n">
        <v>36</v>
      </c>
      <c r="G1045" s="79" t="s">
        <v>1467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202609</v>
      </c>
      <c r="D1046" s="81" t="n">
        <v>46266</v>
      </c>
      <c r="E1046" s="82" t="n">
        <v>28275.661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202608</v>
      </c>
      <c r="D1047" s="81" t="n">
        <v>46235</v>
      </c>
      <c r="E1047" s="82" t="n">
        <v>27161.687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202607</v>
      </c>
      <c r="D1048" s="81" t="n">
        <v>46204</v>
      </c>
      <c r="E1048" s="82" t="n">
        <v>24852.784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202606</v>
      </c>
      <c r="D1049" s="81" t="n">
        <v>46174</v>
      </c>
      <c r="E1049" s="82" t="n">
        <v>22827.979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202605</v>
      </c>
      <c r="D1050" s="81" t="n">
        <v>46143</v>
      </c>
      <c r="E1050" s="82" t="n">
        <v>20207.493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202604</v>
      </c>
      <c r="D1051" s="81" t="n">
        <v>46113</v>
      </c>
      <c r="E1051" s="82" t="n">
        <v>18316.974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202603</v>
      </c>
      <c r="D1052" s="81" t="n">
        <v>46082</v>
      </c>
      <c r="E1052" s="82" t="n">
        <v>12198.386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202602</v>
      </c>
      <c r="D1053" s="81" t="n">
        <v>46054</v>
      </c>
      <c r="E1053" s="82" t="n">
        <v>10451.593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202601</v>
      </c>
      <c r="D1054" s="81" t="n">
        <v>46023</v>
      </c>
      <c r="E1054" s="82" t="n">
        <v>8711.746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202512</v>
      </c>
      <c r="D1055" s="81" t="n">
        <v>45992</v>
      </c>
      <c r="E1055" s="82" t="n">
        <v>7021.586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202511</v>
      </c>
      <c r="D1056" s="81" t="n">
        <v>45962</v>
      </c>
      <c r="E1056" s="82" t="n">
        <v>7065.326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202510</v>
      </c>
      <c r="D1057" s="81" t="n">
        <v>45931</v>
      </c>
      <c r="E1057" s="82" t="n">
        <v>6515.278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202509</v>
      </c>
      <c r="D1058" s="81" t="n">
        <v>45901</v>
      </c>
      <c r="E1058" s="82" t="n">
        <v>5933.811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202508</v>
      </c>
      <c r="D1059" s="81" t="n">
        <v>45870</v>
      </c>
      <c r="E1059" s="82" t="n">
        <v>5687.708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202507</v>
      </c>
      <c r="D1060" s="81" t="n">
        <v>45839</v>
      </c>
      <c r="E1060" s="82" t="n">
        <v>6197.679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202506</v>
      </c>
      <c r="D1061" s="81" t="n">
        <v>45809</v>
      </c>
      <c r="E1061" s="82" t="n">
        <v>5689.559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202505</v>
      </c>
      <c r="D1062" s="81" t="n">
        <v>45778</v>
      </c>
      <c r="E1062" s="82" t="n">
        <v>6002.833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202504</v>
      </c>
      <c r="D1063" s="81" t="n">
        <v>45748</v>
      </c>
      <c r="E1063" s="82" t="n">
        <v>5697.759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202503</v>
      </c>
      <c r="D1064" s="81" t="n">
        <v>45717</v>
      </c>
      <c r="E1064" s="82" t="n">
        <v>4527.416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202502</v>
      </c>
      <c r="D1065" s="81" t="n">
        <v>45689</v>
      </c>
      <c r="E1065" s="82" t="n">
        <v>3613.39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202501</v>
      </c>
      <c r="D1066" s="81" t="n">
        <v>45658</v>
      </c>
      <c r="E1066" s="82" t="n">
        <v>4521.378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202412</v>
      </c>
      <c r="D1067" s="81" t="n">
        <v>45627</v>
      </c>
      <c r="E1067" s="82" t="n">
        <v>4333.904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202411</v>
      </c>
      <c r="D1068" s="81" t="n">
        <v>45597</v>
      </c>
      <c r="E1068" s="82" t="n">
        <v>3717.027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202410</v>
      </c>
      <c r="D1069" s="81" t="n">
        <v>45566</v>
      </c>
      <c r="E1069" s="82" t="n">
        <v>4430.879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202409</v>
      </c>
      <c r="D1070" s="81" t="n">
        <v>45536</v>
      </c>
      <c r="E1070" s="82" t="n">
        <v>4805.588</v>
      </c>
      <c r="F1070" s="80" t="n">
        <v>25</v>
      </c>
      <c r="G1070" s="79" t="s">
        <v>1468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202408</v>
      </c>
      <c r="D1071" s="81" t="n">
        <v>45505</v>
      </c>
      <c r="E1071" s="82" t="n">
        <v>4706.092</v>
      </c>
      <c r="F1071" s="80" t="n">
        <v>26</v>
      </c>
      <c r="G1071" s="79" t="s">
        <v>1469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202407</v>
      </c>
      <c r="D1072" s="81" t="n">
        <v>45474</v>
      </c>
      <c r="E1072" s="82" t="n">
        <v>5361.009</v>
      </c>
      <c r="F1072" s="80" t="n">
        <v>27</v>
      </c>
      <c r="G1072" s="79" t="s">
        <v>1470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202406</v>
      </c>
      <c r="D1073" s="81" t="n">
        <v>45444</v>
      </c>
      <c r="E1073" s="82" t="n">
        <v>5377.566</v>
      </c>
      <c r="F1073" s="80" t="n">
        <v>28</v>
      </c>
      <c r="G1073" s="79" t="s">
        <v>1471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202405</v>
      </c>
      <c r="D1074" s="81" t="n">
        <v>45413</v>
      </c>
      <c r="E1074" s="82" t="n">
        <v>5156.193</v>
      </c>
      <c r="F1074" s="80" t="n">
        <v>29</v>
      </c>
      <c r="G1074" s="79" t="s">
        <v>1472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202404</v>
      </c>
      <c r="D1075" s="81" t="n">
        <v>45383</v>
      </c>
      <c r="E1075" s="82" t="n">
        <v>6774.966</v>
      </c>
      <c r="F1075" s="80" t="n">
        <v>30</v>
      </c>
      <c r="G1075" s="79" t="s">
        <v>1473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202403</v>
      </c>
      <c r="D1076" s="81" t="n">
        <v>45352</v>
      </c>
      <c r="E1076" s="82" t="n">
        <v>4664.908</v>
      </c>
      <c r="F1076" s="80" t="n">
        <v>31</v>
      </c>
      <c r="G1076" s="79" t="s">
        <v>1474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202402</v>
      </c>
      <c r="D1077" s="81" t="n">
        <v>45323</v>
      </c>
      <c r="E1077" s="82" t="n">
        <v>5086.003</v>
      </c>
      <c r="F1077" s="80" t="n">
        <v>32</v>
      </c>
      <c r="G1077" s="79" t="s">
        <v>1475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202401</v>
      </c>
      <c r="D1078" s="81" t="n">
        <v>45292</v>
      </c>
      <c r="E1078" s="82" t="n">
        <v>5181.825</v>
      </c>
      <c r="F1078" s="80" t="n">
        <v>33</v>
      </c>
      <c r="G1078" s="79" t="s">
        <v>1476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202312</v>
      </c>
      <c r="D1079" s="81" t="n">
        <v>45261</v>
      </c>
      <c r="E1079" s="82" t="n">
        <v>5407.27</v>
      </c>
      <c r="F1079" s="80" t="n">
        <v>34</v>
      </c>
      <c r="G1079" s="79" t="s">
        <v>1477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202311</v>
      </c>
      <c r="D1080" s="81" t="n">
        <v>45231</v>
      </c>
      <c r="E1080" s="82" t="n">
        <v>5158.905</v>
      </c>
      <c r="F1080" s="80" t="n">
        <v>35</v>
      </c>
      <c r="G1080" s="79" t="s">
        <v>1478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202310</v>
      </c>
      <c r="D1081" s="81" t="n">
        <v>45200</v>
      </c>
      <c r="E1081" s="82" t="n">
        <v>5003.863</v>
      </c>
      <c r="F1081" s="80" t="n">
        <v>36</v>
      </c>
      <c r="G1081" s="79" t="s">
        <v>1479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1480</v>
      </c>
      <c r="C1" s="15" t="s">
        <v>1481</v>
      </c>
      <c r="D1" s="15" t="s">
        <v>1482</v>
      </c>
      <c r="E1" s="15" t="s">
        <v>1483</v>
      </c>
      <c r="F1" s="15" t="s">
        <v>1484</v>
      </c>
    </row>
    <row r="2" customFormat="false" ht="15" hidden="false" customHeight="false" outlineLevel="0" collapsed="false">
      <c r="A2" s="79" t="s">
        <v>208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46293</v>
      </c>
    </row>
    <row r="3" customFormat="false" ht="15" hidden="false" customHeight="false" outlineLevel="0" collapsed="false">
      <c r="A3" s="79" t="s">
        <v>220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46293</v>
      </c>
    </row>
    <row r="4" customFormat="false" ht="15" hidden="false" customHeight="false" outlineLevel="0" collapsed="false">
      <c r="A4" s="79" t="s">
        <v>345</v>
      </c>
      <c r="B4" s="83" t="n">
        <v>20.06225</v>
      </c>
      <c r="C4" s="83" t="n">
        <v>31.32791</v>
      </c>
      <c r="D4" s="81" t="n">
        <v>46387</v>
      </c>
      <c r="E4" s="80" t="n">
        <v>3</v>
      </c>
      <c r="F4" s="81" t="n">
        <v>46293</v>
      </c>
    </row>
    <row r="5" customFormat="false" ht="15" hidden="false" customHeight="false" outlineLevel="0" collapsed="false">
      <c r="A5" s="79" t="s">
        <v>79</v>
      </c>
      <c r="B5" s="83" t="n">
        <v>107.85274</v>
      </c>
      <c r="C5" s="83" t="n">
        <v>142.9571</v>
      </c>
      <c r="D5" s="81" t="n">
        <v>46387</v>
      </c>
      <c r="E5" s="80" t="n">
        <v>23</v>
      </c>
      <c r="F5" s="81" t="n">
        <v>46293</v>
      </c>
    </row>
    <row r="6" customFormat="false" ht="15" hidden="false" customHeight="false" outlineLevel="0" collapsed="false">
      <c r="A6" s="79" t="s">
        <v>236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46293</v>
      </c>
    </row>
    <row r="7" customFormat="false" ht="15" hidden="false" customHeight="false" outlineLevel="0" collapsed="false">
      <c r="A7" s="79" t="s">
        <v>205</v>
      </c>
      <c r="B7" s="83" t="n">
        <v>34.42047</v>
      </c>
      <c r="C7" s="83" t="n">
        <v>37.48218</v>
      </c>
      <c r="D7" s="81" t="n">
        <v>46387</v>
      </c>
      <c r="E7" s="80" t="n">
        <v>8</v>
      </c>
      <c r="F7" s="81" t="n">
        <v>46293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46293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68.03088</v>
      </c>
      <c r="C10" s="83" t="n">
        <v>145.83739</v>
      </c>
      <c r="D10" s="81" t="n">
        <v>46387</v>
      </c>
      <c r="E10" s="80" t="n">
        <v>16</v>
      </c>
      <c r="F10" s="81" t="n">
        <v>46293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46293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46293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46293</v>
      </c>
    </row>
    <row r="14" customFormat="false" ht="15" hidden="false" customHeight="false" outlineLevel="0" collapsed="false">
      <c r="A14" s="79" t="s">
        <v>210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46293</v>
      </c>
    </row>
    <row r="15" customFormat="false" ht="15" hidden="false" customHeight="false" outlineLevel="0" collapsed="false">
      <c r="A15" s="79" t="s">
        <v>230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46293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46293</v>
      </c>
    </row>
    <row r="17" customFormat="false" ht="15" hidden="false" customHeight="false" outlineLevel="0" collapsed="false">
      <c r="A17" s="79" t="s">
        <v>216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46293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46293</v>
      </c>
    </row>
    <row r="20" customFormat="false" ht="15" hidden="false" customHeight="false" outlineLevel="0" collapsed="false">
      <c r="A20" s="79" t="s">
        <v>245</v>
      </c>
      <c r="B20" s="83" t="n">
        <v>52.58383</v>
      </c>
      <c r="C20" s="83" t="n">
        <v>119.08631</v>
      </c>
      <c r="D20" s="81" t="n">
        <v>46387</v>
      </c>
      <c r="E20" s="80" t="n">
        <v>16</v>
      </c>
      <c r="F20" s="81" t="n">
        <v>46293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46293</v>
      </c>
    </row>
    <row r="22" customFormat="false" ht="15" hidden="false" customHeight="false" outlineLevel="0" collapsed="false">
      <c r="A22" s="79" t="s">
        <v>197</v>
      </c>
      <c r="B22" s="83" t="n">
        <v>68.53247</v>
      </c>
      <c r="C22" s="83" t="n">
        <v>117.28807</v>
      </c>
      <c r="D22" s="81" t="n">
        <v>46387</v>
      </c>
      <c r="E22" s="80" t="n">
        <v>3</v>
      </c>
      <c r="F22" s="81" t="n">
        <v>46293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5.64988</v>
      </c>
      <c r="C24" s="83" t="n">
        <v>7.21919</v>
      </c>
      <c r="D24" s="81" t="n">
        <v>46387</v>
      </c>
      <c r="E24" s="80" t="n">
        <v>6</v>
      </c>
      <c r="F24" s="81" t="n">
        <v>46293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46293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46293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46293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46293</v>
      </c>
    </row>
    <row r="29" customFormat="false" ht="15" hidden="false" customHeight="false" outlineLevel="0" collapsed="false">
      <c r="A29" s="79" t="s">
        <v>243</v>
      </c>
      <c r="B29" s="83" t="n">
        <v>5.13</v>
      </c>
      <c r="C29" s="83" t="n">
        <v>14.65</v>
      </c>
      <c r="D29" s="81" t="n">
        <v>46387</v>
      </c>
      <c r="E29" s="80" t="n">
        <v>1</v>
      </c>
      <c r="F29" s="81" t="n">
        <v>46293</v>
      </c>
    </row>
    <row r="30" customFormat="false" ht="15" hidden="false" customHeight="false" outlineLevel="0" collapsed="false">
      <c r="A30" s="79" t="s">
        <v>228</v>
      </c>
      <c r="B30" s="83" t="n">
        <v>366.46234</v>
      </c>
      <c r="C30" s="83" t="n">
        <v>265.3788</v>
      </c>
      <c r="D30" s="81" t="n">
        <v>46387</v>
      </c>
      <c r="E30" s="80" t="n">
        <v>7</v>
      </c>
      <c r="F30" s="81" t="n">
        <v>46293</v>
      </c>
    </row>
    <row r="32" customFormat="false" ht="15" hidden="false" customHeight="false" outlineLevel="0" collapsed="false">
      <c r="A32" s="25" t="s">
        <v>1485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1486</v>
      </c>
      <c r="C1" s="15" t="s">
        <v>1487</v>
      </c>
      <c r="D1" s="15" t="s">
        <v>1488</v>
      </c>
      <c r="E1" s="15" t="s">
        <v>1484</v>
      </c>
    </row>
    <row r="2" customFormat="false" ht="15" hidden="false" customHeight="false" outlineLevel="0" collapsed="false">
      <c r="A2" s="79" t="s">
        <v>208</v>
      </c>
      <c r="B2" s="83" t="n">
        <v>12350</v>
      </c>
      <c r="C2" s="81" t="n">
        <v>46293</v>
      </c>
      <c r="D2" s="81"/>
      <c r="E2" s="81" t="n">
        <v>46293</v>
      </c>
    </row>
    <row r="3" customFormat="false" ht="15" hidden="false" customHeight="false" outlineLevel="0" collapsed="false">
      <c r="A3" s="79" t="s">
        <v>220</v>
      </c>
      <c r="B3" s="83" t="n">
        <v>154</v>
      </c>
      <c r="C3" s="81" t="n">
        <v>46293</v>
      </c>
      <c r="D3" s="81"/>
      <c r="E3" s="81" t="n">
        <v>46293</v>
      </c>
    </row>
    <row r="4" customFormat="false" ht="15" hidden="false" customHeight="false" outlineLevel="0" collapsed="false">
      <c r="A4" s="79" t="s">
        <v>345</v>
      </c>
      <c r="B4" s="83" t="n">
        <v>580</v>
      </c>
      <c r="C4" s="81" t="n">
        <v>46293</v>
      </c>
      <c r="D4" s="81"/>
      <c r="E4" s="81" t="n">
        <v>46293</v>
      </c>
    </row>
    <row r="5" customFormat="false" ht="15" hidden="false" customHeight="false" outlineLevel="0" collapsed="false">
      <c r="A5" s="79" t="s">
        <v>79</v>
      </c>
      <c r="B5" s="83" t="n">
        <v>2475</v>
      </c>
      <c r="C5" s="81" t="n">
        <v>46293</v>
      </c>
      <c r="D5" s="81"/>
      <c r="E5" s="81" t="n">
        <v>46293</v>
      </c>
    </row>
    <row r="6" customFormat="false" ht="15" hidden="false" customHeight="false" outlineLevel="0" collapsed="false">
      <c r="A6" s="79" t="s">
        <v>236</v>
      </c>
      <c r="B6" s="83" t="n">
        <v>171.5</v>
      </c>
      <c r="C6" s="81" t="n">
        <v>46293</v>
      </c>
      <c r="D6" s="81"/>
      <c r="E6" s="81" t="n">
        <v>46293</v>
      </c>
    </row>
    <row r="7" customFormat="false" ht="15" hidden="false" customHeight="false" outlineLevel="0" collapsed="false">
      <c r="A7" s="79" t="s">
        <v>205</v>
      </c>
      <c r="B7" s="83" t="n">
        <v>361.5</v>
      </c>
      <c r="C7" s="81" t="n">
        <v>46293</v>
      </c>
      <c r="D7" s="81"/>
      <c r="E7" s="81" t="n">
        <v>46293</v>
      </c>
    </row>
    <row r="8" customFormat="false" ht="15" hidden="false" customHeight="false" outlineLevel="0" collapsed="false">
      <c r="A8" s="79" t="s">
        <v>182</v>
      </c>
      <c r="B8" s="83" t="n">
        <v>503</v>
      </c>
      <c r="C8" s="81" t="n">
        <v>46293</v>
      </c>
      <c r="D8" s="81"/>
      <c r="E8" s="81" t="n">
        <v>46293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5285</v>
      </c>
      <c r="C10" s="81" t="n">
        <v>46293</v>
      </c>
      <c r="D10" s="81"/>
      <c r="E10" s="81" t="n">
        <v>46293</v>
      </c>
    </row>
    <row r="11" customFormat="false" ht="15" hidden="false" customHeight="false" outlineLevel="0" collapsed="false">
      <c r="A11" s="79" t="s">
        <v>190</v>
      </c>
      <c r="B11" s="83" t="n">
        <v>554</v>
      </c>
      <c r="C11" s="81" t="n">
        <v>46293</v>
      </c>
      <c r="D11" s="81"/>
      <c r="E11" s="81" t="n">
        <v>46293</v>
      </c>
    </row>
    <row r="12" customFormat="false" ht="15" hidden="false" customHeight="false" outlineLevel="0" collapsed="false">
      <c r="A12" s="79" t="s">
        <v>224</v>
      </c>
      <c r="B12" s="83" t="n">
        <v>88.9</v>
      </c>
      <c r="C12" s="81" t="n">
        <v>46293</v>
      </c>
      <c r="D12" s="81"/>
      <c r="E12" s="81" t="n">
        <v>46293</v>
      </c>
    </row>
    <row r="13" customFormat="false" ht="15" hidden="false" customHeight="false" outlineLevel="0" collapsed="false">
      <c r="A13" s="79" t="s">
        <v>195</v>
      </c>
      <c r="B13" s="83" t="n">
        <v>543</v>
      </c>
      <c r="C13" s="81" t="n">
        <v>46293</v>
      </c>
      <c r="D13" s="81"/>
      <c r="E13" s="81" t="n">
        <v>46293</v>
      </c>
    </row>
    <row r="14" customFormat="false" ht="15" hidden="false" customHeight="false" outlineLevel="0" collapsed="false">
      <c r="A14" s="79" t="s">
        <v>210</v>
      </c>
      <c r="B14" s="83" t="n">
        <v>2700</v>
      </c>
      <c r="C14" s="81" t="n">
        <v>46293</v>
      </c>
      <c r="D14" s="81"/>
      <c r="E14" s="81" t="n">
        <v>46293</v>
      </c>
    </row>
    <row r="15" customFormat="false" ht="15" hidden="false" customHeight="false" outlineLevel="0" collapsed="false">
      <c r="A15" s="79" t="s">
        <v>230</v>
      </c>
      <c r="B15" s="83" t="n">
        <v>502</v>
      </c>
      <c r="C15" s="81" t="n">
        <v>46293</v>
      </c>
      <c r="D15" s="81"/>
      <c r="E15" s="81" t="n">
        <v>46293</v>
      </c>
    </row>
    <row r="16" customFormat="false" ht="15" hidden="false" customHeight="false" outlineLevel="0" collapsed="false">
      <c r="A16" s="79" t="s">
        <v>212</v>
      </c>
      <c r="B16" s="83" t="n">
        <v>653</v>
      </c>
      <c r="C16" s="81" t="n">
        <v>46293</v>
      </c>
      <c r="D16" s="81"/>
      <c r="E16" s="81" t="n">
        <v>46293</v>
      </c>
    </row>
    <row r="17" customFormat="false" ht="15" hidden="false" customHeight="false" outlineLevel="0" collapsed="false">
      <c r="A17" s="79" t="s">
        <v>216</v>
      </c>
      <c r="B17" s="83" t="n">
        <v>962</v>
      </c>
      <c r="C17" s="81" t="n">
        <v>46293</v>
      </c>
      <c r="D17" s="81"/>
      <c r="E17" s="81" t="n">
        <v>46293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652</v>
      </c>
      <c r="C19" s="81" t="n">
        <v>46293</v>
      </c>
      <c r="D19" s="81"/>
      <c r="E19" s="81" t="n">
        <v>46293</v>
      </c>
    </row>
    <row r="20" customFormat="false" ht="15" hidden="false" customHeight="false" outlineLevel="0" collapsed="false">
      <c r="A20" s="79" t="s">
        <v>245</v>
      </c>
      <c r="B20" s="83" t="n">
        <v>8525</v>
      </c>
      <c r="C20" s="81" t="n">
        <v>46293</v>
      </c>
      <c r="D20" s="81"/>
      <c r="E20" s="81" t="n">
        <v>46293</v>
      </c>
    </row>
    <row r="21" customFormat="false" ht="15" hidden="false" customHeight="false" outlineLevel="0" collapsed="false">
      <c r="A21" s="79" t="s">
        <v>241</v>
      </c>
      <c r="B21" s="83" t="n">
        <v>513</v>
      </c>
      <c r="C21" s="81" t="n">
        <v>46293</v>
      </c>
      <c r="D21" s="81"/>
      <c r="E21" s="81" t="n">
        <v>46293</v>
      </c>
    </row>
    <row r="22" customFormat="false" ht="15" hidden="false" customHeight="false" outlineLevel="0" collapsed="false">
      <c r="A22" s="79" t="s">
        <v>197</v>
      </c>
      <c r="B22" s="83" t="n">
        <v>2340</v>
      </c>
      <c r="C22" s="81" t="n">
        <v>46293</v>
      </c>
      <c r="D22" s="81"/>
      <c r="E22" s="81" t="n">
        <v>46293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91.3</v>
      </c>
      <c r="C24" s="81" t="n">
        <v>46293</v>
      </c>
      <c r="D24" s="81"/>
      <c r="E24" s="81" t="n">
        <v>46293</v>
      </c>
    </row>
    <row r="25" customFormat="false" ht="15" hidden="false" customHeight="false" outlineLevel="0" collapsed="false">
      <c r="A25" s="79" t="s">
        <v>232</v>
      </c>
      <c r="B25" s="83" t="n">
        <v>563</v>
      </c>
      <c r="C25" s="81" t="n">
        <v>46293</v>
      </c>
      <c r="D25" s="81"/>
      <c r="E25" s="81" t="n">
        <v>46293</v>
      </c>
    </row>
    <row r="26" customFormat="false" ht="15" hidden="false" customHeight="false" outlineLevel="0" collapsed="false">
      <c r="A26" s="79" t="s">
        <v>186</v>
      </c>
      <c r="B26" s="83" t="n">
        <v>1305</v>
      </c>
      <c r="C26" s="81" t="n">
        <v>46293</v>
      </c>
      <c r="D26" s="81"/>
      <c r="E26" s="81" t="n">
        <v>46293</v>
      </c>
    </row>
    <row r="27" customFormat="false" ht="15" hidden="false" customHeight="false" outlineLevel="0" collapsed="false">
      <c r="A27" s="79" t="s">
        <v>201</v>
      </c>
      <c r="B27" s="83" t="n">
        <v>542</v>
      </c>
      <c r="C27" s="81" t="n">
        <v>46293</v>
      </c>
      <c r="D27" s="81"/>
      <c r="E27" s="81" t="n">
        <v>46293</v>
      </c>
    </row>
    <row r="28" customFormat="false" ht="15" hidden="false" customHeight="false" outlineLevel="0" collapsed="false">
      <c r="A28" s="79" t="s">
        <v>218</v>
      </c>
      <c r="B28" s="83" t="n">
        <v>1530</v>
      </c>
      <c r="C28" s="81" t="n">
        <v>46293</v>
      </c>
      <c r="D28" s="81"/>
      <c r="E28" s="81" t="n">
        <v>46293</v>
      </c>
    </row>
    <row r="29" customFormat="false" ht="15" hidden="false" customHeight="false" outlineLevel="0" collapsed="false">
      <c r="A29" s="79" t="s">
        <v>243</v>
      </c>
      <c r="B29" s="83" t="n">
        <v>540</v>
      </c>
      <c r="C29" s="81" t="n">
        <v>46293</v>
      </c>
      <c r="D29" s="81"/>
      <c r="E29" s="81" t="n">
        <v>46293</v>
      </c>
    </row>
    <row r="30" customFormat="false" ht="15" hidden="false" customHeight="false" outlineLevel="0" collapsed="false">
      <c r="A30" s="79" t="s">
        <v>228</v>
      </c>
      <c r="B30" s="83" t="n">
        <v>2125</v>
      </c>
      <c r="C30" s="81" t="n">
        <v>46293</v>
      </c>
      <c r="D30" s="81"/>
      <c r="E30" s="81" t="n">
        <v>46293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1489</v>
      </c>
      <c r="F1" s="15" t="s">
        <v>1490</v>
      </c>
      <c r="G1" s="15" t="s">
        <v>1491</v>
      </c>
      <c r="H1" s="15" t="s">
        <v>1492</v>
      </c>
      <c r="I1" s="15" t="s">
        <v>1493</v>
      </c>
      <c r="J1" s="15" t="s">
        <v>66</v>
      </c>
      <c r="K1" s="15" t="s">
        <v>1494</v>
      </c>
      <c r="L1" s="15" t="s">
        <v>1495</v>
      </c>
      <c r="M1" s="15" t="s">
        <v>1496</v>
      </c>
      <c r="N1" s="15" t="s">
        <v>68</v>
      </c>
      <c r="O1" s="15" t="s">
        <v>69</v>
      </c>
      <c r="P1" s="15" t="s">
        <v>1497</v>
      </c>
      <c r="Q1" s="16" t="s">
        <v>51</v>
      </c>
      <c r="R1" s="16" t="s">
        <v>70</v>
      </c>
      <c r="S1" s="16" t="s">
        <v>1498</v>
      </c>
      <c r="T1" s="16" t="s">
        <v>1499</v>
      </c>
      <c r="U1" s="16" t="s">
        <v>1500</v>
      </c>
      <c r="V1" s="16" t="s">
        <v>1501</v>
      </c>
      <c r="W1" s="16" t="s">
        <v>1502</v>
      </c>
      <c r="X1" s="16" t="s">
        <v>63</v>
      </c>
      <c r="Y1" s="16" t="s">
        <v>64</v>
      </c>
      <c r="Z1" s="15" t="s">
        <v>1503</v>
      </c>
      <c r="AA1" s="16" t="s">
        <v>1504</v>
      </c>
      <c r="AB1" s="16" t="s">
        <v>1505</v>
      </c>
      <c r="AC1" s="15" t="s">
        <v>1506</v>
      </c>
      <c r="AD1" s="15" t="s">
        <v>139</v>
      </c>
      <c r="AE1" s="16" t="s">
        <v>101</v>
      </c>
      <c r="AF1" s="16" t="s">
        <v>1507</v>
      </c>
      <c r="AG1" s="15" t="s">
        <v>58</v>
      </c>
      <c r="AH1" s="15" t="s">
        <v>59</v>
      </c>
      <c r="AI1" s="15" t="s">
        <v>1508</v>
      </c>
      <c r="AJ1" s="16" t="s">
        <v>65</v>
      </c>
      <c r="AK1" s="16" t="s">
        <v>71</v>
      </c>
      <c r="AL1" s="16" t="s">
        <v>1509</v>
      </c>
      <c r="AM1" s="16" t="s">
        <v>81</v>
      </c>
      <c r="AN1" s="16" t="s">
        <v>82</v>
      </c>
      <c r="AO1" s="16" t="s">
        <v>83</v>
      </c>
      <c r="AP1" s="15" t="s">
        <v>1510</v>
      </c>
      <c r="AQ1" s="15" t="s">
        <v>1511</v>
      </c>
      <c r="AR1" s="15" t="s">
        <v>1512</v>
      </c>
      <c r="AS1" s="15" t="s">
        <v>1513</v>
      </c>
      <c r="AT1" s="15" t="s">
        <v>1514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2475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133.91652509589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28.6856745479833</v>
      </c>
      <c r="K2" s="52" t="n">
        <f aca="false">IF($A2="","",IFERROR(IF(G2&lt;=0,"N/M",D2/G2),"N/M"))</f>
        <v>25.5071885440878</v>
      </c>
      <c r="L2" s="52" t="n">
        <f aca="false">IF($A2="","",IFERROR(IF(H2&lt;=0,"N/M",D2/H2),"N/M"))</f>
        <v>18.4816623506904</v>
      </c>
      <c r="M2" s="49" t="n">
        <f aca="false">IF($A2="","",IFERROR(INDEX(Raw_Est!$C$2:$C$100,MATCH($A2,Raw_Est!$A$2:$A$100,0))/INDEX(Raw_Est!$B$2:$B$100,MATCH($A2,Raw_Est!$A$2:$A$100,0))-1,""))</f>
        <v>0.325484174069199</v>
      </c>
      <c r="N2" s="51" t="n">
        <f aca="false">IF($A2="","",IFERROR(IF(OR(NOT(ISNUMBER(J2)),I2&lt;Config!$B$6),"N/M",J2/(I2*100)),"N/M"))</f>
        <v>0.538969080345993</v>
      </c>
      <c r="O2" s="51" t="n">
        <f aca="false">IF($A2="","",IFERROR(IF(OR(NOT(ISNUMBER(L2)),M2&lt;Config!$B$6),"N/M",L2/(M2*100)),"N/M"))</f>
        <v>0.56782061381458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0.00888892936565657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0.434802829118384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46293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503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93.6563985205479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18.5267034990792</v>
      </c>
      <c r="K3" s="52" t="n">
        <f aca="false">IF($A3="","",IFERROR(IF(G3&lt;=0,"N/M",D3/G3),"N/M"))</f>
        <v>10.5899530189261</v>
      </c>
      <c r="L3" s="52" t="n">
        <f aca="false">IF($A3="","",IFERROR(IF(H3&lt;=0,"N/M",D3/H3),"N/M"))</f>
        <v>5.37069552049499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0.114492725708552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46293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1305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235.615233068493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5.53869112367891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46293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554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8.32095095890411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134.466019417476</v>
      </c>
      <c r="K5" s="52" t="n">
        <f aca="false">IF($A5="","",IFERROR(IF(G5&lt;=0,"N/M",D5/G5),"N/M"))</f>
        <v>118.015716966783</v>
      </c>
      <c r="L5" s="52" t="n">
        <f aca="false">IF($A5="","",IFERROR(IF(H5&lt;=0,"N/M",D5/H5),"N/M"))</f>
        <v>66.5789286268024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2.18400222620741</v>
      </c>
      <c r="O5" s="51" t="n">
        <f aca="false">IF($A5="","",IFERROR(IF(OR(NOT(ISNUMBER(L5)),M5&lt;Config!$B$6),"N/M",L5/(M5*100)),"N/M"))</f>
        <v>0.984545615496209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0.00473024644404332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46293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34.9070146575342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15.5556126849364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46293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2340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104.731833287671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42.9121584448927</v>
      </c>
      <c r="K7" s="52" t="n">
        <f aca="false">IF($A7="","",IFERROR(IF(G7&lt;=0,"N/M",D7/G7),"N/M"))</f>
        <v>39.1541695425739</v>
      </c>
      <c r="L7" s="52" t="n">
        <f aca="false">IF($A7="","",IFERROR(IF(H7&lt;=0,"N/M",D7/H7),"N/M"))</f>
        <v>22.342777038693</v>
      </c>
      <c r="M7" s="49" t="n">
        <f aca="false">IF($A7="","",IFERROR(INDEX(Raw_Est!$C$2:$C$100,MATCH($A7,Raw_Est!$A$2:$A$100,0))/INDEX(Raw_Est!$B$2:$B$100,MATCH($A7,Raw_Est!$A$2:$A$100,0))-1,""))</f>
        <v>0.711423358883752</v>
      </c>
      <c r="N7" s="51" t="n">
        <f aca="false">IF($A7="","",IFERROR(IF(OR(NOT(ISNUMBER(J7)),I7&lt;Config!$B$6),"N/M",J7/(I7*100)),"N/M"))</f>
        <v>0.746757812535997</v>
      </c>
      <c r="O7" s="51" t="n">
        <f aca="false">IF($A7="","",IFERROR(IF(OR(NOT(ISNUMBER(L7)),M7&lt;Config!$B$6),"N/M",L7/(M7*100)),"N/M"))</f>
        <v>0.314057399995265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0.00448952243162393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0.26974271139166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3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46293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542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33.4159178082192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16.219814853228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1.2837185071661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46293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361.5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36.6936848219178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13.5342568326469</v>
      </c>
      <c r="K9" s="52" t="n">
        <f aca="false">IF($A9="","",IFERROR(IF(G9&lt;=0,"N/M",D9/G9),"N/M"))</f>
        <v>11.9045031623498</v>
      </c>
      <c r="L9" s="52" t="n">
        <f aca="false">IF($A9="","",IFERROR(IF(H9&lt;=0,"N/M",D9/H9),"N/M"))</f>
        <v>9.85183150055482</v>
      </c>
      <c r="M9" s="49" t="n">
        <f aca="false">IF($A9="","",IFERROR(INDEX(Raw_Est!$C$2:$C$100,MATCH($A9,Raw_Est!$A$2:$A$100,0))/INDEX(Raw_Est!$B$2:$B$100,MATCH($A9,Raw_Est!$A$2:$A$100,0))-1,""))</f>
        <v>0.0889502670939706</v>
      </c>
      <c r="N9" s="51" t="n">
        <f aca="false">IF($A9="","",IFERROR(IF(OR(NOT(ISNUMBER(J9)),I9&lt;Config!$B$6),"N/M",J9/(I9*100)),"N/M"))</f>
        <v>0.2159693850263</v>
      </c>
      <c r="O9" s="51" t="n">
        <f aca="false">IF($A9="","",IFERROR(IF(OR(NOT(ISNUMBER(L9)),M9&lt;Config!$B$6),"N/M",L9/(M9*100)),"N/M"))</f>
        <v>1.10756626398288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0.0276625172890733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0.346627437746392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46293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12350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460.294899671233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68.0853409780032</v>
      </c>
      <c r="K10" s="52" t="n">
        <f aca="false">IF($A10="","",IFERROR(IF(G10&lt;=0,"N/M",D10/G10),"N/M"))</f>
        <v>46.3865880786469</v>
      </c>
      <c r="L10" s="52" t="n">
        <f aca="false">IF($A10="","",IFERROR(IF(H10&lt;=0,"N/M",D10/H10),"N/M"))</f>
        <v>26.8306253421905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0.404002528378787</v>
      </c>
      <c r="O10" s="51" t="n">
        <f aca="false">IF($A10="","",IFERROR(IF(OR(NOT(ISNUMBER(L10)),M10&lt;Config!$B$6),"N/M",L10/(M10*100)),"N/M"))</f>
        <v>0.649571662318624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0.00260728744939271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46293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2700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34.3005630684932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240.85637823372</v>
      </c>
      <c r="K11" s="52" t="n">
        <f aca="false">IF($A11="","",IFERROR(IF(G11&lt;=0,"N/M",D11/G11),"N/M"))</f>
        <v>169.597989949749</v>
      </c>
      <c r="L11" s="52" t="n">
        <f aca="false">IF($A11="","",IFERROR(IF(H11&lt;=0,"N/M",D11/H11),"N/M"))</f>
        <v>78.7159089665234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0.427570671444314</v>
      </c>
      <c r="O11" s="51" t="n">
        <f aca="false">IF($A11="","",IFERROR(IF(OR(NOT(ISNUMBER(L11)),M11&lt;Config!$B$6),"N/M",L11/(M11*100)),"N/M"))</f>
        <v>0.794039309943497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0.000185193388888889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46293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653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67.7385892116183</v>
      </c>
      <c r="K12" s="52" t="n">
        <f aca="false">IF($A12="","",IFERROR(IF(G12&lt;=0,"N/M",D12/G12),"N/M"))</f>
        <v>95.1895043731779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0.254140498754003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46293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962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22.3338938082192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163.050847457627</v>
      </c>
      <c r="K13" s="52" t="n">
        <f aca="false">IF($A13="","",IFERROR(IF(G13&lt;=0,"N/M",D13/G13),"N/M"))</f>
        <v>115.42730299667</v>
      </c>
      <c r="L13" s="52" t="n">
        <f aca="false">IF($A13="","",IFERROR(IF(H13&lt;=0,"N/M",D13/H13),"N/M"))</f>
        <v>43.0735458966842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0.420664233312855</v>
      </c>
      <c r="O13" s="51" t="n">
        <f aca="false">IF($A13="","",IFERROR(IF(OR(NOT(ISNUMBER(L13)),M13&lt;Config!$B$6),"N/M",L13/(M13*100)),"N/M"))</f>
        <v>0.279587798869034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0.00103967976091476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46293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1530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112.490246575342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13.6011791829015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0.12404899560696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46293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154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7.1491804109589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23.0538922155689</v>
      </c>
      <c r="K15" s="52" t="n">
        <f aca="false">IF($A15="","",IFERROR(IF(G15&lt;=0,"N/M",D15/G15),"N/M"))</f>
        <v>22.3466929796558</v>
      </c>
      <c r="L15" s="52" t="n">
        <f aca="false">IF($A15="","",IFERROR(IF(H15&lt;=0,"N/M",D15/H15),"N/M"))</f>
        <v>21.5409307287777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0.20820751659075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46293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5285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125.799549068493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87.0818915801615</v>
      </c>
      <c r="K16" s="52" t="n">
        <f aca="false">IF($A16="","",IFERROR(IF(G16&lt;=0,"N/M",D16/G16),"N/M"))</f>
        <v>87.6678752724174</v>
      </c>
      <c r="L16" s="52" t="n">
        <f aca="false">IF($A16="","",IFERROR(IF(H16&lt;=0,"N/M",D16/H16),"N/M"))</f>
        <v>42.0112793657354</v>
      </c>
      <c r="M16" s="49" t="n">
        <f aca="false">IF($A16="","",IFERROR(INDEX(Raw_Est!$C$2:$C$100,MATCH($A16,Raw_Est!$A$2:$A$100,0))/INDEX(Raw_Est!$B$2:$B$100,MATCH($A16,Raw_Est!$A$2:$A$100,0))-1,""))</f>
        <v>1.14369401071984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0.367329713821738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0.0102176381210974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0.25722990825737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46293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88.9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32.9259259259259</v>
      </c>
      <c r="K17" s="52" t="n">
        <f aca="false">IF($A17="","",IFERROR(IF(G17&lt;=0,"N/M",D17/G17),"N/M"))</f>
        <v>28.4025559105431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46293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91.3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6.81503893150685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15.4222972972973</v>
      </c>
      <c r="K18" s="52" t="n">
        <f aca="false">IF($A18="","",IFERROR(IF(G18&lt;=0,"N/M",D18/G18),"N/M"))</f>
        <v>16.0159422654226</v>
      </c>
      <c r="L18" s="52" t="n">
        <f aca="false">IF($A18="","",IFERROR(IF(H18&lt;=0,"N/M",D18/H18),"N/M"))</f>
        <v>13.3968420309248</v>
      </c>
      <c r="M18" s="49" t="n">
        <f aca="false">IF($A18="","",IFERROR(INDEX(Raw_Est!$C$2:$C$100,MATCH($A18,Raw_Est!$A$2:$A$100,0))/INDEX(Raw_Est!$B$2:$B$100,MATCH($A18,Raw_Est!$A$2:$A$100,0))-1,""))</f>
        <v>0.277759881625805</v>
      </c>
      <c r="N18" s="51" t="n">
        <f aca="false">IF($A18="","",IFERROR(IF(OR(NOT(ISNUMBER(J18)),I18&lt;Config!$B$6),"N/M",J18/(I18*100)),"N/M"))</f>
        <v>0.626118907368907</v>
      </c>
      <c r="O18" s="51" t="n">
        <f aca="false">IF($A18="","",IFERROR(IF(OR(NOT(ISNUMBER(L18)),M18&lt;Config!$B$6),"N/M",L18/(M18*100)),"N/M"))</f>
        <v>0.482317386964217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0.0439149708652793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0.073062602823811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46293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2125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291.411273315069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7.29209949850667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46293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502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9.35433471232877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58.9894242068155</v>
      </c>
      <c r="K20" s="52" t="n">
        <f aca="false">IF($A20="","",IFERROR(IF(G20&lt;=0,"N/M",D20/G20),"N/M"))</f>
        <v>61.9161443262857</v>
      </c>
      <c r="L20" s="52" t="n">
        <f aca="false">IF($A20="","",IFERROR(IF(H20&lt;=0,"N/M",D20/H20),"N/M"))</f>
        <v>53.664960196301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1.83388750125853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0.00398406374501992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46293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563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12.3942191780822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91.5447154471545</v>
      </c>
      <c r="K21" s="52" t="n">
        <f aca="false">IF($A21="","",IFERROR(IF(G21&lt;=0,"N/M",D21/G21),"N/M"))</f>
        <v>82.9160530191458</v>
      </c>
      <c r="L21" s="52" t="n">
        <f aca="false">IF($A21="","",IFERROR(IF(H21&lt;=0,"N/M",D21/H21),"N/M"))</f>
        <v>45.4244024501038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2.0477107402653</v>
      </c>
      <c r="O21" s="51" t="n">
        <f aca="false">IF($A21="","",IFERROR(IF(OR(NOT(ISNUMBER(L21)),M21&lt;Config!$B$6),"N/M",L21/(M21*100)),"N/M"))</f>
        <v>0.498050940810485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0.00274357518650089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46293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652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12.6190273972603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51.6680073253154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0.00633489324263736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46293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171.5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44.353974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18.9293598233996</v>
      </c>
      <c r="K23" s="52" t="n">
        <f aca="false">IF($A23="","",IFERROR(IF(G23&lt;=0,"N/M",D23/G23),"N/M"))</f>
        <v>10.3882541857396</v>
      </c>
      <c r="L23" s="52" t="n">
        <f aca="false">IF($A23="","",IFERROR(IF(H23&lt;=0,"N/M",D23/H23),"N/M"))</f>
        <v>3.86662083537317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0.0388065384226572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0.00291545189504373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46293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513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104.268292682927</v>
      </c>
      <c r="K25" s="52" t="n">
        <f aca="false">IF($A25="","",IFERROR(IF(G25&lt;=0,"N/M",D25/G25),"N/M"))</f>
        <v>119.025522041763</v>
      </c>
      <c r="L25" s="52" t="n">
        <f aca="false">IF($A25="","",IFERROR(IF(H25&lt;=0,"N/M",D25/H25),"N/M"))</f>
        <v>42.8571428571429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0.00194931773879142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46293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540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12.1982739726027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44.2685580937793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0.238548007375092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46293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8525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101.959643917808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218.533709305306</v>
      </c>
      <c r="K27" s="52" t="n">
        <f aca="false">IF($A27="","",IFERROR(IF(G27&lt;=0,"N/M",D27/G27),"N/M"))</f>
        <v>189.907777219131</v>
      </c>
      <c r="L27" s="52" t="n">
        <f aca="false">IF($A27="","",IFERROR(IF(H27&lt;=0,"N/M",D27/H27),"N/M"))</f>
        <v>83.611512088765</v>
      </c>
      <c r="M27" s="49" t="n">
        <f aca="false">IF($A27="","",IFERROR(INDEX(Raw_Est!$C$2:$C$100,MATCH($A27,Raw_Est!$A$2:$A$100,0))/INDEX(Raw_Est!$B$2:$B$100,MATCH($A27,Raw_Est!$A$2:$A$100,0))-1,""))</f>
        <v>1.26469448878106</v>
      </c>
      <c r="N27" s="51" t="n">
        <f aca="false">IF($A27="","",IFERROR(IF(OR(NOT(ISNUMBER(J27)),I27&lt;Config!$B$6),"N/M",J27/(I27*100)),"N/M"))</f>
        <v>4.93663450260274</v>
      </c>
      <c r="O27" s="51" t="n">
        <f aca="false">IF($A27="","",IFERROR(IF(OR(NOT(ISNUMBER(L27)),M27&lt;Config!$B$6),"N/M",L27/(M27*100)),"N/M"))</f>
        <v>0.661120237578894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0.00234604105571848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0.523332851670599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16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46293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1516</v>
      </c>
    </row>
    <row r="3" customFormat="false" ht="31.5" hidden="false" customHeight="true" outlineLevel="0" collapsed="false">
      <c r="A3" s="16" t="s">
        <v>1517</v>
      </c>
      <c r="B3" s="16" t="s">
        <v>1518</v>
      </c>
      <c r="C3" s="16" t="s">
        <v>1519</v>
      </c>
    </row>
    <row r="4" customFormat="false" ht="15" hidden="false" customHeight="false" outlineLevel="0" collapsed="false">
      <c r="A4" s="5" t="s">
        <v>1520</v>
      </c>
      <c r="B4" s="86" t="n">
        <v>24</v>
      </c>
      <c r="C4" s="25" t="s">
        <v>1521</v>
      </c>
    </row>
    <row r="5" customFormat="false" ht="15" hidden="false" customHeight="false" outlineLevel="0" collapsed="false">
      <c r="A5" s="5" t="s">
        <v>1522</v>
      </c>
      <c r="B5" s="86" t="n">
        <v>20</v>
      </c>
      <c r="C5" s="25" t="s">
        <v>1523</v>
      </c>
    </row>
    <row r="6" customFormat="false" ht="15" hidden="false" customHeight="false" outlineLevel="0" collapsed="false">
      <c r="A6" s="2" t="s">
        <v>1524</v>
      </c>
      <c r="B6" s="87" t="n">
        <v>0.05</v>
      </c>
      <c r="C6" s="24" t="s">
        <v>1525</v>
      </c>
    </row>
    <row r="7" customFormat="false" ht="15" hidden="false" customHeight="false" outlineLevel="0" collapsed="false">
      <c r="A7" s="5" t="s">
        <v>1526</v>
      </c>
      <c r="B7" s="86" t="n">
        <v>5</v>
      </c>
      <c r="C7" s="24" t="s">
        <v>1527</v>
      </c>
    </row>
    <row r="8" customFormat="false" ht="15" hidden="false" customHeight="false" outlineLevel="0" collapsed="false">
      <c r="A8" s="2" t="s">
        <v>1528</v>
      </c>
      <c r="B8" s="86" t="n">
        <v>365</v>
      </c>
      <c r="C8" s="25" t="s">
        <v>1529</v>
      </c>
    </row>
    <row r="9" customFormat="false" ht="15" hidden="false" customHeight="false" outlineLevel="0" collapsed="false">
      <c r="A9" s="5" t="s">
        <v>1530</v>
      </c>
      <c r="B9" s="87" t="n">
        <v>0.02</v>
      </c>
      <c r="C9" s="24" t="s">
        <v>1531</v>
      </c>
    </row>
    <row r="11" customFormat="false" ht="15" hidden="false" customHeight="false" outlineLevel="0" collapsed="false">
      <c r="A11" s="24" t="s">
        <v>1532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2026-09-28T14:21:54Z</dcterms:created>
  <dc:creator>openpyxl</dc:creator>
  <dc:description/>
  <dc:language>en-US</dc:language>
  <cp:lastModifiedBy/>
  <dcterms:modified xsi:type="dcterms:W3CDTF">2026-09-28T14:21:55Z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