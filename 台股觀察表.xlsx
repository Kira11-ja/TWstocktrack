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<sst xmlns="http://schemas.openxmlformats.org/spreadsheetml/2006/main" count="8221" uniqueCount="1534">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</sst>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FCA93"/>
          <bgColor rgb="FF000000"/>
        </patternFill>
      </fill>
    </dxf>
    <dxf>
      <fill>
        <patternFill patternType="solid">
          <fgColor rgb="FFA5DAB3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2440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0.43769075766465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28.2800185442745</v>
      </c>
      <c r="P3" s="22" t="n">
        <f aca="false">IF(Calc!$A$2="","",Calc!L$2)</f>
        <v>17.6921088406021</v>
      </c>
      <c r="Q3" s="18" t="n">
        <f aca="false">IF(Calc!$A$2="","",Calc!N$2)</f>
        <v>0.531347295371403</v>
      </c>
      <c r="R3" s="18" t="n">
        <f aca="false">IF(Calc!$A$2="","",Calc!O$2)</f>
        <v>0.516468522117407</v>
      </c>
      <c r="S3" s="19" t="n">
        <f aca="false">IF(Calc!$A$2="","",Calc!Q$2)</f>
        <v>0.0090164345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439.5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0.814119891189542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16.1878453038674</v>
      </c>
      <c r="P4" s="22" t="n">
        <f aca="false">IF(Calc!$A$3="","",Calc!L$3)</f>
        <v>4.00320083478774</v>
      </c>
      <c r="Q4" s="18" t="str">
        <f aca="false">IF(Calc!$A$3="","",Calc!N$3)</f>
        <v>N/M</v>
      </c>
      <c r="R4" s="18" t="n">
        <f aca="false">IF(Calc!$A$3="","",Calc!O$3)</f>
        <v>0.0713930035996314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1115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4.88524866525379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483.5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0.281671516389037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117.354368932039</v>
      </c>
      <c r="P6" s="22" t="n">
        <f aca="false">IF(Calc!$A$5="","",Calc!L$5)</f>
        <v>55.910506692343</v>
      </c>
      <c r="Q6" s="18" t="n">
        <f aca="false">IF(Calc!$A$5="","",Calc!N$5)</f>
        <v>1.90607414507452</v>
      </c>
      <c r="R6" s="18" t="n">
        <f aca="false">IF(Calc!$A$5="","",Calc!O$5)</f>
        <v>0.821278175800368</v>
      </c>
      <c r="S6" s="19" t="n">
        <f aca="false">IF(Calc!$A$5="","",Calc!Q$5)</f>
        <v>0.00541997214064116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565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0.299427087809628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19.7070108126962</v>
      </c>
      <c r="P7" s="22" t="n">
        <f aca="false">IF(Calc!$A$6="","",Calc!L$6)</f>
        <v>16.0969194831291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0.0495575221238938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2015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0.273562150990253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36.9521364386576</v>
      </c>
      <c r="P8" s="22" t="n">
        <f aca="false">IF(Calc!$A$7="","",Calc!L$7)</f>
        <v>17.3798193473414</v>
      </c>
      <c r="Q8" s="18" t="n">
        <f aca="false">IF(Calc!$A$7="","",Calc!N$7)</f>
        <v>0.643041449683775</v>
      </c>
      <c r="R8" s="18" t="n">
        <f aca="false">IF(Calc!$A$7="","",Calc!O$7)</f>
        <v>0.205253626916106</v>
      </c>
      <c r="S8" s="19" t="n">
        <f aca="false">IF(Calc!$A$7="","",Calc!Q$7)</f>
        <v>0.0052136389528536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576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17.1450520002968</v>
      </c>
      <c r="Q9" s="18" t="str">
        <f aca="false">IF(Calc!$A$8="","",Calc!N$8)</f>
        <v>N/M</v>
      </c>
      <c r="R9" s="18" t="n">
        <f aca="false">IF(Calc!$A$8="","",Calc!O$8)</f>
        <v>1.35694647308049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347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0.337122302004036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12.9913889928866</v>
      </c>
      <c r="P10" s="22" t="n">
        <f aca="false">IF(Calc!$A$9="","",Calc!L$9)</f>
        <v>9.57081371580373</v>
      </c>
      <c r="Q10" s="18" t="n">
        <f aca="false">IF(Calc!$A$9="","",Calc!N$9)</f>
        <v>0.207306712597859</v>
      </c>
      <c r="R10" s="18" t="n">
        <f aca="false">IF(Calc!$A$9="","",Calc!O$9)</f>
        <v>0.909555787060832</v>
      </c>
      <c r="S10" s="19" t="n">
        <f aca="false">IF(Calc!$A$9="","",Calc!Q$9)</f>
        <v>0.0288184438040346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9720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53.5861954903799</v>
      </c>
      <c r="P11" s="22" t="n">
        <f aca="false">IF(Calc!$A$10="","",Calc!L$10)</f>
        <v>20.8689073754904</v>
      </c>
      <c r="Q11" s="18" t="n">
        <f aca="false">IF(Calc!$A$10="","",Calc!N$10)</f>
        <v>0.31796798184954</v>
      </c>
      <c r="R11" s="18" t="n">
        <f aca="false">IF(Calc!$A$10="","",Calc!O$10)</f>
        <v>0.501672898804554</v>
      </c>
      <c r="S11" s="19" t="n">
        <f aca="false">IF(Calc!$A$10="","",Calc!Q$10)</f>
        <v>0.00331275720164609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2640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235.504014272971</v>
      </c>
      <c r="P12" s="22" t="n">
        <f aca="false">IF(Calc!$A$11="","",Calc!L$11)</f>
        <v>74.9565055658578</v>
      </c>
      <c r="Q12" s="18" t="n">
        <f aca="false">IF(Calc!$A$11="","",Calc!N$11)</f>
        <v>0.418069100967773</v>
      </c>
      <c r="R12" s="18" t="n">
        <f aca="false">IF(Calc!$A$11="","",Calc!O$11)</f>
        <v>0.743036743364784</v>
      </c>
      <c r="S12" s="19" t="n">
        <f aca="false">IF(Calc!$A$11="","",Calc!Q$11)</f>
        <v>0.000189402329545455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604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62.655601659751</v>
      </c>
      <c r="P13" s="22" t="str">
        <f aca="false">IF(Calc!$A$12="","",Calc!L$12)</f>
        <v>N/M</v>
      </c>
      <c r="Q13" s="18" t="n">
        <f aca="false">IF(Calc!$A$12="","",Calc!N$12)</f>
        <v>0.235070231619323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979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0.142108595491628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165.932203389831</v>
      </c>
      <c r="P14" s="22" t="n">
        <f aca="false">IF(Calc!$A$13="","",Calc!L$13)</f>
        <v>37.750591970716</v>
      </c>
      <c r="Q14" s="18" t="n">
        <f aca="false">IF(Calc!$A$13="","",Calc!N$13)</f>
        <v>0.428098008745618</v>
      </c>
      <c r="R14" s="18" t="n">
        <f aca="false">IF(Calc!$A$13="","",Calc!O$13)</f>
        <v>0.256247398150017</v>
      </c>
      <c r="S14" s="19" t="n">
        <f aca="false">IF(Calc!$A$13="","",Calc!Q$13)</f>
        <v>0.00102162607763024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1540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13.315244877563</v>
      </c>
      <c r="Q15" s="18" t="str">
        <f aca="false">IF(Calc!$A$14="","",Calc!N$14)</f>
        <v>N/M</v>
      </c>
      <c r="R15" s="18" t="n">
        <f aca="false">IF(Calc!$A$14="","",Calc!O$14)</f>
        <v>0.12144114352959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133.5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0.198871620624717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19.9850299401198</v>
      </c>
      <c r="P16" s="22" t="n">
        <f aca="false">IF(Calc!$A$15="","",Calc!L$15)</f>
        <v>18.4459097936847</v>
      </c>
      <c r="Q16" s="18" t="n">
        <f aca="false">IF(Calc!$A$15="","",Calc!N$15)</f>
        <v>0.180491580940683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4165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0.258640249499171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68.6274509803922</v>
      </c>
      <c r="P17" s="22" t="n">
        <f aca="false">IF(Calc!$A$16="","",Calc!L$16)</f>
        <v>31.6132381547155</v>
      </c>
      <c r="Q17" s="18" t="str">
        <f aca="false">IF(Calc!$A$16="","",Calc!N$16)</f>
        <v>N/M</v>
      </c>
      <c r="R17" s="18" t="n">
        <f aca="false">IF(Calc!$A$16="","",Calc!O$16)</f>
        <v>0.269363591165514</v>
      </c>
      <c r="S17" s="19" t="n">
        <f aca="false">IF(Calc!$A$16="","",Calc!Q$16)</f>
        <v>0.0129652382881152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83.7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31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98.1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0.0748730420535528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16.5709459459459</v>
      </c>
      <c r="P19" s="22" t="n">
        <f aca="false">IF(Calc!$A$18="","",Calc!L$18)</f>
        <v>13.8339437167643</v>
      </c>
      <c r="Q19" s="18" t="n">
        <f aca="false">IF(Calc!$A$18="","",Calc!N$18)</f>
        <v>0.672752079002079</v>
      </c>
      <c r="R19" s="18" t="n">
        <f aca="false">IF(Calc!$A$18="","",Calc!O$18)</f>
        <v>0.485638685552257</v>
      </c>
      <c r="S19" s="19" t="n">
        <f aca="false">IF(Calc!$A$18="","",Calc!Q$18)</f>
        <v>0.0408709158002039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1830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5.91984058118091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502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0.0754540807228892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58.9894242068155</v>
      </c>
      <c r="P21" s="22" t="n">
        <f aca="false">IF(Calc!$A$20="","",Calc!L$20)</f>
        <v>51.6751260772394</v>
      </c>
      <c r="Q21" s="18" t="str">
        <f aca="false">IF(Calc!$A$20="","",Calc!N$20)</f>
        <v>N/M</v>
      </c>
      <c r="R21" s="18" t="n">
        <f aca="false">IF(Calc!$A$20="","",Calc!O$20)</f>
        <v>1.65846276141257</v>
      </c>
      <c r="S21" s="19" t="n">
        <f aca="false">IF(Calc!$A$20="","",Calc!Q$20)</f>
        <v>0.00398406374501992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542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88.130081300813</v>
      </c>
      <c r="P22" s="22" t="n">
        <f aca="false">IF(Calc!$A$21="","",Calc!L$21)</f>
        <v>42.6498392789002</v>
      </c>
      <c r="Q22" s="18" t="n">
        <f aca="false">IF(Calc!$A$21="","",Calc!N$21)</f>
        <v>1.97133076593924</v>
      </c>
      <c r="R22" s="18" t="n">
        <f aca="false">IF(Calc!$A$21="","",Calc!O$21)</f>
        <v>0.46762954342889</v>
      </c>
      <c r="S22" s="19" t="n">
        <f aca="false">IF(Calc!$A$21="","",Calc!Q$21)</f>
        <v>0.0028498760701107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520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-0.00864655356373243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60.8125938998676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155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17.1081677704194</v>
      </c>
      <c r="P24" s="22" t="n">
        <f aca="false">IF(Calc!$A$23="","",Calc!L$23)</f>
        <v>3.3102025254867</v>
      </c>
      <c r="Q24" s="18" t="str">
        <f aca="false">IF(Calc!$A$23="","",Calc!N$23)</f>
        <v>N/M</v>
      </c>
      <c r="R24" s="18" t="n">
        <f aca="false">IF(Calc!$A$23="","",Calc!O$23)</f>
        <v>0.0310128147421909</v>
      </c>
      <c r="S24" s="19" t="n">
        <f aca="false">IF(Calc!$A$23="","",Calc!Q$23)</f>
        <v>0.0032258064516129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467.5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95.020325203252</v>
      </c>
      <c r="P26" s="22" t="n">
        <f aca="false">IF(Calc!$A$25="","",Calc!L$25)</f>
        <v>39.0559732664996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0.00213903743315508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488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37.5522320092089</v>
      </c>
      <c r="Q27" s="18" t="str">
        <f aca="false">IF(Calc!$A$26="","",Calc!N$26)</f>
        <v>N/M</v>
      </c>
      <c r="R27" s="18" t="n">
        <f aca="false">IF(Calc!$A$26="","",Calc!O$26)</f>
        <v>0.146528672994191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7670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0.531975972855065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196.616252243015</v>
      </c>
      <c r="P28" s="22" t="n">
        <f aca="false">IF(Calc!$A$27="","",Calc!L$27)</f>
        <v>71.7791329657114</v>
      </c>
      <c r="Q28" s="18" t="n">
        <f aca="false">IF(Calc!$A$27="","",Calc!N$27)</f>
        <v>4.44152335893995</v>
      </c>
      <c r="R28" s="18" t="n">
        <f aca="false">IF(Calc!$A$27="","",Calc!O$27)</f>
        <v>0.566886443947244</v>
      </c>
      <c r="S28" s="19" t="n">
        <f aca="false">IF(Calc!$A$27="","",Calc!Q$27)</f>
        <v>0.00260756192959583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5">
      <formula>"N/M"</formula>
    </cfRule>
  </conditionalFormatting>
  <conditionalFormatting sqref="Q3:Q33">
    <cfRule type="cellIs" priority="8" operator="lessThan" aboveAverage="0" equalAverage="0" bottom="0" percent="0" rank="0" text="" dxfId="66">
      <formula>1.5</formula>
    </cfRule>
  </conditionalFormatting>
  <conditionalFormatting sqref="R3:R33">
    <cfRule type="cellIs" priority="9" operator="lessThan" aboveAverage="0" equalAverage="0" bottom="0" percent="0" rank="0" text="" dxfId="66">
      <formula>1.5</formula>
    </cfRule>
  </conditionalFormatting>
  <conditionalFormatting sqref="L3:L33">
    <cfRule type="cellIs" priority="10" operator="equal" aboveAverage="0" equalAverage="0" bottom="0" percent="0" rank="0" text="" dxfId="66">
      <formula>"成長且加速"</formula>
    </cfRule>
    <cfRule type="cellIs" priority="11" operator="equal" aboveAverage="0" equalAverage="0" bottom="0" percent="0" rank="0" text="" dxfId="67">
      <formula>"成長但減速"</formula>
    </cfRule>
    <cfRule type="cellIs" priority="12" operator="equal" aboveAverage="0" equalAverage="0" bottom="0" percent="0" rank="0" text="" dxfId="67">
      <formula>"衰退但收斂"</formula>
    </cfRule>
    <cfRule type="cellIs" priority="13" operator="equal" aboveAverage="0" equalAverage="0" bottom="0" percent="0" rank="0" text="" dxfId="68">
      <formula>"衰退且惡化"</formula>
    </cfRule>
  </conditionalFormatting>
  <conditionalFormatting sqref="A3:W33">
    <cfRule type="expression" priority="14" aboveAverage="0" equalAverage="0" bottom="0" percent="0" rank="0" text="" dxfId="6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2440</v>
      </c>
      <c r="D4" s="30" t="s">
        <v>81</v>
      </c>
      <c r="E4" s="32" t="n">
        <f aca="false">IF($B$2="","",IFERROR(INDEX(Calc!$AM$2:$AM$100,MATCH($B$2,Calc!$A$2:$A$100,0)),""))</f>
        <v>24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46310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28.2800185442745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17.6921088406021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0.531347295371403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0.516468522117407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137.914593561644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0.0090164345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0.43769075766465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0.342559286441472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2440</v>
      </c>
      <c r="L12" s="55" t="n">
        <f aca="false">IF(Stock_Card!$B$2="","",IFERROR(INDEX(Calc!$Q$2:$Q$100,MATCH(Stock_Card!$B$2,Calc!$A$2:$A$100,0)),""))</f>
        <v>0.0090164345</v>
      </c>
      <c r="M12" s="58" t="n">
        <f aca="false">IF(Stock_Card!$B$2="","",IFERROR(INDEX(Calc!$J$2:$J$100,MATCH(Stock_Card!$B$2,Calc!$A$2:$A$100,0)),""))</f>
        <v>28.2800185442745</v>
      </c>
      <c r="N12" s="57" t="n">
        <f aca="false">IF(Stock_Card!$B$2="","",IFERROR(INDEX(Calc!$N$2:$N$100,MATCH(Stock_Card!$B$2,Calc!$A$2:$A$100,0)),""))</f>
        <v>0.531347295371403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137.914593561644</v>
      </c>
      <c r="H13" s="55" t="n">
        <f aca="false">IF(Stock_Card!$B$2="","",IFERROR(INDEX(Calc!$M$2:$M$100,MATCH(Stock_Card!$B$2,Calc!$A$2:$A$100,0)),""))</f>
        <v>0.342559286441472</v>
      </c>
      <c r="I13" s="55" t="n">
        <f aca="false">IF(Stock_Card!$B$2="","",IFERROR(INDEX(Calc!$AI$2:$AI$100,MATCH(Stock_Card!$B$2,Calc!$A$2:$A$100,0)),""))</f>
        <v>0.43769075766465</v>
      </c>
      <c r="J13" s="59"/>
      <c r="K13" s="59"/>
      <c r="L13" s="59"/>
      <c r="M13" s="58" t="n">
        <f aca="false">IF(Stock_Card!$B$2="","",IFERROR(INDEX(Calc!$L$2:$L$100,MATCH(Stock_Card!$B$2,Calc!$A$2:$A$100,0)),""))</f>
        <v>17.6921088406021</v>
      </c>
      <c r="N13" s="57" t="n">
        <f aca="false">IF(Stock_Card!$B$2="","",IFERROR(INDEX(Calc!$O$2:$O$100,MATCH(Stock_Card!$B$2,Calc!$A$2:$A$100,0)),""))</f>
        <v>0.516468522117407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{4A3BE550-2D6D-4C24-8970-3E213EF76F2C}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6">
      <formula>"成長且加速"</formula>
    </cfRule>
    <cfRule type="cellIs" priority="5" operator="equal" aboveAverage="0" equalAverage="0" bottom="0" percent="0" rank="0" text="" dxfId="67">
      <formula>"成長但減速"</formula>
    </cfRule>
    <cfRule type="cellIs" priority="6" operator="equal" aboveAverage="0" equalAverage="0" bottom="0" percent="0" rank="0" text="" dxfId="67">
      <formula>"衰退但收斂"</formula>
    </cfRule>
    <cfRule type="cellIs" priority="7" operator="equal" aboveAverage="0" equalAverage="0" bottom="0" percent="0" rank="0" text="" dxfId="6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0">
      <formula>$O5="預估"</formula>
    </cfRule>
  </conditionalFormatting>
  <conditionalFormatting sqref="B24:B28">
    <cfRule type="expression" priority="12" aboveAverage="0" equalAverage="0" bottom="0" percent="0" rank="0" text="" dxfId="7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3BE550-2D6D-4C24-8970-3E213EF76F2C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-46310</v>
      </c>
      <c r="I4" s="67" t="n">
        <f aca="false">IF($A4="","",IFERROR(INDEX(Raw_Price!$E$2:$E$100,MATCH($A4,Raw_Price!$A$2:$A$100,0)),""))</f>
        <v>46310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-46310</v>
      </c>
      <c r="I5" s="67" t="n">
        <f aca="false">IF($A5="","",IFERROR(INDEX(Raw_Price!$E$2:$E$100,MATCH($A5,Raw_Price!$A$2:$A$100,0)),""))</f>
        <v>46310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-46310</v>
      </c>
      <c r="I6" s="67" t="n">
        <f aca="false">IF($A6="","",IFERROR(INDEX(Raw_Price!$E$2:$E$100,MATCH($A6,Raw_Price!$A$2:$A$100,0)),""))</f>
        <v>46310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-46310</v>
      </c>
      <c r="I7" s="67" t="n">
        <f aca="false">IF($A7="","",IFERROR(INDEX(Raw_Price!$E$2:$E$100,MATCH($A7,Raw_Price!$A$2:$A$100,0)),""))</f>
        <v>46310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-46310</v>
      </c>
      <c r="I8" s="67" t="n">
        <f aca="false">IF($A8="","",IFERROR(INDEX(Raw_Price!$E$2:$E$100,MATCH($A8,Raw_Price!$A$2:$A$100,0)),""))</f>
        <v>46310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-46310</v>
      </c>
      <c r="I9" s="67" t="n">
        <f aca="false">IF($A9="","",IFERROR(INDEX(Raw_Price!$E$2:$E$100,MATCH($A9,Raw_Price!$A$2:$A$100,0)),""))</f>
        <v>46310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-46310</v>
      </c>
      <c r="I10" s="67" t="n">
        <f aca="false">IF($A10="","",IFERROR(INDEX(Raw_Price!$E$2:$E$100,MATCH($A10,Raw_Price!$A$2:$A$100,0)),""))</f>
        <v>46310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-46310</v>
      </c>
      <c r="I11" s="67" t="n">
        <f aca="false">IF($A11="","",IFERROR(INDEX(Raw_Price!$E$2:$E$100,MATCH($A11,Raw_Price!$A$2:$A$100,0)),""))</f>
        <v>46310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-46310</v>
      </c>
      <c r="I12" s="67" t="n">
        <f aca="false">IF($A12="","",IFERROR(INDEX(Raw_Price!$E$2:$E$100,MATCH($A12,Raw_Price!$A$2:$A$100,0)),""))</f>
        <v>46310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-46310</v>
      </c>
      <c r="I13" s="67" t="n">
        <f aca="false">IF($A13="","",IFERROR(INDEX(Raw_Price!$E$2:$E$100,MATCH($A13,Raw_Price!$A$2:$A$100,0)),""))</f>
        <v>46310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-46310</v>
      </c>
      <c r="I14" s="67" t="n">
        <f aca="false">IF($A14="","",IFERROR(INDEX(Raw_Price!$E$2:$E$100,MATCH($A14,Raw_Price!$A$2:$A$100,0)),""))</f>
        <v>46310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-46310</v>
      </c>
      <c r="I15" s="67" t="n">
        <f aca="false">IF($A15="","",IFERROR(INDEX(Raw_Price!$E$2:$E$100,MATCH($A15,Raw_Price!$A$2:$A$100,0)),""))</f>
        <v>46310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-46310</v>
      </c>
      <c r="I16" s="67" t="n">
        <f aca="false">IF($A16="","",IFERROR(INDEX(Raw_Price!$E$2:$E$100,MATCH($A16,Raw_Price!$A$2:$A$100,0)),""))</f>
        <v>46310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-46310</v>
      </c>
      <c r="I17" s="67" t="n">
        <f aca="false">IF($A17="","",IFERROR(INDEX(Raw_Price!$E$2:$E$100,MATCH($A17,Raw_Price!$A$2:$A$100,0)),""))</f>
        <v>46310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-46310</v>
      </c>
      <c r="I18" s="67" t="n">
        <f aca="false">IF($A18="","",IFERROR(INDEX(Raw_Price!$E$2:$E$100,MATCH($A18,Raw_Price!$A$2:$A$100,0)),""))</f>
        <v>46310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-46310</v>
      </c>
      <c r="I19" s="67" t="n">
        <f aca="false">IF($A19="","",IFERROR(INDEX(Raw_Price!$E$2:$E$100,MATCH($A19,Raw_Price!$A$2:$A$100,0)),""))</f>
        <v>46310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-46310</v>
      </c>
      <c r="I20" s="67" t="n">
        <f aca="false">IF($A20="","",IFERROR(INDEX(Raw_Price!$E$2:$E$100,MATCH($A20,Raw_Price!$A$2:$A$100,0)),""))</f>
        <v>46310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-46310</v>
      </c>
      <c r="I21" s="67" t="n">
        <f aca="false">IF($A21="","",IFERROR(INDEX(Raw_Price!$E$2:$E$100,MATCH($A21,Raw_Price!$A$2:$A$100,0)),""))</f>
        <v>46310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-46310</v>
      </c>
      <c r="I22" s="67" t="n">
        <f aca="false">IF($A22="","",IFERROR(INDEX(Raw_Price!$E$2:$E$100,MATCH($A22,Raw_Price!$A$2:$A$100,0)),""))</f>
        <v>46310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-46310</v>
      </c>
      <c r="I23" s="67" t="n">
        <f aca="false">IF($A23="","",IFERROR(INDEX(Raw_Price!$E$2:$E$100,MATCH($A23,Raw_Price!$A$2:$A$100,0)),""))</f>
        <v>46310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-46310</v>
      </c>
      <c r="I24" s="67" t="n">
        <f aca="false">IF($A24="","",IFERROR(INDEX(Raw_Price!$E$2:$E$100,MATCH($A24,Raw_Price!$A$2:$A$100,0)),""))</f>
        <v>46310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-46310</v>
      </c>
      <c r="I25" s="67" t="n">
        <f aca="false">IF($A25="","",IFERROR(INDEX(Raw_Price!$E$2:$E$100,MATCH($A25,Raw_Price!$A$2:$A$100,0)),""))</f>
        <v>46310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-46310</v>
      </c>
      <c r="I27" s="67" t="n">
        <f aca="false">IF($A27="","",IFERROR(INDEX(Raw_Price!$E$2:$E$100,MATCH($A27,Raw_Price!$A$2:$A$100,0)),""))</f>
        <v>46310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-46310</v>
      </c>
      <c r="I28" s="67" t="n">
        <f aca="false">IF($A28="","",IFERROR(INDEX(Raw_Price!$E$2:$E$100,MATCH($A28,Raw_Price!$A$2:$A$100,0)),""))</f>
        <v>46310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-46310</v>
      </c>
      <c r="I29" s="67" t="n">
        <f aca="false">IF($A29="","",IFERROR(INDEX(Raw_Price!$E$2:$E$100,MATCH($A29,Raw_Price!$A$2:$A$100,0)),""))</f>
        <v>46310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71">
      <formula>"OK"</formula>
    </cfRule>
    <cfRule type="cellIs" priority="3" operator="equal" aboveAverage="0" equalAverage="0" bottom="0" percent="0" rank="0" text="" dxfId="72">
      <formula>"待更新財報"</formula>
    </cfRule>
    <cfRule type="expression" priority="4" aboveAverage="0" equalAverage="0" bottom="0" percent="0" rank="0" text="" dxfId="73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4.14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202610</v>
      </c>
      <c r="D938" s="81" t="n">
        <v>46296</v>
      </c>
      <c r="E938" s="82" t="n">
        <v>7701.235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202609</v>
      </c>
      <c r="D939" s="81" t="n">
        <v>46266</v>
      </c>
      <c r="E939" s="82" t="n">
        <v>7791.761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202608</v>
      </c>
      <c r="D940" s="81" t="n">
        <v>46235</v>
      </c>
      <c r="E940" s="82" t="n">
        <v>8173.773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202607</v>
      </c>
      <c r="D941" s="81" t="n">
        <v>46204</v>
      </c>
      <c r="E941" s="82" t="n">
        <v>7507.318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202606</v>
      </c>
      <c r="D942" s="81" t="n">
        <v>46174</v>
      </c>
      <c r="E942" s="82" t="n">
        <v>6542.058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202605</v>
      </c>
      <c r="D943" s="81" t="n">
        <v>46143</v>
      </c>
      <c r="E943" s="82" t="n">
        <v>6776.034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202604</v>
      </c>
      <c r="D944" s="81" t="n">
        <v>46113</v>
      </c>
      <c r="E944" s="82" t="n">
        <v>7014.545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202603</v>
      </c>
      <c r="D945" s="81" t="n">
        <v>46082</v>
      </c>
      <c r="E945" s="82" t="n">
        <v>5517.727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202602</v>
      </c>
      <c r="D946" s="81" t="n">
        <v>46054</v>
      </c>
      <c r="E946" s="82" t="n">
        <v>6004.421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202601</v>
      </c>
      <c r="D947" s="81" t="n">
        <v>46023</v>
      </c>
      <c r="E947" s="82" t="n">
        <v>6479.605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202512</v>
      </c>
      <c r="D948" s="81" t="n">
        <v>45992</v>
      </c>
      <c r="E948" s="82" t="n">
        <v>5740.079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202511</v>
      </c>
      <c r="D949" s="81" t="n">
        <v>45962</v>
      </c>
      <c r="E949" s="82" t="n">
        <v>5078.957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202510</v>
      </c>
      <c r="D950" s="81" t="n">
        <v>45931</v>
      </c>
      <c r="E950" s="82" t="n">
        <v>6092.008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202509</v>
      </c>
      <c r="D951" s="81" t="n">
        <v>45901</v>
      </c>
      <c r="E951" s="82" t="n">
        <v>5715.135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202508</v>
      </c>
      <c r="D952" s="81" t="n">
        <v>45870</v>
      </c>
      <c r="E952" s="82" t="n">
        <v>5731.436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202507</v>
      </c>
      <c r="D953" s="81" t="n">
        <v>45839</v>
      </c>
      <c r="E953" s="82" t="n">
        <v>5650.654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202506</v>
      </c>
      <c r="D954" s="81" t="n">
        <v>45809</v>
      </c>
      <c r="E954" s="82" t="n">
        <v>5515.648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202505</v>
      </c>
      <c r="D955" s="81" t="n">
        <v>45778</v>
      </c>
      <c r="E955" s="82" t="n">
        <v>5820.548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202504</v>
      </c>
      <c r="D956" s="81" t="n">
        <v>45748</v>
      </c>
      <c r="E956" s="82" t="n">
        <v>5369.196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202503</v>
      </c>
      <c r="D957" s="81" t="n">
        <v>45717</v>
      </c>
      <c r="E957" s="82" t="n">
        <v>4843.533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202502</v>
      </c>
      <c r="D958" s="81" t="n">
        <v>45689</v>
      </c>
      <c r="E958" s="82" t="n">
        <v>5546.732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202501</v>
      </c>
      <c r="D959" s="81" t="n">
        <v>45658</v>
      </c>
      <c r="E959" s="82" t="n">
        <v>5450.18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202412</v>
      </c>
      <c r="D960" s="81" t="n">
        <v>45627</v>
      </c>
      <c r="E960" s="82" t="n">
        <v>5218.606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202411</v>
      </c>
      <c r="D961" s="81" t="n">
        <v>45597</v>
      </c>
      <c r="E961" s="82" t="n">
        <v>5238.146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202410</v>
      </c>
      <c r="D962" s="81" t="n">
        <v>45566</v>
      </c>
      <c r="E962" s="82" t="n">
        <v>5314.01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202409</v>
      </c>
      <c r="D963" s="81" t="n">
        <v>45536</v>
      </c>
      <c r="E963" s="82" t="n">
        <v>5304.489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202408</v>
      </c>
      <c r="D964" s="81" t="n">
        <v>45505</v>
      </c>
      <c r="E964" s="82" t="n">
        <v>4748.025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202407</v>
      </c>
      <c r="D965" s="81" t="n">
        <v>45474</v>
      </c>
      <c r="E965" s="82" t="n">
        <v>4530.736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202406</v>
      </c>
      <c r="D966" s="81" t="n">
        <v>45444</v>
      </c>
      <c r="E966" s="82" t="n">
        <v>4581.022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202405</v>
      </c>
      <c r="D967" s="81" t="n">
        <v>45413</v>
      </c>
      <c r="E967" s="82" t="n">
        <v>4679.738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202404</v>
      </c>
      <c r="D968" s="81" t="n">
        <v>45383</v>
      </c>
      <c r="E968" s="82" t="n">
        <v>4138.871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202403</v>
      </c>
      <c r="D969" s="81" t="n">
        <v>45352</v>
      </c>
      <c r="E969" s="82" t="n">
        <v>3744.48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202402</v>
      </c>
      <c r="D970" s="81" t="n">
        <v>45323</v>
      </c>
      <c r="E970" s="82" t="n">
        <v>4048.51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202401</v>
      </c>
      <c r="D971" s="81" t="n">
        <v>45292</v>
      </c>
      <c r="E971" s="82" t="n">
        <v>3927.48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202312</v>
      </c>
      <c r="D972" s="81" t="n">
        <v>45261</v>
      </c>
      <c r="E972" s="82" t="n">
        <v>3961.991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202311</v>
      </c>
      <c r="D973" s="81" t="n">
        <v>45231</v>
      </c>
      <c r="E973" s="82" t="n">
        <v>4343.215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46310</v>
      </c>
    </row>
    <row r="3" customFormat="false" ht="15" hidden="false" customHeight="false" outlineLevel="0" collapsed="false">
      <c r="A3" s="79" t="s">
        <v>220</v>
      </c>
      <c r="B3" s="83" t="n">
        <v>7.01942</v>
      </c>
      <c r="C3" s="83" t="n">
        <v>7.29565</v>
      </c>
      <c r="D3" s="81" t="n">
        <v>46387</v>
      </c>
      <c r="E3" s="80" t="n">
        <v>13</v>
      </c>
      <c r="F3" s="81" t="n">
        <v>46310</v>
      </c>
    </row>
    <row r="4" customFormat="false" ht="15" hidden="false" customHeight="false" outlineLevel="0" collapsed="false">
      <c r="A4" s="79" t="s">
        <v>345</v>
      </c>
      <c r="B4" s="83" t="n">
        <v>20.11068</v>
      </c>
      <c r="C4" s="83" t="n">
        <v>31.56477</v>
      </c>
      <c r="D4" s="81" t="n">
        <v>46387</v>
      </c>
      <c r="E4" s="80" t="n">
        <v>3</v>
      </c>
      <c r="F4" s="81" t="n">
        <v>46310</v>
      </c>
    </row>
    <row r="5" customFormat="false" ht="15" hidden="false" customHeight="false" outlineLevel="0" collapsed="false">
      <c r="A5" s="79" t="s">
        <v>79</v>
      </c>
      <c r="B5" s="83" t="n">
        <v>108.56909</v>
      </c>
      <c r="C5" s="83" t="n">
        <v>145.76044</v>
      </c>
      <c r="D5" s="81" t="n">
        <v>46387</v>
      </c>
      <c r="E5" s="80" t="n">
        <v>24</v>
      </c>
      <c r="F5" s="81" t="n">
        <v>46310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46310</v>
      </c>
    </row>
    <row r="7" customFormat="false" ht="15" hidden="false" customHeight="false" outlineLevel="0" collapsed="false">
      <c r="A7" s="79" t="s">
        <v>205</v>
      </c>
      <c r="B7" s="83" t="n">
        <v>33.4766</v>
      </c>
      <c r="C7" s="83" t="n">
        <v>36.99918</v>
      </c>
      <c r="D7" s="81" t="n">
        <v>46387</v>
      </c>
      <c r="E7" s="80" t="n">
        <v>8</v>
      </c>
      <c r="F7" s="81" t="n">
        <v>46310</v>
      </c>
    </row>
    <row r="8" customFormat="false" ht="15" hidden="false" customHeight="false" outlineLevel="0" collapsed="false">
      <c r="A8" s="79" t="s">
        <v>182</v>
      </c>
      <c r="B8" s="83" t="n">
        <v>76.11227</v>
      </c>
      <c r="C8" s="83" t="n">
        <v>118.7905</v>
      </c>
      <c r="D8" s="81" t="n">
        <v>46387</v>
      </c>
      <c r="E8" s="80" t="n">
        <v>5</v>
      </c>
      <c r="F8" s="81" t="n">
        <v>46310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68.40388</v>
      </c>
      <c r="C10" s="83" t="n">
        <v>148.68452</v>
      </c>
      <c r="D10" s="81" t="n">
        <v>46387</v>
      </c>
      <c r="E10" s="80" t="n">
        <v>15</v>
      </c>
      <c r="F10" s="81" t="n">
        <v>46310</v>
      </c>
    </row>
    <row r="11" customFormat="false" ht="15" hidden="false" customHeight="false" outlineLevel="0" collapsed="false">
      <c r="A11" s="79" t="s">
        <v>190</v>
      </c>
      <c r="B11" s="83" t="n">
        <v>5.6258</v>
      </c>
      <c r="C11" s="83" t="n">
        <v>9.4557</v>
      </c>
      <c r="D11" s="81" t="n">
        <v>46387</v>
      </c>
      <c r="E11" s="80" t="n">
        <v>8</v>
      </c>
      <c r="F11" s="81" t="n">
        <v>46310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46310</v>
      </c>
    </row>
    <row r="13" customFormat="false" ht="15" hidden="false" customHeight="false" outlineLevel="0" collapsed="false">
      <c r="A13" s="79" t="s">
        <v>195</v>
      </c>
      <c r="B13" s="83" t="n">
        <v>33.93331</v>
      </c>
      <c r="C13" s="83" t="n">
        <v>35.41178</v>
      </c>
      <c r="D13" s="81" t="n">
        <v>46387</v>
      </c>
      <c r="E13" s="80" t="n">
        <v>15</v>
      </c>
      <c r="F13" s="81" t="n">
        <v>46310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46310</v>
      </c>
    </row>
    <row r="15" customFormat="false" ht="15" hidden="false" customHeight="false" outlineLevel="0" collapsed="false">
      <c r="A15" s="79" t="s">
        <v>230</v>
      </c>
      <c r="B15" s="83" t="n">
        <v>7.7975</v>
      </c>
      <c r="C15" s="83" t="n">
        <v>10.22708</v>
      </c>
      <c r="D15" s="81" t="n">
        <v>46387</v>
      </c>
      <c r="E15" s="80" t="n">
        <v>10</v>
      </c>
      <c r="F15" s="81" t="n">
        <v>46310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46310</v>
      </c>
    </row>
    <row r="17" customFormat="false" ht="15" hidden="false" customHeight="false" outlineLevel="0" collapsed="false">
      <c r="A17" s="79" t="s">
        <v>216</v>
      </c>
      <c r="B17" s="83" t="n">
        <v>11.99274</v>
      </c>
      <c r="C17" s="83" t="n">
        <v>29.66055</v>
      </c>
      <c r="D17" s="81" t="n">
        <v>46387</v>
      </c>
      <c r="E17" s="80" t="n">
        <v>7</v>
      </c>
      <c r="F17" s="81" t="n">
        <v>46310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-0.435</v>
      </c>
      <c r="C19" s="83" t="n">
        <v>10.95333</v>
      </c>
      <c r="D19" s="81" t="n">
        <v>46387</v>
      </c>
      <c r="E19" s="80" t="n">
        <v>3</v>
      </c>
      <c r="F19" s="81" t="n">
        <v>46310</v>
      </c>
    </row>
    <row r="20" customFormat="false" ht="15" hidden="false" customHeight="false" outlineLevel="0" collapsed="false">
      <c r="A20" s="79" t="s">
        <v>245</v>
      </c>
      <c r="B20" s="83" t="n">
        <v>53.45228</v>
      </c>
      <c r="C20" s="83" t="n">
        <v>121.13353</v>
      </c>
      <c r="D20" s="81" t="n">
        <v>46387</v>
      </c>
      <c r="E20" s="80" t="n">
        <v>17</v>
      </c>
      <c r="F20" s="81" t="n">
        <v>46310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46310</v>
      </c>
    </row>
    <row r="22" customFormat="false" ht="15" hidden="false" customHeight="false" outlineLevel="0" collapsed="false">
      <c r="A22" s="79" t="s">
        <v>197</v>
      </c>
      <c r="B22" s="83" t="n">
        <v>69.50286</v>
      </c>
      <c r="C22" s="83" t="n">
        <v>128.3543</v>
      </c>
      <c r="D22" s="81" t="n">
        <v>46387</v>
      </c>
      <c r="E22" s="80" t="n">
        <v>9</v>
      </c>
      <c r="F22" s="81" t="n">
        <v>46310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5.78988</v>
      </c>
      <c r="C24" s="83" t="n">
        <v>7.43919</v>
      </c>
      <c r="D24" s="81" t="n">
        <v>46387</v>
      </c>
      <c r="E24" s="80" t="n">
        <v>6</v>
      </c>
      <c r="F24" s="81" t="n">
        <v>46310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46310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46310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46310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46310</v>
      </c>
    </row>
    <row r="29" customFormat="false" ht="15" hidden="false" customHeight="false" outlineLevel="0" collapsed="false">
      <c r="A29" s="79" t="s">
        <v>243</v>
      </c>
      <c r="B29" s="83" t="n">
        <v>4.3</v>
      </c>
      <c r="C29" s="83" t="n">
        <v>15.32</v>
      </c>
      <c r="D29" s="81" t="n">
        <v>46387</v>
      </c>
      <c r="E29" s="80"/>
      <c r="F29" s="81" t="n">
        <v>46310</v>
      </c>
    </row>
    <row r="30" customFormat="false" ht="15" hidden="false" customHeight="false" outlineLevel="0" collapsed="false">
      <c r="A30" s="79" t="s">
        <v>228</v>
      </c>
      <c r="B30" s="83" t="n">
        <v>412.3421</v>
      </c>
      <c r="C30" s="83" t="n">
        <v>281.53503</v>
      </c>
      <c r="D30" s="81" t="n">
        <v>46387</v>
      </c>
      <c r="E30" s="80" t="n">
        <v>7</v>
      </c>
      <c r="F30" s="81" t="n">
        <v>46310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9720</v>
      </c>
      <c r="C2" s="81" t="n">
        <v>46310</v>
      </c>
      <c r="D2" s="81"/>
      <c r="E2" s="81" t="n">
        <v>46310</v>
      </c>
    </row>
    <row r="3" customFormat="false" ht="15" hidden="false" customHeight="false" outlineLevel="0" collapsed="false">
      <c r="A3" s="79" t="s">
        <v>220</v>
      </c>
      <c r="B3" s="83" t="n">
        <v>133.5</v>
      </c>
      <c r="C3" s="81" t="n">
        <v>46310</v>
      </c>
      <c r="D3" s="81"/>
      <c r="E3" s="81" t="n">
        <v>46310</v>
      </c>
    </row>
    <row r="4" customFormat="false" ht="15" hidden="false" customHeight="false" outlineLevel="0" collapsed="false">
      <c r="A4" s="79" t="s">
        <v>345</v>
      </c>
      <c r="B4" s="83" t="n">
        <v>573</v>
      </c>
      <c r="C4" s="81" t="n">
        <v>46310</v>
      </c>
      <c r="D4" s="81"/>
      <c r="E4" s="81" t="n">
        <v>46310</v>
      </c>
    </row>
    <row r="5" customFormat="false" ht="15" hidden="false" customHeight="false" outlineLevel="0" collapsed="false">
      <c r="A5" s="79" t="s">
        <v>79</v>
      </c>
      <c r="B5" s="83" t="n">
        <v>2440</v>
      </c>
      <c r="C5" s="81" t="n">
        <v>46310</v>
      </c>
      <c r="D5" s="81"/>
      <c r="E5" s="81" t="n">
        <v>46310</v>
      </c>
    </row>
    <row r="6" customFormat="false" ht="15" hidden="false" customHeight="false" outlineLevel="0" collapsed="false">
      <c r="A6" s="79" t="s">
        <v>236</v>
      </c>
      <c r="B6" s="83" t="n">
        <v>155</v>
      </c>
      <c r="C6" s="81" t="n">
        <v>46310</v>
      </c>
      <c r="D6" s="81"/>
      <c r="E6" s="81" t="n">
        <v>46310</v>
      </c>
    </row>
    <row r="7" customFormat="false" ht="15" hidden="false" customHeight="false" outlineLevel="0" collapsed="false">
      <c r="A7" s="79" t="s">
        <v>205</v>
      </c>
      <c r="B7" s="83" t="n">
        <v>347</v>
      </c>
      <c r="C7" s="81" t="n">
        <v>46310</v>
      </c>
      <c r="D7" s="81"/>
      <c r="E7" s="81" t="n">
        <v>46310</v>
      </c>
    </row>
    <row r="8" customFormat="false" ht="15" hidden="false" customHeight="false" outlineLevel="0" collapsed="false">
      <c r="A8" s="79" t="s">
        <v>182</v>
      </c>
      <c r="B8" s="83" t="n">
        <v>439.5</v>
      </c>
      <c r="C8" s="81" t="n">
        <v>46310</v>
      </c>
      <c r="D8" s="81"/>
      <c r="E8" s="81" t="n">
        <v>46310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4165</v>
      </c>
      <c r="C10" s="81" t="n">
        <v>46310</v>
      </c>
      <c r="D10" s="81"/>
      <c r="E10" s="81" t="n">
        <v>46310</v>
      </c>
    </row>
    <row r="11" customFormat="false" ht="15" hidden="false" customHeight="false" outlineLevel="0" collapsed="false">
      <c r="A11" s="79" t="s">
        <v>190</v>
      </c>
      <c r="B11" s="83" t="n">
        <v>483.5</v>
      </c>
      <c r="C11" s="81" t="n">
        <v>46310</v>
      </c>
      <c r="D11" s="81"/>
      <c r="E11" s="81" t="n">
        <v>46310</v>
      </c>
    </row>
    <row r="12" customFormat="false" ht="15" hidden="false" customHeight="false" outlineLevel="0" collapsed="false">
      <c r="A12" s="79" t="s">
        <v>224</v>
      </c>
      <c r="B12" s="83" t="n">
        <v>83.7</v>
      </c>
      <c r="C12" s="81" t="n">
        <v>46310</v>
      </c>
      <c r="D12" s="81"/>
      <c r="E12" s="81" t="n">
        <v>46310</v>
      </c>
    </row>
    <row r="13" customFormat="false" ht="15" hidden="false" customHeight="false" outlineLevel="0" collapsed="false">
      <c r="A13" s="79" t="s">
        <v>195</v>
      </c>
      <c r="B13" s="83" t="n">
        <v>565</v>
      </c>
      <c r="C13" s="81" t="n">
        <v>46310</v>
      </c>
      <c r="D13" s="81"/>
      <c r="E13" s="81" t="n">
        <v>46310</v>
      </c>
    </row>
    <row r="14" customFormat="false" ht="15" hidden="false" customHeight="false" outlineLevel="0" collapsed="false">
      <c r="A14" s="79" t="s">
        <v>210</v>
      </c>
      <c r="B14" s="83" t="n">
        <v>2640</v>
      </c>
      <c r="C14" s="81" t="n">
        <v>46310</v>
      </c>
      <c r="D14" s="81"/>
      <c r="E14" s="81" t="n">
        <v>46310</v>
      </c>
    </row>
    <row r="15" customFormat="false" ht="15" hidden="false" customHeight="false" outlineLevel="0" collapsed="false">
      <c r="A15" s="79" t="s">
        <v>230</v>
      </c>
      <c r="B15" s="83" t="n">
        <v>502</v>
      </c>
      <c r="C15" s="81" t="n">
        <v>46310</v>
      </c>
      <c r="D15" s="81"/>
      <c r="E15" s="81" t="n">
        <v>46310</v>
      </c>
    </row>
    <row r="16" customFormat="false" ht="15" hidden="false" customHeight="false" outlineLevel="0" collapsed="false">
      <c r="A16" s="79" t="s">
        <v>212</v>
      </c>
      <c r="B16" s="83" t="n">
        <v>604</v>
      </c>
      <c r="C16" s="81" t="n">
        <v>46310</v>
      </c>
      <c r="D16" s="81"/>
      <c r="E16" s="81" t="n">
        <v>46310</v>
      </c>
    </row>
    <row r="17" customFormat="false" ht="15" hidden="false" customHeight="false" outlineLevel="0" collapsed="false">
      <c r="A17" s="79" t="s">
        <v>216</v>
      </c>
      <c r="B17" s="83" t="n">
        <v>979</v>
      </c>
      <c r="C17" s="81" t="n">
        <v>46310</v>
      </c>
      <c r="D17" s="81"/>
      <c r="E17" s="81" t="n">
        <v>46310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520</v>
      </c>
      <c r="C19" s="81" t="n">
        <v>46310</v>
      </c>
      <c r="D19" s="81"/>
      <c r="E19" s="81" t="n">
        <v>46310</v>
      </c>
    </row>
    <row r="20" customFormat="false" ht="15" hidden="false" customHeight="false" outlineLevel="0" collapsed="false">
      <c r="A20" s="79" t="s">
        <v>245</v>
      </c>
      <c r="B20" s="83" t="n">
        <v>7670</v>
      </c>
      <c r="C20" s="81" t="n">
        <v>46310</v>
      </c>
      <c r="D20" s="81"/>
      <c r="E20" s="81" t="n">
        <v>46310</v>
      </c>
    </row>
    <row r="21" customFormat="false" ht="15" hidden="false" customHeight="false" outlineLevel="0" collapsed="false">
      <c r="A21" s="79" t="s">
        <v>241</v>
      </c>
      <c r="B21" s="83" t="n">
        <v>467.5</v>
      </c>
      <c r="C21" s="81" t="n">
        <v>46310</v>
      </c>
      <c r="D21" s="81"/>
      <c r="E21" s="81" t="n">
        <v>46310</v>
      </c>
    </row>
    <row r="22" customFormat="false" ht="15" hidden="false" customHeight="false" outlineLevel="0" collapsed="false">
      <c r="A22" s="79" t="s">
        <v>197</v>
      </c>
      <c r="B22" s="83" t="n">
        <v>2015</v>
      </c>
      <c r="C22" s="81" t="n">
        <v>46310</v>
      </c>
      <c r="D22" s="81"/>
      <c r="E22" s="81" t="n">
        <v>46310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98.1</v>
      </c>
      <c r="C24" s="81" t="n">
        <v>46310</v>
      </c>
      <c r="D24" s="81"/>
      <c r="E24" s="81" t="n">
        <v>46310</v>
      </c>
    </row>
    <row r="25" customFormat="false" ht="15" hidden="false" customHeight="false" outlineLevel="0" collapsed="false">
      <c r="A25" s="79" t="s">
        <v>232</v>
      </c>
      <c r="B25" s="83" t="n">
        <v>542</v>
      </c>
      <c r="C25" s="81" t="n">
        <v>46310</v>
      </c>
      <c r="D25" s="81"/>
      <c r="E25" s="81" t="n">
        <v>46310</v>
      </c>
    </row>
    <row r="26" customFormat="false" ht="15" hidden="false" customHeight="false" outlineLevel="0" collapsed="false">
      <c r="A26" s="79" t="s">
        <v>186</v>
      </c>
      <c r="B26" s="83" t="n">
        <v>1115</v>
      </c>
      <c r="C26" s="81" t="n">
        <v>46310</v>
      </c>
      <c r="D26" s="81"/>
      <c r="E26" s="81" t="n">
        <v>46310</v>
      </c>
    </row>
    <row r="27" customFormat="false" ht="15" hidden="false" customHeight="false" outlineLevel="0" collapsed="false">
      <c r="A27" s="79" t="s">
        <v>201</v>
      </c>
      <c r="B27" s="83" t="n">
        <v>576</v>
      </c>
      <c r="C27" s="81" t="n">
        <v>46310</v>
      </c>
      <c r="D27" s="81"/>
      <c r="E27" s="81" t="n">
        <v>46310</v>
      </c>
    </row>
    <row r="28" customFormat="false" ht="15" hidden="false" customHeight="false" outlineLevel="0" collapsed="false">
      <c r="A28" s="79" t="s">
        <v>218</v>
      </c>
      <c r="B28" s="83" t="n">
        <v>1540</v>
      </c>
      <c r="C28" s="81" t="n">
        <v>46310</v>
      </c>
      <c r="D28" s="81"/>
      <c r="E28" s="81" t="n">
        <v>46310</v>
      </c>
    </row>
    <row r="29" customFormat="false" ht="15" hidden="false" customHeight="false" outlineLevel="0" collapsed="false">
      <c r="A29" s="79" t="s">
        <v>243</v>
      </c>
      <c r="B29" s="83" t="n">
        <v>488</v>
      </c>
      <c r="C29" s="81" t="n">
        <v>46310</v>
      </c>
      <c r="D29" s="81"/>
      <c r="E29" s="81" t="n">
        <v>46310</v>
      </c>
    </row>
    <row r="30" customFormat="false" ht="15" hidden="false" customHeight="false" outlineLevel="0" collapsed="false">
      <c r="A30" s="79" t="s">
        <v>228</v>
      </c>
      <c r="B30" s="83" t="n">
        <v>1830</v>
      </c>
      <c r="C30" s="81" t="n">
        <v>46310</v>
      </c>
      <c r="D30" s="81"/>
      <c r="E30" s="81" t="n">
        <v>46310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2440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137.914593561644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28.2800185442745</v>
      </c>
      <c r="K2" s="52" t="n">
        <f aca="false">IF($A2="","",IFERROR(IF(G2&lt;=0,"N/M",D2/G2),"N/M"))</f>
        <v>25.1464808273027</v>
      </c>
      <c r="L2" s="52" t="n">
        <f aca="false">IF($A2="","",IFERROR(IF(H2&lt;=0,"N/M",D2/H2),"N/M"))</f>
        <v>17.6921088406021</v>
      </c>
      <c r="M2" s="49" t="n">
        <f aca="false">IF($A2="","",IFERROR(INDEX(Raw_Est!$C$2:$C$100,MATCH($A2,Raw_Est!$A$2:$A$100,0))/INDEX(Raw_Est!$B$2:$B$100,MATCH($A2,Raw_Est!$A$2:$A$100,0))-1,""))</f>
        <v>0.342559286441472</v>
      </c>
      <c r="N2" s="51" t="n">
        <f aca="false">IF($A2="","",IFERROR(IF(OR(NOT(ISNUMBER(J2)),I2&lt;Config!$B$6),"N/M",J2/(I2*100)),"N/M"))</f>
        <v>0.531347295371403</v>
      </c>
      <c r="O2" s="51" t="n">
        <f aca="false">IF($A2="","",IFERROR(IF(OR(NOT(ISNUMBER(L2)),M2&lt;Config!$B$6),"N/M",L2/(M2*100)),"N/M"))</f>
        <v>0.516468522117407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0.0090164345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0.43769075766465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24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46310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439.5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109.787147369863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16.1878453038674</v>
      </c>
      <c r="K3" s="52" t="n">
        <f aca="false">IF($A3="","",IFERROR(IF(G3&lt;=0,"N/M",D3/G3),"N/M"))</f>
        <v>9.25305040122869</v>
      </c>
      <c r="L3" s="52" t="n">
        <f aca="false">IF($A3="","",IFERROR(IF(H3&lt;=0,"N/M",D3/H3),"N/M"))</f>
        <v>4.00320083478774</v>
      </c>
      <c r="M3" s="49" t="n">
        <f aca="false">IF($A3="","",IFERROR(INDEX(Raw_Est!$C$2:$C$100,MATCH($A3,Raw_Est!$A$2:$A$100,0))/INDEX(Raw_Est!$B$2:$B$100,MATCH($A3,Raw_Est!$A$2:$A$100,0))-1,""))</f>
        <v>0.560727330823269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0.0713930035996314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0.814119891189542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5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46310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1115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228.238125917808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4.88524866525379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46310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483.5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8.64774849315069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117.354368932039</v>
      </c>
      <c r="K5" s="52" t="n">
        <f aca="false">IF($A5="","",IFERROR(IF(G5&lt;=0,"N/M",D5/G5),"N/M"))</f>
        <v>102.9974713961</v>
      </c>
      <c r="L5" s="52" t="n">
        <f aca="false">IF($A5="","",IFERROR(IF(H5&lt;=0,"N/M",D5/H5),"N/M"))</f>
        <v>55.910506692343</v>
      </c>
      <c r="M5" s="49" t="n">
        <f aca="false">IF($A5="","",IFERROR(INDEX(Raw_Est!$C$2:$C$100,MATCH($A5,Raw_Est!$A$2:$A$100,0))/INDEX(Raw_Est!$B$2:$B$100,MATCH($A5,Raw_Est!$A$2:$A$100,0))-1,""))</f>
        <v>0.680774289878773</v>
      </c>
      <c r="N5" s="51" t="n">
        <f aca="false">IF($A5="","",IFERROR(IF(OR(NOT(ISNUMBER(J5)),I5&lt;Config!$B$6),"N/M",J5/(I5*100)),"N/M"))</f>
        <v>1.90607414507452</v>
      </c>
      <c r="O5" s="51" t="n">
        <f aca="false">IF($A5="","",IFERROR(IF(OR(NOT(ISNUMBER(L5)),M5&lt;Config!$B$6),"N/M",L5/(M5*100)),"N/M"))</f>
        <v>0.821278175800368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0.00541997214064116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0.281671516389037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8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46310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565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35.0998835890411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19.7070108126962</v>
      </c>
      <c r="K6" s="52" t="n">
        <f aca="false">IF($A6="","",IFERROR(IF(G6&lt;=0,"N/M",D6/G6),"N/M"))</f>
        <v>17.528766567399</v>
      </c>
      <c r="L6" s="52" t="n">
        <f aca="false">IF($A6="","",IFERROR(IF(H6&lt;=0,"N/M",D6/H6),"N/M"))</f>
        <v>16.0969194831291</v>
      </c>
      <c r="M6" s="49" t="n">
        <f aca="false">IF($A6="","",IFERROR(INDEX(Raw_Est!$C$2:$C$100,MATCH($A6,Raw_Est!$A$2:$A$100,0))/INDEX(Raw_Est!$B$2:$B$100,MATCH($A6,Raw_Est!$A$2:$A$100,0))-1,""))</f>
        <v>0.0435698727887142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0.0495575221238938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0.299427087809628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15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46310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2015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115.939064712329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36.9521364386576</v>
      </c>
      <c r="K7" s="52" t="n">
        <f aca="false">IF($A7="","",IFERROR(IF(G7&lt;=0,"N/M",D7/G7),"N/M"))</f>
        <v>33.7160904394386</v>
      </c>
      <c r="L7" s="52" t="n">
        <f aca="false">IF($A7="","",IFERROR(IF(H7&lt;=0,"N/M",D7/H7),"N/M"))</f>
        <v>17.3798193473414</v>
      </c>
      <c r="M7" s="49" t="n">
        <f aca="false">IF($A7="","",IFERROR(INDEX(Raw_Est!$C$2:$C$100,MATCH($A7,Raw_Est!$A$2:$A$100,0))/INDEX(Raw_Est!$B$2:$B$100,MATCH($A7,Raw_Est!$A$2:$A$100,0))-1,""))</f>
        <v>0.846748464739437</v>
      </c>
      <c r="N7" s="51" t="n">
        <f aca="false">IF($A7="","",IFERROR(IF(OR(NOT(ISNUMBER(J7)),I7&lt;Config!$B$6),"N/M",J7/(I7*100)),"N/M"))</f>
        <v>0.643041449683775</v>
      </c>
      <c r="O7" s="51" t="n">
        <f aca="false">IF($A7="","",IFERROR(IF(OR(NOT(ISNUMBER(L7)),M7&lt;Config!$B$6),"N/M",L7/(M7*100)),"N/M"))</f>
        <v>0.205253626916106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0.0052136389528536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0.273562150990253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46310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576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33.595698630137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17.1450520002968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1.35694647308049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46310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347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36.2560603835616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12.9913889928866</v>
      </c>
      <c r="K9" s="52" t="n">
        <f aca="false">IF($A9="","",IFERROR(IF(G9&lt;=0,"N/M",D9/G9),"N/M"))</f>
        <v>11.4270058017576</v>
      </c>
      <c r="L9" s="52" t="n">
        <f aca="false">IF($A9="","",IFERROR(IF(H9&lt;=0,"N/M",D9/H9),"N/M"))</f>
        <v>9.57081371580373</v>
      </c>
      <c r="M9" s="49" t="n">
        <f aca="false">IF($A9="","",IFERROR(INDEX(Raw_Est!$C$2:$C$100,MATCH($A9,Raw_Est!$A$2:$A$100,0))/INDEX(Raw_Est!$B$2:$B$100,MATCH($A9,Raw_Est!$A$2:$A$100,0))-1,""))</f>
        <v>0.10522514233823</v>
      </c>
      <c r="N9" s="51" t="n">
        <f aca="false">IF($A9="","",IFERROR(IF(OR(NOT(ISNUMBER(J9)),I9&lt;Config!$B$6),"N/M",J9/(I9*100)),"N/M"))</f>
        <v>0.207306712597859</v>
      </c>
      <c r="O9" s="51" t="n">
        <f aca="false">IF($A9="","",IFERROR(IF(OR(NOT(ISNUMBER(L9)),M9&lt;Config!$B$6),"N/M",L9/(M9*100)),"N/M"))</f>
        <v>0.909555787060832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0.0288184438040346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0.337122302004036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46310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9720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465.764681643836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53.5861954903799</v>
      </c>
      <c r="K10" s="52" t="n">
        <f aca="false">IF($A10="","",IFERROR(IF(G10&lt;=0,"N/M",D10/G10),"N/M"))</f>
        <v>36.5083106173642</v>
      </c>
      <c r="L10" s="52" t="n">
        <f aca="false">IF($A10="","",IFERROR(IF(H10&lt;=0,"N/M",D10/H10),"N/M"))</f>
        <v>20.8689073754904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0.31796798184954</v>
      </c>
      <c r="O10" s="51" t="n">
        <f aca="false">IF($A10="","",IFERROR(IF(OR(NOT(ISNUMBER(L10)),M10&lt;Config!$B$6),"N/M",L10/(M10*100)),"N/M"))</f>
        <v>0.501672898804554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0.00331275720164609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46310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2640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35.2204252328767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235.504014272971</v>
      </c>
      <c r="K11" s="52" t="n">
        <f aca="false">IF($A11="","",IFERROR(IF(G11&lt;=0,"N/M",D11/G11),"N/M"))</f>
        <v>165.829145728643</v>
      </c>
      <c r="L11" s="52" t="n">
        <f aca="false">IF($A11="","",IFERROR(IF(H11&lt;=0,"N/M",D11/H11),"N/M"))</f>
        <v>74.9565055658578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0.418069100967773</v>
      </c>
      <c r="O11" s="51" t="n">
        <f aca="false">IF($A11="","",IFERROR(IF(OR(NOT(ISNUMBER(L11)),M11&lt;Config!$B$6),"N/M",L11/(M11*100)),"N/M"))</f>
        <v>0.743036743364784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0.000189402329545455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46310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604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62.655601659751</v>
      </c>
      <c r="K12" s="52" t="n">
        <f aca="false">IF($A12="","",IFERROR(IF(G12&lt;=0,"N/M",D12/G12),"N/M"))</f>
        <v>88.0466472303207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0.235070231619323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46310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979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25.9333681643836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165.932203389831</v>
      </c>
      <c r="K13" s="52" t="n">
        <f aca="false">IF($A13="","",IFERROR(IF(G13&lt;=0,"N/M",D13/G13),"N/M"))</f>
        <v>117.467078621352</v>
      </c>
      <c r="L13" s="52" t="n">
        <f aca="false">IF($A13="","",IFERROR(IF(H13&lt;=0,"N/M",D13/H13),"N/M"))</f>
        <v>37.750591970716</v>
      </c>
      <c r="M13" s="49" t="n">
        <f aca="false">IF($A13="","",IFERROR(INDEX(Raw_Est!$C$2:$C$100,MATCH($A13,Raw_Est!$A$2:$A$100,0))/INDEX(Raw_Est!$B$2:$B$100,MATCH($A13,Raw_Est!$A$2:$A$100,0))-1,""))</f>
        <v>1.47320879131875</v>
      </c>
      <c r="N13" s="51" t="n">
        <f aca="false">IF($A13="","",IFERROR(IF(OR(NOT(ISNUMBER(J13)),I13&lt;Config!$B$6),"N/M",J13/(I13*100)),"N/M"))</f>
        <v>0.428098008745618</v>
      </c>
      <c r="O13" s="51" t="n">
        <f aca="false">IF($A13="","",IFERROR(IF(OR(NOT(ISNUMBER(L13)),M13&lt;Config!$B$6),"N/M",L13/(M13*100)),"N/M"))</f>
        <v>0.256247398150017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0.00102162607763024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0.142108595491628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7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46310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1540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115.656904109589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13.315244877563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0.12144114352959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46310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133.5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7.23737682191781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19.9850299401198</v>
      </c>
      <c r="K15" s="52" t="n">
        <f aca="false">IF($A15="","",IFERROR(IF(G15&lt;=0,"N/M",D15/G15),"N/M"))</f>
        <v>19.3719708622341</v>
      </c>
      <c r="L15" s="52" t="n">
        <f aca="false">IF($A15="","",IFERROR(IF(H15&lt;=0,"N/M",D15/H15),"N/M"))</f>
        <v>18.4459097936847</v>
      </c>
      <c r="M15" s="49" t="n">
        <f aca="false">IF($A15="","",IFERROR(INDEX(Raw_Est!$C$2:$C$100,MATCH($A15,Raw_Est!$A$2:$A$100,0))/INDEX(Raw_Est!$B$2:$B$100,MATCH($A15,Raw_Est!$A$2:$A$100,0))-1,""))</f>
        <v>0.0393522541748463</v>
      </c>
      <c r="N15" s="51" t="n">
        <f aca="false">IF($A15="","",IFERROR(IF(OR(NOT(ISNUMBER(J15)),I15&lt;Config!$B$6),"N/M",J15/(I15*100)),"N/M"))</f>
        <v>0.180491580940683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0.198871620624717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46310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4165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131.748604164384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68.6274509803922</v>
      </c>
      <c r="K16" s="52" t="n">
        <f aca="false">IF($A16="","",IFERROR(IF(G16&lt;=0,"N/M",D16/G16),"N/M"))</f>
        <v>69.0892526981302</v>
      </c>
      <c r="L16" s="52" t="n">
        <f aca="false">IF($A16="","",IFERROR(IF(H16&lt;=0,"N/M",D16/H16),"N/M"))</f>
        <v>31.6132381547155</v>
      </c>
      <c r="M16" s="49" t="n">
        <f aca="false">IF($A16="","",IFERROR(INDEX(Raw_Est!$C$2:$C$100,MATCH($A16,Raw_Est!$A$2:$A$100,0))/INDEX(Raw_Est!$B$2:$B$100,MATCH($A16,Raw_Est!$A$2:$A$100,0))-1,""))</f>
        <v>1.1736269930887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0.269363591165514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0.0129652382881152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0.258640249499171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46310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83.7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31</v>
      </c>
      <c r="K17" s="52" t="n">
        <f aca="false">IF($A17="","",IFERROR(IF(G17&lt;=0,"N/M",D17/G17),"N/M"))</f>
        <v>26.741214057508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46310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98.1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7.09125336986301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16.5709459459459</v>
      </c>
      <c r="K18" s="52" t="n">
        <f aca="false">IF($A18="","",IFERROR(IF(G18&lt;=0,"N/M",D18/G18),"N/M"))</f>
        <v>17.208805435246</v>
      </c>
      <c r="L18" s="52" t="n">
        <f aca="false">IF($A18="","",IFERROR(IF(H18&lt;=0,"N/M",D18/H18),"N/M"))</f>
        <v>13.8339437167643</v>
      </c>
      <c r="M18" s="49" t="n">
        <f aca="false">IF($A18="","",IFERROR(INDEX(Raw_Est!$C$2:$C$100,MATCH($A18,Raw_Est!$A$2:$A$100,0))/INDEX(Raw_Est!$B$2:$B$100,MATCH($A18,Raw_Est!$A$2:$A$100,0))-1,""))</f>
        <v>0.284860826131111</v>
      </c>
      <c r="N18" s="51" t="n">
        <f aca="false">IF($A18="","",IFERROR(IF(OR(NOT(ISNUMBER(J18)),I18&lt;Config!$B$6),"N/M",J18/(I18*100)),"N/M"))</f>
        <v>0.672752079002079</v>
      </c>
      <c r="O18" s="51" t="n">
        <f aca="false">IF($A18="","",IFERROR(IF(OR(NOT(ISNUMBER(L18)),M18&lt;Config!$B$6),"N/M",L18/(M18*100)),"N/M"))</f>
        <v>0.485638685552257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0.0408709158002039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0.0748730420535528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46310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1830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309.129946136986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5.91984058118091</v>
      </c>
      <c r="M19" s="49" t="n">
        <f aca="false">IF($A19="","",IFERROR(INDEX(Raw_Est!$C$2:$C$100,MATCH($A19,Raw_Est!$A$2:$A$100,0))/INDEX(Raw_Est!$B$2:$B$100,MATCH($A19,Raw_Est!$A$2:$A$100,0))-1,""))</f>
        <v>-0.317229480084619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46310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502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9.71453846575343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58.9894242068155</v>
      </c>
      <c r="K20" s="52" t="n">
        <f aca="false">IF($A20="","",IFERROR(IF(G20&lt;=0,"N/M",D20/G20),"N/M"))</f>
        <v>61.9161443262857</v>
      </c>
      <c r="L20" s="52" t="n">
        <f aca="false">IF($A20="","",IFERROR(IF(H20&lt;=0,"N/M",D20/H20),"N/M"))</f>
        <v>51.6751260772394</v>
      </c>
      <c r="M20" s="49" t="n">
        <f aca="false">IF($A20="","",IFERROR(INDEX(Raw_Est!$C$2:$C$100,MATCH($A20,Raw_Est!$A$2:$A$100,0))/INDEX(Raw_Est!$B$2:$B$100,MATCH($A20,Raw_Est!$A$2:$A$100,0))-1,""))</f>
        <v>0.311584482205835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1.65846276141257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0.00398406374501992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0.0754540807228892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10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46310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542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12.7081369863014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88.130081300813</v>
      </c>
      <c r="K21" s="52" t="n">
        <f aca="false">IF($A21="","",IFERROR(IF(G21&lt;=0,"N/M",D21/G21),"N/M"))</f>
        <v>79.8232695139912</v>
      </c>
      <c r="L21" s="52" t="n">
        <f aca="false">IF($A21="","",IFERROR(IF(H21&lt;=0,"N/M",D21/H21),"N/M"))</f>
        <v>42.6498392789002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1.97133076593924</v>
      </c>
      <c r="O21" s="51" t="n">
        <f aca="false">IF($A21="","",IFERROR(IF(OR(NOT(ISNUMBER(L21)),M21&lt;Config!$B$6),"N/M",L21/(M21*100)),"N/M"))</f>
        <v>0.46762954342889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0.0028498760701107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46310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520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8.55086038356164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60.8125938998676</v>
      </c>
      <c r="M22" s="49" t="n">
        <f aca="false">IF($A22="","",IFERROR(INDEX(Raw_Est!$C$2:$C$100,MATCH($A22,Raw_Est!$A$2:$A$100,0))/INDEX(Raw_Est!$B$2:$B$100,MATCH($A22,Raw_Est!$A$2:$A$100,0))-1,""))</f>
        <v>-26.1800689655172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-0.00864655356373243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3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46310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155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46.8249295342466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17.1081677704194</v>
      </c>
      <c r="K23" s="52" t="n">
        <f aca="false">IF($A23="","",IFERROR(IF(G23&lt;=0,"N/M",D23/G23),"N/M"))</f>
        <v>9.38880115912322</v>
      </c>
      <c r="L23" s="52" t="n">
        <f aca="false">IF($A23="","",IFERROR(IF(H23&lt;=0,"N/M",D23/H23),"N/M"))</f>
        <v>3.3102025254867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0.0310128147421909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0.0032258064516129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46310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467.5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95.020325203252</v>
      </c>
      <c r="K25" s="52" t="n">
        <f aca="false">IF($A25="","",IFERROR(IF(G25&lt;=0,"N/M",D25/G25),"N/M"))</f>
        <v>108.4686774942</v>
      </c>
      <c r="L25" s="52" t="n">
        <f aca="false">IF($A25="","",IFERROR(IF(H25&lt;=0,"N/M",D25/H25),"N/M"))</f>
        <v>39.0559732664996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0.00213903743315508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46310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488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12.9952328767123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37.5522320092089</v>
      </c>
      <c r="M26" s="49" t="n">
        <f aca="false">IF($A26="","",IFERROR(INDEX(Raw_Est!$C$2:$C$100,MATCH($A26,Raw_Est!$A$2:$A$100,0))/INDEX(Raw_Est!$B$2:$B$100,MATCH($A26,Raw_Est!$A$2:$A$100,0))-1,""))</f>
        <v>2.56279069767442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0.146528672994191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0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46310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7670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106.855567671233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196.616252243015</v>
      </c>
      <c r="K27" s="52" t="n">
        <f aca="false">IF($A27="","",IFERROR(IF(G27&lt;=0,"N/M",D27/G27),"N/M"))</f>
        <v>170.861308066948</v>
      </c>
      <c r="L27" s="52" t="n">
        <f aca="false">IF($A27="","",IFERROR(IF(H27&lt;=0,"N/M",D27/H27),"N/M"))</f>
        <v>71.7791329657114</v>
      </c>
      <c r="M27" s="49" t="n">
        <f aca="false">IF($A27="","",IFERROR(INDEX(Raw_Est!$C$2:$C$100,MATCH($A27,Raw_Est!$A$2:$A$100,0))/INDEX(Raw_Est!$B$2:$B$100,MATCH($A27,Raw_Est!$A$2:$A$100,0))-1,""))</f>
        <v>1.26619949607388</v>
      </c>
      <c r="N27" s="51" t="n">
        <f aca="false">IF($A27="","",IFERROR(IF(OR(NOT(ISNUMBER(J27)),I27&lt;Config!$B$6),"N/M",J27/(I27*100)),"N/M"))</f>
        <v>4.44152335893995</v>
      </c>
      <c r="O27" s="51" t="n">
        <f aca="false">IF($A27="","",IFERROR(IF(OR(NOT(ISNUMBER(L27)),M27&lt;Config!$B$6),"N/M",L27/(M27*100)),"N/M"))</f>
        <v>0.566886443947244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0.00260756192959583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0.531975972855065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46310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2026-10-15T11:57:26Z</dcterms:created>
  <dc:creator>openpyxl</dc:creator>
  <dc:description/>
  <dc:language>en-US</dc:language>
  <cp:lastModifiedBy/>
  <dcterms:modified xsi:type="dcterms:W3CDTF">2026-10-15T11:57:27Z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