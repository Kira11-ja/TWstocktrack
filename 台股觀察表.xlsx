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Raw_Q!$A$1:$S$101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<sst xmlns="http://schemas.openxmlformats.org/spreadsheetml/2006/main" count="964" uniqueCount="412">
  <si>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</si>
  <si>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</si>
  <si>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</si>
  <si>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</si>
  <si>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</si>
  <si>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</si>
  <si>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</si>
  <si>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</si>
  <si>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</si>
  <si>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</si>
  <si>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</si>
  <si>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</si>
  <si>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</si>
  <si>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</si>
  <si>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</si>
  <si>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</si>
  <si>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</si>
  <si>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</si>
  <si>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</si>
  <si>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</si>
  <si>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</si>
  <si>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</si>
  <si>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</si>
  <si>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</si>
  <si>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</si>
  <si>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</si>
  <si>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</si>
  <si>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</si>
  <si>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</si>
  <si>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</si>
  <si>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</si>
  <si>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</si>
  <si>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</si>
  <si>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</si>
  <si>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</si>
  <si>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</si>
  <si>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</si>
  <si>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</si>
  <si>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</si>
  <si>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</si>
  <si>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</si>
  <si>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</si>
  <si>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</si>
  <si>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</si>
  <si>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</si>
  <si>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</si>
  <si>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</si>
  <si>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</si>
  <si>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</si>
  <si>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</si>
  <si>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</si>
  <si>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</si>
  <si>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</si>
  <si>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</si>
  <si>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</si>
  <si>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</si>
  <si>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</si>
  <si>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</si>
  <si>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</si>
  <si>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</si>
  <si>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</si>
  <si>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</si>
  <si>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</si>
  <si>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</si>
  <si>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</si>
  <si>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</si>
  <si>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</si>
  <si>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</si>
  <si>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</si>
  <si>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</si>
  <si>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</si>
  <si>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</si>
  <si>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</si>
  <si>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</si>
  <si>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</si>
  <si>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</si>
  <si>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</si>
  <si>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</si>
  <si>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</si>
  <si>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</si>
  <si>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</si>
  <si>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</si>
  <si>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</si>
  <si>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</si>
  <si>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</si>
  <si>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</si>
  <si>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</si>
  <si>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</si>
  <si>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</si>
  <si>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</si>
  <si>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</si>
  <si>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</si>
  <si>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</si>
  <si>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</si>
  <si>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</si>
  <si>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</si>
  <si>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</si>
  <si>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</si>
  <si>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</si>
  <si>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</si>
  <si>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</si>
  <si>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</si>
  <si>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</si>
  <si>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</si>
  <si>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</si>
  <si>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</si>
  <si>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</si>
  <si>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</si>
  <si>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</si>
  <si>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</si>
  <si>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</si>
  <si>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</si>
  <si>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</si>
  <si>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</si>
  <si>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</si>
  <si>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</si>
  <si>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</si>
  <si>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</si>
  <si>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</si>
  <si>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</si>
  <si>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</si>
  <si>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</si>
  <si>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</si>
  <si>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</si>
  <si>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</si>
  <si>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</si>
  <si>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</si>
  <si>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</si>
  <si>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</si>
  <si>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</si>
  <si>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</si>
  <si>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</si>
  <si>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</si>
  <si>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</si>
  <si>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</si>
  <si>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</si>
  <si>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</si>
  <si>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</si>
  <si>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</si>
  <si>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</si>
  <si>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</si>
  <si>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</si>
  <si>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</si>
  <si>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</si>
  <si>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</si>
  <si>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</si>
  <si>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</si>
  <si>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</si>
  <si>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</si>
  <si>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</si>
  <si>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</si>
  <si>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</si>
  <si>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</si>
  <si>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</si>
  <si>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</si>
  <si>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</si>
  <si>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</si>
  <si>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</si>
  <si>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</si>
  <si>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</si>
  <si>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</si>
  <si>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</si>
  <si>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</si>
  <si>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</si>
  <si>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</si>
  <si>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</si>
  <si>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</si>
  <si>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</si>
  <si>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</si>
  <si>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</si>
  <si>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</si>
  <si>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</si>
  <si>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</si>
  <si>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觀察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</si>
  <si>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</si>
  <si>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</si>
  <si>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</si>
  <si>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</si>
  <si>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</si>
  <si>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2455</t>
  </si>
  <si>
    <t xml:space="preserve">全新</t>
  </si>
  <si>
    <t xml:space="preserve">通信網路業</t>
  </si>
  <si>
    <t xml:space="preserve">池子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</si>
  <si>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</si>
  <si>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</si>
  <si>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</si>
  <si>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</si>
  <si>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</si>
  <si>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</si>
  <si>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</si>
  <si>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</si>
  <si>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</si>
  <si>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</si>
  <si>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</si>
  <si>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</si>
  <si>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</si>
  <si>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</si>
  <si>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</si>
  <si>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</si>
  <si>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</si>
  <si>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</si>
  <si>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</si>
  <si>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</si>
  <si>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</si>
  <si>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</si>
  <si>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</si>
  <si>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2330|0</t>
  </si>
  <si>
    <t xml:space="preserve">FY2026Q2</t>
  </si>
  <si>
    <t xml:space="preserve">N</t>
  </si>
  <si>
    <t xml:space="preserve">actual</t>
  </si>
  <si>
    <t xml:space="preserve">2330|1</t>
  </si>
  <si>
    <t xml:space="preserve">FY2026Q1</t>
  </si>
  <si>
    <t xml:space="preserve">2330|2</t>
  </si>
  <si>
    <t xml:space="preserve">FY2025Q4</t>
  </si>
  <si>
    <t xml:space="preserve">2330|3</t>
  </si>
  <si>
    <t xml:space="preserve">FY2025Q3</t>
  </si>
  <si>
    <t xml:space="preserve">2330|4</t>
  </si>
  <si>
    <t xml:space="preserve">FY2025Q2</t>
  </si>
  <si>
    <t xml:space="preserve">2330|5</t>
  </si>
  <si>
    <t xml:space="preserve">FY2025Q1</t>
  </si>
  <si>
    <t xml:space="preserve">2330|6</t>
  </si>
  <si>
    <t xml:space="preserve">FY2024Q4</t>
  </si>
  <si>
    <t xml:space="preserve">2330|7</t>
  </si>
  <si>
    <t xml:space="preserve">FY2024Q3</t>
  </si>
  <si>
    <t xml:space="preserve">2330|8</t>
  </si>
  <si>
    <t xml:space="preserve">FY2024Q2</t>
  </si>
  <si>
    <t xml:space="preserve">2330|9</t>
  </si>
  <si>
    <t xml:space="preserve">FY2024Q1</t>
  </si>
  <si>
    <t xml:space="preserve">2330|10</t>
  </si>
  <si>
    <t xml:space="preserve">FY2023Q4</t>
  </si>
  <si>
    <t xml:space="preserve">2330|11</t>
  </si>
  <si>
    <t xml:space="preserve">FY2023Q3</t>
  </si>
  <si>
    <t xml:space="preserve">2330|12</t>
  </si>
  <si>
    <t xml:space="preserve">FY2023Q2</t>
  </si>
  <si>
    <t xml:space="preserve">2330|13</t>
  </si>
  <si>
    <t xml:space="preserve">FY2023Q1</t>
  </si>
  <si>
    <t xml:space="preserve">2330|14</t>
  </si>
  <si>
    <t xml:space="preserve">FY2022Q4</t>
  </si>
  <si>
    <t xml:space="preserve">2330|15</t>
  </si>
  <si>
    <t xml:space="preserve">FY2022Q3</t>
  </si>
  <si>
    <t xml:space="preserve">2330|16</t>
  </si>
  <si>
    <t xml:space="preserve">FY2022Q2</t>
  </si>
  <si>
    <t xml:space="preserve">2330|17</t>
  </si>
  <si>
    <t xml:space="preserve">FY2022Q1</t>
  </si>
  <si>
    <t xml:space="preserve">2330|18</t>
  </si>
  <si>
    <t xml:space="preserve">FY2021Q4</t>
  </si>
  <si>
    <t xml:space="preserve">2330|19</t>
  </si>
  <si>
    <t xml:space="preserve">FY2021Q3</t>
  </si>
  <si>
    <t xml:space="preserve">2330|20</t>
  </si>
  <si>
    <t xml:space="preserve">FY2021Q2</t>
  </si>
  <si>
    <t xml:space="preserve">2330|21</t>
  </si>
  <si>
    <t xml:space="preserve">FY2021Q1</t>
  </si>
  <si>
    <t xml:space="preserve">2330|22</t>
  </si>
  <si>
    <t xml:space="preserve">FY2020Q4</t>
  </si>
  <si>
    <t xml:space="preserve">2330|23</t>
  </si>
  <si>
    <t xml:space="preserve">FY2020Q3</t>
  </si>
  <si>
    <t xml:space="preserve">2330|24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</si>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</sst>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3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68C07F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6EC384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2385</v>
      </c>
      <c r="E3" s="18" t="n">
        <f aca="false">IF(Calc!$A$2="","",Calc!J$2)</f>
        <v>27.6425591098748</v>
      </c>
      <c r="F3" s="18" t="n">
        <f aca="false">IF(Calc!$A$2="","",Calc!L$2)</f>
        <v>18.2351538132056</v>
      </c>
      <c r="G3" s="17" t="n">
        <f aca="false">IF(Calc!$A$2="","",Calc!N$2)</f>
        <v>0.519370204697048</v>
      </c>
      <c r="H3" s="17" t="n">
        <f aca="false">IF(Calc!$A$2="","",Calc!O$2)</f>
        <v>0.569190860318125</v>
      </c>
      <c r="I3" s="19" t="n">
        <f aca="false">IF(Calc!$A$2="","",Calc!Q$2)</f>
        <v>0.0092243606624738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觀察</v>
      </c>
      <c r="D4" s="17" t="n">
        <f aca="false">IF(Calc!$A$3="","",Calc!D$3)</f>
        <v>518</v>
      </c>
      <c r="E4" s="18" t="n">
        <f aca="false">IF(Calc!$A$3="","",Calc!J$3)</f>
        <v>19.0791896869245</v>
      </c>
      <c r="F4" s="18" t="n">
        <f aca="false">IF(Calc!$A$3="","",Calc!L$3)</f>
        <v>6.04864252931344</v>
      </c>
      <c r="G4" s="17" t="str">
        <f aca="false">IF(Calc!$A$3="","",Calc!N$3)</f>
        <v>N/M</v>
      </c>
      <c r="H4" s="17" t="n">
        <f aca="false">IF(Calc!$A$3="","",Calc!O$3)</f>
        <v>0.128228702166929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0.695734066852749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1420</v>
      </c>
      <c r="E5" s="18" t="n">
        <f aca="false">IF(Calc!$A$4="","",Calc!J$4)</f>
        <v>7.77869076965215</v>
      </c>
      <c r="F5" s="18" t="n">
        <f aca="false">IF(Calc!$A$4="","",Calc!L$4)</f>
        <v>5.75136599672347</v>
      </c>
      <c r="G5" s="17" t="n">
        <f aca="false">IF(Calc!$A$4="","",Calc!N$4)</f>
        <v>0.00486734143037023</v>
      </c>
      <c r="H5" s="17" t="str">
        <f aca="false">IF(Calc!$A$4="","",Calc!O$4)</f>
        <v>N/M</v>
      </c>
      <c r="I5" s="19" t="n">
        <f aca="false">IF(Calc!$A$4="","",Calc!Q$4)</f>
        <v>0.00660368854929578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542</v>
      </c>
      <c r="E6" s="18" t="n">
        <f aca="false">IF(Calc!$A$5="","",Calc!J$5)</f>
        <v>131.553398058252</v>
      </c>
      <c r="F6" s="18" t="n">
        <f aca="false">IF(Calc!$A$5="","",Calc!L$5)</f>
        <v>70.8962086386222</v>
      </c>
      <c r="G6" s="17" t="n">
        <f aca="false">IF(Calc!$A$5="","",Calc!N$5)</f>
        <v>2.13669531878053</v>
      </c>
      <c r="H6" s="17" t="n">
        <f aca="false">IF(Calc!$A$5="","",Calc!O$5)</f>
        <v>1.08242101007701</v>
      </c>
      <c r="I6" s="19" t="n">
        <f aca="false">IF(Calc!$A$5="","",Calc!Q$5)</f>
        <v>0.00483497514760148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0.265876622636104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/>
      </c>
      <c r="B7" s="16" t="str">
        <f aca="false">IF(Calc!$A$6="","",Calc!B$6)</f>
        <v/>
      </c>
      <c r="C7" s="16" t="str">
        <f aca="false">IF(Calc!$A$6="","",Calc!C$6)</f>
        <v/>
      </c>
      <c r="D7" s="17" t="str">
        <f aca="false">IF(Calc!$A$6="","",Calc!D$6)</f>
        <v/>
      </c>
      <c r="E7" s="18" t="str">
        <f aca="false">IF(Calc!$A$6="","",Calc!J$6)</f>
        <v/>
      </c>
      <c r="F7" s="18" t="str">
        <f aca="false">IF(Calc!$A$6="","",Calc!L$6)</f>
        <v/>
      </c>
      <c r="G7" s="17" t="str">
        <f aca="false">IF(Calc!$A$6="","",Calc!N$6)</f>
        <v/>
      </c>
      <c r="H7" s="17" t="str">
        <f aca="false">IF(Calc!$A$6="","",Calc!O$6)</f>
        <v/>
      </c>
      <c r="I7" s="19" t="str">
        <f aca="false">IF(Calc!$A$6="","",Calc!Q$6)</f>
        <v/>
      </c>
      <c r="J7" s="19" t="str">
        <f aca="false">IF(Calc!$A$6="","",Calc!R$6)</f>
        <v/>
      </c>
      <c r="K7" s="19" t="str">
        <f aca="false">IF(Calc!$A$6="","",Calc!T$6)</f>
        <v/>
      </c>
      <c r="L7" s="19" t="str">
        <f aca="false">IF(Calc!$A$6="","",Calc!U$6)</f>
        <v/>
      </c>
      <c r="M7" s="20" t="str">
        <f aca="false">IF(Calc!$A$6="","",Calc!V$6)</f>
        <v/>
      </c>
      <c r="N7" s="21" t="str">
        <f aca="false">IF(Calc!$A$6="","",Calc!W$6)</f>
        <v/>
      </c>
      <c r="O7" s="20" t="str">
        <f aca="false">IF(Calc!$A$6="","",Calc!X$6)</f>
        <v/>
      </c>
      <c r="P7" s="19" t="str">
        <f aca="false">IF(Calc!$A$6="","",Calc!S$6)</f>
        <v/>
      </c>
      <c r="Q7" s="19" t="str">
        <f aca="false">IF(Calc!$A$6="","",Calc!Y$6)</f>
        <v/>
      </c>
      <c r="R7" s="19" t="str">
        <f aca="false">IF(Calc!$A$6="","",Calc!I$6)</f>
        <v/>
      </c>
      <c r="S7" s="19" t="str">
        <f aca="false">IF(Calc!$A$6="","",Calc!Z$6)</f>
        <v/>
      </c>
      <c r="T7" s="19" t="str">
        <f aca="false">IF(Calc!$A$6="","",Calc!AA$6)</f>
        <v/>
      </c>
      <c r="U7" s="22" t="str">
        <f aca="false">IF(Calc!$A$6="","",Calc!AB$6)</f>
        <v/>
      </c>
      <c r="V7" s="22" t="str">
        <f aca="false">IF(Calc!$A$6="","",Calc!AC$6)</f>
        <v/>
      </c>
      <c r="W7" s="19" t="str">
        <f aca="false">IF(Calc!$A$6="","",Calc!AF$6)</f>
        <v/>
      </c>
      <c r="X7" s="19" t="str">
        <f aca="false">IF(Calc!$A$6="","",Calc!AG$6)</f>
        <v/>
      </c>
      <c r="Y7" s="19" t="str">
        <f aca="false">IF(Calc!$A$6="","",Calc!AH$6)</f>
        <v/>
      </c>
      <c r="Z7" s="17" t="str">
        <f aca="false">IF(Calc!$A$6="","",Calc!AI$6)</f>
        <v/>
      </c>
      <c r="AA7" s="16" t="str">
        <f aca="false">IF(Calc!$A$6="","",Calc!AJ$6)</f>
        <v/>
      </c>
      <c r="AB7" s="16" t="str">
        <f aca="false">IF(Calc!$A$6="","",Calc!AK$6)</f>
        <v/>
      </c>
      <c r="AC7" s="23" t="str">
        <f aca="false">IF(Calc!$A$6="","",Calc!AM$6)</f>
        <v/>
      </c>
    </row>
    <row r="8" customFormat="false" ht="15" hidden="false" customHeight="false" outlineLevel="0" collapsed="false">
      <c r="A8" s="16" t="str">
        <f aca="false">IF(Calc!$A$7="","",Calc!A$7)</f>
        <v/>
      </c>
      <c r="B8" s="16" t="str">
        <f aca="false">IF(Calc!$A$7="","",Calc!B$7)</f>
        <v/>
      </c>
      <c r="C8" s="16" t="str">
        <f aca="false">IF(Calc!$A$7="","",Calc!C$7)</f>
        <v/>
      </c>
      <c r="D8" s="17" t="str">
        <f aca="false">IF(Calc!$A$7="","",Calc!D$7)</f>
        <v/>
      </c>
      <c r="E8" s="18" t="str">
        <f aca="false">IF(Calc!$A$7="","",Calc!J$7)</f>
        <v/>
      </c>
      <c r="F8" s="18" t="str">
        <f aca="false">IF(Calc!$A$7="","",Calc!L$7)</f>
        <v/>
      </c>
      <c r="G8" s="17" t="str">
        <f aca="false">IF(Calc!$A$7="","",Calc!N$7)</f>
        <v/>
      </c>
      <c r="H8" s="17" t="str">
        <f aca="false">IF(Calc!$A$7="","",Calc!O$7)</f>
        <v/>
      </c>
      <c r="I8" s="19" t="str">
        <f aca="false">IF(Calc!$A$7="","",Calc!Q$7)</f>
        <v/>
      </c>
      <c r="J8" s="19" t="str">
        <f aca="false">IF(Calc!$A$7="","",Calc!R$7)</f>
        <v/>
      </c>
      <c r="K8" s="19" t="str">
        <f aca="false">IF(Calc!$A$7="","",Calc!T$7)</f>
        <v/>
      </c>
      <c r="L8" s="19" t="str">
        <f aca="false">IF(Calc!$A$7="","",Calc!U$7)</f>
        <v/>
      </c>
      <c r="M8" s="20" t="str">
        <f aca="false">IF(Calc!$A$7="","",Calc!V$7)</f>
        <v/>
      </c>
      <c r="N8" s="21" t="str">
        <f aca="false">IF(Calc!$A$7="","",Calc!W$7)</f>
        <v/>
      </c>
      <c r="O8" s="20" t="str">
        <f aca="false">IF(Calc!$A$7="","",Calc!X$7)</f>
        <v/>
      </c>
      <c r="P8" s="19" t="str">
        <f aca="false">IF(Calc!$A$7="","",Calc!S$7)</f>
        <v/>
      </c>
      <c r="Q8" s="19" t="str">
        <f aca="false">IF(Calc!$A$7="","",Calc!Y$7)</f>
        <v/>
      </c>
      <c r="R8" s="19" t="str">
        <f aca="false">IF(Calc!$A$7="","",Calc!I$7)</f>
        <v/>
      </c>
      <c r="S8" s="19" t="str">
        <f aca="false">IF(Calc!$A$7="","",Calc!Z$7)</f>
        <v/>
      </c>
      <c r="T8" s="19" t="str">
        <f aca="false">IF(Calc!$A$7="","",Calc!AA$7)</f>
        <v/>
      </c>
      <c r="U8" s="22" t="str">
        <f aca="false">IF(Calc!$A$7="","",Calc!AB$7)</f>
        <v/>
      </c>
      <c r="V8" s="22" t="str">
        <f aca="false">IF(Calc!$A$7="","",Calc!AC$7)</f>
        <v/>
      </c>
      <c r="W8" s="19" t="str">
        <f aca="false">IF(Calc!$A$7="","",Calc!AF$7)</f>
        <v/>
      </c>
      <c r="X8" s="19" t="str">
        <f aca="false">IF(Calc!$A$7="","",Calc!AG$7)</f>
        <v/>
      </c>
      <c r="Y8" s="19" t="str">
        <f aca="false">IF(Calc!$A$7="","",Calc!AH$7)</f>
        <v/>
      </c>
      <c r="Z8" s="17" t="str">
        <f aca="false">IF(Calc!$A$7="","",Calc!AI$7)</f>
        <v/>
      </c>
      <c r="AA8" s="16" t="str">
        <f aca="false">IF(Calc!$A$7="","",Calc!AJ$7)</f>
        <v/>
      </c>
      <c r="AB8" s="16" t="str">
        <f aca="false">IF(Calc!$A$7="","",Calc!AK$7)</f>
        <v/>
      </c>
      <c r="AC8" s="23" t="str">
        <f aca="false">IF(Calc!$A$7="","",Calc!AM$7)</f>
        <v/>
      </c>
    </row>
    <row r="9" customFormat="false" ht="15" hidden="false" customHeight="false" outlineLevel="0" collapsed="false">
      <c r="A9" s="16" t="str">
        <f aca="false">IF(Calc!$A$8="","",Calc!A$8)</f>
        <v/>
      </c>
      <c r="B9" s="16" t="str">
        <f aca="false">IF(Calc!$A$8="","",Calc!B$8)</f>
        <v/>
      </c>
      <c r="C9" s="16" t="str">
        <f aca="false">IF(Calc!$A$8="","",Calc!C$8)</f>
        <v/>
      </c>
      <c r="D9" s="17" t="str">
        <f aca="false">IF(Calc!$A$8="","",Calc!D$8)</f>
        <v/>
      </c>
      <c r="E9" s="18" t="str">
        <f aca="false">IF(Calc!$A$8="","",Calc!J$8)</f>
        <v/>
      </c>
      <c r="F9" s="18" t="str">
        <f aca="false">IF(Calc!$A$8="","",Calc!L$8)</f>
        <v/>
      </c>
      <c r="G9" s="17" t="str">
        <f aca="false">IF(Calc!$A$8="","",Calc!N$8)</f>
        <v/>
      </c>
      <c r="H9" s="17" t="str">
        <f aca="false">IF(Calc!$A$8="","",Calc!O$8)</f>
        <v/>
      </c>
      <c r="I9" s="19" t="str">
        <f aca="false">IF(Calc!$A$8="","",Calc!Q$8)</f>
        <v/>
      </c>
      <c r="J9" s="19" t="str">
        <f aca="false">IF(Calc!$A$8="","",Calc!R$8)</f>
        <v/>
      </c>
      <c r="K9" s="19" t="str">
        <f aca="false">IF(Calc!$A$8="","",Calc!T$8)</f>
        <v/>
      </c>
      <c r="L9" s="19" t="str">
        <f aca="false">IF(Calc!$A$8="","",Calc!U$8)</f>
        <v/>
      </c>
      <c r="M9" s="20" t="str">
        <f aca="false">IF(Calc!$A$8="","",Calc!V$8)</f>
        <v/>
      </c>
      <c r="N9" s="21" t="str">
        <f aca="false">IF(Calc!$A$8="","",Calc!W$8)</f>
        <v/>
      </c>
      <c r="O9" s="20" t="str">
        <f aca="false">IF(Calc!$A$8="","",Calc!X$8)</f>
        <v/>
      </c>
      <c r="P9" s="19" t="str">
        <f aca="false">IF(Calc!$A$8="","",Calc!S$8)</f>
        <v/>
      </c>
      <c r="Q9" s="19" t="str">
        <f aca="false">IF(Calc!$A$8="","",Calc!Y$8)</f>
        <v/>
      </c>
      <c r="R9" s="19" t="str">
        <f aca="false">IF(Calc!$A$8="","",Calc!I$8)</f>
        <v/>
      </c>
      <c r="S9" s="19" t="str">
        <f aca="false">IF(Calc!$A$8="","",Calc!Z$8)</f>
        <v/>
      </c>
      <c r="T9" s="19" t="str">
        <f aca="false">IF(Calc!$A$8="","",Calc!AA$8)</f>
        <v/>
      </c>
      <c r="U9" s="22" t="str">
        <f aca="false">IF(Calc!$A$8="","",Calc!AB$8)</f>
        <v/>
      </c>
      <c r="V9" s="22" t="str">
        <f aca="false">IF(Calc!$A$8="","",Calc!AC$8)</f>
        <v/>
      </c>
      <c r="W9" s="19" t="str">
        <f aca="false">IF(Calc!$A$8="","",Calc!AF$8)</f>
        <v/>
      </c>
      <c r="X9" s="19" t="str">
        <f aca="false">IF(Calc!$A$8="","",Calc!AG$8)</f>
        <v/>
      </c>
      <c r="Y9" s="19" t="str">
        <f aca="false">IF(Calc!$A$8="","",Calc!AH$8)</f>
        <v/>
      </c>
      <c r="Z9" s="17" t="str">
        <f aca="false">IF(Calc!$A$8="","",Calc!AI$8)</f>
        <v/>
      </c>
      <c r="AA9" s="16" t="str">
        <f aca="false">IF(Calc!$A$8="","",Calc!AJ$8)</f>
        <v/>
      </c>
      <c r="AB9" s="16" t="str">
        <f aca="false">IF(Calc!$A$8="","",Calc!AK$8)</f>
        <v/>
      </c>
      <c r="AC9" s="23" t="str">
        <f aca="false">IF(Calc!$A$8="","",Calc!AM$8)</f>
        <v/>
      </c>
    </row>
    <row r="10" customFormat="false" ht="15" hidden="false" customHeight="false" outlineLevel="0" collapsed="false">
      <c r="A10" s="16" t="str">
        <f aca="false">IF(Calc!$A$9="","",Calc!A$9)</f>
        <v/>
      </c>
      <c r="B10" s="16" t="str">
        <f aca="false">IF(Calc!$A$9="","",Calc!B$9)</f>
        <v/>
      </c>
      <c r="C10" s="16" t="str">
        <f aca="false">IF(Calc!$A$9="","",Calc!C$9)</f>
        <v/>
      </c>
      <c r="D10" s="17" t="str">
        <f aca="false">IF(Calc!$A$9="","",Calc!D$9)</f>
        <v/>
      </c>
      <c r="E10" s="18" t="str">
        <f aca="false">IF(Calc!$A$9="","",Calc!J$9)</f>
        <v/>
      </c>
      <c r="F10" s="18" t="str">
        <f aca="false">IF(Calc!$A$9="","",Calc!L$9)</f>
        <v/>
      </c>
      <c r="G10" s="17" t="str">
        <f aca="false">IF(Calc!$A$9="","",Calc!N$9)</f>
        <v/>
      </c>
      <c r="H10" s="17" t="str">
        <f aca="false">IF(Calc!$A$9="","",Calc!O$9)</f>
        <v/>
      </c>
      <c r="I10" s="19" t="str">
        <f aca="false">IF(Calc!$A$9="","",Calc!Q$9)</f>
        <v/>
      </c>
      <c r="J10" s="19" t="str">
        <f aca="false">IF(Calc!$A$9="","",Calc!R$9)</f>
        <v/>
      </c>
      <c r="K10" s="19" t="str">
        <f aca="false">IF(Calc!$A$9="","",Calc!T$9)</f>
        <v/>
      </c>
      <c r="L10" s="19" t="str">
        <f aca="false">IF(Calc!$A$9="","",Calc!U$9)</f>
        <v/>
      </c>
      <c r="M10" s="20" t="str">
        <f aca="false">IF(Calc!$A$9="","",Calc!V$9)</f>
        <v/>
      </c>
      <c r="N10" s="21" t="str">
        <f aca="false">IF(Calc!$A$9="","",Calc!W$9)</f>
        <v/>
      </c>
      <c r="O10" s="20" t="str">
        <f aca="false">IF(Calc!$A$9="","",Calc!X$9)</f>
        <v/>
      </c>
      <c r="P10" s="19" t="str">
        <f aca="false">IF(Calc!$A$9="","",Calc!S$9)</f>
        <v/>
      </c>
      <c r="Q10" s="19" t="str">
        <f aca="false">IF(Calc!$A$9="","",Calc!Y$9)</f>
        <v/>
      </c>
      <c r="R10" s="19" t="str">
        <f aca="false">IF(Calc!$A$9="","",Calc!I$9)</f>
        <v/>
      </c>
      <c r="S10" s="19" t="str">
        <f aca="false">IF(Calc!$A$9="","",Calc!Z$9)</f>
        <v/>
      </c>
      <c r="T10" s="19" t="str">
        <f aca="false">IF(Calc!$A$9="","",Calc!AA$9)</f>
        <v/>
      </c>
      <c r="U10" s="22" t="str">
        <f aca="false">IF(Calc!$A$9="","",Calc!AB$9)</f>
        <v/>
      </c>
      <c r="V10" s="22" t="str">
        <f aca="false">IF(Calc!$A$9="","",Calc!AC$9)</f>
        <v/>
      </c>
      <c r="W10" s="19" t="str">
        <f aca="false">IF(Calc!$A$9="","",Calc!AF$9)</f>
        <v/>
      </c>
      <c r="X10" s="19" t="str">
        <f aca="false">IF(Calc!$A$9="","",Calc!AG$9)</f>
        <v/>
      </c>
      <c r="Y10" s="19" t="str">
        <f aca="false">IF(Calc!$A$9="","",Calc!AH$9)</f>
        <v/>
      </c>
      <c r="Z10" s="17" t="str">
        <f aca="false">IF(Calc!$A$9="","",Calc!AI$9)</f>
        <v/>
      </c>
      <c r="AA10" s="16" t="str">
        <f aca="false">IF(Calc!$A$9="","",Calc!AJ$9)</f>
        <v/>
      </c>
      <c r="AB10" s="16" t="str">
        <f aca="false">IF(Calc!$A$9="","",Calc!AK$9)</f>
        <v/>
      </c>
      <c r="AC10" s="23" t="str">
        <f aca="false">IF(Calc!$A$9="","",Calc!AM$9)</f>
        <v/>
      </c>
    </row>
    <row r="11" customFormat="false" ht="15" hidden="false" customHeight="false" outlineLevel="0" collapsed="false">
      <c r="A11" s="16" t="str">
        <f aca="false">IF(Calc!$A$10="","",Calc!A$10)</f>
        <v/>
      </c>
      <c r="B11" s="16" t="str">
        <f aca="false">IF(Calc!$A$10="","",Calc!B$10)</f>
        <v/>
      </c>
      <c r="C11" s="16" t="str">
        <f aca="false">IF(Calc!$A$10="","",Calc!C$10)</f>
        <v/>
      </c>
      <c r="D11" s="17" t="str">
        <f aca="false">IF(Calc!$A$10="","",Calc!D$10)</f>
        <v/>
      </c>
      <c r="E11" s="18" t="str">
        <f aca="false">IF(Calc!$A$10="","",Calc!J$10)</f>
        <v/>
      </c>
      <c r="F11" s="18" t="str">
        <f aca="false">IF(Calc!$A$10="","",Calc!L$10)</f>
        <v/>
      </c>
      <c r="G11" s="17" t="str">
        <f aca="false">IF(Calc!$A$10="","",Calc!N$10)</f>
        <v/>
      </c>
      <c r="H11" s="17" t="str">
        <f aca="false">IF(Calc!$A$10="","",Calc!O$10)</f>
        <v/>
      </c>
      <c r="I11" s="19" t="str">
        <f aca="false">IF(Calc!$A$10="","",Calc!Q$10)</f>
        <v/>
      </c>
      <c r="J11" s="19" t="str">
        <f aca="false">IF(Calc!$A$10="","",Calc!R$10)</f>
        <v/>
      </c>
      <c r="K11" s="19" t="str">
        <f aca="false">IF(Calc!$A$10="","",Calc!T$10)</f>
        <v/>
      </c>
      <c r="L11" s="19" t="str">
        <f aca="false">IF(Calc!$A$10="","",Calc!U$10)</f>
        <v/>
      </c>
      <c r="M11" s="20" t="str">
        <f aca="false">IF(Calc!$A$10="","",Calc!V$10)</f>
        <v/>
      </c>
      <c r="N11" s="21" t="str">
        <f aca="false">IF(Calc!$A$10="","",Calc!W$10)</f>
        <v/>
      </c>
      <c r="O11" s="20" t="str">
        <f aca="false">IF(Calc!$A$10="","",Calc!X$10)</f>
        <v/>
      </c>
      <c r="P11" s="19" t="str">
        <f aca="false">IF(Calc!$A$10="","",Calc!S$10)</f>
        <v/>
      </c>
      <c r="Q11" s="19" t="str">
        <f aca="false">IF(Calc!$A$10="","",Calc!Y$10)</f>
        <v/>
      </c>
      <c r="R11" s="19" t="str">
        <f aca="false">IF(Calc!$A$10="","",Calc!I$10)</f>
        <v/>
      </c>
      <c r="S11" s="19" t="str">
        <f aca="false">IF(Calc!$A$10="","",Calc!Z$10)</f>
        <v/>
      </c>
      <c r="T11" s="19" t="str">
        <f aca="false">IF(Calc!$A$10="","",Calc!AA$10)</f>
        <v/>
      </c>
      <c r="U11" s="22" t="str">
        <f aca="false">IF(Calc!$A$10="","",Calc!AB$10)</f>
        <v/>
      </c>
      <c r="V11" s="22" t="str">
        <f aca="false">IF(Calc!$A$10="","",Calc!AC$10)</f>
        <v/>
      </c>
      <c r="W11" s="19" t="str">
        <f aca="false">IF(Calc!$A$10="","",Calc!AF$10)</f>
        <v/>
      </c>
      <c r="X11" s="19" t="str">
        <f aca="false">IF(Calc!$A$10="","",Calc!AG$10)</f>
        <v/>
      </c>
      <c r="Y11" s="19" t="str">
        <f aca="false">IF(Calc!$A$10="","",Calc!AH$10)</f>
        <v/>
      </c>
      <c r="Z11" s="17" t="str">
        <f aca="false">IF(Calc!$A$10="","",Calc!AI$10)</f>
        <v/>
      </c>
      <c r="AA11" s="16" t="str">
        <f aca="false">IF(Calc!$A$10="","",Calc!AJ$10)</f>
        <v/>
      </c>
      <c r="AB11" s="16" t="str">
        <f aca="false">IF(Calc!$A$10="","",Calc!AK$10)</f>
        <v/>
      </c>
      <c r="AC11" s="23" t="str">
        <f aca="false">IF(Calc!$A$10="","",Calc!AM$10)</f>
        <v/>
      </c>
    </row>
    <row r="12" customFormat="false" ht="15" hidden="false" customHeight="false" outlineLevel="0" collapsed="false">
      <c r="A12" s="16" t="str">
        <f aca="false">IF(Calc!$A$11="","",Calc!A$11)</f>
        <v/>
      </c>
      <c r="B12" s="16" t="str">
        <f aca="false">IF(Calc!$A$11="","",Calc!B$11)</f>
        <v/>
      </c>
      <c r="C12" s="16" t="str">
        <f aca="false">IF(Calc!$A$11="","",Calc!C$11)</f>
        <v/>
      </c>
      <c r="D12" s="17" t="str">
        <f aca="false">IF(Calc!$A$11="","",Calc!D$11)</f>
        <v/>
      </c>
      <c r="E12" s="18" t="str">
        <f aca="false">IF(Calc!$A$11="","",Calc!J$11)</f>
        <v/>
      </c>
      <c r="F12" s="18" t="str">
        <f aca="false">IF(Calc!$A$11="","",Calc!L$11)</f>
        <v/>
      </c>
      <c r="G12" s="17" t="str">
        <f aca="false">IF(Calc!$A$11="","",Calc!N$11)</f>
        <v/>
      </c>
      <c r="H12" s="17" t="str">
        <f aca="false">IF(Calc!$A$11="","",Calc!O$11)</f>
        <v/>
      </c>
      <c r="I12" s="19" t="str">
        <f aca="false">IF(Calc!$A$11="","",Calc!Q$11)</f>
        <v/>
      </c>
      <c r="J12" s="19" t="str">
        <f aca="false">IF(Calc!$A$11="","",Calc!R$11)</f>
        <v/>
      </c>
      <c r="K12" s="19" t="str">
        <f aca="false">IF(Calc!$A$11="","",Calc!T$11)</f>
        <v/>
      </c>
      <c r="L12" s="19" t="str">
        <f aca="false">IF(Calc!$A$11="","",Calc!U$11)</f>
        <v/>
      </c>
      <c r="M12" s="20" t="str">
        <f aca="false">IF(Calc!$A$11="","",Calc!V$11)</f>
        <v/>
      </c>
      <c r="N12" s="21" t="str">
        <f aca="false">IF(Calc!$A$11="","",Calc!W$11)</f>
        <v/>
      </c>
      <c r="O12" s="20" t="str">
        <f aca="false">IF(Calc!$A$11="","",Calc!X$11)</f>
        <v/>
      </c>
      <c r="P12" s="19" t="str">
        <f aca="false">IF(Calc!$A$11="","",Calc!S$11)</f>
        <v/>
      </c>
      <c r="Q12" s="19" t="str">
        <f aca="false">IF(Calc!$A$11="","",Calc!Y$11)</f>
        <v/>
      </c>
      <c r="R12" s="19" t="str">
        <f aca="false">IF(Calc!$A$11="","",Calc!I$11)</f>
        <v/>
      </c>
      <c r="S12" s="19" t="str">
        <f aca="false">IF(Calc!$A$11="","",Calc!Z$11)</f>
        <v/>
      </c>
      <c r="T12" s="19" t="str">
        <f aca="false">IF(Calc!$A$11="","",Calc!AA$11)</f>
        <v/>
      </c>
      <c r="U12" s="22" t="str">
        <f aca="false">IF(Calc!$A$11="","",Calc!AB$11)</f>
        <v/>
      </c>
      <c r="V12" s="22" t="str">
        <f aca="false">IF(Calc!$A$11="","",Calc!AC$11)</f>
        <v/>
      </c>
      <c r="W12" s="19" t="str">
        <f aca="false">IF(Calc!$A$11="","",Calc!AF$11)</f>
        <v/>
      </c>
      <c r="X12" s="19" t="str">
        <f aca="false">IF(Calc!$A$11="","",Calc!AG$11)</f>
        <v/>
      </c>
      <c r="Y12" s="19" t="str">
        <f aca="false">IF(Calc!$A$11="","",Calc!AH$11)</f>
        <v/>
      </c>
      <c r="Z12" s="17" t="str">
        <f aca="false">IF(Calc!$A$11="","",Calc!AI$11)</f>
        <v/>
      </c>
      <c r="AA12" s="16" t="str">
        <f aca="false">IF(Calc!$A$11="","",Calc!AJ$11)</f>
        <v/>
      </c>
      <c r="AB12" s="16" t="str">
        <f aca="false">IF(Calc!$A$11="","",Calc!AK$11)</f>
        <v/>
      </c>
      <c r="AC12" s="23" t="str">
        <f aca="false">IF(Calc!$A$11="","",Calc!AM$11)</f>
        <v/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21">
      <formula>"N/M"</formula>
    </cfRule>
  </conditionalFormatting>
  <conditionalFormatting sqref="G3:G22">
    <cfRule type="cellIs" priority="11" operator="lessThan" aboveAverage="0" equalAverage="0" bottom="0" percent="0" rank="0" text="" dxfId="22">
      <formula>1.5</formula>
    </cfRule>
  </conditionalFormatting>
  <conditionalFormatting sqref="H3:H22">
    <cfRule type="cellIs" priority="12" operator="lessThan" aboveAverage="0" equalAverage="0" bottom="0" percent="0" rank="0" text="" dxfId="22">
      <formula>1.5</formula>
    </cfRule>
  </conditionalFormatting>
  <conditionalFormatting sqref="N3:N22">
    <cfRule type="cellIs" priority="13" operator="equal" aboveAverage="0" equalAverage="0" bottom="0" percent="0" rank="0" text="" dxfId="22">
      <formula>"成長且加速"</formula>
    </cfRule>
    <cfRule type="cellIs" priority="14" operator="equal" aboveAverage="0" equalAverage="0" bottom="0" percent="0" rank="0" text="" dxfId="23">
      <formula>"成長但減速"</formula>
    </cfRule>
    <cfRule type="cellIs" priority="15" operator="equal" aboveAverage="0" equalAverage="0" bottom="0" percent="0" rank="0" text="" dxfId="23">
      <formula>"衰退但收斂"</formula>
    </cfRule>
    <cfRule type="cellIs" priority="16" operator="equal" aboveAverage="0" equalAverage="0" bottom="0" percent="0" rank="0" text="" dxfId="24">
      <formula>"衰退且惡化"</formula>
    </cfRule>
  </conditionalFormatting>
  <conditionalFormatting sqref="A3:AC22">
    <cfRule type="expression" priority="17" aboveAverage="0" equalAverage="0" bottom="0" percent="0" rank="0" text="" dxfId="25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{19B8701F-5341-4828-A4F0-A79BF3ABB556}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22">
      <formula>"成長且加速"</formula>
    </cfRule>
    <cfRule type="cellIs" priority="5" operator="equal" aboveAverage="0" equalAverage="0" bottom="0" percent="0" rank="0" text="" dxfId="23">
      <formula>"成長但減速"</formula>
    </cfRule>
    <cfRule type="cellIs" priority="6" operator="equal" aboveAverage="0" equalAverage="0" bottom="0" percent="0" rank="0" text="" dxfId="23">
      <formula>"衰退但收斂"</formula>
    </cfRule>
    <cfRule type="cellIs" priority="7" operator="equal" aboveAverage="0" equalAverage="0" bottom="0" percent="0" rank="0" text="" dxfId="24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26">
      <formula>$O5="預估"</formula>
    </cfRule>
  </conditionalFormatting>
  <conditionalFormatting sqref="B24:B28">
    <cfRule type="expression" priority="12" aboveAverage="0" equalAverage="0" bottom="0" percent="0" rank="0" text="" dxfId="26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26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26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26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26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26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26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26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B8701F-5341-4828-A4F0-A79BF3ABB556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-46267</v>
      </c>
      <c r="I4" s="67" t="n">
        <f aca="false">IF($A4="","",IFERROR(INDEX(Raw_Price!$E$2:$E$100,MATCH($A4,Raw_Price!$A$2:$A$100,0)),""))</f>
        <v>46267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-46267</v>
      </c>
      <c r="I5" s="67" t="n">
        <f aca="false">IF($A5="","",IFERROR(INDEX(Raw_Price!$E$2:$E$100,MATCH($A5,Raw_Price!$A$2:$A$100,0)),""))</f>
        <v>46267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-46267</v>
      </c>
      <c r="I6" s="67" t="n">
        <f aca="false">IF($A6="","",IFERROR(INDEX(Raw_Price!$E$2:$E$100,MATCH($A6,Raw_Price!$A$2:$A$100,0)),""))</f>
        <v>46267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-46267</v>
      </c>
      <c r="I7" s="67" t="n">
        <f aca="false">IF($A7="","",IFERROR(INDEX(Raw_Price!$E$2:$E$100,MATCH($A7,Raw_Price!$A$2:$A$100,0)),""))</f>
        <v>46267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/>
      </c>
      <c r="B8" s="47" t="str">
        <f aca="false">IF($A8="","",COUNTIFS(Raw_Q!$A$2:$A$600,$A8,Raw_Q!$F$2:$F$600,"N"))</f>
        <v/>
      </c>
      <c r="C8" s="47" t="str">
        <f aca="false">IF($A8="","",Config!$B$4)</f>
        <v/>
      </c>
      <c r="D8" s="67" t="str">
        <f aca="false">IF($A8="","",IFERROR(SUMIFS(Raw_Q!$E$2:$E$600,Raw_Q!$A$2:$A$600,$A8,Raw_Q!$R$2:$R$600,$B8),""))</f>
        <v/>
      </c>
      <c r="E8" s="67" t="str">
        <f aca="false">IF($A8="","",IFERROR(SUMIFS(Raw_Q!$E$2:$E$600,Raw_Q!$A$2:$A$600,$A8,Raw_Q!$R$2:$R$600,1),""))</f>
        <v/>
      </c>
      <c r="F8" s="66" t="str">
        <f aca="false">IF($A8="","",IFERROR(INDEX(Raw_Q!$B$2:$B$600,MATCH($A8&amp;"|"&amp;0,Raw_Q!$S$2:$S$600,0)),""))</f>
        <v/>
      </c>
      <c r="G8" s="67" t="str">
        <f aca="false">IF($A8="","",IFERROR(INDEX(Raw_Price!$D$2:$D$100,MATCH($A8,Raw_Price!$A$2:$A$100,0)),""))</f>
        <v/>
      </c>
      <c r="H8" s="47" t="str">
        <f aca="true">IF($A8="","",IFERROR(INDEX(Raw_Price!$D$2:$D$100,MATCH($A8,Raw_Price!$A$2:$A$100,0))-TODAY(),""))</f>
        <v/>
      </c>
      <c r="I8" s="67" t="str">
        <f aca="false">IF($A8="","",IFERROR(INDEX(Raw_Price!$E$2:$E$100,MATCH($A8,Raw_Price!$A$2:$A$100,0)),""))</f>
        <v/>
      </c>
      <c r="J8" s="72" t="str">
        <f aca="true">IF($A8="","",IF($B8=0,"未抓取",IF($B8&lt;$C8,"需補歷史 ("&amp;($C8-$B8)&amp;" 季)",IF(TODAY()&gt;$G8,"待更新財報","OK"))))</f>
        <v/>
      </c>
    </row>
    <row r="9" customFormat="false" ht="15" hidden="false" customHeight="false" outlineLevel="0" collapsed="false">
      <c r="A9" s="16" t="str">
        <f aca="false">IF(Calc!$A$7="","",Calc!$A$7)</f>
        <v/>
      </c>
      <c r="B9" s="47" t="str">
        <f aca="false">IF($A9="","",COUNTIFS(Raw_Q!$A$2:$A$600,$A9,Raw_Q!$F$2:$F$600,"N"))</f>
        <v/>
      </c>
      <c r="C9" s="47" t="str">
        <f aca="false">IF($A9="","",Config!$B$4)</f>
        <v/>
      </c>
      <c r="D9" s="67" t="str">
        <f aca="false">IF($A9="","",IFERROR(SUMIFS(Raw_Q!$E$2:$E$600,Raw_Q!$A$2:$A$600,$A9,Raw_Q!$R$2:$R$600,$B9),""))</f>
        <v/>
      </c>
      <c r="E9" s="67" t="str">
        <f aca="false">IF($A9="","",IFERROR(SUMIFS(Raw_Q!$E$2:$E$600,Raw_Q!$A$2:$A$600,$A9,Raw_Q!$R$2:$R$600,1),""))</f>
        <v/>
      </c>
      <c r="F9" s="66" t="str">
        <f aca="false">IF($A9="","",IFERROR(INDEX(Raw_Q!$B$2:$B$600,MATCH($A9&amp;"|"&amp;0,Raw_Q!$S$2:$S$600,0)),""))</f>
        <v/>
      </c>
      <c r="G9" s="67" t="str">
        <f aca="false">IF($A9="","",IFERROR(INDEX(Raw_Price!$D$2:$D$100,MATCH($A9,Raw_Price!$A$2:$A$100,0)),""))</f>
        <v/>
      </c>
      <c r="H9" s="47" t="str">
        <f aca="true">IF($A9="","",IFERROR(INDEX(Raw_Price!$D$2:$D$100,MATCH($A9,Raw_Price!$A$2:$A$100,0))-TODAY(),""))</f>
        <v/>
      </c>
      <c r="I9" s="67" t="str">
        <f aca="false">IF($A9="","",IFERROR(INDEX(Raw_Price!$E$2:$E$100,MATCH($A9,Raw_Price!$A$2:$A$100,0)),""))</f>
        <v/>
      </c>
      <c r="J9" s="72" t="str">
        <f aca="true">IF($A9="","",IF($B9=0,"未抓取",IF($B9&lt;$C9,"需補歷史 ("&amp;($C9-$B9)&amp;" 季)",IF(TODAY()&gt;$G9,"待更新財報","OK"))))</f>
        <v/>
      </c>
    </row>
    <row r="10" customFormat="false" ht="15" hidden="false" customHeight="false" outlineLevel="0" collapsed="false">
      <c r="A10" s="16" t="str">
        <f aca="false">IF(Calc!$A$8="","",Calc!$A$8)</f>
        <v/>
      </c>
      <c r="B10" s="47" t="str">
        <f aca="false">IF($A10="","",COUNTIFS(Raw_Q!$A$2:$A$600,$A10,Raw_Q!$F$2:$F$600,"N"))</f>
        <v/>
      </c>
      <c r="C10" s="47" t="str">
        <f aca="false">IF($A10="","",Config!$B$4)</f>
        <v/>
      </c>
      <c r="D10" s="67" t="str">
        <f aca="false">IF($A10="","",IFERROR(SUMIFS(Raw_Q!$E$2:$E$600,Raw_Q!$A$2:$A$600,$A10,Raw_Q!$R$2:$R$600,$B10),""))</f>
        <v/>
      </c>
      <c r="E10" s="67" t="str">
        <f aca="false">IF($A10="","",IFERROR(SUMIFS(Raw_Q!$E$2:$E$600,Raw_Q!$A$2:$A$600,$A10,Raw_Q!$R$2:$R$600,1),""))</f>
        <v/>
      </c>
      <c r="F10" s="66" t="str">
        <f aca="false">IF($A10="","",IFERROR(INDEX(Raw_Q!$B$2:$B$600,MATCH($A10&amp;"|"&amp;0,Raw_Q!$S$2:$S$600,0)),""))</f>
        <v/>
      </c>
      <c r="G10" s="67" t="str">
        <f aca="false">IF($A10="","",IFERROR(INDEX(Raw_Price!$D$2:$D$100,MATCH($A10,Raw_Price!$A$2:$A$100,0)),""))</f>
        <v/>
      </c>
      <c r="H10" s="47" t="str">
        <f aca="true">IF($A10="","",IFERROR(INDEX(Raw_Price!$D$2:$D$100,MATCH($A10,Raw_Price!$A$2:$A$100,0))-TODAY(),""))</f>
        <v/>
      </c>
      <c r="I10" s="67" t="str">
        <f aca="false">IF($A10="","",IFERROR(INDEX(Raw_Price!$E$2:$E$100,MATCH($A10,Raw_Price!$A$2:$A$100,0)),""))</f>
        <v/>
      </c>
      <c r="J10" s="72" t="str">
        <f aca="true">IF($A10="","",IF($B10=0,"未抓取",IF($B10&lt;$C10,"需補歷史 ("&amp;($C10-$B10)&amp;" 季)",IF(TODAY()&gt;$G10,"待更新財報","OK"))))</f>
        <v/>
      </c>
    </row>
    <row r="11" customFormat="false" ht="15" hidden="false" customHeight="false" outlineLevel="0" collapsed="false">
      <c r="A11" s="16" t="str">
        <f aca="false">IF(Calc!$A$9="","",Calc!$A$9)</f>
        <v/>
      </c>
      <c r="B11" s="47" t="str">
        <f aca="false">IF($A11="","",COUNTIFS(Raw_Q!$A$2:$A$600,$A11,Raw_Q!$F$2:$F$600,"N"))</f>
        <v/>
      </c>
      <c r="C11" s="47" t="str">
        <f aca="false">IF($A11="","",Config!$B$4)</f>
        <v/>
      </c>
      <c r="D11" s="67" t="str">
        <f aca="false">IF($A11="","",IFERROR(SUMIFS(Raw_Q!$E$2:$E$600,Raw_Q!$A$2:$A$600,$A11,Raw_Q!$R$2:$R$600,$B11),""))</f>
        <v/>
      </c>
      <c r="E11" s="67" t="str">
        <f aca="false">IF($A11="","",IFERROR(SUMIFS(Raw_Q!$E$2:$E$600,Raw_Q!$A$2:$A$600,$A11,Raw_Q!$R$2:$R$600,1),""))</f>
        <v/>
      </c>
      <c r="F11" s="66" t="str">
        <f aca="false">IF($A11="","",IFERROR(INDEX(Raw_Q!$B$2:$B$600,MATCH($A11&amp;"|"&amp;0,Raw_Q!$S$2:$S$600,0)),""))</f>
        <v/>
      </c>
      <c r="G11" s="67" t="str">
        <f aca="false">IF($A11="","",IFERROR(INDEX(Raw_Price!$D$2:$D$100,MATCH($A11,Raw_Price!$A$2:$A$100,0)),""))</f>
        <v/>
      </c>
      <c r="H11" s="47" t="str">
        <f aca="true">IF($A11="","",IFERROR(INDEX(Raw_Price!$D$2:$D$100,MATCH($A11,Raw_Price!$A$2:$A$100,0))-TODAY(),""))</f>
        <v/>
      </c>
      <c r="I11" s="67" t="str">
        <f aca="false">IF($A11="","",IFERROR(INDEX(Raw_Price!$E$2:$E$100,MATCH($A11,Raw_Price!$A$2:$A$100,0)),""))</f>
        <v/>
      </c>
      <c r="J11" s="72" t="str">
        <f aca="true">IF($A11="","",IF($B11=0,"未抓取",IF($B11&lt;$C11,"需補歷史 ("&amp;($C11-$B11)&amp;" 季)",IF(TODAY()&gt;$G11,"待更新財報","OK"))))</f>
        <v/>
      </c>
    </row>
    <row r="12" customFormat="false" ht="15" hidden="false" customHeight="false" outlineLevel="0" collapsed="false">
      <c r="A12" s="16" t="str">
        <f aca="false">IF(Calc!$A$10="","",Calc!$A$10)</f>
        <v/>
      </c>
      <c r="B12" s="47" t="str">
        <f aca="false">IF($A12="","",COUNTIFS(Raw_Q!$A$2:$A$600,$A12,Raw_Q!$F$2:$F$600,"N"))</f>
        <v/>
      </c>
      <c r="C12" s="47" t="str">
        <f aca="false">IF($A12="","",Config!$B$4)</f>
        <v/>
      </c>
      <c r="D12" s="67" t="str">
        <f aca="false">IF($A12="","",IFERROR(SUMIFS(Raw_Q!$E$2:$E$600,Raw_Q!$A$2:$A$600,$A12,Raw_Q!$R$2:$R$600,$B12),""))</f>
        <v/>
      </c>
      <c r="E12" s="67" t="str">
        <f aca="false">IF($A12="","",IFERROR(SUMIFS(Raw_Q!$E$2:$E$600,Raw_Q!$A$2:$A$600,$A12,Raw_Q!$R$2:$R$600,1),""))</f>
        <v/>
      </c>
      <c r="F12" s="66" t="str">
        <f aca="false">IF($A12="","",IFERROR(INDEX(Raw_Q!$B$2:$B$600,MATCH($A12&amp;"|"&amp;0,Raw_Q!$S$2:$S$600,0)),""))</f>
        <v/>
      </c>
      <c r="G12" s="67" t="str">
        <f aca="false">IF($A12="","",IFERROR(INDEX(Raw_Price!$D$2:$D$100,MATCH($A12,Raw_Price!$A$2:$A$100,0)),""))</f>
        <v/>
      </c>
      <c r="H12" s="47" t="str">
        <f aca="true">IF($A12="","",IFERROR(INDEX(Raw_Price!$D$2:$D$100,MATCH($A12,Raw_Price!$A$2:$A$100,0))-TODAY(),""))</f>
        <v/>
      </c>
      <c r="I12" s="67" t="str">
        <f aca="false">IF($A12="","",IFERROR(INDEX(Raw_Price!$E$2:$E$100,MATCH($A12,Raw_Price!$A$2:$A$100,0)),""))</f>
        <v/>
      </c>
      <c r="J12" s="72" t="str">
        <f aca="true">IF($A12="","",IF($B12=0,"未抓取",IF($B12&lt;$C12,"需補歷史 ("&amp;($C12-$B12)&amp;" 季)",IF(TODAY()&gt;$G12,"待更新財報","OK"))))</f>
        <v/>
      </c>
    </row>
    <row r="13" customFormat="false" ht="15" hidden="false" customHeight="false" outlineLevel="0" collapsed="false">
      <c r="A13" s="16" t="str">
        <f aca="false">IF(Calc!$A$11="","",Calc!$A$11)</f>
        <v/>
      </c>
      <c r="B13" s="47" t="str">
        <f aca="false">IF($A13="","",COUNTIFS(Raw_Q!$A$2:$A$600,$A13,Raw_Q!$F$2:$F$600,"N"))</f>
        <v/>
      </c>
      <c r="C13" s="47" t="str">
        <f aca="false">IF($A13="","",Config!$B$4)</f>
        <v/>
      </c>
      <c r="D13" s="67" t="str">
        <f aca="false">IF($A13="","",IFERROR(SUMIFS(Raw_Q!$E$2:$E$600,Raw_Q!$A$2:$A$600,$A13,Raw_Q!$R$2:$R$600,$B13),""))</f>
        <v/>
      </c>
      <c r="E13" s="67" t="str">
        <f aca="false">IF($A13="","",IFERROR(SUMIFS(Raw_Q!$E$2:$E$600,Raw_Q!$A$2:$A$600,$A13,Raw_Q!$R$2:$R$600,1),""))</f>
        <v/>
      </c>
      <c r="F13" s="66" t="str">
        <f aca="false">IF($A13="","",IFERROR(INDEX(Raw_Q!$B$2:$B$600,MATCH($A13&amp;"|"&amp;0,Raw_Q!$S$2:$S$600,0)),""))</f>
        <v/>
      </c>
      <c r="G13" s="67" t="str">
        <f aca="false">IF($A13="","",IFERROR(INDEX(Raw_Price!$D$2:$D$100,MATCH($A13,Raw_Price!$A$2:$A$100,0)),""))</f>
        <v/>
      </c>
      <c r="H13" s="47" t="str">
        <f aca="true">IF($A13="","",IFERROR(INDEX(Raw_Price!$D$2:$D$100,MATCH($A13,Raw_Price!$A$2:$A$100,0))-TODAY(),""))</f>
        <v/>
      </c>
      <c r="I13" s="67" t="str">
        <f aca="false">IF($A13="","",IFERROR(INDEX(Raw_Price!$E$2:$E$100,MATCH($A13,Raw_Price!$A$2:$A$100,0)),""))</f>
        <v/>
      </c>
      <c r="J13" s="72" t="str">
        <f aca="true">IF($A13="","",IF($B13=0,"未抓取",IF($B13&lt;$C13,"需補歷史 ("&amp;($C13-$B13)&amp;" 季)",IF(TODAY()&gt;$G13,"待更新財報","OK"))))</f>
        <v/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IF($A14="","",IFERROR(SUMIFS(Raw_Q!$E$2:$E$600,Raw_Q!$A$2:$A$600,$A14,Raw_Q!$R$2:$R$600,$B14),""))</f>
        <v/>
      </c>
      <c r="E14" s="67" t="str">
        <f aca="false">IF($A14="","",IFERROR(SUMIFS(Raw_Q!$E$2:$E$600,Raw_Q!$A$2:$A$600,$A14,Raw_Q!$R$2:$R$600,1),""))</f>
        <v/>
      </c>
      <c r="F14" s="66" t="str">
        <f aca="false">IF($A14="","",IFERROR(INDEX(Raw_Q!$B$2:$B$600,MATCH($A14&amp;"|"&amp;0,Raw_Q!$S$2:$S$600,0)),""))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72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IF($A15="","",IFERROR(SUMIFS(Raw_Q!$E$2:$E$600,Raw_Q!$A$2:$A$600,$A15,Raw_Q!$R$2:$R$600,$B15),""))</f>
        <v/>
      </c>
      <c r="E15" s="67" t="str">
        <f aca="false">IF($A15="","",IFERROR(SUMIFS(Raw_Q!$E$2:$E$600,Raw_Q!$A$2:$A$600,$A15,Raw_Q!$R$2:$R$600,1),""))</f>
        <v/>
      </c>
      <c r="F15" s="66" t="str">
        <f aca="false">IF($A15="","",IFERROR(INDEX(Raw_Q!$B$2:$B$600,MATCH($A15&amp;"|"&amp;0,Raw_Q!$S$2:$S$600,0)),""))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72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IF($A16="","",IFERROR(SUMIFS(Raw_Q!$E$2:$E$600,Raw_Q!$A$2:$A$600,$A16,Raw_Q!$R$2:$R$600,$B16),""))</f>
        <v/>
      </c>
      <c r="E16" s="67" t="str">
        <f aca="false">IF($A16="","",IFERROR(SUMIFS(Raw_Q!$E$2:$E$600,Raw_Q!$A$2:$A$600,$A16,Raw_Q!$R$2:$R$600,1),""))</f>
        <v/>
      </c>
      <c r="F16" s="66" t="str">
        <f aca="false">IF($A16="","",IFERROR(INDEX(Raw_Q!$B$2:$B$600,MATCH($A16&amp;"|"&amp;0,Raw_Q!$S$2:$S$600,0)),""))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72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IF($A17="","",IFERROR(SUMIFS(Raw_Q!$E$2:$E$600,Raw_Q!$A$2:$A$600,$A17,Raw_Q!$R$2:$R$600,$B17),""))</f>
        <v/>
      </c>
      <c r="E17" s="67" t="str">
        <f aca="false">IF($A17="","",IFERROR(SUMIFS(Raw_Q!$E$2:$E$600,Raw_Q!$A$2:$A$600,$A17,Raw_Q!$R$2:$R$600,1),""))</f>
        <v/>
      </c>
      <c r="F17" s="66" t="str">
        <f aca="false">IF($A17="","",IFERROR(INDEX(Raw_Q!$B$2:$B$600,MATCH($A17&amp;"|"&amp;0,Raw_Q!$S$2:$S$600,0)),""))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72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IF($A18="","",IFERROR(SUMIFS(Raw_Q!$E$2:$E$600,Raw_Q!$A$2:$A$600,$A18,Raw_Q!$R$2:$R$600,$B18),""))</f>
        <v/>
      </c>
      <c r="E18" s="67" t="str">
        <f aca="false">IF($A18="","",IFERROR(SUMIFS(Raw_Q!$E$2:$E$600,Raw_Q!$A$2:$A$600,$A18,Raw_Q!$R$2:$R$600,1),""))</f>
        <v/>
      </c>
      <c r="F18" s="66" t="str">
        <f aca="false">IF($A18="","",IFERROR(INDEX(Raw_Q!$B$2:$B$600,MATCH($A18&amp;"|"&amp;0,Raw_Q!$S$2:$S$600,0)),""))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72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IF($A19="","",IFERROR(SUMIFS(Raw_Q!$E$2:$E$600,Raw_Q!$A$2:$A$600,$A19,Raw_Q!$R$2:$R$600,$B19),""))</f>
        <v/>
      </c>
      <c r="E19" s="67" t="str">
        <f aca="false">IF($A19="","",IFERROR(SUMIFS(Raw_Q!$E$2:$E$600,Raw_Q!$A$2:$A$600,$A19,Raw_Q!$R$2:$R$600,1),""))</f>
        <v/>
      </c>
      <c r="F19" s="66" t="str">
        <f aca="false">IF($A19="","",IFERROR(INDEX(Raw_Q!$B$2:$B$600,MATCH($A19&amp;"|"&amp;0,Raw_Q!$S$2:$S$600,0)),""))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72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IF($A20="","",IFERROR(SUMIFS(Raw_Q!$E$2:$E$600,Raw_Q!$A$2:$A$600,$A20,Raw_Q!$R$2:$R$600,$B20),""))</f>
        <v/>
      </c>
      <c r="E20" s="67" t="str">
        <f aca="false">IF($A20="","",IFERROR(SUMIFS(Raw_Q!$E$2:$E$600,Raw_Q!$A$2:$A$600,$A20,Raw_Q!$R$2:$R$600,1),""))</f>
        <v/>
      </c>
      <c r="F20" s="66" t="str">
        <f aca="false">IF($A20="","",IFERROR(INDEX(Raw_Q!$B$2:$B$600,MATCH($A20&amp;"|"&amp;0,Raw_Q!$S$2:$S$600,0)),""))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72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IF($A21="","",IFERROR(SUMIFS(Raw_Q!$E$2:$E$600,Raw_Q!$A$2:$A$600,$A21,Raw_Q!$R$2:$R$600,$B21),""))</f>
        <v/>
      </c>
      <c r="E21" s="67" t="str">
        <f aca="false">IF($A21="","",IFERROR(SUMIFS(Raw_Q!$E$2:$E$600,Raw_Q!$A$2:$A$600,$A21,Raw_Q!$R$2:$R$600,1),""))</f>
        <v/>
      </c>
      <c r="F21" s="66" t="str">
        <f aca="false">IF($A21="","",IFERROR(INDEX(Raw_Q!$B$2:$B$600,MATCH($A21&amp;"|"&amp;0,Raw_Q!$S$2:$S$600,0)),""))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72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27">
      <formula>"OK"</formula>
    </cfRule>
    <cfRule type="cellIs" priority="3" operator="equal" aboveAverage="0" equalAverage="0" bottom="0" percent="0" rank="0" text="" dxfId="28">
      <formula>"待更新財報"</formula>
    </cfRule>
    <cfRule type="expression" priority="4" aboveAverage="0" equalAverage="0" bottom="0" percent="0" rank="0" text="" dxfId="29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30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173</v>
      </c>
      <c r="E3" s="73" t="s">
        <v>174</v>
      </c>
      <c r="F3" s="75" t="n">
        <v>46264</v>
      </c>
      <c r="G3" s="74" t="s">
        <v>175</v>
      </c>
    </row>
    <row r="4" customFormat="false" ht="15" hidden="false" customHeight="false" outlineLevel="0" collapsed="false">
      <c r="A4" s="73" t="s">
        <v>176</v>
      </c>
      <c r="B4" s="74" t="s">
        <v>177</v>
      </c>
      <c r="C4" s="74" t="s">
        <v>178</v>
      </c>
      <c r="D4" s="74" t="s">
        <v>173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/>
      <c r="F5" s="75" t="n">
        <v>46267</v>
      </c>
      <c r="G5" s="73"/>
    </row>
    <row r="6" customFormat="false" ht="15" hidden="false" customHeight="false" outlineLevel="0" collapsed="false">
      <c r="A6" s="73"/>
      <c r="B6" s="73"/>
      <c r="C6" s="73"/>
      <c r="D6" s="73"/>
      <c r="E6" s="73"/>
      <c r="F6" s="75"/>
      <c r="G6" s="73"/>
    </row>
    <row r="7" customFormat="false" ht="15" hidden="false" customHeight="false" outlineLevel="0" collapsed="false">
      <c r="A7" s="73"/>
      <c r="B7" s="73"/>
      <c r="C7" s="73"/>
      <c r="D7" s="73"/>
      <c r="E7" s="73"/>
      <c r="F7" s="75"/>
      <c r="G7" s="73"/>
    </row>
    <row r="8" customFormat="false" ht="15" hidden="false" customHeight="false" outlineLevel="0" collapsed="false">
      <c r="A8" s="73"/>
      <c r="B8" s="73"/>
      <c r="C8" s="73"/>
      <c r="D8" s="73"/>
      <c r="E8" s="73"/>
      <c r="F8" s="75"/>
      <c r="G8" s="73"/>
    </row>
    <row r="9" customFormat="false" ht="15" hidden="false" customHeight="false" outlineLevel="0" collapsed="false">
      <c r="A9" s="73"/>
      <c r="B9" s="73"/>
      <c r="C9" s="73"/>
      <c r="D9" s="73"/>
      <c r="E9" s="73"/>
      <c r="F9" s="75"/>
      <c r="G9" s="73"/>
    </row>
    <row r="10" customFormat="false" ht="15" hidden="false" customHeight="false" outlineLevel="0" collapsed="false">
      <c r="A10" s="73"/>
      <c r="B10" s="73"/>
      <c r="C10" s="73"/>
      <c r="D10" s="73"/>
      <c r="E10" s="73"/>
      <c r="F10" s="75"/>
      <c r="G10" s="73"/>
    </row>
    <row r="11" customFormat="false" ht="15" hidden="false" customHeight="false" outlineLevel="0" collapsed="false">
      <c r="A11" s="73"/>
      <c r="B11" s="73"/>
      <c r="C11" s="73"/>
      <c r="D11" s="73"/>
      <c r="E11" s="73"/>
      <c r="F11" s="75"/>
      <c r="G11" s="73"/>
    </row>
    <row r="12" customFormat="false" ht="15" hidden="false" customHeight="false" outlineLevel="0" collapsed="false">
      <c r="A12" s="73"/>
      <c r="B12" s="73"/>
      <c r="C12" s="73"/>
      <c r="D12" s="73"/>
      <c r="E12" s="73"/>
      <c r="F12" s="75"/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5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184</v>
      </c>
      <c r="C1" s="14" t="s">
        <v>185</v>
      </c>
      <c r="D1" s="14" t="s">
        <v>186</v>
      </c>
      <c r="E1" s="14" t="s">
        <v>187</v>
      </c>
      <c r="F1" s="14" t="s">
        <v>188</v>
      </c>
      <c r="G1" s="14" t="s">
        <v>189</v>
      </c>
      <c r="H1" s="14" t="s">
        <v>190</v>
      </c>
      <c r="I1" s="14" t="s">
        <v>191</v>
      </c>
      <c r="J1" s="14" t="s">
        <v>192</v>
      </c>
      <c r="K1" s="14" t="s">
        <v>193</v>
      </c>
      <c r="L1" s="14" t="s">
        <v>194</v>
      </c>
      <c r="M1" s="14" t="s">
        <v>195</v>
      </c>
      <c r="N1" s="14" t="s">
        <v>196</v>
      </c>
      <c r="O1" s="14" t="s">
        <v>197</v>
      </c>
      <c r="P1" s="14" t="s">
        <v>198</v>
      </c>
      <c r="Q1" s="14" t="s">
        <v>199</v>
      </c>
      <c r="R1" s="14" t="s">
        <v>200</v>
      </c>
      <c r="S1" s="14" t="s">
        <v>201</v>
      </c>
    </row>
    <row r="2" customFormat="false" ht="15" hidden="false" customHeight="false" outlineLevel="0" collapsed="false">
      <c r="A2" s="76" t="s">
        <v>167</v>
      </c>
      <c r="B2" s="76" t="s">
        <v>202</v>
      </c>
      <c r="C2" s="77" t="n">
        <v>2026</v>
      </c>
      <c r="D2" s="77" t="n">
        <v>3</v>
      </c>
      <c r="E2" s="78" t="n">
        <v>46295</v>
      </c>
      <c r="F2" s="76" t="s">
        <v>203</v>
      </c>
      <c r="G2" s="76" t="s">
        <v>204</v>
      </c>
      <c r="H2" s="76" t="s">
        <v>205</v>
      </c>
      <c r="I2" s="79"/>
      <c r="J2" s="79"/>
      <c r="K2" s="79"/>
      <c r="L2" s="80" t="n">
        <v>28.19147</v>
      </c>
      <c r="M2" s="79"/>
      <c r="N2" s="79"/>
      <c r="O2" s="79"/>
      <c r="P2" s="80"/>
      <c r="Q2" s="80"/>
      <c r="R2" s="47" t="n">
        <v>0</v>
      </c>
      <c r="S2" s="66" t="s">
        <v>206</v>
      </c>
    </row>
    <row r="3" customFormat="false" ht="15" hidden="false" customHeight="false" outlineLevel="0" collapsed="false">
      <c r="A3" s="76" t="s">
        <v>167</v>
      </c>
      <c r="B3" s="76" t="s">
        <v>207</v>
      </c>
      <c r="C3" s="77" t="n">
        <v>2026</v>
      </c>
      <c r="D3" s="77" t="n">
        <v>2</v>
      </c>
      <c r="E3" s="78" t="n">
        <v>46203</v>
      </c>
      <c r="F3" s="76" t="s">
        <v>208</v>
      </c>
      <c r="G3" s="76" t="s">
        <v>209</v>
      </c>
      <c r="H3" s="76" t="s">
        <v>205</v>
      </c>
      <c r="I3" s="79" t="n">
        <v>1270380.25</v>
      </c>
      <c r="J3" s="79" t="n">
        <v>860310.695</v>
      </c>
      <c r="K3" s="79" t="n">
        <v>706561938000</v>
      </c>
      <c r="L3" s="80" t="n">
        <v>27.25</v>
      </c>
      <c r="M3" s="79" t="n">
        <v>25932.3701</v>
      </c>
      <c r="N3" s="79" t="n">
        <v>0</v>
      </c>
      <c r="O3" s="79" t="n">
        <v>6432518.334</v>
      </c>
      <c r="P3" s="80" t="n">
        <v>6.00003573</v>
      </c>
      <c r="Q3" s="80" t="n">
        <v>2410</v>
      </c>
      <c r="R3" s="47" t="n">
        <v>1</v>
      </c>
      <c r="S3" s="66" t="s">
        <v>210</v>
      </c>
    </row>
    <row r="4" customFormat="false" ht="15" hidden="false" customHeight="false" outlineLevel="0" collapsed="false">
      <c r="A4" s="76" t="s">
        <v>167</v>
      </c>
      <c r="B4" s="76" t="s">
        <v>211</v>
      </c>
      <c r="C4" s="77" t="n">
        <v>2026</v>
      </c>
      <c r="D4" s="77" t="n">
        <v>1</v>
      </c>
      <c r="E4" s="78" t="n">
        <v>46112</v>
      </c>
      <c r="F4" s="76" t="s">
        <v>208</v>
      </c>
      <c r="G4" s="76" t="s">
        <v>209</v>
      </c>
      <c r="H4" s="76" t="s">
        <v>205</v>
      </c>
      <c r="I4" s="79" t="n">
        <v>1134103.44</v>
      </c>
      <c r="J4" s="79" t="n">
        <v>751295.421</v>
      </c>
      <c r="K4" s="79" t="n">
        <v>572479752000</v>
      </c>
      <c r="L4" s="80" t="n">
        <v>22.08</v>
      </c>
      <c r="M4" s="79" t="n">
        <v>25932.5245</v>
      </c>
      <c r="N4" s="79" t="n">
        <v>0</v>
      </c>
      <c r="O4" s="79" t="n">
        <v>5890960.252</v>
      </c>
      <c r="P4" s="80" t="n">
        <v>6.00003573</v>
      </c>
      <c r="Q4" s="80" t="n">
        <v>1760</v>
      </c>
      <c r="R4" s="47" t="n">
        <v>2</v>
      </c>
      <c r="S4" s="66" t="s">
        <v>212</v>
      </c>
    </row>
    <row r="5" customFormat="false" ht="15" hidden="false" customHeight="false" outlineLevel="0" collapsed="false">
      <c r="A5" s="76" t="s">
        <v>167</v>
      </c>
      <c r="B5" s="76" t="s">
        <v>213</v>
      </c>
      <c r="C5" s="77" t="n">
        <v>2025</v>
      </c>
      <c r="D5" s="77" t="n">
        <v>4</v>
      </c>
      <c r="E5" s="78" t="n">
        <v>46022</v>
      </c>
      <c r="F5" s="76" t="s">
        <v>208</v>
      </c>
      <c r="G5" s="76" t="s">
        <v>209</v>
      </c>
      <c r="H5" s="76" t="s">
        <v>205</v>
      </c>
      <c r="I5" s="79" t="n">
        <v>1046090.421</v>
      </c>
      <c r="J5" s="79" t="n">
        <v>651986.836</v>
      </c>
      <c r="K5" s="79" t="n">
        <v>505743990000</v>
      </c>
      <c r="L5" s="80" t="n">
        <v>19.51</v>
      </c>
      <c r="M5" s="79" t="n">
        <v>25932.5245</v>
      </c>
      <c r="N5" s="79" t="n">
        <v>0</v>
      </c>
      <c r="O5" s="79" t="n">
        <v>5419595.994</v>
      </c>
      <c r="P5" s="80" t="n">
        <v>5.00001118</v>
      </c>
      <c r="Q5" s="80" t="n">
        <v>1550</v>
      </c>
      <c r="R5" s="47" t="n">
        <v>3</v>
      </c>
      <c r="S5" s="66" t="s">
        <v>214</v>
      </c>
    </row>
    <row r="6" customFormat="false" ht="15" hidden="false" customHeight="false" outlineLevel="0" collapsed="false">
      <c r="A6" s="76" t="s">
        <v>167</v>
      </c>
      <c r="B6" s="76" t="s">
        <v>215</v>
      </c>
      <c r="C6" s="77" t="n">
        <v>2025</v>
      </c>
      <c r="D6" s="77" t="n">
        <v>3</v>
      </c>
      <c r="E6" s="78" t="n">
        <v>45930</v>
      </c>
      <c r="F6" s="76" t="s">
        <v>208</v>
      </c>
      <c r="G6" s="76" t="s">
        <v>209</v>
      </c>
      <c r="H6" s="76" t="s">
        <v>205</v>
      </c>
      <c r="I6" s="79" t="n">
        <v>989918.318</v>
      </c>
      <c r="J6" s="79" t="n">
        <v>588542.829</v>
      </c>
      <c r="K6" s="79" t="n">
        <v>452301407000</v>
      </c>
      <c r="L6" s="80" t="n">
        <v>17.44</v>
      </c>
      <c r="M6" s="79" t="n">
        <v>25932.5245</v>
      </c>
      <c r="N6" s="79" t="n">
        <v>0</v>
      </c>
      <c r="O6" s="79" t="n">
        <v>4998306.972</v>
      </c>
      <c r="P6" s="80" t="n">
        <v>5.00001754</v>
      </c>
      <c r="Q6" s="80" t="n">
        <v>1305</v>
      </c>
      <c r="R6" s="47" t="n">
        <v>4</v>
      </c>
      <c r="S6" s="66" t="s">
        <v>216</v>
      </c>
    </row>
    <row r="7" customFormat="false" ht="15" hidden="false" customHeight="false" outlineLevel="0" collapsed="false">
      <c r="A7" s="76" t="s">
        <v>167</v>
      </c>
      <c r="B7" s="76" t="s">
        <v>217</v>
      </c>
      <c r="C7" s="77" t="n">
        <v>2025</v>
      </c>
      <c r="D7" s="77" t="n">
        <v>2</v>
      </c>
      <c r="E7" s="78" t="n">
        <v>45838</v>
      </c>
      <c r="F7" s="76" t="s">
        <v>208</v>
      </c>
      <c r="G7" s="76" t="s">
        <v>209</v>
      </c>
      <c r="H7" s="76" t="s">
        <v>205</v>
      </c>
      <c r="I7" s="79" t="n">
        <v>933791.869</v>
      </c>
      <c r="J7" s="79" t="n">
        <v>547369.238</v>
      </c>
      <c r="K7" s="79" t="n">
        <v>398273102000</v>
      </c>
      <c r="L7" s="80" t="n">
        <v>15.36</v>
      </c>
      <c r="M7" s="79" t="n">
        <v>25932.6155</v>
      </c>
      <c r="N7" s="79" t="n">
        <v>0</v>
      </c>
      <c r="O7" s="79" t="n">
        <v>4581073.975</v>
      </c>
      <c r="P7" s="80" t="n">
        <v>4.50002042</v>
      </c>
      <c r="Q7" s="80" t="n">
        <v>1060</v>
      </c>
      <c r="R7" s="47" t="n">
        <v>5</v>
      </c>
      <c r="S7" s="66" t="s">
        <v>218</v>
      </c>
    </row>
    <row r="8" customFormat="false" ht="15" hidden="false" customHeight="false" outlineLevel="0" collapsed="false">
      <c r="A8" s="76" t="s">
        <v>167</v>
      </c>
      <c r="B8" s="76" t="s">
        <v>219</v>
      </c>
      <c r="C8" s="77" t="n">
        <v>2025</v>
      </c>
      <c r="D8" s="77" t="n">
        <v>1</v>
      </c>
      <c r="E8" s="78" t="n">
        <v>45747</v>
      </c>
      <c r="F8" s="76" t="s">
        <v>208</v>
      </c>
      <c r="G8" s="76" t="s">
        <v>209</v>
      </c>
      <c r="H8" s="76" t="s">
        <v>205</v>
      </c>
      <c r="I8" s="79" t="n">
        <v>839253.664</v>
      </c>
      <c r="J8" s="79" t="n">
        <v>493395.076</v>
      </c>
      <c r="K8" s="79" t="n">
        <v>361564128000</v>
      </c>
      <c r="L8" s="80" t="n">
        <v>13.95</v>
      </c>
      <c r="M8" s="79" t="n">
        <v>25932.7332</v>
      </c>
      <c r="N8" s="79" t="n">
        <v>0</v>
      </c>
      <c r="O8" s="79" t="n">
        <v>4564162.58</v>
      </c>
      <c r="P8" s="80" t="n">
        <v>4.50002042</v>
      </c>
      <c r="Q8" s="80" t="n">
        <v>910</v>
      </c>
      <c r="R8" s="47" t="n">
        <v>6</v>
      </c>
      <c r="S8" s="66" t="s">
        <v>220</v>
      </c>
    </row>
    <row r="9" customFormat="false" ht="15" hidden="false" customHeight="false" outlineLevel="0" collapsed="false">
      <c r="A9" s="76" t="s">
        <v>167</v>
      </c>
      <c r="B9" s="76" t="s">
        <v>221</v>
      </c>
      <c r="C9" s="77" t="n">
        <v>2024</v>
      </c>
      <c r="D9" s="77" t="n">
        <v>4</v>
      </c>
      <c r="E9" s="78" t="n">
        <v>45657</v>
      </c>
      <c r="F9" s="76" t="s">
        <v>208</v>
      </c>
      <c r="G9" s="76" t="s">
        <v>209</v>
      </c>
      <c r="H9" s="76" t="s">
        <v>205</v>
      </c>
      <c r="I9" s="79" t="n">
        <v>868461.178</v>
      </c>
      <c r="J9" s="79" t="n">
        <v>512378.151</v>
      </c>
      <c r="K9" s="79" t="n">
        <v>374679727000</v>
      </c>
      <c r="L9" s="80" t="n">
        <v>14.45</v>
      </c>
      <c r="M9" s="79" t="n">
        <v>25932.7332</v>
      </c>
      <c r="N9" s="79" t="n">
        <v>0</v>
      </c>
      <c r="O9" s="79" t="n">
        <v>4288545.167</v>
      </c>
      <c r="P9" s="80" t="n">
        <v>3.99963706</v>
      </c>
      <c r="Q9" s="80" t="n">
        <v>1075</v>
      </c>
      <c r="R9" s="47" t="n">
        <v>7</v>
      </c>
      <c r="S9" s="66" t="s">
        <v>222</v>
      </c>
    </row>
    <row r="10" customFormat="false" ht="15" hidden="false" customHeight="false" outlineLevel="0" collapsed="false">
      <c r="A10" s="76" t="s">
        <v>167</v>
      </c>
      <c r="B10" s="76" t="s">
        <v>223</v>
      </c>
      <c r="C10" s="77" t="n">
        <v>2024</v>
      </c>
      <c r="D10" s="77" t="n">
        <v>3</v>
      </c>
      <c r="E10" s="78" t="n">
        <v>45565</v>
      </c>
      <c r="F10" s="76" t="s">
        <v>208</v>
      </c>
      <c r="G10" s="76" t="s">
        <v>209</v>
      </c>
      <c r="H10" s="76" t="s">
        <v>205</v>
      </c>
      <c r="I10" s="79" t="n">
        <v>759692.143</v>
      </c>
      <c r="J10" s="79" t="n">
        <v>439345.666</v>
      </c>
      <c r="K10" s="79" t="n">
        <v>325257571000</v>
      </c>
      <c r="L10" s="80" t="n">
        <v>12.55</v>
      </c>
      <c r="M10" s="79" t="n">
        <v>25932.7332</v>
      </c>
      <c r="N10" s="79" t="n">
        <v>0</v>
      </c>
      <c r="O10" s="79" t="n">
        <v>3990019.153</v>
      </c>
      <c r="P10" s="80" t="n">
        <v>4.0001382</v>
      </c>
      <c r="Q10" s="80" t="n">
        <v>957</v>
      </c>
      <c r="R10" s="47" t="n">
        <v>8</v>
      </c>
      <c r="S10" s="66" t="s">
        <v>224</v>
      </c>
    </row>
    <row r="11" customFormat="false" ht="15" hidden="false" customHeight="false" outlineLevel="0" collapsed="false">
      <c r="A11" s="76" t="s">
        <v>167</v>
      </c>
      <c r="B11" s="76" t="s">
        <v>225</v>
      </c>
      <c r="C11" s="77" t="n">
        <v>2024</v>
      </c>
      <c r="D11" s="77" t="n">
        <v>2</v>
      </c>
      <c r="E11" s="78" t="n">
        <v>45473</v>
      </c>
      <c r="F11" s="76" t="s">
        <v>208</v>
      </c>
      <c r="G11" s="76" t="s">
        <v>209</v>
      </c>
      <c r="H11" s="76" t="s">
        <v>205</v>
      </c>
      <c r="I11" s="79" t="n">
        <v>673510.177</v>
      </c>
      <c r="J11" s="79" t="n">
        <v>358124.478</v>
      </c>
      <c r="K11" s="79" t="n">
        <v>247845528000</v>
      </c>
      <c r="L11" s="80" t="n">
        <v>9.56</v>
      </c>
      <c r="M11" s="79" t="n">
        <v>25933.6292</v>
      </c>
      <c r="N11" s="79" t="n">
        <v>3249000</v>
      </c>
      <c r="O11" s="79" t="n">
        <v>3791402.874</v>
      </c>
      <c r="P11" s="80" t="n">
        <v>3.49978969</v>
      </c>
      <c r="Q11" s="80" t="n">
        <v>966</v>
      </c>
      <c r="R11" s="47" t="n">
        <v>9</v>
      </c>
      <c r="S11" s="66" t="s">
        <v>226</v>
      </c>
    </row>
    <row r="12" customFormat="false" ht="15" hidden="false" customHeight="false" outlineLevel="0" collapsed="false">
      <c r="A12" s="76" t="s">
        <v>167</v>
      </c>
      <c r="B12" s="76" t="s">
        <v>227</v>
      </c>
      <c r="C12" s="77" t="n">
        <v>2024</v>
      </c>
      <c r="D12" s="77" t="n">
        <v>1</v>
      </c>
      <c r="E12" s="78" t="n">
        <v>45382</v>
      </c>
      <c r="F12" s="76" t="s">
        <v>208</v>
      </c>
      <c r="G12" s="76" t="s">
        <v>209</v>
      </c>
      <c r="H12" s="76" t="s">
        <v>205</v>
      </c>
      <c r="I12" s="79" t="n">
        <v>592644.201</v>
      </c>
      <c r="J12" s="79" t="n">
        <v>314505.269</v>
      </c>
      <c r="K12" s="79" t="n">
        <v>225484877000</v>
      </c>
      <c r="L12" s="80" t="n">
        <v>8.7</v>
      </c>
      <c r="M12" s="79" t="n">
        <v>25935.031</v>
      </c>
      <c r="N12" s="79" t="n">
        <v>0</v>
      </c>
      <c r="O12" s="79" t="n">
        <v>3635731.93</v>
      </c>
      <c r="P12" s="80" t="n">
        <v>3.49978969</v>
      </c>
      <c r="Q12" s="80" t="n">
        <v>779</v>
      </c>
      <c r="R12" s="47" t="n">
        <v>10</v>
      </c>
      <c r="S12" s="66" t="s">
        <v>228</v>
      </c>
    </row>
    <row r="13" customFormat="false" ht="15" hidden="false" customHeight="false" outlineLevel="0" collapsed="false">
      <c r="A13" s="76" t="s">
        <v>167</v>
      </c>
      <c r="B13" s="76" t="s">
        <v>229</v>
      </c>
      <c r="C13" s="77" t="n">
        <v>2023</v>
      </c>
      <c r="D13" s="77" t="n">
        <v>4</v>
      </c>
      <c r="E13" s="78" t="n">
        <v>45291</v>
      </c>
      <c r="F13" s="76" t="s">
        <v>208</v>
      </c>
      <c r="G13" s="76" t="s">
        <v>209</v>
      </c>
      <c r="H13" s="76" t="s">
        <v>205</v>
      </c>
      <c r="I13" s="79" t="n">
        <v>625528.856</v>
      </c>
      <c r="J13" s="79" t="n">
        <v>331767.925</v>
      </c>
      <c r="K13" s="79" t="n">
        <v>238712143000</v>
      </c>
      <c r="L13" s="80" t="n">
        <v>9.21</v>
      </c>
      <c r="M13" s="79" t="n">
        <v>25932.071</v>
      </c>
      <c r="N13" s="79" t="n">
        <v>0</v>
      </c>
      <c r="O13" s="79" t="n">
        <v>3458913.627</v>
      </c>
      <c r="P13" s="80" t="n">
        <v>3</v>
      </c>
      <c r="Q13" s="80" t="n">
        <v>593</v>
      </c>
      <c r="R13" s="47" t="n">
        <v>11</v>
      </c>
      <c r="S13" s="66" t="s">
        <v>230</v>
      </c>
    </row>
    <row r="14" customFormat="false" ht="15" hidden="false" customHeight="false" outlineLevel="0" collapsed="false">
      <c r="A14" s="76" t="s">
        <v>167</v>
      </c>
      <c r="B14" s="76" t="s">
        <v>231</v>
      </c>
      <c r="C14" s="77" t="n">
        <v>2023</v>
      </c>
      <c r="D14" s="77" t="n">
        <v>3</v>
      </c>
      <c r="E14" s="78" t="n">
        <v>45199</v>
      </c>
      <c r="F14" s="76" t="s">
        <v>208</v>
      </c>
      <c r="G14" s="76" t="s">
        <v>209</v>
      </c>
      <c r="H14" s="76" t="s">
        <v>205</v>
      </c>
      <c r="I14" s="79" t="n">
        <v>546732.758</v>
      </c>
      <c r="J14" s="79" t="n">
        <v>296642.464</v>
      </c>
      <c r="K14" s="79" t="n">
        <v>210999939000</v>
      </c>
      <c r="L14" s="80" t="n">
        <v>8.14</v>
      </c>
      <c r="M14" s="79" t="n">
        <v>25932.071</v>
      </c>
      <c r="N14" s="79" t="n">
        <v>0</v>
      </c>
      <c r="O14" s="79" t="n">
        <v>3348349.657</v>
      </c>
      <c r="P14" s="80" t="n">
        <v>3</v>
      </c>
      <c r="Q14" s="80" t="n">
        <v>523</v>
      </c>
      <c r="R14" s="47" t="n">
        <v>12</v>
      </c>
      <c r="S14" s="66" t="s">
        <v>232</v>
      </c>
    </row>
    <row r="15" customFormat="false" ht="15" hidden="false" customHeight="false" outlineLevel="0" collapsed="false">
      <c r="A15" s="76" t="s">
        <v>167</v>
      </c>
      <c r="B15" s="76" t="s">
        <v>233</v>
      </c>
      <c r="C15" s="77" t="n">
        <v>2023</v>
      </c>
      <c r="D15" s="77" t="n">
        <v>2</v>
      </c>
      <c r="E15" s="78" t="n">
        <v>45107</v>
      </c>
      <c r="F15" s="76" t="s">
        <v>208</v>
      </c>
      <c r="G15" s="76" t="s">
        <v>209</v>
      </c>
      <c r="H15" s="76" t="s">
        <v>205</v>
      </c>
      <c r="I15" s="79" t="n">
        <v>480841.254</v>
      </c>
      <c r="J15" s="79" t="n">
        <v>260199.847</v>
      </c>
      <c r="K15" s="79" t="n">
        <v>181799021000</v>
      </c>
      <c r="L15" s="80" t="n">
        <v>7.01</v>
      </c>
      <c r="M15" s="79" t="n">
        <v>25932.071</v>
      </c>
      <c r="N15" s="79" t="n">
        <v>0</v>
      </c>
      <c r="O15" s="79" t="n">
        <v>3188750.455</v>
      </c>
      <c r="P15" s="80" t="n">
        <v>2.74982072</v>
      </c>
      <c r="Q15" s="80" t="n">
        <v>576</v>
      </c>
      <c r="R15" s="47" t="n">
        <v>13</v>
      </c>
      <c r="S15" s="66" t="s">
        <v>234</v>
      </c>
    </row>
    <row r="16" customFormat="false" ht="15" hidden="false" customHeight="false" outlineLevel="0" collapsed="false">
      <c r="A16" s="76" t="s">
        <v>167</v>
      </c>
      <c r="B16" s="76" t="s">
        <v>235</v>
      </c>
      <c r="C16" s="77" t="n">
        <v>2023</v>
      </c>
      <c r="D16" s="77" t="n">
        <v>1</v>
      </c>
      <c r="E16" s="78" t="n">
        <v>45016</v>
      </c>
      <c r="F16" s="76" t="s">
        <v>208</v>
      </c>
      <c r="G16" s="76" t="s">
        <v>209</v>
      </c>
      <c r="H16" s="76" t="s">
        <v>205</v>
      </c>
      <c r="I16" s="79" t="n">
        <v>508632.973</v>
      </c>
      <c r="J16" s="79" t="n">
        <v>286500.392</v>
      </c>
      <c r="K16" s="79" t="n">
        <v>206986561000</v>
      </c>
      <c r="L16" s="80" t="n">
        <v>7.98</v>
      </c>
      <c r="M16" s="79" t="n">
        <v>25932.4905</v>
      </c>
      <c r="N16" s="79" t="n">
        <v>0</v>
      </c>
      <c r="O16" s="79" t="n">
        <v>3078233.958</v>
      </c>
      <c r="P16" s="80" t="n">
        <v>2.74982072</v>
      </c>
      <c r="Q16" s="80" t="n">
        <v>533</v>
      </c>
      <c r="R16" s="47" t="n">
        <v>14</v>
      </c>
      <c r="S16" s="66" t="s">
        <v>236</v>
      </c>
    </row>
    <row r="17" customFormat="false" ht="15" hidden="false" customHeight="false" outlineLevel="0" collapsed="false">
      <c r="A17" s="76" t="s">
        <v>167</v>
      </c>
      <c r="B17" s="76" t="s">
        <v>237</v>
      </c>
      <c r="C17" s="77" t="n">
        <v>2022</v>
      </c>
      <c r="D17" s="77" t="n">
        <v>4</v>
      </c>
      <c r="E17" s="78" t="n">
        <v>44926</v>
      </c>
      <c r="F17" s="76" t="s">
        <v>208</v>
      </c>
      <c r="G17" s="76" t="s">
        <v>209</v>
      </c>
      <c r="H17" s="76" t="s">
        <v>205</v>
      </c>
      <c r="I17" s="79" t="n">
        <v>625531.868</v>
      </c>
      <c r="J17" s="79" t="n">
        <v>389184.929</v>
      </c>
      <c r="K17" s="79" t="n">
        <v>295904177000</v>
      </c>
      <c r="L17" s="80" t="n">
        <v>11.41</v>
      </c>
      <c r="M17" s="79" t="n">
        <v>25930.3805</v>
      </c>
      <c r="N17" s="79" t="n">
        <v>0</v>
      </c>
      <c r="O17" s="79" t="n">
        <v>2945653.195</v>
      </c>
      <c r="P17" s="80" t="n">
        <v>2.75</v>
      </c>
      <c r="Q17" s="80" t="n">
        <v>448.5</v>
      </c>
      <c r="R17" s="47" t="n">
        <v>15</v>
      </c>
      <c r="S17" s="66" t="s">
        <v>238</v>
      </c>
    </row>
    <row r="18" customFormat="false" ht="15" hidden="false" customHeight="false" outlineLevel="0" collapsed="false">
      <c r="A18" s="76" t="s">
        <v>167</v>
      </c>
      <c r="B18" s="76" t="s">
        <v>239</v>
      </c>
      <c r="C18" s="77" t="n">
        <v>2022</v>
      </c>
      <c r="D18" s="77" t="n">
        <v>3</v>
      </c>
      <c r="E18" s="78" t="n">
        <v>44834</v>
      </c>
      <c r="F18" s="76" t="s">
        <v>208</v>
      </c>
      <c r="G18" s="76" t="s">
        <v>209</v>
      </c>
      <c r="H18" s="76" t="s">
        <v>205</v>
      </c>
      <c r="I18" s="79" t="n">
        <v>613142.743</v>
      </c>
      <c r="J18" s="79" t="n">
        <v>370498.717</v>
      </c>
      <c r="K18" s="79" t="n">
        <v>280865780000</v>
      </c>
      <c r="L18" s="80" t="n">
        <v>10.83</v>
      </c>
      <c r="M18" s="79" t="n">
        <v>25930.3805</v>
      </c>
      <c r="N18" s="79" t="n">
        <v>0</v>
      </c>
      <c r="O18" s="79" t="n">
        <v>2737974.306</v>
      </c>
      <c r="P18" s="80" t="n">
        <v>2.75</v>
      </c>
      <c r="Q18" s="80" t="n">
        <v>422</v>
      </c>
      <c r="R18" s="47" t="n">
        <v>16</v>
      </c>
      <c r="S18" s="66" t="s">
        <v>240</v>
      </c>
    </row>
    <row r="19" customFormat="false" ht="15" hidden="false" customHeight="false" outlineLevel="0" collapsed="false">
      <c r="A19" s="76" t="s">
        <v>167</v>
      </c>
      <c r="B19" s="76" t="s">
        <v>241</v>
      </c>
      <c r="C19" s="77" t="n">
        <v>2022</v>
      </c>
      <c r="D19" s="77" t="n">
        <v>2</v>
      </c>
      <c r="E19" s="78" t="n">
        <v>44742</v>
      </c>
      <c r="F19" s="76" t="s">
        <v>208</v>
      </c>
      <c r="G19" s="76" t="s">
        <v>209</v>
      </c>
      <c r="H19" s="76" t="s">
        <v>205</v>
      </c>
      <c r="I19" s="79" t="n">
        <v>534140.808</v>
      </c>
      <c r="J19" s="79" t="n">
        <v>315467.994</v>
      </c>
      <c r="K19" s="79" t="n">
        <v>237027317000</v>
      </c>
      <c r="L19" s="80" t="n">
        <v>9.14</v>
      </c>
      <c r="M19" s="79" t="n">
        <v>25930.3805</v>
      </c>
      <c r="N19" s="79" t="n">
        <v>0</v>
      </c>
      <c r="O19" s="79" t="n">
        <v>2496353.192</v>
      </c>
      <c r="P19" s="80" t="n">
        <v>2.75</v>
      </c>
      <c r="Q19" s="80" t="n">
        <v>476</v>
      </c>
      <c r="R19" s="47" t="n">
        <v>17</v>
      </c>
      <c r="S19" s="66" t="s">
        <v>242</v>
      </c>
    </row>
    <row r="20" customFormat="false" ht="15" hidden="false" customHeight="false" outlineLevel="0" collapsed="false">
      <c r="A20" s="76" t="s">
        <v>167</v>
      </c>
      <c r="B20" s="76" t="s">
        <v>243</v>
      </c>
      <c r="C20" s="77" t="n">
        <v>2022</v>
      </c>
      <c r="D20" s="77" t="n">
        <v>1</v>
      </c>
      <c r="E20" s="78" t="n">
        <v>44651</v>
      </c>
      <c r="F20" s="76" t="s">
        <v>208</v>
      </c>
      <c r="G20" s="76" t="s">
        <v>209</v>
      </c>
      <c r="H20" s="76" t="s">
        <v>205</v>
      </c>
      <c r="I20" s="79" t="n">
        <v>491075.873</v>
      </c>
      <c r="J20" s="79" t="n">
        <v>273203.166</v>
      </c>
      <c r="K20" s="79" t="n">
        <v>202732975000</v>
      </c>
      <c r="L20" s="80" t="n">
        <v>7.82</v>
      </c>
      <c r="M20" s="79" t="n">
        <v>25931.7675</v>
      </c>
      <c r="N20" s="79" t="n">
        <v>1387000</v>
      </c>
      <c r="O20" s="79" t="n">
        <v>2314430.096</v>
      </c>
      <c r="P20" s="80" t="n">
        <v>2.75</v>
      </c>
      <c r="Q20" s="80" t="n">
        <v>597</v>
      </c>
      <c r="R20" s="47" t="n">
        <v>18</v>
      </c>
      <c r="S20" s="66" t="s">
        <v>244</v>
      </c>
    </row>
    <row r="21" customFormat="false" ht="15" hidden="false" customHeight="false" outlineLevel="0" collapsed="false">
      <c r="A21" s="76" t="s">
        <v>167</v>
      </c>
      <c r="B21" s="76" t="s">
        <v>245</v>
      </c>
      <c r="C21" s="77" t="n">
        <v>2021</v>
      </c>
      <c r="D21" s="77" t="n">
        <v>4</v>
      </c>
      <c r="E21" s="78" t="n">
        <v>44561</v>
      </c>
      <c r="F21" s="76" t="s">
        <v>208</v>
      </c>
      <c r="G21" s="76" t="s">
        <v>209</v>
      </c>
      <c r="H21" s="76" t="s">
        <v>205</v>
      </c>
      <c r="I21" s="79" t="n">
        <v>438189.306</v>
      </c>
      <c r="J21" s="79" t="n">
        <v>230679.228</v>
      </c>
      <c r="K21" s="79" t="n">
        <v>166232291000</v>
      </c>
      <c r="L21" s="80" t="n">
        <v>6.42</v>
      </c>
      <c r="M21" s="79" t="n">
        <v>25930.3805</v>
      </c>
      <c r="N21" s="79" t="n">
        <v>0</v>
      </c>
      <c r="O21" s="79" t="n">
        <v>2168286.553</v>
      </c>
      <c r="P21" s="80" t="n">
        <v>2.75</v>
      </c>
      <c r="Q21" s="80" t="n">
        <v>615</v>
      </c>
      <c r="R21" s="47" t="n">
        <v>19</v>
      </c>
      <c r="S21" s="66" t="s">
        <v>246</v>
      </c>
    </row>
    <row r="22" customFormat="false" ht="15" hidden="false" customHeight="false" outlineLevel="0" collapsed="false">
      <c r="A22" s="76" t="s">
        <v>167</v>
      </c>
      <c r="B22" s="76" t="s">
        <v>247</v>
      </c>
      <c r="C22" s="77" t="n">
        <v>2021</v>
      </c>
      <c r="D22" s="77" t="n">
        <v>3</v>
      </c>
      <c r="E22" s="78" t="n">
        <v>44469</v>
      </c>
      <c r="F22" s="76" t="s">
        <v>208</v>
      </c>
      <c r="G22" s="76" t="s">
        <v>209</v>
      </c>
      <c r="H22" s="76" t="s">
        <v>205</v>
      </c>
      <c r="I22" s="79" t="n">
        <v>414670.379</v>
      </c>
      <c r="J22" s="79" t="n">
        <v>212848.684</v>
      </c>
      <c r="K22" s="79" t="n">
        <v>156258287000</v>
      </c>
      <c r="L22" s="80" t="n">
        <v>6.03</v>
      </c>
      <c r="M22" s="79" t="n">
        <v>25930.3805</v>
      </c>
      <c r="N22" s="79" t="n">
        <v>0</v>
      </c>
      <c r="O22" s="79" t="n">
        <v>2076020.062</v>
      </c>
      <c r="P22" s="80" t="n">
        <v>2.75</v>
      </c>
      <c r="Q22" s="80" t="n">
        <v>580</v>
      </c>
      <c r="R22" s="47" t="n">
        <v>20</v>
      </c>
      <c r="S22" s="66" t="s">
        <v>248</v>
      </c>
    </row>
    <row r="23" customFormat="false" ht="15" hidden="false" customHeight="false" outlineLevel="0" collapsed="false">
      <c r="A23" s="76" t="s">
        <v>167</v>
      </c>
      <c r="B23" s="76" t="s">
        <v>249</v>
      </c>
      <c r="C23" s="77" t="n">
        <v>2021</v>
      </c>
      <c r="D23" s="77" t="n">
        <v>2</v>
      </c>
      <c r="E23" s="78" t="n">
        <v>44377</v>
      </c>
      <c r="F23" s="76" t="s">
        <v>208</v>
      </c>
      <c r="G23" s="76" t="s">
        <v>209</v>
      </c>
      <c r="H23" s="76" t="s">
        <v>205</v>
      </c>
      <c r="I23" s="79" t="n">
        <v>372145.122</v>
      </c>
      <c r="J23" s="79" t="n">
        <v>186234.135</v>
      </c>
      <c r="K23" s="79" t="n">
        <v>134358942000</v>
      </c>
      <c r="L23" s="80" t="n">
        <v>5.18</v>
      </c>
      <c r="M23" s="79" t="n">
        <v>25930.3805</v>
      </c>
      <c r="N23" s="79" t="n">
        <v>0</v>
      </c>
      <c r="O23" s="79" t="n">
        <v>1991785.801</v>
      </c>
      <c r="P23" s="80" t="n">
        <v>2.5</v>
      </c>
      <c r="Q23" s="80" t="n">
        <v>595</v>
      </c>
      <c r="R23" s="47" t="n">
        <v>21</v>
      </c>
      <c r="S23" s="66" t="s">
        <v>250</v>
      </c>
    </row>
    <row r="24" customFormat="false" ht="15" hidden="false" customHeight="false" outlineLevel="0" collapsed="false">
      <c r="A24" s="76" t="s">
        <v>167</v>
      </c>
      <c r="B24" s="76" t="s">
        <v>251</v>
      </c>
      <c r="C24" s="77" t="n">
        <v>2021</v>
      </c>
      <c r="D24" s="77" t="n">
        <v>1</v>
      </c>
      <c r="E24" s="78" t="n">
        <v>44286</v>
      </c>
      <c r="F24" s="76" t="s">
        <v>208</v>
      </c>
      <c r="G24" s="76" t="s">
        <v>209</v>
      </c>
      <c r="H24" s="76" t="s">
        <v>205</v>
      </c>
      <c r="I24" s="79" t="n">
        <v>362410.23</v>
      </c>
      <c r="J24" s="79" t="n">
        <v>189775.219</v>
      </c>
      <c r="K24" s="79" t="n">
        <v>139690493000</v>
      </c>
      <c r="L24" s="80" t="n">
        <v>5.39</v>
      </c>
      <c r="M24" s="79" t="n">
        <v>25930.3805</v>
      </c>
      <c r="N24" s="79" t="n">
        <v>0</v>
      </c>
      <c r="O24" s="79" t="n">
        <v>1938936.396</v>
      </c>
      <c r="P24" s="80" t="n">
        <v>2.5</v>
      </c>
      <c r="Q24" s="80" t="n">
        <v>587</v>
      </c>
      <c r="R24" s="47" t="n">
        <v>22</v>
      </c>
      <c r="S24" s="66" t="s">
        <v>252</v>
      </c>
    </row>
    <row r="25" customFormat="false" ht="15" hidden="false" customHeight="false" outlineLevel="0" collapsed="false">
      <c r="A25" s="76" t="s">
        <v>167</v>
      </c>
      <c r="B25" s="76" t="s">
        <v>253</v>
      </c>
      <c r="C25" s="77" t="n">
        <v>2020</v>
      </c>
      <c r="D25" s="77" t="n">
        <v>4</v>
      </c>
      <c r="E25" s="78" t="n">
        <v>44196</v>
      </c>
      <c r="F25" s="76" t="s">
        <v>208</v>
      </c>
      <c r="G25" s="76" t="s">
        <v>209</v>
      </c>
      <c r="H25" s="76" t="s">
        <v>205</v>
      </c>
      <c r="I25" s="79" t="n">
        <v>361533.057</v>
      </c>
      <c r="J25" s="79" t="n">
        <v>195188.826</v>
      </c>
      <c r="K25" s="79" t="n">
        <v>142766434000</v>
      </c>
      <c r="L25" s="80" t="n">
        <v>5.5</v>
      </c>
      <c r="M25" s="79" t="n">
        <v>25930.3805</v>
      </c>
      <c r="N25" s="79" t="n">
        <v>0</v>
      </c>
      <c r="O25" s="79" t="n">
        <v>1849657.256</v>
      </c>
      <c r="P25" s="80" t="n">
        <v>2.5</v>
      </c>
      <c r="Q25" s="80" t="n">
        <v>530</v>
      </c>
      <c r="R25" s="47" t="n">
        <v>23</v>
      </c>
      <c r="S25" s="66" t="s">
        <v>254</v>
      </c>
    </row>
    <row r="26" customFormat="false" ht="15" hidden="false" customHeight="false" outlineLevel="0" collapsed="false">
      <c r="A26" s="76" t="s">
        <v>167</v>
      </c>
      <c r="B26" s="76" t="s">
        <v>255</v>
      </c>
      <c r="C26" s="77" t="n">
        <v>2020</v>
      </c>
      <c r="D26" s="77" t="n">
        <v>3</v>
      </c>
      <c r="E26" s="78" t="n">
        <v>44104</v>
      </c>
      <c r="F26" s="76" t="s">
        <v>208</v>
      </c>
      <c r="G26" s="76" t="s">
        <v>209</v>
      </c>
      <c r="H26" s="76" t="s">
        <v>205</v>
      </c>
      <c r="I26" s="79" t="n">
        <v>356426.204</v>
      </c>
      <c r="J26" s="79" t="n">
        <v>190480.67</v>
      </c>
      <c r="K26" s="79" t="n">
        <v>137310040000</v>
      </c>
      <c r="L26" s="80" t="n">
        <v>5.3</v>
      </c>
      <c r="M26" s="79" t="n">
        <v>25930.3805</v>
      </c>
      <c r="N26" s="79" t="n">
        <v>0</v>
      </c>
      <c r="O26" s="79" t="n">
        <v>1787361.029</v>
      </c>
      <c r="P26" s="80"/>
      <c r="Q26" s="80" t="n">
        <v>433</v>
      </c>
      <c r="R26" s="47" t="n">
        <v>24</v>
      </c>
      <c r="S26" s="66" t="s">
        <v>256</v>
      </c>
    </row>
    <row r="27" customFormat="false" ht="15" hidden="false" customHeight="false" outlineLevel="0" collapsed="false">
      <c r="A27" s="76" t="s">
        <v>171</v>
      </c>
      <c r="B27" s="76" t="s">
        <v>202</v>
      </c>
      <c r="C27" s="77" t="n">
        <v>2026</v>
      </c>
      <c r="D27" s="77" t="n">
        <v>3</v>
      </c>
      <c r="E27" s="78" t="n">
        <v>46295</v>
      </c>
      <c r="F27" s="76" t="s">
        <v>203</v>
      </c>
      <c r="G27" s="76" t="s">
        <v>204</v>
      </c>
      <c r="H27" s="76" t="s">
        <v>205</v>
      </c>
      <c r="I27" s="79"/>
      <c r="J27" s="79"/>
      <c r="K27" s="79"/>
      <c r="L27" s="80" t="n">
        <v>20.84785</v>
      </c>
      <c r="M27" s="79"/>
      <c r="N27" s="79"/>
      <c r="O27" s="79"/>
      <c r="P27" s="80"/>
      <c r="Q27" s="80"/>
      <c r="R27" s="47" t="n">
        <v>0</v>
      </c>
      <c r="S27" s="66" t="s">
        <v>257</v>
      </c>
    </row>
    <row r="28" customFormat="false" ht="15" hidden="false" customHeight="false" outlineLevel="0" collapsed="false">
      <c r="A28" s="76" t="s">
        <v>171</v>
      </c>
      <c r="B28" s="76" t="s">
        <v>207</v>
      </c>
      <c r="C28" s="77" t="n">
        <v>2026</v>
      </c>
      <c r="D28" s="77" t="n">
        <v>2</v>
      </c>
      <c r="E28" s="78" t="n">
        <v>46203</v>
      </c>
      <c r="F28" s="76" t="s">
        <v>208</v>
      </c>
      <c r="G28" s="76" t="s">
        <v>209</v>
      </c>
      <c r="H28" s="76" t="s">
        <v>205</v>
      </c>
      <c r="I28" s="79" t="n">
        <v>82549.073</v>
      </c>
      <c r="J28" s="79" t="n">
        <v>65617.46</v>
      </c>
      <c r="K28" s="79" t="n">
        <v>50192038000</v>
      </c>
      <c r="L28" s="80" t="n">
        <v>14.66</v>
      </c>
      <c r="M28" s="79" t="n">
        <v>3450.2059</v>
      </c>
      <c r="N28" s="79" t="n">
        <v>0</v>
      </c>
      <c r="O28" s="79" t="n">
        <v>322560.603</v>
      </c>
      <c r="P28" s="80" t="n">
        <v>0</v>
      </c>
      <c r="Q28" s="80" t="n">
        <v>452.5</v>
      </c>
      <c r="R28" s="47" t="n">
        <v>1</v>
      </c>
      <c r="S28" s="66" t="s">
        <v>258</v>
      </c>
    </row>
    <row r="29" customFormat="false" ht="15" hidden="false" customHeight="false" outlineLevel="0" collapsed="false">
      <c r="A29" s="76" t="s">
        <v>171</v>
      </c>
      <c r="B29" s="76" t="s">
        <v>211</v>
      </c>
      <c r="C29" s="77" t="n">
        <v>2026</v>
      </c>
      <c r="D29" s="77" t="n">
        <v>1</v>
      </c>
      <c r="E29" s="78" t="n">
        <v>46112</v>
      </c>
      <c r="F29" s="76" t="s">
        <v>208</v>
      </c>
      <c r="G29" s="76" t="s">
        <v>209</v>
      </c>
      <c r="H29" s="76" t="s">
        <v>205</v>
      </c>
      <c r="I29" s="79" t="n">
        <v>49086.932</v>
      </c>
      <c r="J29" s="79" t="n">
        <v>33325.482</v>
      </c>
      <c r="K29" s="79" t="n">
        <v>26059487000</v>
      </c>
      <c r="L29" s="80" t="n">
        <v>8.41</v>
      </c>
      <c r="M29" s="79" t="n">
        <v>3098.6279</v>
      </c>
      <c r="N29" s="79" t="n">
        <v>0</v>
      </c>
      <c r="O29" s="79" t="n">
        <v>192900.167</v>
      </c>
      <c r="P29" s="80" t="n">
        <v>0</v>
      </c>
      <c r="Q29" s="80" t="n">
        <v>198.5</v>
      </c>
      <c r="R29" s="47" t="n">
        <v>2</v>
      </c>
      <c r="S29" s="66" t="s">
        <v>259</v>
      </c>
    </row>
    <row r="30" customFormat="false" ht="15" hidden="false" customHeight="false" outlineLevel="0" collapsed="false">
      <c r="A30" s="76" t="s">
        <v>171</v>
      </c>
      <c r="B30" s="76" t="s">
        <v>213</v>
      </c>
      <c r="C30" s="77" t="n">
        <v>2025</v>
      </c>
      <c r="D30" s="77" t="n">
        <v>4</v>
      </c>
      <c r="E30" s="78" t="n">
        <v>46022</v>
      </c>
      <c r="F30" s="76" t="s">
        <v>208</v>
      </c>
      <c r="G30" s="76" t="s">
        <v>209</v>
      </c>
      <c r="H30" s="76" t="s">
        <v>205</v>
      </c>
      <c r="I30" s="79" t="n">
        <v>30093.618</v>
      </c>
      <c r="J30" s="79" t="n">
        <v>14760.844</v>
      </c>
      <c r="K30" s="79" t="n">
        <v>11093190000</v>
      </c>
      <c r="L30" s="80" t="n">
        <v>3.58</v>
      </c>
      <c r="M30" s="79" t="n">
        <v>3098.6279</v>
      </c>
      <c r="N30" s="79" t="n">
        <v>0</v>
      </c>
      <c r="O30" s="79" t="n">
        <v>170399.852</v>
      </c>
      <c r="P30" s="80" t="n">
        <v>0</v>
      </c>
      <c r="Q30" s="80" t="n">
        <v>193</v>
      </c>
      <c r="R30" s="47" t="n">
        <v>3</v>
      </c>
      <c r="S30" s="66" t="s">
        <v>260</v>
      </c>
    </row>
    <row r="31" customFormat="false" ht="15" hidden="false" customHeight="false" outlineLevel="0" collapsed="false">
      <c r="A31" s="76" t="s">
        <v>171</v>
      </c>
      <c r="B31" s="76" t="s">
        <v>215</v>
      </c>
      <c r="C31" s="77" t="n">
        <v>2025</v>
      </c>
      <c r="D31" s="77" t="n">
        <v>3</v>
      </c>
      <c r="E31" s="78" t="n">
        <v>45930</v>
      </c>
      <c r="F31" s="76" t="s">
        <v>208</v>
      </c>
      <c r="G31" s="76" t="s">
        <v>209</v>
      </c>
      <c r="H31" s="76" t="s">
        <v>205</v>
      </c>
      <c r="I31" s="79" t="n">
        <v>18778.868</v>
      </c>
      <c r="J31" s="79" t="n">
        <v>3463.871</v>
      </c>
      <c r="K31" s="79" t="n">
        <v>1563334000</v>
      </c>
      <c r="L31" s="80" t="n">
        <v>0.5</v>
      </c>
      <c r="M31" s="79" t="n">
        <v>3098.6279</v>
      </c>
      <c r="N31" s="79" t="n">
        <v>0</v>
      </c>
      <c r="O31" s="79" t="n">
        <v>157342.861</v>
      </c>
      <c r="P31" s="80" t="n">
        <v>0</v>
      </c>
      <c r="Q31" s="80" t="n">
        <v>73</v>
      </c>
      <c r="R31" s="47" t="n">
        <v>4</v>
      </c>
      <c r="S31" s="66" t="s">
        <v>261</v>
      </c>
    </row>
    <row r="32" customFormat="false" ht="15" hidden="false" customHeight="false" outlineLevel="0" collapsed="false">
      <c r="A32" s="76" t="s">
        <v>171</v>
      </c>
      <c r="B32" s="76" t="s">
        <v>217</v>
      </c>
      <c r="C32" s="77" t="n">
        <v>2025</v>
      </c>
      <c r="D32" s="77" t="n">
        <v>2</v>
      </c>
      <c r="E32" s="78" t="n">
        <v>45838</v>
      </c>
      <c r="F32" s="76" t="s">
        <v>208</v>
      </c>
      <c r="G32" s="76" t="s">
        <v>209</v>
      </c>
      <c r="H32" s="76" t="s">
        <v>205</v>
      </c>
      <c r="I32" s="79" t="n">
        <v>10526.094</v>
      </c>
      <c r="J32" s="79" t="n">
        <v>-2163.843</v>
      </c>
      <c r="K32" s="79" t="n">
        <v>-4102113000</v>
      </c>
      <c r="L32" s="80" t="n">
        <v>-1.32</v>
      </c>
      <c r="M32" s="79" t="n">
        <v>3098.6279</v>
      </c>
      <c r="N32" s="79" t="n">
        <v>0</v>
      </c>
      <c r="O32" s="79" t="n">
        <v>154665.851</v>
      </c>
      <c r="P32" s="80" t="n">
        <v>0</v>
      </c>
      <c r="Q32" s="80" t="n">
        <v>51.2</v>
      </c>
      <c r="R32" s="47" t="n">
        <v>5</v>
      </c>
      <c r="S32" s="66" t="s">
        <v>262</v>
      </c>
    </row>
    <row r="33" customFormat="false" ht="15" hidden="false" customHeight="false" outlineLevel="0" collapsed="false">
      <c r="A33" s="76" t="s">
        <v>171</v>
      </c>
      <c r="B33" s="76" t="s">
        <v>219</v>
      </c>
      <c r="C33" s="77" t="n">
        <v>2025</v>
      </c>
      <c r="D33" s="77" t="n">
        <v>1</v>
      </c>
      <c r="E33" s="78" t="n">
        <v>45747</v>
      </c>
      <c r="F33" s="76" t="s">
        <v>208</v>
      </c>
      <c r="G33" s="76" t="s">
        <v>209</v>
      </c>
      <c r="H33" s="76" t="s">
        <v>205</v>
      </c>
      <c r="I33" s="79" t="n">
        <v>7187.94</v>
      </c>
      <c r="J33" s="79" t="n">
        <v>-1074.672</v>
      </c>
      <c r="K33" s="79" t="n">
        <v>-1940639000</v>
      </c>
      <c r="L33" s="80" t="n">
        <v>-0.63</v>
      </c>
      <c r="M33" s="79" t="n">
        <v>3098.6279</v>
      </c>
      <c r="N33" s="79" t="n">
        <v>0</v>
      </c>
      <c r="O33" s="79" t="n">
        <v>163871.441</v>
      </c>
      <c r="P33" s="80" t="n">
        <v>0</v>
      </c>
      <c r="Q33" s="80" t="n">
        <v>37.4</v>
      </c>
      <c r="R33" s="47" t="n">
        <v>6</v>
      </c>
      <c r="S33" s="66" t="s">
        <v>263</v>
      </c>
    </row>
    <row r="34" customFormat="false" ht="15" hidden="false" customHeight="false" outlineLevel="0" collapsed="false">
      <c r="A34" s="76" t="s">
        <v>171</v>
      </c>
      <c r="B34" s="76" t="s">
        <v>221</v>
      </c>
      <c r="C34" s="77" t="n">
        <v>2024</v>
      </c>
      <c r="D34" s="77" t="n">
        <v>4</v>
      </c>
      <c r="E34" s="78" t="n">
        <v>45657</v>
      </c>
      <c r="F34" s="76" t="s">
        <v>208</v>
      </c>
      <c r="G34" s="76" t="s">
        <v>209</v>
      </c>
      <c r="H34" s="76" t="s">
        <v>205</v>
      </c>
      <c r="I34" s="79" t="n">
        <v>6575.094</v>
      </c>
      <c r="J34" s="79" t="n">
        <v>-694.55</v>
      </c>
      <c r="K34" s="79" t="n">
        <v>-1573687000</v>
      </c>
      <c r="L34" s="80" t="n">
        <v>-0.51</v>
      </c>
      <c r="M34" s="79" t="n">
        <v>3098.6279</v>
      </c>
      <c r="N34" s="79" t="n">
        <v>0</v>
      </c>
      <c r="O34" s="79" t="n">
        <v>165053.275</v>
      </c>
      <c r="P34" s="80" t="n">
        <v>0</v>
      </c>
      <c r="Q34" s="80" t="n">
        <v>29.25</v>
      </c>
      <c r="R34" s="47" t="n">
        <v>7</v>
      </c>
      <c r="S34" s="66" t="s">
        <v>264</v>
      </c>
    </row>
    <row r="35" customFormat="false" ht="15" hidden="false" customHeight="false" outlineLevel="0" collapsed="false">
      <c r="A35" s="76" t="s">
        <v>171</v>
      </c>
      <c r="B35" s="76" t="s">
        <v>223</v>
      </c>
      <c r="C35" s="77" t="n">
        <v>2024</v>
      </c>
      <c r="D35" s="77" t="n">
        <v>3</v>
      </c>
      <c r="E35" s="78" t="n">
        <v>45565</v>
      </c>
      <c r="F35" s="76" t="s">
        <v>208</v>
      </c>
      <c r="G35" s="76" t="s">
        <v>209</v>
      </c>
      <c r="H35" s="76" t="s">
        <v>205</v>
      </c>
      <c r="I35" s="79" t="n">
        <v>8132.593</v>
      </c>
      <c r="J35" s="79" t="n">
        <v>263.625</v>
      </c>
      <c r="K35" s="79" t="n">
        <v>-1486690000</v>
      </c>
      <c r="L35" s="80" t="n">
        <v>-0.48</v>
      </c>
      <c r="M35" s="79" t="n">
        <v>3098.6279</v>
      </c>
      <c r="N35" s="79" t="n">
        <v>0</v>
      </c>
      <c r="O35" s="79" t="n">
        <v>164753.756</v>
      </c>
      <c r="P35" s="80" t="n">
        <v>0</v>
      </c>
      <c r="Q35" s="80" t="n">
        <v>47.35</v>
      </c>
      <c r="R35" s="47" t="n">
        <v>8</v>
      </c>
      <c r="S35" s="66" t="s">
        <v>265</v>
      </c>
    </row>
    <row r="36" customFormat="false" ht="15" hidden="false" customHeight="false" outlineLevel="0" collapsed="false">
      <c r="A36" s="76" t="s">
        <v>171</v>
      </c>
      <c r="B36" s="76" t="s">
        <v>225</v>
      </c>
      <c r="C36" s="77" t="n">
        <v>2024</v>
      </c>
      <c r="D36" s="77" t="n">
        <v>2</v>
      </c>
      <c r="E36" s="78" t="n">
        <v>45473</v>
      </c>
      <c r="F36" s="76" t="s">
        <v>208</v>
      </c>
      <c r="G36" s="76" t="s">
        <v>209</v>
      </c>
      <c r="H36" s="76" t="s">
        <v>205</v>
      </c>
      <c r="I36" s="79" t="n">
        <v>9921.043</v>
      </c>
      <c r="J36" s="79" t="n">
        <v>286.964</v>
      </c>
      <c r="K36" s="79" t="n">
        <v>-814485000</v>
      </c>
      <c r="L36" s="80" t="n">
        <v>-0.26</v>
      </c>
      <c r="M36" s="79"/>
      <c r="N36" s="79"/>
      <c r="O36" s="79"/>
      <c r="P36" s="80" t="n">
        <v>0</v>
      </c>
      <c r="Q36" s="80" t="n">
        <v>69.7</v>
      </c>
      <c r="R36" s="47" t="n">
        <v>9</v>
      </c>
      <c r="S36" s="66" t="s">
        <v>266</v>
      </c>
    </row>
    <row r="37" customFormat="false" ht="15" hidden="false" customHeight="false" outlineLevel="0" collapsed="false">
      <c r="A37" s="76" t="s">
        <v>171</v>
      </c>
      <c r="B37" s="76" t="s">
        <v>227</v>
      </c>
      <c r="C37" s="77" t="n">
        <v>2024</v>
      </c>
      <c r="D37" s="77" t="n">
        <v>1</v>
      </c>
      <c r="E37" s="78" t="n">
        <v>45382</v>
      </c>
      <c r="F37" s="76" t="s">
        <v>208</v>
      </c>
      <c r="G37" s="76" t="s">
        <v>209</v>
      </c>
      <c r="H37" s="76" t="s">
        <v>205</v>
      </c>
      <c r="I37" s="79" t="n">
        <v>9502.937</v>
      </c>
      <c r="J37" s="79" t="n">
        <v>-276.624</v>
      </c>
      <c r="K37" s="79" t="n">
        <v>-1208488000</v>
      </c>
      <c r="L37" s="80" t="n">
        <v>-0.39</v>
      </c>
      <c r="M37" s="79" t="n">
        <v>3098.2509</v>
      </c>
      <c r="N37" s="79" t="n">
        <v>0</v>
      </c>
      <c r="O37" s="79" t="n">
        <v>167821.174</v>
      </c>
      <c r="P37" s="80" t="n">
        <v>0</v>
      </c>
      <c r="Q37" s="80" t="n">
        <v>67.7</v>
      </c>
      <c r="R37" s="47" t="n">
        <v>10</v>
      </c>
      <c r="S37" s="66" t="s">
        <v>267</v>
      </c>
    </row>
    <row r="38" customFormat="false" ht="15" hidden="false" customHeight="false" outlineLevel="0" collapsed="false">
      <c r="A38" s="76" t="s">
        <v>171</v>
      </c>
      <c r="B38" s="76" t="s">
        <v>229</v>
      </c>
      <c r="C38" s="77" t="n">
        <v>2023</v>
      </c>
      <c r="D38" s="77" t="n">
        <v>4</v>
      </c>
      <c r="E38" s="78" t="n">
        <v>45291</v>
      </c>
      <c r="F38" s="76" t="s">
        <v>208</v>
      </c>
      <c r="G38" s="76" t="s">
        <v>209</v>
      </c>
      <c r="H38" s="76" t="s">
        <v>205</v>
      </c>
      <c r="I38" s="79" t="n">
        <v>8703.978</v>
      </c>
      <c r="J38" s="79" t="n">
        <v>-1187.708</v>
      </c>
      <c r="K38" s="79" t="n">
        <v>-2479502000</v>
      </c>
      <c r="L38" s="80" t="n">
        <v>-0.8</v>
      </c>
      <c r="M38" s="79" t="n">
        <v>3098.1209</v>
      </c>
      <c r="N38" s="79" t="n">
        <v>0</v>
      </c>
      <c r="O38" s="79" t="n">
        <v>166924.155</v>
      </c>
      <c r="P38" s="80" t="n">
        <v>0</v>
      </c>
      <c r="Q38" s="80" t="n">
        <v>78</v>
      </c>
      <c r="R38" s="47" t="n">
        <v>11</v>
      </c>
      <c r="S38" s="66" t="s">
        <v>268</v>
      </c>
    </row>
    <row r="39" customFormat="false" ht="15" hidden="false" customHeight="false" outlineLevel="0" collapsed="false">
      <c r="A39" s="76" t="s">
        <v>171</v>
      </c>
      <c r="B39" s="76" t="s">
        <v>231</v>
      </c>
      <c r="C39" s="77" t="n">
        <v>2023</v>
      </c>
      <c r="D39" s="77" t="n">
        <v>3</v>
      </c>
      <c r="E39" s="78" t="n">
        <v>45199</v>
      </c>
      <c r="F39" s="76" t="s">
        <v>208</v>
      </c>
      <c r="G39" s="76" t="s">
        <v>209</v>
      </c>
      <c r="H39" s="76" t="s">
        <v>205</v>
      </c>
      <c r="I39" s="79" t="n">
        <v>7736.374</v>
      </c>
      <c r="J39" s="79" t="n">
        <v>-1952.67</v>
      </c>
      <c r="K39" s="79" t="n">
        <v>-2504571000</v>
      </c>
      <c r="L39" s="80" t="n">
        <v>-0.81</v>
      </c>
      <c r="M39" s="79" t="n">
        <v>3098.0689</v>
      </c>
      <c r="N39" s="79" t="n">
        <v>0</v>
      </c>
      <c r="O39" s="79" t="n">
        <v>172009.061</v>
      </c>
      <c r="P39" s="80" t="n">
        <v>0</v>
      </c>
      <c r="Q39" s="80" t="n">
        <v>65.6</v>
      </c>
      <c r="R39" s="47" t="n">
        <v>12</v>
      </c>
      <c r="S39" s="66" t="s">
        <v>269</v>
      </c>
    </row>
    <row r="40" customFormat="false" ht="15" hidden="false" customHeight="false" outlineLevel="0" collapsed="false">
      <c r="A40" s="76" t="s">
        <v>171</v>
      </c>
      <c r="B40" s="76" t="s">
        <v>233</v>
      </c>
      <c r="C40" s="77" t="n">
        <v>2023</v>
      </c>
      <c r="D40" s="77" t="n">
        <v>2</v>
      </c>
      <c r="E40" s="78" t="n">
        <v>45107</v>
      </c>
      <c r="F40" s="76" t="s">
        <v>208</v>
      </c>
      <c r="G40" s="76" t="s">
        <v>209</v>
      </c>
      <c r="H40" s="76" t="s">
        <v>205</v>
      </c>
      <c r="I40" s="79" t="n">
        <v>7027.071</v>
      </c>
      <c r="J40" s="79" t="n">
        <v>-788.302</v>
      </c>
      <c r="K40" s="79" t="n">
        <v>-770874000</v>
      </c>
      <c r="L40" s="80" t="n">
        <v>-0.25</v>
      </c>
      <c r="M40" s="79" t="n">
        <v>3098.0429</v>
      </c>
      <c r="N40" s="79" t="n">
        <v>0</v>
      </c>
      <c r="O40" s="79" t="n">
        <v>172633.829</v>
      </c>
      <c r="P40" s="80" t="n">
        <v>2.13036346</v>
      </c>
      <c r="Q40" s="80" t="n">
        <v>70.8</v>
      </c>
      <c r="R40" s="47" t="n">
        <v>13</v>
      </c>
      <c r="S40" s="66" t="s">
        <v>270</v>
      </c>
    </row>
    <row r="41" customFormat="false" ht="15" hidden="false" customHeight="false" outlineLevel="0" collapsed="false">
      <c r="A41" s="76" t="s">
        <v>171</v>
      </c>
      <c r="B41" s="76" t="s">
        <v>235</v>
      </c>
      <c r="C41" s="77" t="n">
        <v>2023</v>
      </c>
      <c r="D41" s="77" t="n">
        <v>1</v>
      </c>
      <c r="E41" s="78" t="n">
        <v>45016</v>
      </c>
      <c r="F41" s="76" t="s">
        <v>208</v>
      </c>
      <c r="G41" s="76" t="s">
        <v>209</v>
      </c>
      <c r="H41" s="76" t="s">
        <v>205</v>
      </c>
      <c r="I41" s="79" t="n">
        <v>6424.883</v>
      </c>
      <c r="J41" s="79" t="n">
        <v>-554.16</v>
      </c>
      <c r="K41" s="79" t="n">
        <v>-1684687000</v>
      </c>
      <c r="L41" s="80" t="n">
        <v>-0.54</v>
      </c>
      <c r="M41" s="79" t="n">
        <v>3098.0429</v>
      </c>
      <c r="N41" s="79" t="n">
        <v>0</v>
      </c>
      <c r="O41" s="79" t="n">
        <v>172301.376</v>
      </c>
      <c r="P41" s="80" t="n">
        <v>0</v>
      </c>
      <c r="Q41" s="80" t="n">
        <v>66.5</v>
      </c>
      <c r="R41" s="47" t="n">
        <v>14</v>
      </c>
      <c r="S41" s="66" t="s">
        <v>271</v>
      </c>
    </row>
    <row r="42" customFormat="false" ht="15" hidden="false" customHeight="false" outlineLevel="0" collapsed="false">
      <c r="A42" s="76" t="s">
        <v>171</v>
      </c>
      <c r="B42" s="76" t="s">
        <v>237</v>
      </c>
      <c r="C42" s="77" t="n">
        <v>2022</v>
      </c>
      <c r="D42" s="77" t="n">
        <v>4</v>
      </c>
      <c r="E42" s="78" t="n">
        <v>44926</v>
      </c>
      <c r="F42" s="76" t="s">
        <v>208</v>
      </c>
      <c r="G42" s="76" t="s">
        <v>209</v>
      </c>
      <c r="H42" s="76" t="s">
        <v>205</v>
      </c>
      <c r="I42" s="79" t="n">
        <v>7953.553</v>
      </c>
      <c r="J42" s="79" t="n">
        <v>1036.908</v>
      </c>
      <c r="K42" s="79" t="n">
        <v>-1146420000</v>
      </c>
      <c r="L42" s="80" t="n">
        <v>-0.37</v>
      </c>
      <c r="M42" s="79" t="n">
        <v>3098.0079</v>
      </c>
      <c r="N42" s="79" t="n">
        <v>0</v>
      </c>
      <c r="O42" s="79" t="n">
        <v>180958.05</v>
      </c>
      <c r="P42" s="80" t="n">
        <v>0</v>
      </c>
      <c r="Q42" s="80" t="n">
        <v>51.2</v>
      </c>
      <c r="R42" s="47" t="n">
        <v>15</v>
      </c>
      <c r="S42" s="66" t="s">
        <v>272</v>
      </c>
    </row>
    <row r="43" customFormat="false" ht="15" hidden="false" customHeight="false" outlineLevel="0" collapsed="false">
      <c r="A43" s="76" t="s">
        <v>171</v>
      </c>
      <c r="B43" s="76" t="s">
        <v>239</v>
      </c>
      <c r="C43" s="77" t="n">
        <v>2022</v>
      </c>
      <c r="D43" s="77" t="n">
        <v>3</v>
      </c>
      <c r="E43" s="78" t="n">
        <v>44834</v>
      </c>
      <c r="F43" s="76" t="s">
        <v>208</v>
      </c>
      <c r="G43" s="76" t="s">
        <v>209</v>
      </c>
      <c r="H43" s="76" t="s">
        <v>205</v>
      </c>
      <c r="I43" s="79" t="n">
        <v>11021.725</v>
      </c>
      <c r="J43" s="79" t="n">
        <v>3596.56</v>
      </c>
      <c r="K43" s="79" t="n">
        <v>2640591000</v>
      </c>
      <c r="L43" s="80" t="n">
        <v>0.85</v>
      </c>
      <c r="M43" s="79" t="n">
        <v>3097.6779</v>
      </c>
      <c r="N43" s="79" t="n">
        <v>0</v>
      </c>
      <c r="O43" s="79" t="n">
        <v>183672.406</v>
      </c>
      <c r="P43" s="80" t="n">
        <v>0</v>
      </c>
      <c r="Q43" s="80" t="n">
        <v>48.95</v>
      </c>
      <c r="R43" s="47" t="n">
        <v>16</v>
      </c>
      <c r="S43" s="66" t="s">
        <v>273</v>
      </c>
    </row>
    <row r="44" customFormat="false" ht="15" hidden="false" customHeight="false" outlineLevel="0" collapsed="false">
      <c r="A44" s="76" t="s">
        <v>171</v>
      </c>
      <c r="B44" s="76" t="s">
        <v>241</v>
      </c>
      <c r="C44" s="77" t="n">
        <v>2022</v>
      </c>
      <c r="D44" s="77" t="n">
        <v>2</v>
      </c>
      <c r="E44" s="78" t="n">
        <v>44742</v>
      </c>
      <c r="F44" s="76" t="s">
        <v>208</v>
      </c>
      <c r="G44" s="76" t="s">
        <v>209</v>
      </c>
      <c r="H44" s="76" t="s">
        <v>205</v>
      </c>
      <c r="I44" s="79" t="n">
        <v>18030.672</v>
      </c>
      <c r="J44" s="79" t="n">
        <v>7958.199</v>
      </c>
      <c r="K44" s="79" t="n">
        <v>6574723000</v>
      </c>
      <c r="L44" s="80" t="n">
        <v>2.12</v>
      </c>
      <c r="M44" s="79" t="n">
        <v>3097.1219</v>
      </c>
      <c r="N44" s="79" t="n">
        <v>0</v>
      </c>
      <c r="O44" s="79" t="n">
        <v>177797.022</v>
      </c>
      <c r="P44" s="80" t="n">
        <v>3.70281307</v>
      </c>
      <c r="Q44" s="80" t="n">
        <v>49.4</v>
      </c>
      <c r="R44" s="47" t="n">
        <v>17</v>
      </c>
      <c r="S44" s="66" t="s">
        <v>274</v>
      </c>
    </row>
    <row r="45" customFormat="false" ht="15" hidden="false" customHeight="false" outlineLevel="0" collapsed="false">
      <c r="A45" s="76" t="s">
        <v>171</v>
      </c>
      <c r="B45" s="76" t="s">
        <v>243</v>
      </c>
      <c r="C45" s="77" t="n">
        <v>2022</v>
      </c>
      <c r="D45" s="77" t="n">
        <v>1</v>
      </c>
      <c r="E45" s="78" t="n">
        <v>44651</v>
      </c>
      <c r="F45" s="76" t="s">
        <v>208</v>
      </c>
      <c r="G45" s="76" t="s">
        <v>209</v>
      </c>
      <c r="H45" s="76" t="s">
        <v>205</v>
      </c>
      <c r="I45" s="79" t="n">
        <v>19946.325</v>
      </c>
      <c r="J45" s="79" t="n">
        <v>8750.427</v>
      </c>
      <c r="K45" s="79" t="n">
        <v>6550137000</v>
      </c>
      <c r="L45" s="80" t="n">
        <v>2.11</v>
      </c>
      <c r="M45" s="79" t="n">
        <v>3097.0709</v>
      </c>
      <c r="N45" s="79" t="n">
        <v>0</v>
      </c>
      <c r="O45" s="79" t="n">
        <v>181014.516</v>
      </c>
      <c r="P45" s="80" t="n">
        <v>0</v>
      </c>
      <c r="Q45" s="80" t="n">
        <v>69.2</v>
      </c>
      <c r="R45" s="47" t="n">
        <v>18</v>
      </c>
      <c r="S45" s="66" t="s">
        <v>275</v>
      </c>
    </row>
    <row r="46" customFormat="false" ht="15" hidden="false" customHeight="false" outlineLevel="0" collapsed="false">
      <c r="A46" s="76" t="s">
        <v>171</v>
      </c>
      <c r="B46" s="76" t="s">
        <v>245</v>
      </c>
      <c r="C46" s="77" t="n">
        <v>2021</v>
      </c>
      <c r="D46" s="77" t="n">
        <v>4</v>
      </c>
      <c r="E46" s="78" t="n">
        <v>44561</v>
      </c>
      <c r="F46" s="76" t="s">
        <v>208</v>
      </c>
      <c r="G46" s="76" t="s">
        <v>209</v>
      </c>
      <c r="H46" s="76" t="s">
        <v>205</v>
      </c>
      <c r="I46" s="79" t="n">
        <v>21398.949</v>
      </c>
      <c r="J46" s="79" t="n">
        <v>10563.413</v>
      </c>
      <c r="K46" s="79" t="n">
        <v>6454120000</v>
      </c>
      <c r="L46" s="80" t="n">
        <v>2.09</v>
      </c>
      <c r="M46" s="79" t="n">
        <v>3096.8749</v>
      </c>
      <c r="N46" s="79" t="n">
        <v>0</v>
      </c>
      <c r="O46" s="79" t="n">
        <v>172978.068</v>
      </c>
      <c r="P46" s="80" t="n">
        <v>0</v>
      </c>
      <c r="Q46" s="80" t="n">
        <v>78.1</v>
      </c>
      <c r="R46" s="47" t="n">
        <v>19</v>
      </c>
      <c r="S46" s="66" t="s">
        <v>276</v>
      </c>
    </row>
    <row r="47" customFormat="false" ht="15" hidden="false" customHeight="false" outlineLevel="0" collapsed="false">
      <c r="A47" s="76" t="s">
        <v>171</v>
      </c>
      <c r="B47" s="76" t="s">
        <v>247</v>
      </c>
      <c r="C47" s="77" t="n">
        <v>2021</v>
      </c>
      <c r="D47" s="77" t="n">
        <v>3</v>
      </c>
      <c r="E47" s="78" t="n">
        <v>44469</v>
      </c>
      <c r="F47" s="76" t="s">
        <v>208</v>
      </c>
      <c r="G47" s="76" t="s">
        <v>209</v>
      </c>
      <c r="H47" s="76" t="s">
        <v>205</v>
      </c>
      <c r="I47" s="79" t="n">
        <v>23837.128</v>
      </c>
      <c r="J47" s="79" t="n">
        <v>11735.197</v>
      </c>
      <c r="K47" s="79" t="n">
        <v>7527195000</v>
      </c>
      <c r="L47" s="80" t="n">
        <v>2.44</v>
      </c>
      <c r="M47" s="79" t="n">
        <v>3097.0839</v>
      </c>
      <c r="N47" s="79" t="n">
        <v>6590000</v>
      </c>
      <c r="O47" s="79" t="n">
        <v>166512.713</v>
      </c>
      <c r="P47" s="80" t="n">
        <v>1.29660236</v>
      </c>
      <c r="Q47" s="80" t="n">
        <v>65.9</v>
      </c>
      <c r="R47" s="47" t="n">
        <v>20</v>
      </c>
      <c r="S47" s="66" t="s">
        <v>277</v>
      </c>
    </row>
    <row r="48" customFormat="false" ht="15" hidden="false" customHeight="false" outlineLevel="0" collapsed="false">
      <c r="A48" s="76" t="s">
        <v>171</v>
      </c>
      <c r="B48" s="76" t="s">
        <v>249</v>
      </c>
      <c r="C48" s="77" t="n">
        <v>2021</v>
      </c>
      <c r="D48" s="77" t="n">
        <v>2</v>
      </c>
      <c r="E48" s="78" t="n">
        <v>44377</v>
      </c>
      <c r="F48" s="76" t="s">
        <v>208</v>
      </c>
      <c r="G48" s="76" t="s">
        <v>209</v>
      </c>
      <c r="H48" s="76" t="s">
        <v>205</v>
      </c>
      <c r="I48" s="79" t="n">
        <v>22637.468</v>
      </c>
      <c r="J48" s="79" t="n">
        <v>9583.326</v>
      </c>
      <c r="K48" s="79" t="n">
        <v>6163367000</v>
      </c>
      <c r="L48" s="80" t="n">
        <v>2</v>
      </c>
      <c r="M48" s="79" t="n">
        <v>3097.0119</v>
      </c>
      <c r="N48" s="79" t="n">
        <v>12098000</v>
      </c>
      <c r="O48" s="79" t="n">
        <v>158647.283</v>
      </c>
      <c r="P48" s="80" t="n">
        <v>0</v>
      </c>
      <c r="Q48" s="80" t="n">
        <v>79.7</v>
      </c>
      <c r="R48" s="47" t="n">
        <v>21</v>
      </c>
      <c r="S48" s="66" t="s">
        <v>278</v>
      </c>
    </row>
    <row r="49" customFormat="false" ht="15" hidden="false" customHeight="false" outlineLevel="0" collapsed="false">
      <c r="A49" s="76" t="s">
        <v>171</v>
      </c>
      <c r="B49" s="76" t="s">
        <v>251</v>
      </c>
      <c r="C49" s="77" t="n">
        <v>2021</v>
      </c>
      <c r="D49" s="77" t="n">
        <v>1</v>
      </c>
      <c r="E49" s="78" t="n">
        <v>44286</v>
      </c>
      <c r="F49" s="76" t="s">
        <v>208</v>
      </c>
      <c r="G49" s="76" t="s">
        <v>209</v>
      </c>
      <c r="H49" s="76" t="s">
        <v>205</v>
      </c>
      <c r="I49" s="79" t="n">
        <v>17730.613</v>
      </c>
      <c r="J49" s="79" t="n">
        <v>5162.012</v>
      </c>
      <c r="K49" s="79" t="n">
        <v>2704333000</v>
      </c>
      <c r="L49" s="80" t="n">
        <v>0.88</v>
      </c>
      <c r="M49" s="79" t="n">
        <v>3096.4349</v>
      </c>
      <c r="N49" s="79" t="n">
        <v>12098000</v>
      </c>
      <c r="O49" s="79" t="n">
        <v>157319.61</v>
      </c>
      <c r="P49" s="80" t="n">
        <v>0</v>
      </c>
      <c r="Q49" s="80" t="n">
        <v>91.9</v>
      </c>
      <c r="R49" s="47" t="n">
        <v>22</v>
      </c>
      <c r="S49" s="66" t="s">
        <v>279</v>
      </c>
    </row>
    <row r="50" customFormat="false" ht="15" hidden="false" customHeight="false" outlineLevel="0" collapsed="false">
      <c r="A50" s="76" t="s">
        <v>171</v>
      </c>
      <c r="B50" s="76" t="s">
        <v>253</v>
      </c>
      <c r="C50" s="77" t="n">
        <v>2020</v>
      </c>
      <c r="D50" s="77" t="n">
        <v>4</v>
      </c>
      <c r="E50" s="78" t="n">
        <v>44196</v>
      </c>
      <c r="F50" s="76" t="s">
        <v>208</v>
      </c>
      <c r="G50" s="76" t="s">
        <v>209</v>
      </c>
      <c r="H50" s="76" t="s">
        <v>205</v>
      </c>
      <c r="I50" s="79" t="n">
        <v>14773.42</v>
      </c>
      <c r="J50" s="79" t="n">
        <v>3251.465</v>
      </c>
      <c r="K50" s="79" t="n">
        <v>924149000</v>
      </c>
      <c r="L50" s="80" t="n">
        <v>0.3</v>
      </c>
      <c r="M50" s="79" t="n">
        <v>3093.5939</v>
      </c>
      <c r="N50" s="79" t="n">
        <v>20000000</v>
      </c>
      <c r="O50" s="79" t="n">
        <v>153812.027</v>
      </c>
      <c r="P50" s="80" t="n">
        <v>0</v>
      </c>
      <c r="Q50" s="80" t="n">
        <v>86.8</v>
      </c>
      <c r="R50" s="47" t="n">
        <v>23</v>
      </c>
      <c r="S50" s="66" t="s">
        <v>280</v>
      </c>
    </row>
    <row r="51" customFormat="false" ht="15" hidden="false" customHeight="false" outlineLevel="0" collapsed="false">
      <c r="A51" s="76" t="s">
        <v>171</v>
      </c>
      <c r="B51" s="76" t="s">
        <v>255</v>
      </c>
      <c r="C51" s="77" t="n">
        <v>2020</v>
      </c>
      <c r="D51" s="77" t="n">
        <v>3</v>
      </c>
      <c r="E51" s="78" t="n">
        <v>44104</v>
      </c>
      <c r="F51" s="76" t="s">
        <v>208</v>
      </c>
      <c r="G51" s="76" t="s">
        <v>209</v>
      </c>
      <c r="H51" s="76" t="s">
        <v>205</v>
      </c>
      <c r="I51" s="79" t="n">
        <v>15323.867</v>
      </c>
      <c r="J51" s="79" t="n">
        <v>3961.743</v>
      </c>
      <c r="K51" s="79" t="n">
        <v>1613376000</v>
      </c>
      <c r="L51" s="80" t="n">
        <v>0.53</v>
      </c>
      <c r="M51" s="79" t="n">
        <v>3092.6119</v>
      </c>
      <c r="N51" s="79" t="n">
        <v>20000000</v>
      </c>
      <c r="O51" s="79" t="n">
        <v>153398.569</v>
      </c>
      <c r="P51" s="80"/>
      <c r="Q51" s="80" t="n">
        <v>57.5</v>
      </c>
      <c r="R51" s="47" t="n">
        <v>24</v>
      </c>
      <c r="S51" s="66" t="s">
        <v>281</v>
      </c>
    </row>
    <row r="52" customFormat="false" ht="15" hidden="false" customHeight="false" outlineLevel="0" collapsed="false">
      <c r="A52" s="76" t="s">
        <v>179</v>
      </c>
      <c r="B52" s="76" t="s">
        <v>202</v>
      </c>
      <c r="C52" s="77" t="n">
        <v>2026</v>
      </c>
      <c r="D52" s="77" t="n">
        <v>3</v>
      </c>
      <c r="E52" s="78" t="n">
        <v>46295</v>
      </c>
      <c r="F52" s="76" t="s">
        <v>203</v>
      </c>
      <c r="G52" s="76" t="s">
        <v>204</v>
      </c>
      <c r="H52" s="76" t="s">
        <v>205</v>
      </c>
      <c r="I52" s="79"/>
      <c r="J52" s="79"/>
      <c r="K52" s="79"/>
      <c r="L52" s="80" t="n">
        <v>1.43429</v>
      </c>
      <c r="M52" s="79"/>
      <c r="N52" s="79"/>
      <c r="O52" s="79"/>
      <c r="P52" s="80"/>
      <c r="Q52" s="80"/>
      <c r="R52" s="47" t="n">
        <v>0</v>
      </c>
      <c r="S52" s="66" t="s">
        <v>282</v>
      </c>
    </row>
    <row r="53" customFormat="false" ht="15" hidden="false" customHeight="false" outlineLevel="0" collapsed="false">
      <c r="A53" s="76" t="s">
        <v>179</v>
      </c>
      <c r="B53" s="76" t="s">
        <v>207</v>
      </c>
      <c r="C53" s="77" t="n">
        <v>2026</v>
      </c>
      <c r="D53" s="77" t="n">
        <v>2</v>
      </c>
      <c r="E53" s="78" t="n">
        <v>46203</v>
      </c>
      <c r="F53" s="76" t="s">
        <v>208</v>
      </c>
      <c r="G53" s="76" t="s">
        <v>209</v>
      </c>
      <c r="H53" s="76" t="s">
        <v>205</v>
      </c>
      <c r="I53" s="79" t="n">
        <v>965.373</v>
      </c>
      <c r="J53" s="79" t="n">
        <v>372.706</v>
      </c>
      <c r="K53" s="79" t="n">
        <v>213588000</v>
      </c>
      <c r="L53" s="80" t="n">
        <v>1.15</v>
      </c>
      <c r="M53" s="79" t="n">
        <v>184.9059</v>
      </c>
      <c r="N53" s="79" t="n">
        <v>0</v>
      </c>
      <c r="O53" s="79" t="n">
        <v>3693.109</v>
      </c>
      <c r="P53" s="80" t="n">
        <v>2.62055653</v>
      </c>
      <c r="Q53" s="80" t="n">
        <v>347</v>
      </c>
      <c r="R53" s="47" t="n">
        <v>1</v>
      </c>
      <c r="S53" s="66" t="s">
        <v>283</v>
      </c>
    </row>
    <row r="54" customFormat="false" ht="15" hidden="false" customHeight="false" outlineLevel="0" collapsed="false">
      <c r="A54" s="76" t="s">
        <v>179</v>
      </c>
      <c r="B54" s="76" t="s">
        <v>211</v>
      </c>
      <c r="C54" s="77" t="n">
        <v>2026</v>
      </c>
      <c r="D54" s="77" t="n">
        <v>1</v>
      </c>
      <c r="E54" s="78" t="n">
        <v>46112</v>
      </c>
      <c r="F54" s="76" t="s">
        <v>208</v>
      </c>
      <c r="G54" s="76" t="s">
        <v>209</v>
      </c>
      <c r="H54" s="76" t="s">
        <v>205</v>
      </c>
      <c r="I54" s="79" t="n">
        <v>959.31</v>
      </c>
      <c r="J54" s="79" t="n">
        <v>365.431</v>
      </c>
      <c r="K54" s="79" t="n">
        <v>195085000</v>
      </c>
      <c r="L54" s="80" t="n">
        <v>1.06</v>
      </c>
      <c r="M54" s="79" t="n">
        <v>184.9059</v>
      </c>
      <c r="N54" s="79" t="n">
        <v>0</v>
      </c>
      <c r="O54" s="79" t="n">
        <v>3667.225</v>
      </c>
      <c r="P54" s="80" t="n">
        <v>0</v>
      </c>
      <c r="Q54" s="80" t="n">
        <v>246.5</v>
      </c>
      <c r="R54" s="47" t="n">
        <v>2</v>
      </c>
      <c r="S54" s="66" t="s">
        <v>284</v>
      </c>
    </row>
    <row r="55" customFormat="false" ht="15" hidden="false" customHeight="false" outlineLevel="0" collapsed="false">
      <c r="A55" s="76" t="s">
        <v>179</v>
      </c>
      <c r="B55" s="76" t="s">
        <v>213</v>
      </c>
      <c r="C55" s="77" t="n">
        <v>2025</v>
      </c>
      <c r="D55" s="77" t="n">
        <v>4</v>
      </c>
      <c r="E55" s="78" t="n">
        <v>46022</v>
      </c>
      <c r="F55" s="76" t="s">
        <v>208</v>
      </c>
      <c r="G55" s="76" t="s">
        <v>209</v>
      </c>
      <c r="H55" s="76" t="s">
        <v>205</v>
      </c>
      <c r="I55" s="79" t="n">
        <v>959.589</v>
      </c>
      <c r="J55" s="79" t="n">
        <v>357.593</v>
      </c>
      <c r="K55" s="79" t="n">
        <v>193882000</v>
      </c>
      <c r="L55" s="80" t="n">
        <v>1.05</v>
      </c>
      <c r="M55" s="79" t="n">
        <v>184.9059</v>
      </c>
      <c r="N55" s="79" t="n">
        <v>0</v>
      </c>
      <c r="O55" s="79" t="n">
        <v>3294.696</v>
      </c>
      <c r="P55" s="80" t="n">
        <v>0</v>
      </c>
      <c r="Q55" s="80" t="n">
        <v>151.5</v>
      </c>
      <c r="R55" s="47" t="n">
        <v>3</v>
      </c>
      <c r="S55" s="66" t="s">
        <v>285</v>
      </c>
    </row>
    <row r="56" customFormat="false" ht="15" hidden="false" customHeight="false" outlineLevel="0" collapsed="false">
      <c r="A56" s="76" t="s">
        <v>179</v>
      </c>
      <c r="B56" s="76" t="s">
        <v>215</v>
      </c>
      <c r="C56" s="77" t="n">
        <v>2025</v>
      </c>
      <c r="D56" s="77" t="n">
        <v>3</v>
      </c>
      <c r="E56" s="78" t="n">
        <v>45930</v>
      </c>
      <c r="F56" s="76" t="s">
        <v>208</v>
      </c>
      <c r="G56" s="76" t="s">
        <v>209</v>
      </c>
      <c r="H56" s="76" t="s">
        <v>205</v>
      </c>
      <c r="I56" s="79" t="n">
        <v>912.804</v>
      </c>
      <c r="J56" s="79" t="n">
        <v>299.917</v>
      </c>
      <c r="K56" s="79" t="n">
        <v>160464000</v>
      </c>
      <c r="L56" s="80" t="n">
        <v>0.86</v>
      </c>
      <c r="M56" s="79" t="n">
        <v>184.9059</v>
      </c>
      <c r="N56" s="79" t="n">
        <v>0</v>
      </c>
      <c r="O56" s="79" t="n">
        <v>3104.723</v>
      </c>
      <c r="P56" s="80" t="n">
        <v>0</v>
      </c>
      <c r="Q56" s="80" t="n">
        <v>161</v>
      </c>
      <c r="R56" s="47" t="n">
        <v>4</v>
      </c>
      <c r="S56" s="66" t="s">
        <v>286</v>
      </c>
    </row>
    <row r="57" customFormat="false" ht="15" hidden="false" customHeight="false" outlineLevel="0" collapsed="false">
      <c r="A57" s="76" t="s">
        <v>179</v>
      </c>
      <c r="B57" s="76" t="s">
        <v>217</v>
      </c>
      <c r="C57" s="77" t="n">
        <v>2025</v>
      </c>
      <c r="D57" s="77" t="n">
        <v>2</v>
      </c>
      <c r="E57" s="78" t="n">
        <v>45838</v>
      </c>
      <c r="F57" s="76" t="s">
        <v>208</v>
      </c>
      <c r="G57" s="76" t="s">
        <v>209</v>
      </c>
      <c r="H57" s="76" t="s">
        <v>205</v>
      </c>
      <c r="I57" s="79" t="n">
        <v>714.087</v>
      </c>
      <c r="J57" s="79" t="n">
        <v>245.545</v>
      </c>
      <c r="K57" s="79" t="n">
        <v>36309000</v>
      </c>
      <c r="L57" s="80" t="n">
        <v>0.2</v>
      </c>
      <c r="M57" s="79" t="n">
        <v>184.9059</v>
      </c>
      <c r="N57" s="79" t="n">
        <v>1012000</v>
      </c>
      <c r="O57" s="79" t="n">
        <v>2832.433</v>
      </c>
      <c r="P57" s="80" t="n">
        <v>3.21761015</v>
      </c>
      <c r="Q57" s="80" t="n">
        <v>125</v>
      </c>
      <c r="R57" s="47" t="n">
        <v>5</v>
      </c>
      <c r="S57" s="66" t="s">
        <v>287</v>
      </c>
    </row>
    <row r="58" customFormat="false" ht="15" hidden="false" customHeight="false" outlineLevel="0" collapsed="false">
      <c r="A58" s="76" t="s">
        <v>179</v>
      </c>
      <c r="B58" s="76" t="s">
        <v>219</v>
      </c>
      <c r="C58" s="77" t="n">
        <v>2025</v>
      </c>
      <c r="D58" s="77" t="n">
        <v>1</v>
      </c>
      <c r="E58" s="78" t="n">
        <v>45747</v>
      </c>
      <c r="F58" s="76" t="s">
        <v>208</v>
      </c>
      <c r="G58" s="76" t="s">
        <v>209</v>
      </c>
      <c r="H58" s="76" t="s">
        <v>205</v>
      </c>
      <c r="I58" s="79" t="n">
        <v>793.663</v>
      </c>
      <c r="J58" s="79" t="n">
        <v>316.671</v>
      </c>
      <c r="K58" s="79" t="n">
        <v>157287000</v>
      </c>
      <c r="L58" s="80" t="n">
        <v>0.85</v>
      </c>
      <c r="M58" s="79" t="n">
        <v>184.9059</v>
      </c>
      <c r="N58" s="79" t="n">
        <v>0</v>
      </c>
      <c r="O58" s="79" t="n">
        <v>3486.629</v>
      </c>
      <c r="P58" s="80" t="n">
        <v>0</v>
      </c>
      <c r="Q58" s="80" t="n">
        <v>113.5</v>
      </c>
      <c r="R58" s="47" t="n">
        <v>6</v>
      </c>
      <c r="S58" s="66" t="s">
        <v>288</v>
      </c>
    </row>
    <row r="59" customFormat="false" ht="15" hidden="false" customHeight="false" outlineLevel="0" collapsed="false">
      <c r="A59" s="76" t="s">
        <v>179</v>
      </c>
      <c r="B59" s="76" t="s">
        <v>221</v>
      </c>
      <c r="C59" s="77" t="n">
        <v>2024</v>
      </c>
      <c r="D59" s="77" t="n">
        <v>4</v>
      </c>
      <c r="E59" s="78" t="n">
        <v>45657</v>
      </c>
      <c r="F59" s="76" t="s">
        <v>208</v>
      </c>
      <c r="G59" s="76" t="s">
        <v>209</v>
      </c>
      <c r="H59" s="76" t="s">
        <v>205</v>
      </c>
      <c r="I59" s="79" t="n">
        <v>722.474</v>
      </c>
      <c r="J59" s="79" t="n">
        <v>260.149</v>
      </c>
      <c r="K59" s="79" t="n">
        <v>132861000</v>
      </c>
      <c r="L59" s="80" t="n">
        <v>0.72</v>
      </c>
      <c r="M59" s="79" t="n">
        <v>184.9059</v>
      </c>
      <c r="N59" s="79" t="n">
        <v>0</v>
      </c>
      <c r="O59" s="79" t="n">
        <v>3329.342</v>
      </c>
      <c r="P59" s="80" t="n">
        <v>0</v>
      </c>
      <c r="Q59" s="80" t="n">
        <v>166.5</v>
      </c>
      <c r="R59" s="47" t="n">
        <v>7</v>
      </c>
      <c r="S59" s="66" t="s">
        <v>289</v>
      </c>
    </row>
    <row r="60" customFormat="false" ht="15" hidden="false" customHeight="false" outlineLevel="0" collapsed="false">
      <c r="A60" s="76" t="s">
        <v>179</v>
      </c>
      <c r="B60" s="76" t="s">
        <v>223</v>
      </c>
      <c r="C60" s="77" t="n">
        <v>2024</v>
      </c>
      <c r="D60" s="77" t="n">
        <v>3</v>
      </c>
      <c r="E60" s="78" t="n">
        <v>45565</v>
      </c>
      <c r="F60" s="76" t="s">
        <v>208</v>
      </c>
      <c r="G60" s="76" t="s">
        <v>209</v>
      </c>
      <c r="H60" s="76" t="s">
        <v>205</v>
      </c>
      <c r="I60" s="79" t="n">
        <v>805.747</v>
      </c>
      <c r="J60" s="79" t="n">
        <v>330.538</v>
      </c>
      <c r="K60" s="79" t="n">
        <v>144407000</v>
      </c>
      <c r="L60" s="80" t="n">
        <v>0.78</v>
      </c>
      <c r="M60" s="79" t="n">
        <v>184.9059</v>
      </c>
      <c r="N60" s="79" t="n">
        <v>0</v>
      </c>
      <c r="O60" s="79" t="n">
        <v>3200.742</v>
      </c>
      <c r="P60" s="80" t="n">
        <v>0</v>
      </c>
      <c r="Q60" s="80" t="n">
        <v>166</v>
      </c>
      <c r="R60" s="47" t="n">
        <v>8</v>
      </c>
      <c r="S60" s="66" t="s">
        <v>290</v>
      </c>
    </row>
    <row r="61" customFormat="false" ht="15" hidden="false" customHeight="false" outlineLevel="0" collapsed="false">
      <c r="A61" s="76" t="s">
        <v>179</v>
      </c>
      <c r="B61" s="76" t="s">
        <v>225</v>
      </c>
      <c r="C61" s="77" t="n">
        <v>2024</v>
      </c>
      <c r="D61" s="77" t="n">
        <v>2</v>
      </c>
      <c r="E61" s="78" t="n">
        <v>45473</v>
      </c>
      <c r="F61" s="76" t="s">
        <v>208</v>
      </c>
      <c r="G61" s="76" t="s">
        <v>209</v>
      </c>
      <c r="H61" s="76" t="s">
        <v>205</v>
      </c>
      <c r="I61" s="79" t="n">
        <v>875.601</v>
      </c>
      <c r="J61" s="79" t="n">
        <v>346.96</v>
      </c>
      <c r="K61" s="79" t="n">
        <v>200826000</v>
      </c>
      <c r="L61" s="80" t="n">
        <v>1.09</v>
      </c>
      <c r="M61" s="79" t="n">
        <v>184.9059</v>
      </c>
      <c r="N61" s="79" t="n">
        <v>0</v>
      </c>
      <c r="O61" s="79" t="n">
        <v>3056.335</v>
      </c>
      <c r="P61" s="80" t="n">
        <v>2.2</v>
      </c>
      <c r="Q61" s="80" t="n">
        <v>165</v>
      </c>
      <c r="R61" s="47" t="n">
        <v>9</v>
      </c>
      <c r="S61" s="66" t="s">
        <v>291</v>
      </c>
    </row>
    <row r="62" customFormat="false" ht="15" hidden="false" customHeight="false" outlineLevel="0" collapsed="false">
      <c r="A62" s="76" t="s">
        <v>179</v>
      </c>
      <c r="B62" s="76" t="s">
        <v>227</v>
      </c>
      <c r="C62" s="77" t="n">
        <v>2024</v>
      </c>
      <c r="D62" s="77" t="n">
        <v>1</v>
      </c>
      <c r="E62" s="78" t="n">
        <v>45382</v>
      </c>
      <c r="F62" s="76" t="s">
        <v>208</v>
      </c>
      <c r="G62" s="76" t="s">
        <v>209</v>
      </c>
      <c r="H62" s="76" t="s">
        <v>205</v>
      </c>
      <c r="I62" s="79" t="n">
        <v>837.395</v>
      </c>
      <c r="J62" s="79" t="n">
        <v>341.317</v>
      </c>
      <c r="K62" s="79" t="n">
        <v>192961000</v>
      </c>
      <c r="L62" s="80" t="n">
        <v>1.04</v>
      </c>
      <c r="M62" s="79" t="n">
        <v>184.9059</v>
      </c>
      <c r="N62" s="79" t="n">
        <v>0</v>
      </c>
      <c r="O62" s="79" t="n">
        <v>3262.302</v>
      </c>
      <c r="P62" s="80" t="n">
        <v>0</v>
      </c>
      <c r="Q62" s="80" t="n">
        <v>169.5</v>
      </c>
      <c r="R62" s="47" t="n">
        <v>10</v>
      </c>
      <c r="S62" s="66" t="s">
        <v>292</v>
      </c>
    </row>
    <row r="63" customFormat="false" ht="15" hidden="false" customHeight="false" outlineLevel="0" collapsed="false">
      <c r="A63" s="76" t="s">
        <v>179</v>
      </c>
      <c r="B63" s="76" t="s">
        <v>229</v>
      </c>
      <c r="C63" s="77" t="n">
        <v>2023</v>
      </c>
      <c r="D63" s="77" t="n">
        <v>4</v>
      </c>
      <c r="E63" s="78" t="n">
        <v>45291</v>
      </c>
      <c r="F63" s="76" t="s">
        <v>208</v>
      </c>
      <c r="G63" s="76" t="s">
        <v>209</v>
      </c>
      <c r="H63" s="76" t="s">
        <v>205</v>
      </c>
      <c r="I63" s="79" t="n">
        <v>936.937</v>
      </c>
      <c r="J63" s="79" t="n">
        <v>411.959</v>
      </c>
      <c r="K63" s="79" t="n">
        <v>188378000</v>
      </c>
      <c r="L63" s="80" t="n">
        <v>1.01</v>
      </c>
      <c r="M63" s="79" t="n">
        <v>184.9059</v>
      </c>
      <c r="N63" s="79" t="n">
        <v>0</v>
      </c>
      <c r="O63" s="79" t="n">
        <v>3069.341</v>
      </c>
      <c r="P63" s="80" t="n">
        <v>0</v>
      </c>
      <c r="Q63" s="80" t="n">
        <v>160.5</v>
      </c>
      <c r="R63" s="47" t="n">
        <v>11</v>
      </c>
      <c r="S63" s="66" t="s">
        <v>293</v>
      </c>
    </row>
    <row r="64" customFormat="false" ht="15" hidden="false" customHeight="false" outlineLevel="0" collapsed="false">
      <c r="A64" s="76" t="s">
        <v>179</v>
      </c>
      <c r="B64" s="76" t="s">
        <v>231</v>
      </c>
      <c r="C64" s="77" t="n">
        <v>2023</v>
      </c>
      <c r="D64" s="77" t="n">
        <v>3</v>
      </c>
      <c r="E64" s="78" t="n">
        <v>45199</v>
      </c>
      <c r="F64" s="76" t="s">
        <v>208</v>
      </c>
      <c r="G64" s="76" t="s">
        <v>209</v>
      </c>
      <c r="H64" s="76" t="s">
        <v>205</v>
      </c>
      <c r="I64" s="79" t="n">
        <v>768.427</v>
      </c>
      <c r="J64" s="79" t="n">
        <v>307.139</v>
      </c>
      <c r="K64" s="79" t="n">
        <v>143945000</v>
      </c>
      <c r="L64" s="80" t="n">
        <v>0.78</v>
      </c>
      <c r="M64" s="79" t="n">
        <v>184.9059</v>
      </c>
      <c r="N64" s="79" t="n">
        <v>0</v>
      </c>
      <c r="O64" s="79" t="n">
        <v>2919.16</v>
      </c>
      <c r="P64" s="80" t="n">
        <v>0</v>
      </c>
      <c r="Q64" s="80" t="n">
        <v>148</v>
      </c>
      <c r="R64" s="47" t="n">
        <v>12</v>
      </c>
      <c r="S64" s="66" t="s">
        <v>294</v>
      </c>
    </row>
    <row r="65" customFormat="false" ht="15" hidden="false" customHeight="false" outlineLevel="0" collapsed="false">
      <c r="A65" s="76" t="s">
        <v>179</v>
      </c>
      <c r="B65" s="76" t="s">
        <v>233</v>
      </c>
      <c r="C65" s="77" t="n">
        <v>2023</v>
      </c>
      <c r="D65" s="77" t="n">
        <v>2</v>
      </c>
      <c r="E65" s="78" t="n">
        <v>45107</v>
      </c>
      <c r="F65" s="76" t="s">
        <v>208</v>
      </c>
      <c r="G65" s="76" t="s">
        <v>209</v>
      </c>
      <c r="H65" s="76" t="s">
        <v>205</v>
      </c>
      <c r="I65" s="79" t="n">
        <v>594.323</v>
      </c>
      <c r="J65" s="79" t="n">
        <v>235.781</v>
      </c>
      <c r="K65" s="79" t="n">
        <v>106159000</v>
      </c>
      <c r="L65" s="80" t="n">
        <v>0.57</v>
      </c>
      <c r="M65" s="79" t="n">
        <v>184.9059</v>
      </c>
      <c r="N65" s="79" t="n">
        <v>0</v>
      </c>
      <c r="O65" s="79" t="n">
        <v>2775.215</v>
      </c>
      <c r="P65" s="80" t="n">
        <v>2.3</v>
      </c>
      <c r="Q65" s="80" t="n">
        <v>116.5</v>
      </c>
      <c r="R65" s="47" t="n">
        <v>13</v>
      </c>
      <c r="S65" s="66" t="s">
        <v>295</v>
      </c>
    </row>
    <row r="66" customFormat="false" ht="15" hidden="false" customHeight="false" outlineLevel="0" collapsed="false">
      <c r="A66" s="76" t="s">
        <v>179</v>
      </c>
      <c r="B66" s="76" t="s">
        <v>235</v>
      </c>
      <c r="C66" s="77" t="n">
        <v>2023</v>
      </c>
      <c r="D66" s="77" t="n">
        <v>1</v>
      </c>
      <c r="E66" s="78" t="n">
        <v>45016</v>
      </c>
      <c r="F66" s="76" t="s">
        <v>208</v>
      </c>
      <c r="G66" s="76" t="s">
        <v>209</v>
      </c>
      <c r="H66" s="76" t="s">
        <v>205</v>
      </c>
      <c r="I66" s="79" t="n">
        <v>394.417</v>
      </c>
      <c r="J66" s="79" t="n">
        <v>154.035</v>
      </c>
      <c r="K66" s="79" t="n">
        <v>11750000</v>
      </c>
      <c r="L66" s="80" t="n">
        <v>0.06</v>
      </c>
      <c r="M66" s="79" t="n">
        <v>184.9059</v>
      </c>
      <c r="N66" s="79" t="n">
        <v>0</v>
      </c>
      <c r="O66" s="79" t="n">
        <v>3094.34</v>
      </c>
      <c r="P66" s="80" t="n">
        <v>0</v>
      </c>
      <c r="Q66" s="80" t="n">
        <v>92.3</v>
      </c>
      <c r="R66" s="47" t="n">
        <v>14</v>
      </c>
      <c r="S66" s="66" t="s">
        <v>296</v>
      </c>
    </row>
    <row r="67" customFormat="false" ht="15" hidden="false" customHeight="false" outlineLevel="0" collapsed="false">
      <c r="A67" s="76" t="s">
        <v>179</v>
      </c>
      <c r="B67" s="76" t="s">
        <v>237</v>
      </c>
      <c r="C67" s="77" t="n">
        <v>2022</v>
      </c>
      <c r="D67" s="77" t="n">
        <v>4</v>
      </c>
      <c r="E67" s="78" t="n">
        <v>44926</v>
      </c>
      <c r="F67" s="76" t="s">
        <v>208</v>
      </c>
      <c r="G67" s="76" t="s">
        <v>209</v>
      </c>
      <c r="H67" s="76" t="s">
        <v>205</v>
      </c>
      <c r="I67" s="79" t="n">
        <v>506.067</v>
      </c>
      <c r="J67" s="79" t="n">
        <v>201.013</v>
      </c>
      <c r="K67" s="79" t="n">
        <v>37033000</v>
      </c>
      <c r="L67" s="80" t="n">
        <v>0.2</v>
      </c>
      <c r="M67" s="79" t="n">
        <v>184.9059</v>
      </c>
      <c r="N67" s="79" t="n">
        <v>0</v>
      </c>
      <c r="O67" s="79" t="n">
        <v>3082.59</v>
      </c>
      <c r="P67" s="80" t="n">
        <v>0</v>
      </c>
      <c r="Q67" s="80" t="n">
        <v>69</v>
      </c>
      <c r="R67" s="47" t="n">
        <v>15</v>
      </c>
      <c r="S67" s="66" t="s">
        <v>297</v>
      </c>
    </row>
    <row r="68" customFormat="false" ht="15" hidden="false" customHeight="false" outlineLevel="0" collapsed="false">
      <c r="A68" s="76" t="s">
        <v>179</v>
      </c>
      <c r="B68" s="76" t="s">
        <v>239</v>
      </c>
      <c r="C68" s="77" t="n">
        <v>2022</v>
      </c>
      <c r="D68" s="77" t="n">
        <v>3</v>
      </c>
      <c r="E68" s="78" t="n">
        <v>44834</v>
      </c>
      <c r="F68" s="76" t="s">
        <v>208</v>
      </c>
      <c r="G68" s="76" t="s">
        <v>209</v>
      </c>
      <c r="H68" s="76" t="s">
        <v>205</v>
      </c>
      <c r="I68" s="79" t="n">
        <v>522.089</v>
      </c>
      <c r="J68" s="79" t="n">
        <v>221.557</v>
      </c>
      <c r="K68" s="79" t="n">
        <v>105773000</v>
      </c>
      <c r="L68" s="80" t="n">
        <v>0.57</v>
      </c>
      <c r="M68" s="79" t="n">
        <v>184.9059</v>
      </c>
      <c r="N68" s="79" t="n">
        <v>0</v>
      </c>
      <c r="O68" s="79" t="n">
        <v>3045.985</v>
      </c>
      <c r="P68" s="80" t="n">
        <v>0</v>
      </c>
      <c r="Q68" s="80" t="n">
        <v>56.6</v>
      </c>
      <c r="R68" s="47" t="n">
        <v>16</v>
      </c>
      <c r="S68" s="66" t="s">
        <v>298</v>
      </c>
    </row>
    <row r="69" customFormat="false" ht="15" hidden="false" customHeight="false" outlineLevel="0" collapsed="false">
      <c r="A69" s="76" t="s">
        <v>179</v>
      </c>
      <c r="B69" s="76" t="s">
        <v>241</v>
      </c>
      <c r="C69" s="77" t="n">
        <v>2022</v>
      </c>
      <c r="D69" s="77" t="n">
        <v>2</v>
      </c>
      <c r="E69" s="78" t="n">
        <v>44742</v>
      </c>
      <c r="F69" s="76" t="s">
        <v>208</v>
      </c>
      <c r="G69" s="76" t="s">
        <v>209</v>
      </c>
      <c r="H69" s="76" t="s">
        <v>205</v>
      </c>
      <c r="I69" s="79" t="n">
        <v>736.276</v>
      </c>
      <c r="J69" s="79" t="n">
        <v>303.299</v>
      </c>
      <c r="K69" s="79" t="n">
        <v>184441000</v>
      </c>
      <c r="L69" s="80" t="n">
        <v>1</v>
      </c>
      <c r="M69" s="79" t="n">
        <v>184.9059</v>
      </c>
      <c r="N69" s="79" t="n">
        <v>0</v>
      </c>
      <c r="O69" s="79" t="n">
        <v>2940.212</v>
      </c>
      <c r="P69" s="80" t="n">
        <v>4</v>
      </c>
      <c r="Q69" s="80" t="n">
        <v>72</v>
      </c>
      <c r="R69" s="47" t="n">
        <v>17</v>
      </c>
      <c r="S69" s="66" t="s">
        <v>299</v>
      </c>
    </row>
    <row r="70" customFormat="false" ht="15" hidden="false" customHeight="false" outlineLevel="0" collapsed="false">
      <c r="A70" s="76" t="s">
        <v>179</v>
      </c>
      <c r="B70" s="76" t="s">
        <v>243</v>
      </c>
      <c r="C70" s="77" t="n">
        <v>2022</v>
      </c>
      <c r="D70" s="77" t="n">
        <v>1</v>
      </c>
      <c r="E70" s="78" t="n">
        <v>44651</v>
      </c>
      <c r="F70" s="76" t="s">
        <v>208</v>
      </c>
      <c r="G70" s="76" t="s">
        <v>209</v>
      </c>
      <c r="H70" s="76" t="s">
        <v>205</v>
      </c>
      <c r="I70" s="79" t="n">
        <v>839.197</v>
      </c>
      <c r="J70" s="79" t="n">
        <v>363.138</v>
      </c>
      <c r="K70" s="79" t="n">
        <v>217481000</v>
      </c>
      <c r="L70" s="80" t="n">
        <v>1.18</v>
      </c>
      <c r="M70" s="79" t="n">
        <v>184.9059</v>
      </c>
      <c r="N70" s="79" t="n">
        <v>0</v>
      </c>
      <c r="O70" s="79" t="n">
        <v>3495.395</v>
      </c>
      <c r="P70" s="80" t="n">
        <v>0</v>
      </c>
      <c r="Q70" s="80" t="n">
        <v>113.5</v>
      </c>
      <c r="R70" s="47" t="n">
        <v>18</v>
      </c>
      <c r="S70" s="66" t="s">
        <v>300</v>
      </c>
    </row>
    <row r="71" customFormat="false" ht="15" hidden="false" customHeight="false" outlineLevel="0" collapsed="false">
      <c r="A71" s="76" t="s">
        <v>179</v>
      </c>
      <c r="B71" s="76" t="s">
        <v>245</v>
      </c>
      <c r="C71" s="77" t="n">
        <v>2021</v>
      </c>
      <c r="D71" s="77" t="n">
        <v>4</v>
      </c>
      <c r="E71" s="78" t="n">
        <v>44561</v>
      </c>
      <c r="F71" s="76" t="s">
        <v>208</v>
      </c>
      <c r="G71" s="76" t="s">
        <v>209</v>
      </c>
      <c r="H71" s="76" t="s">
        <v>205</v>
      </c>
      <c r="I71" s="79" t="n">
        <v>875.843</v>
      </c>
      <c r="J71" s="79" t="n">
        <v>347.262</v>
      </c>
      <c r="K71" s="79" t="n">
        <v>191791000</v>
      </c>
      <c r="L71" s="80" t="n">
        <v>1.03</v>
      </c>
      <c r="M71" s="79" t="n">
        <v>184.9059</v>
      </c>
      <c r="N71" s="79" t="n">
        <v>0</v>
      </c>
      <c r="O71" s="79" t="n">
        <v>3277.914</v>
      </c>
      <c r="P71" s="80" t="n">
        <v>0</v>
      </c>
      <c r="Q71" s="80" t="n">
        <v>144</v>
      </c>
      <c r="R71" s="47" t="n">
        <v>19</v>
      </c>
      <c r="S71" s="66" t="s">
        <v>301</v>
      </c>
    </row>
    <row r="72" customFormat="false" ht="15" hidden="false" customHeight="false" outlineLevel="0" collapsed="false">
      <c r="A72" s="76" t="s">
        <v>179</v>
      </c>
      <c r="B72" s="76" t="s">
        <v>247</v>
      </c>
      <c r="C72" s="77" t="n">
        <v>2021</v>
      </c>
      <c r="D72" s="77" t="n">
        <v>3</v>
      </c>
      <c r="E72" s="78" t="n">
        <v>44469</v>
      </c>
      <c r="F72" s="76" t="s">
        <v>208</v>
      </c>
      <c r="G72" s="76" t="s">
        <v>209</v>
      </c>
      <c r="H72" s="76" t="s">
        <v>205</v>
      </c>
      <c r="I72" s="79" t="n">
        <v>947.399</v>
      </c>
      <c r="J72" s="79" t="n">
        <v>402.279</v>
      </c>
      <c r="K72" s="79" t="n">
        <v>211771000</v>
      </c>
      <c r="L72" s="80" t="n">
        <v>1.15</v>
      </c>
      <c r="M72" s="79" t="n">
        <v>184.9059</v>
      </c>
      <c r="N72" s="79" t="n">
        <v>0</v>
      </c>
      <c r="O72" s="79" t="n">
        <v>3086.103</v>
      </c>
      <c r="P72" s="80" t="n">
        <v>2.59</v>
      </c>
      <c r="Q72" s="80" t="n">
        <v>118</v>
      </c>
      <c r="R72" s="47" t="n">
        <v>20</v>
      </c>
      <c r="S72" s="66" t="s">
        <v>302</v>
      </c>
    </row>
    <row r="73" customFormat="false" ht="15" hidden="false" customHeight="false" outlineLevel="0" collapsed="false">
      <c r="A73" s="76" t="s">
        <v>179</v>
      </c>
      <c r="B73" s="76" t="s">
        <v>249</v>
      </c>
      <c r="C73" s="77" t="n">
        <v>2021</v>
      </c>
      <c r="D73" s="77" t="n">
        <v>2</v>
      </c>
      <c r="E73" s="78" t="n">
        <v>44377</v>
      </c>
      <c r="F73" s="76" t="s">
        <v>208</v>
      </c>
      <c r="G73" s="76" t="s">
        <v>209</v>
      </c>
      <c r="H73" s="76" t="s">
        <v>205</v>
      </c>
      <c r="I73" s="79" t="n">
        <v>896.062</v>
      </c>
      <c r="J73" s="79" t="n">
        <v>390.922</v>
      </c>
      <c r="K73" s="79" t="n">
        <v>226778000</v>
      </c>
      <c r="L73" s="80" t="n">
        <v>1.23</v>
      </c>
      <c r="M73" s="79" t="n">
        <v>184.9059</v>
      </c>
      <c r="N73" s="79" t="n">
        <v>0</v>
      </c>
      <c r="O73" s="79" t="n">
        <v>3353.238</v>
      </c>
      <c r="P73" s="80" t="n">
        <v>0</v>
      </c>
      <c r="Q73" s="80" t="n">
        <v>134</v>
      </c>
      <c r="R73" s="47" t="n">
        <v>21</v>
      </c>
      <c r="S73" s="66" t="s">
        <v>303</v>
      </c>
    </row>
    <row r="74" customFormat="false" ht="15" hidden="false" customHeight="false" outlineLevel="0" collapsed="false">
      <c r="A74" s="76" t="s">
        <v>179</v>
      </c>
      <c r="B74" s="76" t="s">
        <v>251</v>
      </c>
      <c r="C74" s="77" t="n">
        <v>2021</v>
      </c>
      <c r="D74" s="77" t="n">
        <v>1</v>
      </c>
      <c r="E74" s="78" t="n">
        <v>44286</v>
      </c>
      <c r="F74" s="76" t="s">
        <v>208</v>
      </c>
      <c r="G74" s="76" t="s">
        <v>209</v>
      </c>
      <c r="H74" s="76" t="s">
        <v>205</v>
      </c>
      <c r="I74" s="79" t="n">
        <v>889.217</v>
      </c>
      <c r="J74" s="79" t="n">
        <v>379.25</v>
      </c>
      <c r="K74" s="79" t="n">
        <v>224741000</v>
      </c>
      <c r="L74" s="80" t="n">
        <v>1.22</v>
      </c>
      <c r="M74" s="79" t="n">
        <v>184.9059</v>
      </c>
      <c r="N74" s="79" t="n">
        <v>0</v>
      </c>
      <c r="O74" s="79" t="n">
        <v>3126.46</v>
      </c>
      <c r="P74" s="80" t="n">
        <v>0</v>
      </c>
      <c r="Q74" s="80" t="n">
        <v>118.5</v>
      </c>
      <c r="R74" s="47" t="n">
        <v>22</v>
      </c>
      <c r="S74" s="66" t="s">
        <v>304</v>
      </c>
    </row>
    <row r="75" customFormat="false" ht="15" hidden="false" customHeight="false" outlineLevel="0" collapsed="false">
      <c r="A75" s="76" t="s">
        <v>179</v>
      </c>
      <c r="B75" s="76" t="s">
        <v>253</v>
      </c>
      <c r="C75" s="77" t="n">
        <v>2020</v>
      </c>
      <c r="D75" s="77" t="n">
        <v>4</v>
      </c>
      <c r="E75" s="78" t="n">
        <v>44196</v>
      </c>
      <c r="F75" s="76" t="s">
        <v>208</v>
      </c>
      <c r="G75" s="76" t="s">
        <v>209</v>
      </c>
      <c r="H75" s="76" t="s">
        <v>205</v>
      </c>
      <c r="I75" s="79" t="n">
        <v>757.232</v>
      </c>
      <c r="J75" s="79" t="n">
        <v>315.349</v>
      </c>
      <c r="K75" s="79" t="n">
        <v>145795000</v>
      </c>
      <c r="L75" s="80" t="n">
        <v>0.79</v>
      </c>
      <c r="M75" s="79" t="n">
        <v>184.9059</v>
      </c>
      <c r="N75" s="79" t="n">
        <v>0</v>
      </c>
      <c r="O75" s="79" t="n">
        <v>2901.719</v>
      </c>
      <c r="P75" s="80" t="n">
        <v>0</v>
      </c>
      <c r="Q75" s="80" t="n">
        <v>112</v>
      </c>
      <c r="R75" s="47" t="n">
        <v>23</v>
      </c>
      <c r="S75" s="66" t="s">
        <v>305</v>
      </c>
    </row>
    <row r="76" customFormat="false" ht="15" hidden="false" customHeight="false" outlineLevel="0" collapsed="false">
      <c r="A76" s="76" t="s">
        <v>179</v>
      </c>
      <c r="B76" s="76" t="s">
        <v>255</v>
      </c>
      <c r="C76" s="77" t="n">
        <v>2020</v>
      </c>
      <c r="D76" s="77" t="n">
        <v>3</v>
      </c>
      <c r="E76" s="78" t="n">
        <v>44104</v>
      </c>
      <c r="F76" s="76" t="s">
        <v>208</v>
      </c>
      <c r="G76" s="76" t="s">
        <v>209</v>
      </c>
      <c r="H76" s="76" t="s">
        <v>205</v>
      </c>
      <c r="I76" s="79" t="n">
        <v>644.391</v>
      </c>
      <c r="J76" s="79" t="n">
        <v>270.365</v>
      </c>
      <c r="K76" s="79" t="n">
        <v>112847000</v>
      </c>
      <c r="L76" s="80" t="n">
        <v>0.61</v>
      </c>
      <c r="M76" s="79" t="n">
        <v>184.9059</v>
      </c>
      <c r="N76" s="79" t="n">
        <v>0</v>
      </c>
      <c r="O76" s="79" t="n">
        <v>2755.453</v>
      </c>
      <c r="P76" s="80"/>
      <c r="Q76" s="80" t="n">
        <v>78.5</v>
      </c>
      <c r="R76" s="47" t="n">
        <v>24</v>
      </c>
      <c r="S76" s="66" t="s">
        <v>306</v>
      </c>
    </row>
    <row r="77" customFormat="false" ht="15" hidden="false" customHeight="false" outlineLevel="0" collapsed="false">
      <c r="A77" s="76" t="s">
        <v>176</v>
      </c>
      <c r="B77" s="76" t="s">
        <v>202</v>
      </c>
      <c r="C77" s="77" t="n">
        <v>2026</v>
      </c>
      <c r="D77" s="77" t="n">
        <v>3</v>
      </c>
      <c r="E77" s="78" t="n">
        <v>46295</v>
      </c>
      <c r="F77" s="76" t="s">
        <v>203</v>
      </c>
      <c r="G77" s="76" t="s">
        <v>204</v>
      </c>
      <c r="H77" s="76" t="s">
        <v>205</v>
      </c>
      <c r="I77" s="79"/>
      <c r="J77" s="79"/>
      <c r="K77" s="79"/>
      <c r="L77" s="80" t="n">
        <v>99.01</v>
      </c>
      <c r="M77" s="79"/>
      <c r="N77" s="79"/>
      <c r="O77" s="79"/>
      <c r="P77" s="80"/>
      <c r="Q77" s="80"/>
      <c r="R77" s="47" t="n">
        <v>0</v>
      </c>
      <c r="S77" s="66" t="s">
        <v>307</v>
      </c>
    </row>
    <row r="78" customFormat="false" ht="15" hidden="false" customHeight="false" outlineLevel="0" collapsed="false">
      <c r="A78" s="76" t="s">
        <v>176</v>
      </c>
      <c r="B78" s="76" t="s">
        <v>207</v>
      </c>
      <c r="C78" s="77" t="n">
        <v>2026</v>
      </c>
      <c r="D78" s="77" t="n">
        <v>2</v>
      </c>
      <c r="E78" s="78" t="n">
        <v>46203</v>
      </c>
      <c r="F78" s="76" t="s">
        <v>208</v>
      </c>
      <c r="G78" s="76" t="s">
        <v>209</v>
      </c>
      <c r="H78" s="76" t="s">
        <v>205</v>
      </c>
      <c r="I78" s="79" t="n">
        <v>22443.411</v>
      </c>
      <c r="J78" s="79" t="n">
        <v>14589.612</v>
      </c>
      <c r="K78" s="79" t="n">
        <v>10368072000</v>
      </c>
      <c r="L78" s="80" t="n">
        <v>108.93</v>
      </c>
      <c r="M78" s="79" t="n">
        <v>96.3654</v>
      </c>
      <c r="N78" s="79" t="n">
        <v>0</v>
      </c>
      <c r="O78" s="79" t="n">
        <v>23288.098</v>
      </c>
      <c r="P78" s="80" t="n">
        <v>0</v>
      </c>
      <c r="Q78" s="80" t="n">
        <v>1615</v>
      </c>
      <c r="R78" s="47" t="n">
        <v>1</v>
      </c>
      <c r="S78" s="66" t="s">
        <v>308</v>
      </c>
    </row>
    <row r="79" customFormat="false" ht="15" hidden="false" customHeight="false" outlineLevel="0" collapsed="false">
      <c r="A79" s="76" t="s">
        <v>176</v>
      </c>
      <c r="B79" s="76" t="s">
        <v>211</v>
      </c>
      <c r="C79" s="77" t="n">
        <v>2026</v>
      </c>
      <c r="D79" s="77" t="n">
        <v>1</v>
      </c>
      <c r="E79" s="78" t="n">
        <v>46112</v>
      </c>
      <c r="F79" s="76" t="s">
        <v>208</v>
      </c>
      <c r="G79" s="76" t="s">
        <v>209</v>
      </c>
      <c r="H79" s="76" t="s">
        <v>205</v>
      </c>
      <c r="I79" s="79" t="n">
        <v>13182.608</v>
      </c>
      <c r="J79" s="79" t="n">
        <v>7791.357</v>
      </c>
      <c r="K79" s="79" t="n">
        <v>5466357000</v>
      </c>
      <c r="L79" s="80" t="n">
        <v>57.49</v>
      </c>
      <c r="M79" s="79" t="n">
        <v>96.3552</v>
      </c>
      <c r="N79" s="79" t="n">
        <v>0</v>
      </c>
      <c r="O79" s="79" t="n">
        <v>14500.386</v>
      </c>
      <c r="P79" s="80" t="n">
        <v>0</v>
      </c>
      <c r="Q79" s="80" t="n">
        <v>847</v>
      </c>
      <c r="R79" s="47" t="n">
        <v>2</v>
      </c>
      <c r="S79" s="66" t="s">
        <v>309</v>
      </c>
    </row>
    <row r="80" customFormat="false" ht="15" hidden="false" customHeight="false" outlineLevel="0" collapsed="false">
      <c r="A80" s="76" t="s">
        <v>176</v>
      </c>
      <c r="B80" s="76" t="s">
        <v>213</v>
      </c>
      <c r="C80" s="77" t="n">
        <v>2025</v>
      </c>
      <c r="D80" s="77" t="n">
        <v>4</v>
      </c>
      <c r="E80" s="78" t="n">
        <v>46022</v>
      </c>
      <c r="F80" s="76" t="s">
        <v>208</v>
      </c>
      <c r="G80" s="76" t="s">
        <v>209</v>
      </c>
      <c r="H80" s="76" t="s">
        <v>205</v>
      </c>
      <c r="I80" s="79" t="n">
        <v>4806.69</v>
      </c>
      <c r="J80" s="79" t="n">
        <v>1597.288</v>
      </c>
      <c r="K80" s="79" t="n">
        <v>870716000</v>
      </c>
      <c r="L80" s="80" t="n">
        <v>9.26</v>
      </c>
      <c r="M80" s="79" t="n">
        <v>96.0407</v>
      </c>
      <c r="N80" s="79" t="n">
        <v>0</v>
      </c>
      <c r="O80" s="79" t="n">
        <v>8940.787</v>
      </c>
      <c r="P80" s="80" t="n">
        <v>0</v>
      </c>
      <c r="Q80" s="80" t="n">
        <v>576</v>
      </c>
      <c r="R80" s="47" t="n">
        <v>3</v>
      </c>
      <c r="S80" s="66" t="s">
        <v>310</v>
      </c>
    </row>
    <row r="81" customFormat="false" ht="15" hidden="false" customHeight="false" outlineLevel="0" collapsed="false">
      <c r="A81" s="76" t="s">
        <v>176</v>
      </c>
      <c r="B81" s="76" t="s">
        <v>215</v>
      </c>
      <c r="C81" s="77" t="n">
        <v>2025</v>
      </c>
      <c r="D81" s="77" t="n">
        <v>3</v>
      </c>
      <c r="E81" s="78" t="n">
        <v>45930</v>
      </c>
      <c r="F81" s="76" t="s">
        <v>208</v>
      </c>
      <c r="G81" s="76" t="s">
        <v>209</v>
      </c>
      <c r="H81" s="76" t="s">
        <v>205</v>
      </c>
      <c r="I81" s="79" t="n">
        <v>3807.401</v>
      </c>
      <c r="J81" s="79" t="n">
        <v>1248.818</v>
      </c>
      <c r="K81" s="79" t="n">
        <v>643038000</v>
      </c>
      <c r="L81" s="80" t="n">
        <v>6.87</v>
      </c>
      <c r="M81" s="79" t="n">
        <v>95.3452</v>
      </c>
      <c r="N81" s="79" t="n">
        <v>0</v>
      </c>
      <c r="O81" s="79" t="n">
        <v>7932.37</v>
      </c>
      <c r="P81" s="80" t="n">
        <v>9.37723774</v>
      </c>
      <c r="Q81" s="80" t="n">
        <v>329.5</v>
      </c>
      <c r="R81" s="47" t="n">
        <v>4</v>
      </c>
      <c r="S81" s="66" t="s">
        <v>311</v>
      </c>
    </row>
    <row r="82" customFormat="false" ht="15" hidden="false" customHeight="false" outlineLevel="0" collapsed="false">
      <c r="A82" s="76" t="s">
        <v>176</v>
      </c>
      <c r="B82" s="76" t="s">
        <v>217</v>
      </c>
      <c r="C82" s="77" t="n">
        <v>2025</v>
      </c>
      <c r="D82" s="77" t="n">
        <v>2</v>
      </c>
      <c r="E82" s="78" t="n">
        <v>45838</v>
      </c>
      <c r="F82" s="76" t="s">
        <v>208</v>
      </c>
      <c r="G82" s="76" t="s">
        <v>209</v>
      </c>
      <c r="H82" s="76" t="s">
        <v>205</v>
      </c>
      <c r="I82" s="79" t="n">
        <v>3028.429</v>
      </c>
      <c r="J82" s="79" t="n">
        <v>785.089</v>
      </c>
      <c r="K82" s="79" t="n">
        <v>185349000</v>
      </c>
      <c r="L82" s="80" t="n">
        <v>2.02</v>
      </c>
      <c r="M82" s="79" t="n">
        <v>91.6411</v>
      </c>
      <c r="N82" s="79" t="n">
        <v>0</v>
      </c>
      <c r="O82" s="79" t="n">
        <v>7184.405</v>
      </c>
      <c r="P82" s="80" t="n">
        <v>0</v>
      </c>
      <c r="Q82" s="80" t="n">
        <v>237</v>
      </c>
      <c r="R82" s="47" t="n">
        <v>5</v>
      </c>
      <c r="S82" s="66" t="s">
        <v>312</v>
      </c>
    </row>
    <row r="83" customFormat="false" ht="15" hidden="false" customHeight="false" outlineLevel="0" collapsed="false">
      <c r="A83" s="76" t="s">
        <v>176</v>
      </c>
      <c r="B83" s="76" t="s">
        <v>219</v>
      </c>
      <c r="C83" s="77" t="n">
        <v>2025</v>
      </c>
      <c r="D83" s="77" t="n">
        <v>1</v>
      </c>
      <c r="E83" s="78" t="n">
        <v>45747</v>
      </c>
      <c r="F83" s="76" t="s">
        <v>208</v>
      </c>
      <c r="G83" s="76" t="s">
        <v>209</v>
      </c>
      <c r="H83" s="76" t="s">
        <v>205</v>
      </c>
      <c r="I83" s="79" t="n">
        <v>2618.742</v>
      </c>
      <c r="J83" s="79" t="n">
        <v>800.733</v>
      </c>
      <c r="K83" s="79" t="n">
        <v>336540000</v>
      </c>
      <c r="L83" s="80" t="n">
        <v>3.68</v>
      </c>
      <c r="M83" s="79" t="n">
        <v>91.5746</v>
      </c>
      <c r="N83" s="79" t="n">
        <v>0</v>
      </c>
      <c r="O83" s="79" t="n">
        <v>7854.351</v>
      </c>
      <c r="P83" s="80" t="n">
        <v>0</v>
      </c>
      <c r="Q83" s="80" t="n">
        <v>250.5</v>
      </c>
      <c r="R83" s="47" t="n">
        <v>6</v>
      </c>
      <c r="S83" s="66" t="s">
        <v>313</v>
      </c>
    </row>
    <row r="84" customFormat="false" ht="15" hidden="false" customHeight="false" outlineLevel="0" collapsed="false">
      <c r="A84" s="76" t="s">
        <v>176</v>
      </c>
      <c r="B84" s="76" t="s">
        <v>221</v>
      </c>
      <c r="C84" s="77" t="n">
        <v>2024</v>
      </c>
      <c r="D84" s="77" t="n">
        <v>4</v>
      </c>
      <c r="E84" s="78" t="n">
        <v>45657</v>
      </c>
      <c r="F84" s="76" t="s">
        <v>208</v>
      </c>
      <c r="G84" s="76" t="s">
        <v>209</v>
      </c>
      <c r="H84" s="76" t="s">
        <v>205</v>
      </c>
      <c r="I84" s="79" t="n">
        <v>2228.005</v>
      </c>
      <c r="J84" s="79" t="n">
        <v>648.956</v>
      </c>
      <c r="K84" s="79" t="n">
        <v>271532000</v>
      </c>
      <c r="L84" s="80" t="n">
        <v>2.97</v>
      </c>
      <c r="M84" s="79" t="n">
        <v>91.4561</v>
      </c>
      <c r="N84" s="79" t="n">
        <v>0</v>
      </c>
      <c r="O84" s="79" t="n">
        <v>7491.143</v>
      </c>
      <c r="P84" s="80" t="n">
        <v>0</v>
      </c>
      <c r="Q84" s="80" t="n">
        <v>218</v>
      </c>
      <c r="R84" s="47" t="n">
        <v>7</v>
      </c>
      <c r="S84" s="66" t="s">
        <v>314</v>
      </c>
    </row>
    <row r="85" customFormat="false" ht="15" hidden="false" customHeight="false" outlineLevel="0" collapsed="false">
      <c r="A85" s="76" t="s">
        <v>176</v>
      </c>
      <c r="B85" s="76" t="s">
        <v>223</v>
      </c>
      <c r="C85" s="77" t="n">
        <v>2024</v>
      </c>
      <c r="D85" s="77" t="n">
        <v>3</v>
      </c>
      <c r="E85" s="78" t="n">
        <v>45565</v>
      </c>
      <c r="F85" s="76" t="s">
        <v>208</v>
      </c>
      <c r="G85" s="76" t="s">
        <v>209</v>
      </c>
      <c r="H85" s="76" t="s">
        <v>205</v>
      </c>
      <c r="I85" s="79" t="n">
        <v>2321.419</v>
      </c>
      <c r="J85" s="79" t="n">
        <v>658.433</v>
      </c>
      <c r="K85" s="79" t="n">
        <v>188620000</v>
      </c>
      <c r="L85" s="80" t="n">
        <v>2.08</v>
      </c>
      <c r="M85" s="79" t="n">
        <v>91.3372</v>
      </c>
      <c r="N85" s="79" t="n">
        <v>0</v>
      </c>
      <c r="O85" s="79" t="n">
        <v>7196.228</v>
      </c>
      <c r="P85" s="80" t="n">
        <v>10.2</v>
      </c>
      <c r="Q85" s="80" t="n">
        <v>282</v>
      </c>
      <c r="R85" s="47" t="n">
        <v>8</v>
      </c>
      <c r="S85" s="66" t="s">
        <v>315</v>
      </c>
    </row>
    <row r="86" customFormat="false" ht="15" hidden="false" customHeight="false" outlineLevel="0" collapsed="false">
      <c r="A86" s="76" t="s">
        <v>176</v>
      </c>
      <c r="B86" s="76" t="s">
        <v>225</v>
      </c>
      <c r="C86" s="77" t="n">
        <v>2024</v>
      </c>
      <c r="D86" s="77" t="n">
        <v>2</v>
      </c>
      <c r="E86" s="78" t="n">
        <v>45473</v>
      </c>
      <c r="F86" s="76" t="s">
        <v>208</v>
      </c>
      <c r="G86" s="76" t="s">
        <v>209</v>
      </c>
      <c r="H86" s="76" t="s">
        <v>205</v>
      </c>
      <c r="I86" s="79" t="n">
        <v>2190.229</v>
      </c>
      <c r="J86" s="79" t="n">
        <v>759.289</v>
      </c>
      <c r="K86" s="79" t="n">
        <v>294050000</v>
      </c>
      <c r="L86" s="80" t="n">
        <v>3.26</v>
      </c>
      <c r="M86" s="79" t="n">
        <v>88.3977</v>
      </c>
      <c r="N86" s="79" t="n">
        <v>0</v>
      </c>
      <c r="O86" s="79" t="n">
        <v>6803.334</v>
      </c>
      <c r="P86" s="80" t="n">
        <v>0</v>
      </c>
      <c r="Q86" s="80" t="n">
        <v>302</v>
      </c>
      <c r="R86" s="47" t="n">
        <v>9</v>
      </c>
      <c r="S86" s="66" t="s">
        <v>316</v>
      </c>
    </row>
    <row r="87" customFormat="false" ht="15" hidden="false" customHeight="false" outlineLevel="0" collapsed="false">
      <c r="A87" s="76" t="s">
        <v>176</v>
      </c>
      <c r="B87" s="76" t="s">
        <v>227</v>
      </c>
      <c r="C87" s="77" t="n">
        <v>2024</v>
      </c>
      <c r="D87" s="77" t="n">
        <v>1</v>
      </c>
      <c r="E87" s="78" t="n">
        <v>45382</v>
      </c>
      <c r="F87" s="76" t="s">
        <v>208</v>
      </c>
      <c r="G87" s="76" t="s">
        <v>209</v>
      </c>
      <c r="H87" s="76" t="s">
        <v>205</v>
      </c>
      <c r="I87" s="79" t="n">
        <v>2175.989</v>
      </c>
      <c r="J87" s="79" t="n">
        <v>758.571</v>
      </c>
      <c r="K87" s="79" t="n">
        <v>351970000</v>
      </c>
      <c r="L87" s="80" t="n">
        <v>3.98</v>
      </c>
      <c r="M87" s="79" t="n">
        <v>88.3977</v>
      </c>
      <c r="N87" s="79" t="n">
        <v>0</v>
      </c>
      <c r="O87" s="79" t="n">
        <v>7398.652</v>
      </c>
      <c r="P87" s="80" t="n">
        <v>0</v>
      </c>
      <c r="Q87" s="80" t="n">
        <v>305.5</v>
      </c>
      <c r="R87" s="47" t="n">
        <v>10</v>
      </c>
      <c r="S87" s="66" t="s">
        <v>317</v>
      </c>
    </row>
    <row r="88" customFormat="false" ht="15" hidden="false" customHeight="false" outlineLevel="0" collapsed="false">
      <c r="A88" s="76" t="s">
        <v>176</v>
      </c>
      <c r="B88" s="76" t="s">
        <v>229</v>
      </c>
      <c r="C88" s="77" t="n">
        <v>2023</v>
      </c>
      <c r="D88" s="77" t="n">
        <v>4</v>
      </c>
      <c r="E88" s="78" t="n">
        <v>45291</v>
      </c>
      <c r="F88" s="76" t="s">
        <v>208</v>
      </c>
      <c r="G88" s="76" t="s">
        <v>209</v>
      </c>
      <c r="H88" s="76" t="s">
        <v>205</v>
      </c>
      <c r="I88" s="79" t="n">
        <v>2130.049</v>
      </c>
      <c r="J88" s="79" t="n">
        <v>707.384</v>
      </c>
      <c r="K88" s="79" t="n">
        <v>262238000</v>
      </c>
      <c r="L88" s="80" t="n">
        <v>2.96</v>
      </c>
      <c r="M88" s="79" t="n">
        <v>88.3977</v>
      </c>
      <c r="N88" s="79" t="n">
        <v>0</v>
      </c>
      <c r="O88" s="79" t="n">
        <v>7036.917</v>
      </c>
      <c r="P88" s="80" t="n">
        <v>0</v>
      </c>
      <c r="Q88" s="80" t="n">
        <v>312</v>
      </c>
      <c r="R88" s="47" t="n">
        <v>11</v>
      </c>
      <c r="S88" s="66" t="s">
        <v>318</v>
      </c>
    </row>
    <row r="89" customFormat="false" ht="15" hidden="false" customHeight="false" outlineLevel="0" collapsed="false">
      <c r="A89" s="76" t="s">
        <v>176</v>
      </c>
      <c r="B89" s="76" t="s">
        <v>231</v>
      </c>
      <c r="C89" s="77" t="n">
        <v>2023</v>
      </c>
      <c r="D89" s="77" t="n">
        <v>3</v>
      </c>
      <c r="E89" s="78" t="n">
        <v>45199</v>
      </c>
      <c r="F89" s="76" t="s">
        <v>208</v>
      </c>
      <c r="G89" s="76" t="s">
        <v>209</v>
      </c>
      <c r="H89" s="76" t="s">
        <v>205</v>
      </c>
      <c r="I89" s="79" t="n">
        <v>1993.007</v>
      </c>
      <c r="J89" s="79" t="n">
        <v>687.513</v>
      </c>
      <c r="K89" s="79" t="n">
        <v>306457000</v>
      </c>
      <c r="L89" s="80" t="n">
        <v>3.47</v>
      </c>
      <c r="M89" s="79" t="n">
        <v>88.3977</v>
      </c>
      <c r="N89" s="79" t="n">
        <v>0</v>
      </c>
      <c r="O89" s="79" t="n">
        <v>6756.961</v>
      </c>
      <c r="P89" s="80" t="n">
        <v>13.78192729</v>
      </c>
      <c r="Q89" s="80" t="n">
        <v>296.5</v>
      </c>
      <c r="R89" s="47" t="n">
        <v>12</v>
      </c>
      <c r="S89" s="66" t="s">
        <v>319</v>
      </c>
    </row>
    <row r="90" customFormat="false" ht="15" hidden="false" customHeight="false" outlineLevel="0" collapsed="false">
      <c r="A90" s="76" t="s">
        <v>176</v>
      </c>
      <c r="B90" s="76" t="s">
        <v>233</v>
      </c>
      <c r="C90" s="77" t="n">
        <v>2023</v>
      </c>
      <c r="D90" s="77" t="n">
        <v>2</v>
      </c>
      <c r="E90" s="78" t="n">
        <v>45107</v>
      </c>
      <c r="F90" s="76" t="s">
        <v>208</v>
      </c>
      <c r="G90" s="76" t="s">
        <v>209</v>
      </c>
      <c r="H90" s="76" t="s">
        <v>205</v>
      </c>
      <c r="I90" s="79" t="n">
        <v>1930.516</v>
      </c>
      <c r="J90" s="79" t="n">
        <v>636.105</v>
      </c>
      <c r="K90" s="79" t="n">
        <v>230718000</v>
      </c>
      <c r="L90" s="80" t="n">
        <v>2.66</v>
      </c>
      <c r="M90" s="79" t="n">
        <v>86.6666</v>
      </c>
      <c r="N90" s="79" t="n">
        <v>0</v>
      </c>
      <c r="O90" s="79" t="n">
        <v>6433.521</v>
      </c>
      <c r="P90" s="80" t="n">
        <v>0</v>
      </c>
      <c r="Q90" s="80" t="n">
        <v>324</v>
      </c>
      <c r="R90" s="47" t="n">
        <v>13</v>
      </c>
      <c r="S90" s="66" t="s">
        <v>320</v>
      </c>
    </row>
    <row r="91" customFormat="false" ht="15" hidden="false" customHeight="false" outlineLevel="0" collapsed="false">
      <c r="A91" s="76" t="s">
        <v>176</v>
      </c>
      <c r="B91" s="76" t="s">
        <v>235</v>
      </c>
      <c r="C91" s="77" t="n">
        <v>2023</v>
      </c>
      <c r="D91" s="77" t="n">
        <v>1</v>
      </c>
      <c r="E91" s="78" t="n">
        <v>45016</v>
      </c>
      <c r="F91" s="76" t="s">
        <v>208</v>
      </c>
      <c r="G91" s="76" t="s">
        <v>209</v>
      </c>
      <c r="H91" s="76" t="s">
        <v>205</v>
      </c>
      <c r="I91" s="79" t="n">
        <v>2260.206</v>
      </c>
      <c r="J91" s="79" t="n">
        <v>814.91</v>
      </c>
      <c r="K91" s="79" t="n">
        <v>348203000</v>
      </c>
      <c r="L91" s="80" t="n">
        <v>4.02</v>
      </c>
      <c r="M91" s="79" t="n">
        <v>86.6666</v>
      </c>
      <c r="N91" s="79" t="n">
        <v>0</v>
      </c>
      <c r="O91" s="79" t="n">
        <v>7382.85</v>
      </c>
      <c r="P91" s="80" t="n">
        <v>0</v>
      </c>
      <c r="Q91" s="80" t="n">
        <v>314</v>
      </c>
      <c r="R91" s="47" t="n">
        <v>14</v>
      </c>
      <c r="S91" s="66" t="s">
        <v>321</v>
      </c>
    </row>
    <row r="92" customFormat="false" ht="15" hidden="false" customHeight="false" outlineLevel="0" collapsed="false">
      <c r="A92" s="76" t="s">
        <v>176</v>
      </c>
      <c r="B92" s="76" t="s">
        <v>237</v>
      </c>
      <c r="C92" s="77" t="n">
        <v>2022</v>
      </c>
      <c r="D92" s="77" t="n">
        <v>4</v>
      </c>
      <c r="E92" s="78" t="n">
        <v>44926</v>
      </c>
      <c r="F92" s="76" t="s">
        <v>208</v>
      </c>
      <c r="G92" s="76" t="s">
        <v>209</v>
      </c>
      <c r="H92" s="76" t="s">
        <v>205</v>
      </c>
      <c r="I92" s="79" t="n">
        <v>2286.572</v>
      </c>
      <c r="J92" s="79" t="n">
        <v>860.807</v>
      </c>
      <c r="K92" s="79" t="n">
        <v>385061000</v>
      </c>
      <c r="L92" s="80" t="n">
        <v>4.44</v>
      </c>
      <c r="M92" s="79" t="n">
        <v>86.5531</v>
      </c>
      <c r="N92" s="79" t="n">
        <v>0</v>
      </c>
      <c r="O92" s="79" t="n">
        <v>7012.867</v>
      </c>
      <c r="P92" s="80" t="n">
        <v>0</v>
      </c>
      <c r="Q92" s="80" t="n">
        <v>185.5</v>
      </c>
      <c r="R92" s="47" t="n">
        <v>15</v>
      </c>
      <c r="S92" s="66" t="s">
        <v>322</v>
      </c>
    </row>
    <row r="93" customFormat="false" ht="15" hidden="false" customHeight="false" outlineLevel="0" collapsed="false">
      <c r="A93" s="76" t="s">
        <v>176</v>
      </c>
      <c r="B93" s="76" t="s">
        <v>239</v>
      </c>
      <c r="C93" s="77" t="n">
        <v>2022</v>
      </c>
      <c r="D93" s="77" t="n">
        <v>3</v>
      </c>
      <c r="E93" s="78" t="n">
        <v>44834</v>
      </c>
      <c r="F93" s="76" t="s">
        <v>208</v>
      </c>
      <c r="G93" s="76" t="s">
        <v>209</v>
      </c>
      <c r="H93" s="76" t="s">
        <v>205</v>
      </c>
      <c r="I93" s="79" t="n">
        <v>2560.341</v>
      </c>
      <c r="J93" s="79" t="n">
        <v>914.902</v>
      </c>
      <c r="K93" s="79" t="n">
        <v>542661000</v>
      </c>
      <c r="L93" s="80" t="n">
        <v>6.28</v>
      </c>
      <c r="M93" s="79" t="n">
        <v>86.4706</v>
      </c>
      <c r="N93" s="79" t="n">
        <v>0</v>
      </c>
      <c r="O93" s="79" t="n">
        <v>6611.975</v>
      </c>
      <c r="P93" s="80" t="n">
        <v>11.5240749</v>
      </c>
      <c r="Q93" s="80" t="n">
        <v>161.5</v>
      </c>
      <c r="R93" s="47" t="n">
        <v>16</v>
      </c>
      <c r="S93" s="66" t="s">
        <v>323</v>
      </c>
    </row>
    <row r="94" customFormat="false" ht="15" hidden="false" customHeight="false" outlineLevel="0" collapsed="false">
      <c r="A94" s="76" t="s">
        <v>176</v>
      </c>
      <c r="B94" s="76" t="s">
        <v>241</v>
      </c>
      <c r="C94" s="77" t="n">
        <v>2022</v>
      </c>
      <c r="D94" s="77" t="n">
        <v>2</v>
      </c>
      <c r="E94" s="78" t="n">
        <v>44742</v>
      </c>
      <c r="F94" s="76" t="s">
        <v>208</v>
      </c>
      <c r="G94" s="76" t="s">
        <v>209</v>
      </c>
      <c r="H94" s="76" t="s">
        <v>205</v>
      </c>
      <c r="I94" s="79" t="n">
        <v>2866.579</v>
      </c>
      <c r="J94" s="79" t="n">
        <v>947.502</v>
      </c>
      <c r="K94" s="79" t="n">
        <v>536500000</v>
      </c>
      <c r="L94" s="80" t="n">
        <v>6.41</v>
      </c>
      <c r="M94" s="79" t="n">
        <v>83.895</v>
      </c>
      <c r="N94" s="79" t="n">
        <v>0</v>
      </c>
      <c r="O94" s="79" t="n">
        <v>6043.861</v>
      </c>
      <c r="P94" s="80" t="n">
        <v>0</v>
      </c>
      <c r="Q94" s="80" t="n">
        <v>162.5</v>
      </c>
      <c r="R94" s="47" t="n">
        <v>17</v>
      </c>
      <c r="S94" s="66" t="s">
        <v>324</v>
      </c>
    </row>
    <row r="95" customFormat="false" ht="15" hidden="false" customHeight="false" outlineLevel="0" collapsed="false">
      <c r="A95" s="76" t="s">
        <v>176</v>
      </c>
      <c r="B95" s="76" t="s">
        <v>243</v>
      </c>
      <c r="C95" s="77" t="n">
        <v>2022</v>
      </c>
      <c r="D95" s="77" t="n">
        <v>1</v>
      </c>
      <c r="E95" s="78" t="n">
        <v>44651</v>
      </c>
      <c r="F95" s="76" t="s">
        <v>208</v>
      </c>
      <c r="G95" s="76" t="s">
        <v>209</v>
      </c>
      <c r="H95" s="76" t="s">
        <v>205</v>
      </c>
      <c r="I95" s="79" t="n">
        <v>2589.737</v>
      </c>
      <c r="J95" s="79" t="n">
        <v>735.407</v>
      </c>
      <c r="K95" s="79" t="n">
        <v>385967000</v>
      </c>
      <c r="L95" s="80" t="n">
        <v>4.64</v>
      </c>
      <c r="M95" s="79" t="n">
        <v>83.7225</v>
      </c>
      <c r="N95" s="79" t="n">
        <v>0</v>
      </c>
      <c r="O95" s="79" t="n">
        <v>6458.201</v>
      </c>
      <c r="P95" s="80" t="n">
        <v>0</v>
      </c>
      <c r="Q95" s="80" t="n">
        <v>215</v>
      </c>
      <c r="R95" s="47" t="n">
        <v>18</v>
      </c>
      <c r="S95" s="66" t="s">
        <v>325</v>
      </c>
    </row>
    <row r="96" customFormat="false" ht="15" hidden="false" customHeight="false" outlineLevel="0" collapsed="false">
      <c r="A96" s="76" t="s">
        <v>176</v>
      </c>
      <c r="B96" s="76" t="s">
        <v>245</v>
      </c>
      <c r="C96" s="77" t="n">
        <v>2021</v>
      </c>
      <c r="D96" s="77" t="n">
        <v>4</v>
      </c>
      <c r="E96" s="78" t="n">
        <v>44561</v>
      </c>
      <c r="F96" s="76" t="s">
        <v>208</v>
      </c>
      <c r="G96" s="76" t="s">
        <v>209</v>
      </c>
      <c r="H96" s="76" t="s">
        <v>205</v>
      </c>
      <c r="I96" s="79" t="n">
        <v>2396.847</v>
      </c>
      <c r="J96" s="79" t="n">
        <v>677.529</v>
      </c>
      <c r="K96" s="79" t="n">
        <v>290253000</v>
      </c>
      <c r="L96" s="80" t="n">
        <v>3.51</v>
      </c>
      <c r="M96" s="79" t="n">
        <v>82.668</v>
      </c>
      <c r="N96" s="79" t="n">
        <v>0</v>
      </c>
      <c r="O96" s="79" t="n">
        <v>5960.989</v>
      </c>
      <c r="P96" s="80" t="n">
        <v>0</v>
      </c>
      <c r="Q96" s="80" t="n">
        <v>204</v>
      </c>
      <c r="R96" s="47" t="n">
        <v>19</v>
      </c>
      <c r="S96" s="66" t="s">
        <v>326</v>
      </c>
    </row>
    <row r="97" customFormat="false" ht="15" hidden="false" customHeight="false" outlineLevel="0" collapsed="false">
      <c r="A97" s="76" t="s">
        <v>176</v>
      </c>
      <c r="B97" s="76" t="s">
        <v>247</v>
      </c>
      <c r="C97" s="77" t="n">
        <v>2021</v>
      </c>
      <c r="D97" s="77" t="n">
        <v>3</v>
      </c>
      <c r="E97" s="78" t="n">
        <v>44469</v>
      </c>
      <c r="F97" s="76" t="s">
        <v>208</v>
      </c>
      <c r="G97" s="76" t="s">
        <v>209</v>
      </c>
      <c r="H97" s="76" t="s">
        <v>205</v>
      </c>
      <c r="I97" s="79" t="n">
        <v>2973.845</v>
      </c>
      <c r="J97" s="79" t="n">
        <v>975.336</v>
      </c>
      <c r="K97" s="79" t="n">
        <v>533714000</v>
      </c>
      <c r="L97" s="80" t="n">
        <v>6.46</v>
      </c>
      <c r="M97" s="79" t="n">
        <v>82.628</v>
      </c>
      <c r="N97" s="79" t="n">
        <v>0</v>
      </c>
      <c r="O97" s="79" t="n">
        <v>5663.586</v>
      </c>
      <c r="P97" s="80" t="n">
        <v>6.69560253</v>
      </c>
      <c r="Q97" s="80" t="n">
        <v>182</v>
      </c>
      <c r="R97" s="47" t="n">
        <v>20</v>
      </c>
      <c r="S97" s="66" t="s">
        <v>327</v>
      </c>
    </row>
    <row r="98" customFormat="false" ht="15" hidden="false" customHeight="false" outlineLevel="0" collapsed="false">
      <c r="A98" s="76" t="s">
        <v>176</v>
      </c>
      <c r="B98" s="76" t="s">
        <v>249</v>
      </c>
      <c r="C98" s="77" t="n">
        <v>2021</v>
      </c>
      <c r="D98" s="77" t="n">
        <v>2</v>
      </c>
      <c r="E98" s="78" t="n">
        <v>44377</v>
      </c>
      <c r="F98" s="76" t="s">
        <v>208</v>
      </c>
      <c r="G98" s="76" t="s">
        <v>209</v>
      </c>
      <c r="H98" s="76" t="s">
        <v>205</v>
      </c>
      <c r="I98" s="79" t="n">
        <v>2885.046</v>
      </c>
      <c r="J98" s="79" t="n">
        <v>888.15</v>
      </c>
      <c r="K98" s="79" t="n">
        <v>477358000</v>
      </c>
      <c r="L98" s="80" t="n">
        <v>5.79</v>
      </c>
      <c r="M98" s="79" t="n">
        <v>82.516</v>
      </c>
      <c r="N98" s="79" t="n">
        <v>0</v>
      </c>
      <c r="O98" s="79" t="n">
        <v>5668.615</v>
      </c>
      <c r="P98" s="80" t="n">
        <v>0</v>
      </c>
      <c r="Q98" s="80" t="n">
        <v>190.5</v>
      </c>
      <c r="R98" s="47" t="n">
        <v>21</v>
      </c>
      <c r="S98" s="66" t="s">
        <v>328</v>
      </c>
    </row>
    <row r="99" customFormat="false" ht="15" hidden="false" customHeight="false" outlineLevel="0" collapsed="false">
      <c r="A99" s="76" t="s">
        <v>176</v>
      </c>
      <c r="B99" s="76" t="s">
        <v>251</v>
      </c>
      <c r="C99" s="77" t="n">
        <v>2021</v>
      </c>
      <c r="D99" s="77" t="n">
        <v>1</v>
      </c>
      <c r="E99" s="78" t="n">
        <v>44286</v>
      </c>
      <c r="F99" s="76" t="s">
        <v>208</v>
      </c>
      <c r="G99" s="76" t="s">
        <v>209</v>
      </c>
      <c r="H99" s="76" t="s">
        <v>205</v>
      </c>
      <c r="I99" s="79" t="n">
        <v>1939.92</v>
      </c>
      <c r="J99" s="79" t="n">
        <v>551.203</v>
      </c>
      <c r="K99" s="79" t="n">
        <v>259563000</v>
      </c>
      <c r="L99" s="80" t="n">
        <v>3.17</v>
      </c>
      <c r="M99" s="79" t="n">
        <v>82.459</v>
      </c>
      <c r="N99" s="79" t="n">
        <v>0</v>
      </c>
      <c r="O99" s="79" t="n">
        <v>5182.897</v>
      </c>
      <c r="P99" s="80" t="n">
        <v>0</v>
      </c>
      <c r="Q99" s="80" t="n">
        <v>170</v>
      </c>
      <c r="R99" s="47" t="n">
        <v>22</v>
      </c>
      <c r="S99" s="66" t="s">
        <v>329</v>
      </c>
    </row>
    <row r="100" customFormat="false" ht="15" hidden="false" customHeight="false" outlineLevel="0" collapsed="false">
      <c r="A100" s="76" t="s">
        <v>176</v>
      </c>
      <c r="B100" s="76" t="s">
        <v>253</v>
      </c>
      <c r="C100" s="77" t="n">
        <v>2020</v>
      </c>
      <c r="D100" s="77" t="n">
        <v>4</v>
      </c>
      <c r="E100" s="78" t="n">
        <v>44196</v>
      </c>
      <c r="F100" s="76" t="s">
        <v>208</v>
      </c>
      <c r="G100" s="76" t="s">
        <v>209</v>
      </c>
      <c r="H100" s="76" t="s">
        <v>205</v>
      </c>
      <c r="I100" s="79" t="n">
        <v>1575.49</v>
      </c>
      <c r="J100" s="79" t="n">
        <v>458.968</v>
      </c>
      <c r="K100" s="79" t="n">
        <v>175456000</v>
      </c>
      <c r="L100" s="80" t="n">
        <v>2.16</v>
      </c>
      <c r="M100" s="79" t="n">
        <v>81.324</v>
      </c>
      <c r="N100" s="79" t="n">
        <v>0</v>
      </c>
      <c r="O100" s="79" t="n">
        <v>4816.246</v>
      </c>
      <c r="P100" s="80" t="n">
        <v>0</v>
      </c>
      <c r="Q100" s="80" t="n">
        <v>166</v>
      </c>
      <c r="R100" s="47" t="n">
        <v>23</v>
      </c>
      <c r="S100" s="66" t="s">
        <v>330</v>
      </c>
    </row>
    <row r="101" customFormat="false" ht="15" hidden="false" customHeight="false" outlineLevel="0" collapsed="false">
      <c r="A101" s="76" t="s">
        <v>176</v>
      </c>
      <c r="B101" s="76" t="s">
        <v>255</v>
      </c>
      <c r="C101" s="77" t="n">
        <v>2020</v>
      </c>
      <c r="D101" s="77" t="n">
        <v>3</v>
      </c>
      <c r="E101" s="78" t="n">
        <v>44104</v>
      </c>
      <c r="F101" s="76" t="s">
        <v>208</v>
      </c>
      <c r="G101" s="76" t="s">
        <v>209</v>
      </c>
      <c r="H101" s="76" t="s">
        <v>205</v>
      </c>
      <c r="I101" s="79" t="n">
        <v>1627.205</v>
      </c>
      <c r="J101" s="79" t="n">
        <v>493.122</v>
      </c>
      <c r="K101" s="79" t="n">
        <v>194271000</v>
      </c>
      <c r="L101" s="80" t="n">
        <v>2.39</v>
      </c>
      <c r="M101" s="79" t="n">
        <v>81.324</v>
      </c>
      <c r="N101" s="79" t="n">
        <v>0</v>
      </c>
      <c r="O101" s="79" t="n">
        <v>4634.348</v>
      </c>
      <c r="P101" s="80"/>
      <c r="Q101" s="80" t="n">
        <v>158.5</v>
      </c>
      <c r="R101" s="47" t="n">
        <v>24</v>
      </c>
      <c r="S101" s="66" t="s">
        <v>331</v>
      </c>
    </row>
    <row r="103" customFormat="false" ht="15" hidden="false" customHeight="false" outlineLevel="0" collapsed="false">
      <c r="A103" s="81" t="s">
        <v>332</v>
      </c>
    </row>
    <row r="104" customFormat="false" ht="15" hidden="false" customHeight="false" outlineLevel="0" collapsed="false">
      <c r="A104" s="42" t="s">
        <v>333</v>
      </c>
    </row>
    <row r="105" customFormat="false" ht="15" hidden="false" customHeight="false" outlineLevel="0" collapsed="false">
      <c r="A105" s="82" t="s">
        <v>334</v>
      </c>
      <c r="C105" s="24" t="s">
        <v>335</v>
      </c>
    </row>
    <row r="106" customFormat="false" ht="15" hidden="false" customHeight="false" outlineLevel="0" collapsed="false">
      <c r="A106" s="82" t="s">
        <v>336</v>
      </c>
      <c r="C106" s="24" t="s">
        <v>335</v>
      </c>
    </row>
    <row r="107" customFormat="false" ht="15" hidden="false" customHeight="false" outlineLevel="0" collapsed="false">
      <c r="A107" s="82" t="s">
        <v>337</v>
      </c>
      <c r="C107" s="24" t="s">
        <v>335</v>
      </c>
    </row>
    <row r="108" customFormat="false" ht="15" hidden="false" customHeight="false" outlineLevel="0" collapsed="false">
      <c r="A108" s="82" t="s">
        <v>338</v>
      </c>
      <c r="C108" s="24" t="s">
        <v>335</v>
      </c>
    </row>
    <row r="109" customFormat="false" ht="15" hidden="false" customHeight="false" outlineLevel="0" collapsed="false">
      <c r="A109" s="82" t="s">
        <v>339</v>
      </c>
      <c r="C109" s="24" t="s">
        <v>335</v>
      </c>
    </row>
    <row r="110" customFormat="false" ht="15" hidden="false" customHeight="false" outlineLevel="0" collapsed="false">
      <c r="A110" s="82" t="s">
        <v>340</v>
      </c>
      <c r="C110" s="24" t="s">
        <v>341</v>
      </c>
    </row>
    <row r="111" customFormat="false" ht="15" hidden="false" customHeight="false" outlineLevel="0" collapsed="false">
      <c r="A111" s="82" t="s">
        <v>342</v>
      </c>
      <c r="C111" s="24" t="s">
        <v>341</v>
      </c>
    </row>
    <row r="112" customFormat="false" ht="15" hidden="false" customHeight="false" outlineLevel="0" collapsed="false">
      <c r="A112" s="82" t="s">
        <v>343</v>
      </c>
      <c r="C112" s="25" t="s">
        <v>344</v>
      </c>
    </row>
    <row r="113" customFormat="false" ht="15" hidden="false" customHeight="false" outlineLevel="0" collapsed="false">
      <c r="A113" s="82" t="s">
        <v>345</v>
      </c>
      <c r="C113" s="24" t="s">
        <v>346</v>
      </c>
    </row>
    <row r="114" customFormat="false" ht="15" hidden="false" customHeight="false" outlineLevel="0" collapsed="false">
      <c r="A114" s="82" t="s">
        <v>347</v>
      </c>
      <c r="C114" s="24" t="s">
        <v>348</v>
      </c>
    </row>
    <row r="115" customFormat="false" ht="15" hidden="false" customHeight="false" outlineLevel="0" collapsed="false">
      <c r="A115" s="82" t="s">
        <v>349</v>
      </c>
      <c r="C115" s="25" t="s">
        <v>350</v>
      </c>
    </row>
    <row r="116" customFormat="false" ht="15" hidden="false" customHeight="false" outlineLevel="0" collapsed="false">
      <c r="A116" s="82" t="s">
        <v>351</v>
      </c>
      <c r="C116" s="25" t="s">
        <v>352</v>
      </c>
    </row>
    <row r="117" customFormat="false" ht="15" hidden="false" customHeight="false" outlineLevel="0" collapsed="false">
      <c r="A117" s="82" t="s">
        <v>353</v>
      </c>
      <c r="C117" s="24" t="s">
        <v>354</v>
      </c>
    </row>
    <row r="118" customFormat="false" ht="15" hidden="false" customHeight="false" outlineLevel="0" collapsed="false">
      <c r="A118" s="82" t="s">
        <v>355</v>
      </c>
      <c r="C118" s="24" t="s">
        <v>356</v>
      </c>
    </row>
    <row r="119" customFormat="false" ht="15" hidden="false" customHeight="false" outlineLevel="0" collapsed="false">
      <c r="A119" s="82" t="s">
        <v>357</v>
      </c>
      <c r="C119" s="25" t="s">
        <v>358</v>
      </c>
    </row>
    <row r="120" customFormat="false" ht="15" hidden="false" customHeight="false" outlineLevel="0" collapsed="false">
      <c r="A120" s="82" t="s">
        <v>359</v>
      </c>
      <c r="C120" s="24" t="s">
        <v>47</v>
      </c>
    </row>
    <row r="121" customFormat="false" ht="15" hidden="false" customHeight="false" outlineLevel="0" collapsed="false">
      <c r="A121" s="82" t="s">
        <v>360</v>
      </c>
      <c r="C121" s="24" t="s">
        <v>361</v>
      </c>
    </row>
    <row r="123" customFormat="false" ht="15" hidden="false" customHeight="false" outlineLevel="0" collapsed="false">
      <c r="A123" s="24" t="s">
        <v>362</v>
      </c>
    </row>
  </sheetData>
  <autoFilter ref="A1:S1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363</v>
      </c>
      <c r="C1" s="14" t="s">
        <v>364</v>
      </c>
      <c r="D1" s="14" t="s">
        <v>365</v>
      </c>
      <c r="E1" s="14" t="s">
        <v>366</v>
      </c>
      <c r="F1" s="14" t="s">
        <v>367</v>
      </c>
    </row>
    <row r="2" customFormat="false" ht="15" hidden="false" customHeight="false" outlineLevel="0" collapsed="false">
      <c r="A2" s="76" t="s">
        <v>167</v>
      </c>
      <c r="B2" s="80" t="n">
        <v>107.6434</v>
      </c>
      <c r="C2" s="80" t="n">
        <v>142.12909</v>
      </c>
      <c r="D2" s="78" t="n">
        <v>46387</v>
      </c>
      <c r="E2" s="77" t="n">
        <v>23</v>
      </c>
      <c r="F2" s="78" t="n">
        <v>46267</v>
      </c>
    </row>
    <row r="3" customFormat="false" ht="15" hidden="false" customHeight="false" outlineLevel="0" collapsed="false">
      <c r="A3" s="76" t="s">
        <v>171</v>
      </c>
      <c r="B3" s="80" t="n">
        <v>65.04435</v>
      </c>
      <c r="C3" s="80" t="n">
        <v>95.72625</v>
      </c>
      <c r="D3" s="78" t="n">
        <v>46387</v>
      </c>
      <c r="E3" s="77" t="n">
        <v>6</v>
      </c>
      <c r="F3" s="78" t="n">
        <v>46267</v>
      </c>
    </row>
    <row r="4" customFormat="false" ht="15" hidden="false" customHeight="false" outlineLevel="0" collapsed="false">
      <c r="A4" s="76" t="s">
        <v>179</v>
      </c>
      <c r="B4" s="80" t="n">
        <v>5.31033</v>
      </c>
      <c r="C4" s="80" t="n">
        <v>8.78848</v>
      </c>
      <c r="D4" s="78" t="n">
        <v>46387</v>
      </c>
      <c r="E4" s="77" t="n">
        <v>7</v>
      </c>
      <c r="F4" s="78" t="n">
        <v>46267</v>
      </c>
    </row>
    <row r="5" customFormat="false" ht="15" hidden="false" customHeight="false" outlineLevel="0" collapsed="false">
      <c r="A5" s="76" t="s">
        <v>176</v>
      </c>
      <c r="B5" s="80" t="n">
        <v>353.215</v>
      </c>
      <c r="C5" s="80" t="n">
        <v>194.82417</v>
      </c>
      <c r="D5" s="78" t="n">
        <v>46387</v>
      </c>
      <c r="E5" s="77" t="n">
        <v>2</v>
      </c>
      <c r="F5" s="78" t="n">
        <v>46267</v>
      </c>
    </row>
    <row r="7" customFormat="false" ht="15" hidden="false" customHeight="false" outlineLevel="0" collapsed="false">
      <c r="A7" s="25" t="s">
        <v>368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369</v>
      </c>
      <c r="C1" s="14" t="s">
        <v>370</v>
      </c>
      <c r="D1" s="14" t="s">
        <v>371</v>
      </c>
      <c r="E1" s="14" t="s">
        <v>367</v>
      </c>
    </row>
    <row r="2" customFormat="false" ht="15" hidden="false" customHeight="false" outlineLevel="0" collapsed="false">
      <c r="A2" s="76" t="s">
        <v>167</v>
      </c>
      <c r="B2" s="80" t="n">
        <v>2385</v>
      </c>
      <c r="C2" s="78" t="n">
        <v>46267</v>
      </c>
      <c r="D2" s="78"/>
      <c r="E2" s="78" t="n">
        <v>46267</v>
      </c>
    </row>
    <row r="3" customFormat="false" ht="15" hidden="false" customHeight="false" outlineLevel="0" collapsed="false">
      <c r="A3" s="76" t="s">
        <v>171</v>
      </c>
      <c r="B3" s="80" t="n">
        <v>518</v>
      </c>
      <c r="C3" s="78" t="n">
        <v>46267</v>
      </c>
      <c r="D3" s="78"/>
      <c r="E3" s="78" t="n">
        <v>46267</v>
      </c>
    </row>
    <row r="4" customFormat="false" ht="15" hidden="false" customHeight="false" outlineLevel="0" collapsed="false">
      <c r="A4" s="76" t="s">
        <v>179</v>
      </c>
      <c r="B4" s="80" t="n">
        <v>542</v>
      </c>
      <c r="C4" s="78" t="n">
        <v>46267</v>
      </c>
      <c r="D4" s="78"/>
      <c r="E4" s="78" t="n">
        <v>46267</v>
      </c>
    </row>
    <row r="5" customFormat="false" ht="15" hidden="false" customHeight="false" outlineLevel="0" collapsed="false">
      <c r="A5" s="76" t="s">
        <v>176</v>
      </c>
      <c r="B5" s="80" t="n">
        <v>1420</v>
      </c>
      <c r="C5" s="78" t="n">
        <v>46267</v>
      </c>
      <c r="D5" s="78"/>
      <c r="E5" s="78" t="n">
        <v>46267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372</v>
      </c>
      <c r="F1" s="14" t="s">
        <v>373</v>
      </c>
      <c r="G1" s="14" t="s">
        <v>374</v>
      </c>
      <c r="H1" s="14" t="s">
        <v>375</v>
      </c>
      <c r="I1" s="14" t="s">
        <v>68</v>
      </c>
      <c r="J1" s="14" t="s">
        <v>56</v>
      </c>
      <c r="K1" s="14" t="s">
        <v>376</v>
      </c>
      <c r="L1" s="14" t="s">
        <v>377</v>
      </c>
      <c r="M1" s="14" t="s">
        <v>378</v>
      </c>
      <c r="N1" s="14" t="s">
        <v>58</v>
      </c>
      <c r="O1" s="14" t="s">
        <v>59</v>
      </c>
      <c r="P1" s="14" t="s">
        <v>379</v>
      </c>
      <c r="Q1" s="15" t="s">
        <v>47</v>
      </c>
      <c r="R1" s="15" t="s">
        <v>60</v>
      </c>
      <c r="S1" s="15" t="s">
        <v>380</v>
      </c>
      <c r="T1" s="15" t="s">
        <v>381</v>
      </c>
      <c r="U1" s="15" t="s">
        <v>382</v>
      </c>
      <c r="V1" s="15" t="s">
        <v>383</v>
      </c>
      <c r="W1" s="15" t="s">
        <v>64</v>
      </c>
      <c r="X1" s="15" t="s">
        <v>65</v>
      </c>
      <c r="Y1" s="14" t="s">
        <v>384</v>
      </c>
      <c r="Z1" s="15" t="s">
        <v>385</v>
      </c>
      <c r="AA1" s="15" t="s">
        <v>386</v>
      </c>
      <c r="AB1" s="14" t="s">
        <v>387</v>
      </c>
      <c r="AC1" s="14" t="s">
        <v>71</v>
      </c>
      <c r="AD1" s="15" t="s">
        <v>106</v>
      </c>
      <c r="AE1" s="15" t="s">
        <v>388</v>
      </c>
      <c r="AF1" s="14" t="s">
        <v>72</v>
      </c>
      <c r="AG1" s="14" t="s">
        <v>73</v>
      </c>
      <c r="AH1" s="14" t="s">
        <v>389</v>
      </c>
      <c r="AI1" s="15" t="s">
        <v>75</v>
      </c>
      <c r="AJ1" s="15" t="s">
        <v>76</v>
      </c>
      <c r="AK1" s="15" t="s">
        <v>390</v>
      </c>
      <c r="AL1" s="15" t="s">
        <v>86</v>
      </c>
      <c r="AM1" s="15" t="s">
        <v>87</v>
      </c>
      <c r="AN1" s="15" t="s">
        <v>88</v>
      </c>
      <c r="AO1" s="14" t="s">
        <v>391</v>
      </c>
      <c r="AP1" s="14" t="s">
        <v>392</v>
      </c>
      <c r="AQ1" s="14" t="s">
        <v>393</v>
      </c>
      <c r="AR1" s="14" t="s">
        <v>394</v>
      </c>
      <c r="AS1" s="14" t="s">
        <v>395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2385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130.79132890411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27.6425591098748</v>
      </c>
      <c r="K2" s="52" t="n">
        <f aca="false">IF($A2="","",IFERROR(IF(G2&lt;=0,"N/M",D2/G2),"N/M"))</f>
        <v>24.5796544152119</v>
      </c>
      <c r="L2" s="52" t="n">
        <f aca="false">IF($A2="","",IFERROR(IF(H2&lt;=0,"N/M",D2/H2),"N/M"))</f>
        <v>18.2351538132056</v>
      </c>
      <c r="M2" s="49" t="n">
        <f aca="false">IF($A2="","",IFERROR(INDEX(Raw_Est!$C$2:$C$100,MATCH($A2,Raw_Est!$A$2:$A$100,0))/INDEX(Raw_Est!$B$2:$B$100,MATCH($A2,Raw_Est!$A$2:$A$100,0))-1,""))</f>
        <v>0.320369757922919</v>
      </c>
      <c r="N2" s="51" t="n">
        <f aca="false">IF($A2="","",IFERROR(IF(OR(NOT(ISNUMBER(J2)),I2&lt;Config!$B$6),"N/M",J2/(I2*100)),"N/M"))</f>
        <v>0.519370204697048</v>
      </c>
      <c r="O2" s="51" t="n">
        <f aca="false">IF($A2="","",IFERROR(IF(OR(NOT(ISNUMBER(L2)),M2&lt;Config!$B$6),"N/M",L2/(M2*100)),"N/M"))</f>
        <v>0.569190860318125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0.0092243606624738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46267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觀察</v>
      </c>
      <c r="D3" s="51" t="n">
        <f aca="false">IF($A3="","",IFERROR(INDEX(Raw_Price!$B$2:$B$100,MATCH($A3,Raw_Price!$A$2:$A$100,0)),""))</f>
        <v>518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85.63905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19.0791896869245</v>
      </c>
      <c r="K3" s="52" t="n">
        <f aca="false">IF($A3="","",IFERROR(IF(G3&lt;=0,"N/M",D3/G3),"N/M"))</f>
        <v>10.9057567868861</v>
      </c>
      <c r="L3" s="52" t="n">
        <f aca="false">IF($A3="","",IFERROR(IF(H3&lt;=0,"N/M",D3/H3),"N/M"))</f>
        <v>6.04864252931344</v>
      </c>
      <c r="M3" s="49" t="n">
        <f aca="false">IF($A3="","",IFERROR(INDEX(Raw_Est!$C$2:$C$100,MATCH($A3,Raw_Est!$A$2:$A$100,0))/INDEX(Raw_Est!$B$2:$B$100,MATCH($A3,Raw_Est!$A$2:$A$100,0))-1,""))</f>
        <v>0.471707381194523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0.128228702166929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0.695734066852749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46267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1420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246.897867534247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7.77869076965215</v>
      </c>
      <c r="K4" s="52" t="n">
        <f aca="false">IF($A4="","",IFERROR(IF(G4&lt;=0,"N/M",D4/G4),"N/M"))</f>
        <v>5.16946375914668</v>
      </c>
      <c r="L4" s="52" t="n">
        <f aca="false">IF($A4="","",IFERROR(IF(H4&lt;=0,"N/M",D4/H4),"N/M"))</f>
        <v>5.75136599672347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0.00486734143037023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0.00660368854929578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46267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542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7.64497863013699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131.553398058252</v>
      </c>
      <c r="K5" s="52" t="n">
        <f aca="false">IF($A5="","",IFERROR(IF(G5&lt;=0,"N/M",D5/G5),"N/M"))</f>
        <v>115.459419848369</v>
      </c>
      <c r="L5" s="52" t="n">
        <f aca="false">IF($A5="","",IFERROR(IF(H5&lt;=0,"N/M",D5/H5),"N/M"))</f>
        <v>70.8962086386222</v>
      </c>
      <c r="M5" s="49" t="n">
        <f aca="false">IF($A5="","",IFERROR(INDEX(Raw_Est!$C$2:$C$100,MATCH($A5,Raw_Est!$A$2:$A$100,0))/INDEX(Raw_Est!$B$2:$B$100,MATCH($A5,Raw_Est!$A$2:$A$100,0))-1,""))</f>
        <v>0.65497812753633</v>
      </c>
      <c r="N5" s="51" t="n">
        <f aca="false">IF($A5="","",IFERROR(IF(OR(NOT(ISNUMBER(J5)),I5&lt;Config!$B$6),"N/M",J5/(I5*100)),"N/M"))</f>
        <v>2.13669531878053</v>
      </c>
      <c r="O5" s="51" t="n">
        <f aca="false">IF($A5="","",IFERROR(IF(OR(NOT(ISNUMBER(L5)),M5&lt;Config!$B$6),"N/M",L5/(M5*100)),"N/M"))</f>
        <v>1.08242101007701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0.00483497514760148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0.265876622636104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7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46267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/>
      </c>
      <c r="B6" s="66" t="str">
        <f aca="false">IF($A6="","",IFERROR(INDEX(Tickers!$B$2:$B$100,MATCH($A6,Tickers!$A$2:$A$100,0)),""))</f>
        <v/>
      </c>
      <c r="C6" s="66" t="str">
        <f aca="false">IF($A6="","",IFERROR(INDEX(Tickers!$D$2:$D$100,MATCH($A6,Tickers!$A$2:$A$100,0)),""))</f>
        <v/>
      </c>
      <c r="D6" s="51" t="str">
        <f aca="false">IF($A6="","",IFERROR(INDEX(Raw_Price!$B$2:$B$100,MATCH($A6,Raw_Price!$A$2:$A$100,0)),""))</f>
        <v/>
      </c>
      <c r="E6" s="48" t="str">
        <f aca="false">IF($A6="","",IFERROR(SUMIFS(Raw_Q!$I$2:$I$600,Raw_Q!$A$2:$A$600,$A6,Raw_Q!$R$2:$R$600,"&gt;=1",Raw_Q!$R$2:$R$600,"&lt;=4"),""))</f>
        <v/>
      </c>
      <c r="F6" s="51" t="str">
        <f aca="false">IF($A6="","",IFERROR(SUMIFS(Raw_Q!$L$2:$L$600,Raw_Q!$A$2:$A$600,$A6,Raw_Q!$R$2:$R$600,"&gt;=1",Raw_Q!$R$2:$R$600,"&lt;=4"),""))</f>
        <v/>
      </c>
      <c r="G6" s="51" t="str">
        <f aca="false">IF($A6="","",IFERROR(SUMIFS(Raw_Q!$L$2:$L$600,Raw_Q!$A$2:$A$600,$A6,Raw_Q!$R$2:$R$600,"&gt;=0",Raw_Q!$R$2:$R$600,"&lt;=3"),""))</f>
        <v/>
      </c>
      <c r="H6" s="51" t="str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/>
      </c>
      <c r="I6" s="49" t="str">
        <f aca="false">IF($A6="","",IFERROR(SUMIFS(Raw_Q!$L$2:$L$600,Raw_Q!$A$2:$A$600,$A6,Raw_Q!$R$2:$R$600,"&gt;=1",Raw_Q!$R$2:$R$600,"&lt;=4")/SUMIFS(Raw_Q!$L$2:$L$600,Raw_Q!$A$2:$A$600,$A6,Raw_Q!$R$2:$R$600,"&gt;=5",Raw_Q!$R$2:$R$600,"&lt;=8")-1,""))</f>
        <v/>
      </c>
      <c r="J6" s="52" t="str">
        <f aca="false">IF($A6="","",IFERROR(IF(F6&lt;=0,"N/M",D6/F6),"N/M"))</f>
        <v/>
      </c>
      <c r="K6" s="52" t="str">
        <f aca="false">IF($A6="","",IFERROR(IF(G6&lt;=0,"N/M",D6/G6),"N/M"))</f>
        <v/>
      </c>
      <c r="L6" s="52" t="str">
        <f aca="false">IF($A6="","",IFERROR(IF(H6&lt;=0,"N/M",D6/H6),"N/M"))</f>
        <v/>
      </c>
      <c r="M6" s="49" t="str">
        <f aca="false">IF($A6="","",IFERROR(INDEX(Raw_Est!$C$2:$C$100,MATCH($A6,Raw_Est!$A$2:$A$100,0))/INDEX(Raw_Est!$B$2:$B$100,MATCH($A6,Raw_Est!$A$2:$A$100,0))-1,""))</f>
        <v/>
      </c>
      <c r="N6" s="51" t="str">
        <f aca="false">IF($A6="","",IFERROR(IF(OR(NOT(ISNUMBER(J6)),I6&lt;Config!$B$6),"N/M",J6/(I6*100)),"N/M"))</f>
        <v/>
      </c>
      <c r="O6" s="51" t="str">
        <f aca="false">IF($A6="","",IFERROR(IF(OR(NOT(ISNUMBER(L6)),M6&lt;Config!$B$6),"N/M",L6/(M6*100)),"N/M"))</f>
        <v/>
      </c>
      <c r="P6" s="51" t="str">
        <f aca="false">IF($A6="","",IFERROR(SUMIFS(Raw_Q!$P$2:$P$600,Raw_Q!$A$2:$A$600,$A6,Raw_Q!$R$2:$R$600,"&gt;=1",Raw_Q!$R$2:$R$600,"&lt;=4"),""))</f>
        <v/>
      </c>
      <c r="Q6" s="49" t="str">
        <f aca="false">IF($A6="","",IFERROR(IF(P6=0,"不配息",P6/D6),""))</f>
        <v/>
      </c>
      <c r="R6" s="49" t="str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/>
      </c>
      <c r="S6" s="49" t="str">
        <f aca="false">IF($A6="","",IFERROR(SUMIFS(Raw_Q!$I$2:$I$600,Raw_Q!$A$2:$A$600,$A6,Raw_Q!$R$2:$R$600,1)/SUMIFS(Raw_Q!$I$2:$I$600,Raw_Q!$A$2:$A$600,$A6,Raw_Q!$R$2:$R$600,5)-1,""))</f>
        <v/>
      </c>
      <c r="T6" s="49" t="str">
        <f aca="false">IF($A6="","",IFERROR(SUMIFS(Raw_Q!$I$2:$I$600,Raw_Q!$A$2:$A$600,$A6,Raw_Q!$R$2:$R$600,1)/SUMIFS(Raw_Q!$I$2:$I$600,Raw_Q!$A$2:$A$600,$A6,Raw_Q!$R$2:$R$600,2)-1,""))</f>
        <v/>
      </c>
      <c r="U6" s="49" t="str">
        <f aca="false">IF($A6="","",IFERROR(SUMIFS(Raw_Q!$I$2:$I$600,Raw_Q!$A$2:$A$600,$A6,Raw_Q!$R$2:$R$600,2)/SUMIFS(Raw_Q!$I$2:$I$600,Raw_Q!$A$2:$A$600,$A6,Raw_Q!$R$2:$R$600,3)-1,""))</f>
        <v/>
      </c>
      <c r="V6" s="68" t="str">
        <f aca="false">IF($A6="","",IFERROR((T6-U6)*100,""))</f>
        <v/>
      </c>
      <c r="W6" s="66" t="str">
        <f aca="false">IF($A6="","",IFERROR(IF(NOT(ISNUMBER(T6)),"",IF(T6&gt;0,IF(V6&gt;0,"成長且加速","成長但減速"),IF(V6&gt;0,"衰退但收斂","衰退且惡化"))),""))</f>
        <v/>
      </c>
      <c r="X6" s="68" t="str">
        <f aca="false">IF($A6="","",IFERROR((T6-(SUMIFS(Raw_Q!$I$2:$I$600,Raw_Q!$A$2:$A$600,$A6,Raw_Q!$R$2:$R$600,5)/SUMIFS(Raw_Q!$I$2:$I$600,Raw_Q!$A$2:$A$600,$A6,Raw_Q!$R$2:$R$600,6)-1))*100,""))</f>
        <v/>
      </c>
      <c r="Y6" s="49" t="str">
        <f aca="false">IF($A6="","",IFERROR(SUMIFS(Raw_Q!$L$2:$L$600,Raw_Q!$A$2:$A$600,$A6,Raw_Q!$R$2:$R$600,1)/SUMIFS(Raw_Q!$L$2:$L$600,Raw_Q!$A$2:$A$600,$A6,Raw_Q!$R$2:$R$600,5)-1,""))</f>
        <v/>
      </c>
      <c r="Z6" s="49" t="str">
        <f aca="false">IF($A6="","",IFERROR(SUMIFS(Raw_Q!$J$2:$J$600,Raw_Q!$A$2:$A$600,$A6,Raw_Q!$R$2:$R$600,"&gt;=1",Raw_Q!$R$2:$R$600,"&lt;=4")/E6,""))</f>
        <v/>
      </c>
      <c r="AA6" s="49" t="str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/>
      </c>
      <c r="AB6" s="50" t="str">
        <f aca="false">IF($A6="","",IFERROR((Z6-AA6)*10000,""))</f>
        <v/>
      </c>
      <c r="AC6" s="50" t="str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/>
      </c>
      <c r="AD6" s="51" t="str">
        <f aca="false">IF($A6="","",IFERROR(SUMIFS(Raw_Q!$O$2:$O$600,Raw_Q!$A$2:$A$600,$A6,Raw_Q!$R$2:$R$600,1)/SUMIFS(Raw_Q!$M$2:$M$600,Raw_Q!$A$2:$A$600,$A6,Raw_Q!$R$2:$R$600,1),""))</f>
        <v/>
      </c>
      <c r="AE6" s="48" t="str">
        <f aca="false">IF($A6="","",IFERROR(SUMPRODUCT((Raw_Q!$A$2:$A$600=$A6)*(Raw_Q!$R$2:$R$600&gt;=1)*(Raw_Q!$R$2:$R$600&lt;=4)*Raw_Q!$L$2:$L$600*Raw_Q!$M$2:$M$600),""))</f>
        <v/>
      </c>
      <c r="AF6" s="49" t="str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/>
      </c>
      <c r="AG6" s="49" t="str">
        <f aca="false">IF($A6="","",IFERROR(AVERAGE(AO6:AS6),""))</f>
        <v/>
      </c>
      <c r="AH6" s="49" t="str">
        <f aca="false">IF($A6="","",IFERROR(IF(AD6&lt;=0,"N/M",INDEX(Raw_Est!$B$2:$B$100,MATCH($A6,Raw_Est!$A$2:$A$100,0))/AD6),"N/M"))</f>
        <v/>
      </c>
      <c r="AI6" s="51" t="str">
        <f aca="false">IF($A6="","",IFERROR(SUMIFS(Raw_Q!$L$2:$L$600,Raw_Q!$A$2:$A$600,$A6,Raw_Q!$R$2:$R$600,0),""))</f>
        <v/>
      </c>
      <c r="AJ6" s="66" t="str">
        <f aca="false">IF($A6="","",IFERROR(INDEX(Raw_Q!$B$2:$B$600,MATCH($A6&amp;"|"&amp;0,Raw_Q!$S$2:$S$600,0)),""))</f>
        <v/>
      </c>
      <c r="AK6" s="66" t="str">
        <f aca="false">IF($A6="","",IFERROR(INDEX(Raw_Q!$G$2:$G$600,MATCH($A6&amp;"|"&amp;0,Raw_Q!$S$2:$S$600,0)),""))</f>
        <v/>
      </c>
      <c r="AL6" s="47" t="str">
        <f aca="false">IF($A6="","",IFERROR(INDEX(Raw_Est!$E$2:$E$100,MATCH($A6,Raw_Est!$A$2:$A$100,0)),""))</f>
        <v/>
      </c>
      <c r="AM6" s="67" t="str">
        <f aca="false">IF($A6="","",IFERROR(INDEX(Raw_Price!$D$2:$D$100,MATCH($A6,Raw_Price!$A$2:$A$100,0)),""))</f>
        <v/>
      </c>
      <c r="AN6" s="67" t="str">
        <f aca="false">IF($A6="","",IFERROR(INDEX(Raw_Price!$E$2:$E$100,MATCH($A6,Raw_Price!$A$2:$A$100,0)),""))</f>
        <v/>
      </c>
      <c r="AO6" s="49" t="str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/>
      </c>
      <c r="AP6" s="49" t="str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/>
      </c>
      <c r="AQ6" s="49" t="str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/>
      </c>
      <c r="AR6" s="49" t="str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/>
      </c>
      <c r="AS6" s="49" t="str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/>
      </c>
    </row>
    <row r="7" customFormat="false" ht="15" hidden="false" customHeight="false" outlineLevel="0" collapsed="false">
      <c r="A7" s="16" t="str">
        <f aca="false">IF(Tickers!A7="","",Tickers!A7)</f>
        <v/>
      </c>
      <c r="B7" s="66" t="str">
        <f aca="false">IF($A7="","",IFERROR(INDEX(Tickers!$B$2:$B$100,MATCH($A7,Tickers!$A$2:$A$100,0)),""))</f>
        <v/>
      </c>
      <c r="C7" s="66" t="str">
        <f aca="false">IF($A7="","",IFERROR(INDEX(Tickers!$D$2:$D$100,MATCH($A7,Tickers!$A$2:$A$100,0)),""))</f>
        <v/>
      </c>
      <c r="D7" s="51" t="str">
        <f aca="false">IF($A7="","",IFERROR(INDEX(Raw_Price!$B$2:$B$100,MATCH($A7,Raw_Price!$A$2:$A$100,0)),""))</f>
        <v/>
      </c>
      <c r="E7" s="48" t="str">
        <f aca="false">IF($A7="","",IFERROR(SUMIFS(Raw_Q!$I$2:$I$600,Raw_Q!$A$2:$A$600,$A7,Raw_Q!$R$2:$R$600,"&gt;=1",Raw_Q!$R$2:$R$600,"&lt;=4"),""))</f>
        <v/>
      </c>
      <c r="F7" s="51" t="str">
        <f aca="false">IF($A7="","",IFERROR(SUMIFS(Raw_Q!$L$2:$L$600,Raw_Q!$A$2:$A$600,$A7,Raw_Q!$R$2:$R$600,"&gt;=1",Raw_Q!$R$2:$R$600,"&lt;=4"),""))</f>
        <v/>
      </c>
      <c r="G7" s="51" t="str">
        <f aca="false">IF($A7="","",IFERROR(SUMIFS(Raw_Q!$L$2:$L$600,Raw_Q!$A$2:$A$600,$A7,Raw_Q!$R$2:$R$600,"&gt;=0",Raw_Q!$R$2:$R$600,"&lt;=3"),""))</f>
        <v/>
      </c>
      <c r="H7" s="51" t="str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/>
      </c>
      <c r="I7" s="49" t="str">
        <f aca="false">IF($A7="","",IFERROR(SUMIFS(Raw_Q!$L$2:$L$600,Raw_Q!$A$2:$A$600,$A7,Raw_Q!$R$2:$R$600,"&gt;=1",Raw_Q!$R$2:$R$600,"&lt;=4")/SUMIFS(Raw_Q!$L$2:$L$600,Raw_Q!$A$2:$A$600,$A7,Raw_Q!$R$2:$R$600,"&gt;=5",Raw_Q!$R$2:$R$600,"&lt;=8")-1,""))</f>
        <v/>
      </c>
      <c r="J7" s="52" t="str">
        <f aca="false">IF($A7="","",IFERROR(IF(F7&lt;=0,"N/M",D7/F7),"N/M"))</f>
        <v/>
      </c>
      <c r="K7" s="52" t="str">
        <f aca="false">IF($A7="","",IFERROR(IF(G7&lt;=0,"N/M",D7/G7),"N/M"))</f>
        <v/>
      </c>
      <c r="L7" s="52" t="str">
        <f aca="false">IF($A7="","",IFERROR(IF(H7&lt;=0,"N/M",D7/H7),"N/M"))</f>
        <v/>
      </c>
      <c r="M7" s="49" t="str">
        <f aca="false">IF($A7="","",IFERROR(INDEX(Raw_Est!$C$2:$C$100,MATCH($A7,Raw_Est!$A$2:$A$100,0))/INDEX(Raw_Est!$B$2:$B$100,MATCH($A7,Raw_Est!$A$2:$A$100,0))-1,""))</f>
        <v/>
      </c>
      <c r="N7" s="51" t="str">
        <f aca="false">IF($A7="","",IFERROR(IF(OR(NOT(ISNUMBER(J7)),I7&lt;Config!$B$6),"N/M",J7/(I7*100)),"N/M"))</f>
        <v/>
      </c>
      <c r="O7" s="51" t="str">
        <f aca="false">IF($A7="","",IFERROR(IF(OR(NOT(ISNUMBER(L7)),M7&lt;Config!$B$6),"N/M",L7/(M7*100)),"N/M"))</f>
        <v/>
      </c>
      <c r="P7" s="51" t="str">
        <f aca="false">IF($A7="","",IFERROR(SUMIFS(Raw_Q!$P$2:$P$600,Raw_Q!$A$2:$A$600,$A7,Raw_Q!$R$2:$R$600,"&gt;=1",Raw_Q!$R$2:$R$600,"&lt;=4"),""))</f>
        <v/>
      </c>
      <c r="Q7" s="49" t="str">
        <f aca="false">IF($A7="","",IFERROR(IF(P7=0,"不配息",P7/D7),""))</f>
        <v/>
      </c>
      <c r="R7" s="49" t="str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/>
      </c>
      <c r="S7" s="49" t="str">
        <f aca="false">IF($A7="","",IFERROR(SUMIFS(Raw_Q!$I$2:$I$600,Raw_Q!$A$2:$A$600,$A7,Raw_Q!$R$2:$R$600,1)/SUMIFS(Raw_Q!$I$2:$I$600,Raw_Q!$A$2:$A$600,$A7,Raw_Q!$R$2:$R$600,5)-1,""))</f>
        <v/>
      </c>
      <c r="T7" s="49" t="str">
        <f aca="false">IF($A7="","",IFERROR(SUMIFS(Raw_Q!$I$2:$I$600,Raw_Q!$A$2:$A$600,$A7,Raw_Q!$R$2:$R$600,1)/SUMIFS(Raw_Q!$I$2:$I$600,Raw_Q!$A$2:$A$600,$A7,Raw_Q!$R$2:$R$600,2)-1,""))</f>
        <v/>
      </c>
      <c r="U7" s="49" t="str">
        <f aca="false">IF($A7="","",IFERROR(SUMIFS(Raw_Q!$I$2:$I$600,Raw_Q!$A$2:$A$600,$A7,Raw_Q!$R$2:$R$600,2)/SUMIFS(Raw_Q!$I$2:$I$600,Raw_Q!$A$2:$A$600,$A7,Raw_Q!$R$2:$R$600,3)-1,""))</f>
        <v/>
      </c>
      <c r="V7" s="68" t="str">
        <f aca="false">IF($A7="","",IFERROR((T7-U7)*100,""))</f>
        <v/>
      </c>
      <c r="W7" s="66" t="str">
        <f aca="false">IF($A7="","",IFERROR(IF(NOT(ISNUMBER(T7)),"",IF(T7&gt;0,IF(V7&gt;0,"成長且加速","成長但減速"),IF(V7&gt;0,"衰退但收斂","衰退且惡化"))),""))</f>
        <v/>
      </c>
      <c r="X7" s="68" t="str">
        <f aca="false">IF($A7="","",IFERROR((T7-(SUMIFS(Raw_Q!$I$2:$I$600,Raw_Q!$A$2:$A$600,$A7,Raw_Q!$R$2:$R$600,5)/SUMIFS(Raw_Q!$I$2:$I$600,Raw_Q!$A$2:$A$600,$A7,Raw_Q!$R$2:$R$600,6)-1))*100,""))</f>
        <v/>
      </c>
      <c r="Y7" s="49" t="str">
        <f aca="false">IF($A7="","",IFERROR(SUMIFS(Raw_Q!$L$2:$L$600,Raw_Q!$A$2:$A$600,$A7,Raw_Q!$R$2:$R$600,1)/SUMIFS(Raw_Q!$L$2:$L$600,Raw_Q!$A$2:$A$600,$A7,Raw_Q!$R$2:$R$600,5)-1,""))</f>
        <v/>
      </c>
      <c r="Z7" s="49" t="str">
        <f aca="false">IF($A7="","",IFERROR(SUMIFS(Raw_Q!$J$2:$J$600,Raw_Q!$A$2:$A$600,$A7,Raw_Q!$R$2:$R$600,"&gt;=1",Raw_Q!$R$2:$R$600,"&lt;=4")/E7,""))</f>
        <v/>
      </c>
      <c r="AA7" s="49" t="str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/>
      </c>
      <c r="AB7" s="50" t="str">
        <f aca="false">IF($A7="","",IFERROR((Z7-AA7)*10000,""))</f>
        <v/>
      </c>
      <c r="AC7" s="50" t="str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/>
      </c>
      <c r="AD7" s="51" t="str">
        <f aca="false">IF($A7="","",IFERROR(SUMIFS(Raw_Q!$O$2:$O$600,Raw_Q!$A$2:$A$600,$A7,Raw_Q!$R$2:$R$600,1)/SUMIFS(Raw_Q!$M$2:$M$600,Raw_Q!$A$2:$A$600,$A7,Raw_Q!$R$2:$R$600,1),""))</f>
        <v/>
      </c>
      <c r="AE7" s="48" t="str">
        <f aca="false">IF($A7="","",IFERROR(SUMPRODUCT((Raw_Q!$A$2:$A$600=$A7)*(Raw_Q!$R$2:$R$600&gt;=1)*(Raw_Q!$R$2:$R$600&lt;=4)*Raw_Q!$L$2:$L$600*Raw_Q!$M$2:$M$600),""))</f>
        <v/>
      </c>
      <c r="AF7" s="49" t="str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/>
      </c>
      <c r="AG7" s="49" t="str">
        <f aca="false">IF($A7="","",IFERROR(AVERAGE(AO7:AS7),""))</f>
        <v/>
      </c>
      <c r="AH7" s="49" t="str">
        <f aca="false">IF($A7="","",IFERROR(IF(AD7&lt;=0,"N/M",INDEX(Raw_Est!$B$2:$B$100,MATCH($A7,Raw_Est!$A$2:$A$100,0))/AD7),"N/M"))</f>
        <v/>
      </c>
      <c r="AI7" s="51" t="str">
        <f aca="false">IF($A7="","",IFERROR(SUMIFS(Raw_Q!$L$2:$L$600,Raw_Q!$A$2:$A$600,$A7,Raw_Q!$R$2:$R$600,0),""))</f>
        <v/>
      </c>
      <c r="AJ7" s="66" t="str">
        <f aca="false">IF($A7="","",IFERROR(INDEX(Raw_Q!$B$2:$B$600,MATCH($A7&amp;"|"&amp;0,Raw_Q!$S$2:$S$600,0)),""))</f>
        <v/>
      </c>
      <c r="AK7" s="66" t="str">
        <f aca="false">IF($A7="","",IFERROR(INDEX(Raw_Q!$G$2:$G$600,MATCH($A7&amp;"|"&amp;0,Raw_Q!$S$2:$S$600,0)),""))</f>
        <v/>
      </c>
      <c r="AL7" s="47" t="str">
        <f aca="false">IF($A7="","",IFERROR(INDEX(Raw_Est!$E$2:$E$100,MATCH($A7,Raw_Est!$A$2:$A$100,0)),""))</f>
        <v/>
      </c>
      <c r="AM7" s="67" t="str">
        <f aca="false">IF($A7="","",IFERROR(INDEX(Raw_Price!$D$2:$D$100,MATCH($A7,Raw_Price!$A$2:$A$100,0)),""))</f>
        <v/>
      </c>
      <c r="AN7" s="67" t="str">
        <f aca="false">IF($A7="","",IFERROR(INDEX(Raw_Price!$E$2:$E$100,MATCH($A7,Raw_Price!$A$2:$A$100,0)),""))</f>
        <v/>
      </c>
      <c r="AO7" s="49" t="str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/>
      </c>
      <c r="AP7" s="49" t="str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/>
      </c>
      <c r="AQ7" s="49" t="str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/>
      </c>
      <c r="AR7" s="49" t="str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/>
      </c>
      <c r="AS7" s="49" t="str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/>
      </c>
    </row>
    <row r="8" customFormat="false" ht="15" hidden="false" customHeight="false" outlineLevel="0" collapsed="false">
      <c r="A8" s="16" t="str">
        <f aca="false">IF(Tickers!A8="","",Tickers!A8)</f>
        <v/>
      </c>
      <c r="B8" s="66" t="str">
        <f aca="false">IF($A8="","",IFERROR(INDEX(Tickers!$B$2:$B$100,MATCH($A8,Tickers!$A$2:$A$100,0)),""))</f>
        <v/>
      </c>
      <c r="C8" s="66" t="str">
        <f aca="false">IF($A8="","",IFERROR(INDEX(Tickers!$D$2:$D$100,MATCH($A8,Tickers!$A$2:$A$100,0)),""))</f>
        <v/>
      </c>
      <c r="D8" s="51" t="str">
        <f aca="false">IF($A8="","",IFERROR(INDEX(Raw_Price!$B$2:$B$100,MATCH($A8,Raw_Price!$A$2:$A$100,0)),""))</f>
        <v/>
      </c>
      <c r="E8" s="48" t="str">
        <f aca="false">IF($A8="","",IFERROR(SUMIFS(Raw_Q!$I$2:$I$600,Raw_Q!$A$2:$A$600,$A8,Raw_Q!$R$2:$R$600,"&gt;=1",Raw_Q!$R$2:$R$600,"&lt;=4"),""))</f>
        <v/>
      </c>
      <c r="F8" s="51" t="str">
        <f aca="false">IF($A8="","",IFERROR(SUMIFS(Raw_Q!$L$2:$L$600,Raw_Q!$A$2:$A$600,$A8,Raw_Q!$R$2:$R$600,"&gt;=1",Raw_Q!$R$2:$R$600,"&lt;=4"),""))</f>
        <v/>
      </c>
      <c r="G8" s="51" t="str">
        <f aca="false">IF($A8="","",IFERROR(SUMIFS(Raw_Q!$L$2:$L$600,Raw_Q!$A$2:$A$600,$A8,Raw_Q!$R$2:$R$600,"&gt;=0",Raw_Q!$R$2:$R$600,"&lt;=3"),""))</f>
        <v/>
      </c>
      <c r="H8" s="51" t="str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/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/>
      </c>
      <c r="K8" s="52" t="str">
        <f aca="false">IF($A8="","",IFERROR(IF(G8&lt;=0,"N/M",D8/G8),"N/M"))</f>
        <v/>
      </c>
      <c r="L8" s="52" t="str">
        <f aca="false">IF($A8="","",IFERROR(IF(H8&lt;=0,"N/M",D8/H8),"N/M"))</f>
        <v/>
      </c>
      <c r="M8" s="49" t="str">
        <f aca="false">IF($A8="","",IFERROR(INDEX(Raw_Est!$C$2:$C$100,MATCH($A8,Raw_Est!$A$2:$A$100,0))/INDEX(Raw_Est!$B$2:$B$100,MATCH($A8,Raw_Est!$A$2:$A$100,0))-1,""))</f>
        <v/>
      </c>
      <c r="N8" s="51" t="str">
        <f aca="false">IF($A8="","",IFERROR(IF(OR(NOT(ISNUMBER(J8)),I8&lt;Config!$B$6),"N/M",J8/(I8*100)),"N/M"))</f>
        <v/>
      </c>
      <c r="O8" s="51" t="str">
        <f aca="false">IF($A8="","",IFERROR(IF(OR(NOT(ISNUMBER(L8)),M8&lt;Config!$B$6),"N/M",L8/(M8*100)),"N/M"))</f>
        <v/>
      </c>
      <c r="P8" s="51" t="str">
        <f aca="false">IF($A8="","",IFERROR(SUMIFS(Raw_Q!$P$2:$P$600,Raw_Q!$A$2:$A$600,$A8,Raw_Q!$R$2:$R$600,"&gt;=1",Raw_Q!$R$2:$R$600,"&lt;=4"),""))</f>
        <v/>
      </c>
      <c r="Q8" s="49" t="str">
        <f aca="false">IF($A8="","",IFERROR(IF(P8=0,"不配息",P8/D8),""))</f>
        <v/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66" t="str">
        <f aca="false">IF($A8="","",IFERROR(IF(NOT(ISNUMBER(T8)),"",IF(T8&gt;0,IF(V8&gt;0,"成長且加速","成長但減速"),IF(V8&gt;0,"衰退但收斂","衰退且惡化"))),""))</f>
        <v/>
      </c>
      <c r="X8" s="68" t="str">
        <f aca="false">IF($A8="","",IFERROR((T8-(SUMIFS(Raw_Q!$I$2:$I$600,Raw_Q!$A$2:$A$600,$A8,Raw_Q!$R$2:$R$600,5)/SUMIFS(Raw_Q!$I$2:$I$600,Raw_Q!$A$2:$A$600,$A8,Raw_Q!$R$2:$R$600,6)-1))*100,""))</f>
        <v/>
      </c>
      <c r="Y8" s="49" t="str">
        <f aca="false">IF($A8="","",IFERROR(SUMIFS(Raw_Q!$L$2:$L$600,Raw_Q!$A$2:$A$600,$A8,Raw_Q!$R$2:$R$600,1)/SUMIFS(Raw_Q!$L$2:$L$600,Raw_Q!$A$2:$A$600,$A8,Raw_Q!$R$2:$R$600,5)-1,""))</f>
        <v/>
      </c>
      <c r="Z8" s="49" t="str">
        <f aca="false">IF($A8="","",IFERROR(SUMIFS(Raw_Q!$J$2:$J$600,Raw_Q!$A$2:$A$600,$A8,Raw_Q!$R$2:$R$600,"&gt;=1",Raw_Q!$R$2:$R$600,"&lt;=4")/E8,""))</f>
        <v/>
      </c>
      <c r="AA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B8" s="50" t="str">
        <f aca="false">IF($A8="","",IFERROR((Z8-AA8)*10000,""))</f>
        <v/>
      </c>
      <c r="AC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D8" s="51" t="str">
        <f aca="false">IF($A8="","",IFERROR(SUMIFS(Raw_Q!$O$2:$O$600,Raw_Q!$A$2:$A$600,$A8,Raw_Q!$R$2:$R$600,1)/SUMIFS(Raw_Q!$M$2:$M$600,Raw_Q!$A$2:$A$600,$A8,Raw_Q!$R$2:$R$600,1),""))</f>
        <v/>
      </c>
      <c r="AE8" s="48" t="str">
        <f aca="false">IF($A8="","",IFERROR(SUMPRODUCT((Raw_Q!$A$2:$A$600=$A8)*(Raw_Q!$R$2:$R$600&gt;=1)*(Raw_Q!$R$2:$R$600&lt;=4)*Raw_Q!$L$2:$L$600*Raw_Q!$M$2:$M$600),""))</f>
        <v/>
      </c>
      <c r="AF8" s="49" t="str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/>
      </c>
      <c r="AG8" s="49" t="str">
        <f aca="false">IF($A8="","",IFERROR(AVERAGE(AO8:AS8),""))</f>
        <v/>
      </c>
      <c r="AH8" s="49" t="str">
        <f aca="false">IF($A8="","",IFERROR(IF(AD8&lt;=0,"N/M",INDEX(Raw_Est!$B$2:$B$100,MATCH($A8,Raw_Est!$A$2:$A$100,0))/AD8),"N/M"))</f>
        <v/>
      </c>
      <c r="AI8" s="51" t="str">
        <f aca="false">IF($A8="","",IFERROR(SUMIFS(Raw_Q!$L$2:$L$600,Raw_Q!$A$2:$A$600,$A8,Raw_Q!$R$2:$R$600,0),""))</f>
        <v/>
      </c>
      <c r="AJ8" s="66" t="str">
        <f aca="false">IF($A8="","",IFERROR(INDEX(Raw_Q!$B$2:$B$600,MATCH($A8&amp;"|"&amp;0,Raw_Q!$S$2:$S$600,0)),""))</f>
        <v/>
      </c>
      <c r="AK8" s="66" t="str">
        <f aca="false">IF($A8="","",IFERROR(INDEX(Raw_Q!$G$2:$G$600,MATCH($A8&amp;"|"&amp;0,Raw_Q!$S$2:$S$600,0)),""))</f>
        <v/>
      </c>
      <c r="AL8" s="47" t="str">
        <f aca="false">IF($A8="","",IFERROR(INDEX(Raw_Est!$E$2:$E$100,MATCH($A8,Raw_Est!$A$2:$A$100,0)),""))</f>
        <v/>
      </c>
      <c r="AM8" s="67" t="str">
        <f aca="false">IF($A8="","",IFERROR(INDEX(Raw_Price!$D$2:$D$100,MATCH($A8,Raw_Price!$A$2:$A$100,0)),""))</f>
        <v/>
      </c>
      <c r="AN8" s="67" t="str">
        <f aca="false">IF($A8="","",IFERROR(INDEX(Raw_Price!$E$2:$E$100,MATCH($A8,Raw_Price!$A$2:$A$100,0)),""))</f>
        <v/>
      </c>
      <c r="AO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P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Q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R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S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6" t="str">
        <f aca="false">IF(Tickers!A9="","",Tickers!A9)</f>
        <v/>
      </c>
      <c r="B9" s="66" t="str">
        <f aca="false">IF($A9="","",IFERROR(INDEX(Tickers!$B$2:$B$100,MATCH($A9,Tickers!$A$2:$A$100,0)),""))</f>
        <v/>
      </c>
      <c r="C9" s="66" t="str">
        <f aca="false">IF($A9="","",IFERROR(INDEX(Tickers!$D$2:$D$100,MATCH($A9,Tickers!$A$2:$A$100,0)),""))</f>
        <v/>
      </c>
      <c r="D9" s="51" t="str">
        <f aca="false">IF($A9="","",IFERROR(INDEX(Raw_Price!$B$2:$B$100,MATCH($A9,Raw_Price!$A$2:$A$100,0)),""))</f>
        <v/>
      </c>
      <c r="E9" s="48" t="str">
        <f aca="false">IF($A9="","",IFERROR(SUMIFS(Raw_Q!$I$2:$I$600,Raw_Q!$A$2:$A$600,$A9,Raw_Q!$R$2:$R$600,"&gt;=1",Raw_Q!$R$2:$R$600,"&lt;=4"),""))</f>
        <v/>
      </c>
      <c r="F9" s="51" t="str">
        <f aca="false">IF($A9="","",IFERROR(SUMIFS(Raw_Q!$L$2:$L$600,Raw_Q!$A$2:$A$600,$A9,Raw_Q!$R$2:$R$600,"&gt;=1",Raw_Q!$R$2:$R$600,"&lt;=4"),""))</f>
        <v/>
      </c>
      <c r="G9" s="51" t="str">
        <f aca="false">IF($A9="","",IFERROR(SUMIFS(Raw_Q!$L$2:$L$600,Raw_Q!$A$2:$A$600,$A9,Raw_Q!$R$2:$R$600,"&gt;=0",Raw_Q!$R$2:$R$600,"&lt;=3"),""))</f>
        <v/>
      </c>
      <c r="H9" s="51" t="str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/>
      </c>
      <c r="I9" s="49" t="str">
        <f aca="false">IF($A9="","",IFERROR(SUMIFS(Raw_Q!$L$2:$L$600,Raw_Q!$A$2:$A$600,$A9,Raw_Q!$R$2:$R$600,"&gt;=1",Raw_Q!$R$2:$R$600,"&lt;=4")/SUMIFS(Raw_Q!$L$2:$L$600,Raw_Q!$A$2:$A$600,$A9,Raw_Q!$R$2:$R$600,"&gt;=5",Raw_Q!$R$2:$R$600,"&lt;=8")-1,""))</f>
        <v/>
      </c>
      <c r="J9" s="52" t="str">
        <f aca="false">IF($A9="","",IFERROR(IF(F9&lt;=0,"N/M",D9/F9),"N/M"))</f>
        <v/>
      </c>
      <c r="K9" s="52" t="str">
        <f aca="false">IF($A9="","",IFERROR(IF(G9&lt;=0,"N/M",D9/G9),"N/M"))</f>
        <v/>
      </c>
      <c r="L9" s="52" t="str">
        <f aca="false">IF($A9="","",IFERROR(IF(H9&lt;=0,"N/M",D9/H9),"N/M"))</f>
        <v/>
      </c>
      <c r="M9" s="49" t="str">
        <f aca="false">IF($A9="","",IFERROR(INDEX(Raw_Est!$C$2:$C$100,MATCH($A9,Raw_Est!$A$2:$A$100,0))/INDEX(Raw_Est!$B$2:$B$100,MATCH($A9,Raw_Est!$A$2:$A$100,0))-1,""))</f>
        <v/>
      </c>
      <c r="N9" s="51" t="str">
        <f aca="false">IF($A9="","",IFERROR(IF(OR(NOT(ISNUMBER(J9)),I9&lt;Config!$B$6),"N/M",J9/(I9*100)),"N/M"))</f>
        <v/>
      </c>
      <c r="O9" s="51" t="str">
        <f aca="false">IF($A9="","",IFERROR(IF(OR(NOT(ISNUMBER(L9)),M9&lt;Config!$B$6),"N/M",L9/(M9*100)),"N/M"))</f>
        <v/>
      </c>
      <c r="P9" s="51" t="str">
        <f aca="false">IF($A9="","",IFERROR(SUMIFS(Raw_Q!$P$2:$P$600,Raw_Q!$A$2:$A$600,$A9,Raw_Q!$R$2:$R$600,"&gt;=1",Raw_Q!$R$2:$R$600,"&lt;=4"),""))</f>
        <v/>
      </c>
      <c r="Q9" s="49" t="str">
        <f aca="false">IF($A9="","",IFERROR(IF(P9=0,"不配息",P9/D9),""))</f>
        <v/>
      </c>
      <c r="R9" s="49" t="str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/>
      </c>
      <c r="S9" s="49" t="str">
        <f aca="false">IF($A9="","",IFERROR(SUMIFS(Raw_Q!$I$2:$I$600,Raw_Q!$A$2:$A$600,$A9,Raw_Q!$R$2:$R$600,1)/SUMIFS(Raw_Q!$I$2:$I$600,Raw_Q!$A$2:$A$600,$A9,Raw_Q!$R$2:$R$600,5)-1,""))</f>
        <v/>
      </c>
      <c r="T9" s="49" t="str">
        <f aca="false">IF($A9="","",IFERROR(SUMIFS(Raw_Q!$I$2:$I$600,Raw_Q!$A$2:$A$600,$A9,Raw_Q!$R$2:$R$600,1)/SUMIFS(Raw_Q!$I$2:$I$600,Raw_Q!$A$2:$A$600,$A9,Raw_Q!$R$2:$R$600,2)-1,""))</f>
        <v/>
      </c>
      <c r="U9" s="49" t="str">
        <f aca="false">IF($A9="","",IFERROR(SUMIFS(Raw_Q!$I$2:$I$600,Raw_Q!$A$2:$A$600,$A9,Raw_Q!$R$2:$R$600,2)/SUMIFS(Raw_Q!$I$2:$I$600,Raw_Q!$A$2:$A$600,$A9,Raw_Q!$R$2:$R$600,3)-1,""))</f>
        <v/>
      </c>
      <c r="V9" s="68" t="str">
        <f aca="false">IF($A9="","",IFERROR((T9-U9)*100,""))</f>
        <v/>
      </c>
      <c r="W9" s="66" t="str">
        <f aca="false">IF($A9="","",IFERROR(IF(NOT(ISNUMBER(T9)),"",IF(T9&gt;0,IF(V9&gt;0,"成長且加速","成長但減速"),IF(V9&gt;0,"衰退但收斂","衰退且惡化"))),""))</f>
        <v/>
      </c>
      <c r="X9" s="68" t="str">
        <f aca="false">IF($A9="","",IFERROR((T9-(SUMIFS(Raw_Q!$I$2:$I$600,Raw_Q!$A$2:$A$600,$A9,Raw_Q!$R$2:$R$600,5)/SUMIFS(Raw_Q!$I$2:$I$600,Raw_Q!$A$2:$A$600,$A9,Raw_Q!$R$2:$R$600,6)-1))*100,""))</f>
        <v/>
      </c>
      <c r="Y9" s="49" t="str">
        <f aca="false">IF($A9="","",IFERROR(SUMIFS(Raw_Q!$L$2:$L$600,Raw_Q!$A$2:$A$600,$A9,Raw_Q!$R$2:$R$600,1)/SUMIFS(Raw_Q!$L$2:$L$600,Raw_Q!$A$2:$A$600,$A9,Raw_Q!$R$2:$R$600,5)-1,""))</f>
        <v/>
      </c>
      <c r="Z9" s="49" t="str">
        <f aca="false">IF($A9="","",IFERROR(SUMIFS(Raw_Q!$J$2:$J$600,Raw_Q!$A$2:$A$600,$A9,Raw_Q!$R$2:$R$600,"&gt;=1",Raw_Q!$R$2:$R$600,"&lt;=4")/E9,""))</f>
        <v/>
      </c>
      <c r="AA9" s="49" t="str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/>
      </c>
      <c r="AB9" s="50" t="str">
        <f aca="false">IF($A9="","",IFERROR((Z9-AA9)*10000,""))</f>
        <v/>
      </c>
      <c r="AC9" s="50" t="str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/>
      </c>
      <c r="AD9" s="51" t="str">
        <f aca="false">IF($A9="","",IFERROR(SUMIFS(Raw_Q!$O$2:$O$600,Raw_Q!$A$2:$A$600,$A9,Raw_Q!$R$2:$R$600,1)/SUMIFS(Raw_Q!$M$2:$M$600,Raw_Q!$A$2:$A$600,$A9,Raw_Q!$R$2:$R$600,1),""))</f>
        <v/>
      </c>
      <c r="AE9" s="48" t="str">
        <f aca="false">IF($A9="","",IFERROR(SUMPRODUCT((Raw_Q!$A$2:$A$600=$A9)*(Raw_Q!$R$2:$R$600&gt;=1)*(Raw_Q!$R$2:$R$600&lt;=4)*Raw_Q!$L$2:$L$600*Raw_Q!$M$2:$M$600),""))</f>
        <v/>
      </c>
      <c r="AF9" s="49" t="str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/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/>
      </c>
      <c r="AI9" s="51" t="str">
        <f aca="false">IF($A9="","",IFERROR(SUMIFS(Raw_Q!$L$2:$L$600,Raw_Q!$A$2:$A$600,$A9,Raw_Q!$R$2:$R$600,0),""))</f>
        <v/>
      </c>
      <c r="AJ9" s="66" t="str">
        <f aca="false">IF($A9="","",IFERROR(INDEX(Raw_Q!$B$2:$B$600,MATCH($A9&amp;"|"&amp;0,Raw_Q!$S$2:$S$600,0)),""))</f>
        <v/>
      </c>
      <c r="AK9" s="66" t="str">
        <f aca="false">IF($A9="","",IFERROR(INDEX(Raw_Q!$G$2:$G$600,MATCH($A9&amp;"|"&amp;0,Raw_Q!$S$2:$S$600,0)),""))</f>
        <v/>
      </c>
      <c r="AL9" s="47" t="str">
        <f aca="false">IF($A9="","",IFERROR(INDEX(Raw_Est!$E$2:$E$100,MATCH($A9,Raw_Est!$A$2:$A$100,0)),""))</f>
        <v/>
      </c>
      <c r="AM9" s="67" t="str">
        <f aca="false">IF($A9="","",IFERROR(INDEX(Raw_Price!$D$2:$D$100,MATCH($A9,Raw_Price!$A$2:$A$100,0)),""))</f>
        <v/>
      </c>
      <c r="AN9" s="67" t="str">
        <f aca="false">IF($A9="","",IFERROR(INDEX(Raw_Price!$E$2:$E$100,MATCH($A9,Raw_Price!$A$2:$A$100,0)),""))</f>
        <v/>
      </c>
      <c r="AO9" s="49" t="str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/>
      </c>
      <c r="AP9" s="49" t="str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/>
      </c>
      <c r="AQ9" s="49" t="str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/>
      </c>
      <c r="AR9" s="49" t="str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/>
      </c>
      <c r="AS9" s="49" t="str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/>
      </c>
    </row>
    <row r="10" customFormat="false" ht="15" hidden="false" customHeight="false" outlineLevel="0" collapsed="false">
      <c r="A10" s="16" t="str">
        <f aca="false">IF(Tickers!A10="","",Tickers!A10)</f>
        <v/>
      </c>
      <c r="B10" s="66" t="str">
        <f aca="false">IF($A10="","",IFERROR(INDEX(Tickers!$B$2:$B$100,MATCH($A10,Tickers!$A$2:$A$100,0)),""))</f>
        <v/>
      </c>
      <c r="C10" s="66" t="str">
        <f aca="false">IF($A10="","",IFERROR(INDEX(Tickers!$D$2:$D$100,MATCH($A10,Tickers!$A$2:$A$100,0)),""))</f>
        <v/>
      </c>
      <c r="D10" s="51" t="str">
        <f aca="false">IF($A10="","",IFERROR(INDEX(Raw_Price!$B$2:$B$100,MATCH($A10,Raw_Price!$A$2:$A$100,0)),""))</f>
        <v/>
      </c>
      <c r="E10" s="48" t="str">
        <f aca="false">IF($A10="","",IFERROR(SUMIFS(Raw_Q!$I$2:$I$600,Raw_Q!$A$2:$A$600,$A10,Raw_Q!$R$2:$R$600,"&gt;=1",Raw_Q!$R$2:$R$600,"&lt;=4"),""))</f>
        <v/>
      </c>
      <c r="F10" s="51" t="str">
        <f aca="false">IF($A10="","",IFERROR(SUMIFS(Raw_Q!$L$2:$L$600,Raw_Q!$A$2:$A$600,$A10,Raw_Q!$R$2:$R$600,"&gt;=1",Raw_Q!$R$2:$R$600,"&lt;=4"),""))</f>
        <v/>
      </c>
      <c r="G10" s="51" t="str">
        <f aca="false">IF($A10="","",IFERROR(SUMIFS(Raw_Q!$L$2:$L$600,Raw_Q!$A$2:$A$600,$A10,Raw_Q!$R$2:$R$600,"&gt;=0",Raw_Q!$R$2:$R$600,"&lt;=3"),""))</f>
        <v/>
      </c>
      <c r="H10" s="51" t="str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/>
      </c>
      <c r="I10" s="49" t="str">
        <f aca="false">IF($A10="","",IFERROR(SUMIFS(Raw_Q!$L$2:$L$600,Raw_Q!$A$2:$A$600,$A10,Raw_Q!$R$2:$R$600,"&gt;=1",Raw_Q!$R$2:$R$600,"&lt;=4")/SUMIFS(Raw_Q!$L$2:$L$600,Raw_Q!$A$2:$A$600,$A10,Raw_Q!$R$2:$R$600,"&gt;=5",Raw_Q!$R$2:$R$600,"&lt;=8")-1,""))</f>
        <v/>
      </c>
      <c r="J10" s="52" t="str">
        <f aca="false">IF($A10="","",IFERROR(IF(F10&lt;=0,"N/M",D10/F10),"N/M"))</f>
        <v/>
      </c>
      <c r="K10" s="52" t="str">
        <f aca="false">IF($A10="","",IFERROR(IF(G10&lt;=0,"N/M",D10/G10),"N/M"))</f>
        <v/>
      </c>
      <c r="L10" s="52" t="str">
        <f aca="false">IF($A10="","",IFERROR(IF(H10&lt;=0,"N/M",D10/H10),"N/M"))</f>
        <v/>
      </c>
      <c r="M10" s="49" t="str">
        <f aca="false">IF($A10="","",IFERROR(INDEX(Raw_Est!$C$2:$C$100,MATCH($A10,Raw_Est!$A$2:$A$100,0))/INDEX(Raw_Est!$B$2:$B$100,MATCH($A10,Raw_Est!$A$2:$A$100,0))-1,""))</f>
        <v/>
      </c>
      <c r="N10" s="51" t="str">
        <f aca="false">IF($A10="","",IFERROR(IF(OR(NOT(ISNUMBER(J10)),I10&lt;Config!$B$6),"N/M",J10/(I10*100)),"N/M"))</f>
        <v/>
      </c>
      <c r="O10" s="51" t="str">
        <f aca="false">IF($A10="","",IFERROR(IF(OR(NOT(ISNUMBER(L10)),M10&lt;Config!$B$6),"N/M",L10/(M10*100)),"N/M"))</f>
        <v/>
      </c>
      <c r="P10" s="51" t="str">
        <f aca="false">IF($A10="","",IFERROR(SUMIFS(Raw_Q!$P$2:$P$600,Raw_Q!$A$2:$A$600,$A10,Raw_Q!$R$2:$R$600,"&gt;=1",Raw_Q!$R$2:$R$600,"&lt;=4"),""))</f>
        <v/>
      </c>
      <c r="Q10" s="49" t="str">
        <f aca="false">IF($A10="","",IFERROR(IF(P10=0,"不配息",P10/D10),""))</f>
        <v/>
      </c>
      <c r="R10" s="49" t="str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/>
      </c>
      <c r="S10" s="49" t="str">
        <f aca="false">IF($A10="","",IFERROR(SUMIFS(Raw_Q!$I$2:$I$600,Raw_Q!$A$2:$A$600,$A10,Raw_Q!$R$2:$R$600,1)/SUMIFS(Raw_Q!$I$2:$I$600,Raw_Q!$A$2:$A$600,$A10,Raw_Q!$R$2:$R$600,5)-1,""))</f>
        <v/>
      </c>
      <c r="T10" s="49" t="str">
        <f aca="false">IF($A10="","",IFERROR(SUMIFS(Raw_Q!$I$2:$I$600,Raw_Q!$A$2:$A$600,$A10,Raw_Q!$R$2:$R$600,1)/SUMIFS(Raw_Q!$I$2:$I$600,Raw_Q!$A$2:$A$600,$A10,Raw_Q!$R$2:$R$600,2)-1,""))</f>
        <v/>
      </c>
      <c r="U10" s="49" t="str">
        <f aca="false">IF($A10="","",IFERROR(SUMIFS(Raw_Q!$I$2:$I$600,Raw_Q!$A$2:$A$600,$A10,Raw_Q!$R$2:$R$600,2)/SUMIFS(Raw_Q!$I$2:$I$600,Raw_Q!$A$2:$A$600,$A10,Raw_Q!$R$2:$R$600,3)-1,""))</f>
        <v/>
      </c>
      <c r="V10" s="68" t="str">
        <f aca="false">IF($A10="","",IFERROR((T10-U10)*100,""))</f>
        <v/>
      </c>
      <c r="W10" s="66" t="str">
        <f aca="false">IF($A10="","",IFERROR(IF(NOT(ISNUMBER(T10)),"",IF(T10&gt;0,IF(V10&gt;0,"成長且加速","成長但減速"),IF(V10&gt;0,"衰退但收斂","衰退且惡化"))),""))</f>
        <v/>
      </c>
      <c r="X10" s="68" t="str">
        <f aca="false">IF($A10="","",IFERROR((T10-(SUMIFS(Raw_Q!$I$2:$I$600,Raw_Q!$A$2:$A$600,$A10,Raw_Q!$R$2:$R$600,5)/SUMIFS(Raw_Q!$I$2:$I$600,Raw_Q!$A$2:$A$600,$A10,Raw_Q!$R$2:$R$600,6)-1))*100,""))</f>
        <v/>
      </c>
      <c r="Y10" s="49" t="str">
        <f aca="false">IF($A10="","",IFERROR(SUMIFS(Raw_Q!$L$2:$L$600,Raw_Q!$A$2:$A$600,$A10,Raw_Q!$R$2:$R$600,1)/SUMIFS(Raw_Q!$L$2:$L$600,Raw_Q!$A$2:$A$600,$A10,Raw_Q!$R$2:$R$600,5)-1,""))</f>
        <v/>
      </c>
      <c r="Z10" s="49" t="str">
        <f aca="false">IF($A10="","",IFERROR(SUMIFS(Raw_Q!$J$2:$J$600,Raw_Q!$A$2:$A$600,$A10,Raw_Q!$R$2:$R$600,"&gt;=1",Raw_Q!$R$2:$R$600,"&lt;=4")/E10,""))</f>
        <v/>
      </c>
      <c r="AA10" s="49" t="str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/>
      </c>
      <c r="AB10" s="50" t="str">
        <f aca="false">IF($A10="","",IFERROR((Z10-AA10)*10000,""))</f>
        <v/>
      </c>
      <c r="AC10" s="50" t="str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/>
      </c>
      <c r="AD10" s="51" t="str">
        <f aca="false">IF($A10="","",IFERROR(SUMIFS(Raw_Q!$O$2:$O$600,Raw_Q!$A$2:$A$600,$A10,Raw_Q!$R$2:$R$600,1)/SUMIFS(Raw_Q!$M$2:$M$600,Raw_Q!$A$2:$A$600,$A10,Raw_Q!$R$2:$R$600,1),""))</f>
        <v/>
      </c>
      <c r="AE10" s="48" t="str">
        <f aca="false">IF($A10="","",IFERROR(SUMPRODUCT((Raw_Q!$A$2:$A$600=$A10)*(Raw_Q!$R$2:$R$600&gt;=1)*(Raw_Q!$R$2:$R$600&lt;=4)*Raw_Q!$L$2:$L$600*Raw_Q!$M$2:$M$600),""))</f>
        <v/>
      </c>
      <c r="AF10" s="49" t="str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/>
      </c>
      <c r="AG10" s="49" t="str">
        <f aca="false">IF($A10="","",IFERROR(AVERAGE(AO10:AS10),""))</f>
        <v/>
      </c>
      <c r="AH10" s="49" t="str">
        <f aca="false">IF($A10="","",IFERROR(IF(AD10&lt;=0,"N/M",INDEX(Raw_Est!$B$2:$B$100,MATCH($A10,Raw_Est!$A$2:$A$100,0))/AD10),"N/M"))</f>
        <v/>
      </c>
      <c r="AI10" s="51" t="str">
        <f aca="false">IF($A10="","",IFERROR(SUMIFS(Raw_Q!$L$2:$L$600,Raw_Q!$A$2:$A$600,$A10,Raw_Q!$R$2:$R$600,0),""))</f>
        <v/>
      </c>
      <c r="AJ10" s="66" t="str">
        <f aca="false">IF($A10="","",IFERROR(INDEX(Raw_Q!$B$2:$B$600,MATCH($A10&amp;"|"&amp;0,Raw_Q!$S$2:$S$600,0)),""))</f>
        <v/>
      </c>
      <c r="AK10" s="66" t="str">
        <f aca="false">IF($A10="","",IFERROR(INDEX(Raw_Q!$G$2:$G$600,MATCH($A10&amp;"|"&amp;0,Raw_Q!$S$2:$S$600,0)),""))</f>
        <v/>
      </c>
      <c r="AL10" s="47" t="str">
        <f aca="false">IF($A10="","",IFERROR(INDEX(Raw_Est!$E$2:$E$100,MATCH($A10,Raw_Est!$A$2:$A$100,0)),""))</f>
        <v/>
      </c>
      <c r="AM10" s="67" t="str">
        <f aca="false">IF($A10="","",IFERROR(INDEX(Raw_Price!$D$2:$D$100,MATCH($A10,Raw_Price!$A$2:$A$100,0)),""))</f>
        <v/>
      </c>
      <c r="AN10" s="67" t="str">
        <f aca="false">IF($A10="","",IFERROR(INDEX(Raw_Price!$E$2:$E$100,MATCH($A10,Raw_Price!$A$2:$A$100,0)),""))</f>
        <v/>
      </c>
      <c r="AO10" s="49" t="str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/>
      </c>
      <c r="AP10" s="49" t="str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/>
      </c>
      <c r="AQ10" s="49" t="str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/>
      </c>
      <c r="AR10" s="49" t="str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/>
      </c>
      <c r="AS10" s="49" t="str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/>
      </c>
    </row>
    <row r="11" customFormat="false" ht="15" hidden="false" customHeight="false" outlineLevel="0" collapsed="false">
      <c r="A11" s="16" t="str">
        <f aca="false">IF(Tickers!A11="","",Tickers!A11)</f>
        <v/>
      </c>
      <c r="B11" s="66" t="str">
        <f aca="false">IF($A11="","",IFERROR(INDEX(Tickers!$B$2:$B$100,MATCH($A11,Tickers!$A$2:$A$100,0)),""))</f>
        <v/>
      </c>
      <c r="C11" s="66" t="str">
        <f aca="false">IF($A11="","",IFERROR(INDEX(Tickers!$D$2:$D$100,MATCH($A11,Tickers!$A$2:$A$100,0)),""))</f>
        <v/>
      </c>
      <c r="D11" s="51" t="str">
        <f aca="false">IF($A11="","",IFERROR(INDEX(Raw_Price!$B$2:$B$100,MATCH($A11,Raw_Price!$A$2:$A$100,0)),""))</f>
        <v/>
      </c>
      <c r="E11" s="48" t="str">
        <f aca="false">IF($A11="","",IFERROR(SUMIFS(Raw_Q!$I$2:$I$600,Raw_Q!$A$2:$A$600,$A11,Raw_Q!$R$2:$R$600,"&gt;=1",Raw_Q!$R$2:$R$600,"&lt;=4"),""))</f>
        <v/>
      </c>
      <c r="F11" s="51" t="str">
        <f aca="false">IF($A11="","",IFERROR(SUMIFS(Raw_Q!$L$2:$L$600,Raw_Q!$A$2:$A$600,$A11,Raw_Q!$R$2:$R$600,"&gt;=1",Raw_Q!$R$2:$R$600,"&lt;=4"),""))</f>
        <v/>
      </c>
      <c r="G11" s="51" t="str">
        <f aca="false">IF($A11="","",IFERROR(SUMIFS(Raw_Q!$L$2:$L$600,Raw_Q!$A$2:$A$600,$A11,Raw_Q!$R$2:$R$600,"&gt;=0",Raw_Q!$R$2:$R$600,"&lt;=3"),""))</f>
        <v/>
      </c>
      <c r="H11" s="51" t="str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 t="str">
        <f aca="false">IF($A11="","",IFERROR(SUMIFS(Raw_Q!$L$2:$L$600,Raw_Q!$A$2:$A$600,$A11,Raw_Q!$R$2:$R$600,"&gt;=1",Raw_Q!$R$2:$R$600,"&lt;=4")/SUMIFS(Raw_Q!$L$2:$L$600,Raw_Q!$A$2:$A$600,$A11,Raw_Q!$R$2:$R$600,"&gt;=5",Raw_Q!$R$2:$R$600,"&lt;=8")-1,""))</f>
        <v/>
      </c>
      <c r="J11" s="52" t="str">
        <f aca="false">IF($A11="","",IFERROR(IF(F11&lt;=0,"N/M",D11/F11),"N/M"))</f>
        <v/>
      </c>
      <c r="K11" s="52" t="str">
        <f aca="false">IF($A11="","",IFERROR(IF(G11&lt;=0,"N/M",D11/G11),"N/M"))</f>
        <v/>
      </c>
      <c r="L11" s="52" t="str">
        <f aca="false">IF($A11="","",IFERROR(IF(H11&lt;=0,"N/M",D11/H11),"N/M"))</f>
        <v/>
      </c>
      <c r="M11" s="49" t="str">
        <f aca="false">IF($A11="","",IFERROR(INDEX(Raw_Est!$C$2:$C$100,MATCH($A11,Raw_Est!$A$2:$A$100,0))/INDEX(Raw_Est!$B$2:$B$100,MATCH($A11,Raw_Est!$A$2:$A$100,0))-1,""))</f>
        <v/>
      </c>
      <c r="N11" s="51" t="str">
        <f aca="false">IF($A11="","",IFERROR(IF(OR(NOT(ISNUMBER(J11)),I11&lt;Config!$B$6),"N/M",J11/(I11*100)),"N/M"))</f>
        <v/>
      </c>
      <c r="O11" s="51" t="str">
        <f aca="false">IF($A11="","",IFERROR(IF(OR(NOT(ISNUMBER(L11)),M11&lt;Config!$B$6),"N/M",L11/(M11*100)),"N/M"))</f>
        <v/>
      </c>
      <c r="P11" s="51" t="str">
        <f aca="false">IF($A11="","",IFERROR(SUMIFS(Raw_Q!$P$2:$P$600,Raw_Q!$A$2:$A$600,$A11,Raw_Q!$R$2:$R$600,"&gt;=1",Raw_Q!$R$2:$R$600,"&lt;=4"),""))</f>
        <v/>
      </c>
      <c r="Q11" s="49" t="str">
        <f aca="false">IF($A11="","",IFERROR(IF(P11=0,"不配息",P11/D11),""))</f>
        <v/>
      </c>
      <c r="R11" s="49" t="str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/>
      </c>
      <c r="S11" s="49" t="str">
        <f aca="false">IF($A11="","",IFERROR(SUMIFS(Raw_Q!$I$2:$I$600,Raw_Q!$A$2:$A$600,$A11,Raw_Q!$R$2:$R$600,1)/SUMIFS(Raw_Q!$I$2:$I$600,Raw_Q!$A$2:$A$600,$A11,Raw_Q!$R$2:$R$600,5)-1,""))</f>
        <v/>
      </c>
      <c r="T11" s="49" t="str">
        <f aca="false">IF($A11="","",IFERROR(SUMIFS(Raw_Q!$I$2:$I$600,Raw_Q!$A$2:$A$600,$A11,Raw_Q!$R$2:$R$600,1)/SUMIFS(Raw_Q!$I$2:$I$600,Raw_Q!$A$2:$A$600,$A11,Raw_Q!$R$2:$R$600,2)-1,""))</f>
        <v/>
      </c>
      <c r="U11" s="49" t="str">
        <f aca="false">IF($A11="","",IFERROR(SUMIFS(Raw_Q!$I$2:$I$600,Raw_Q!$A$2:$A$600,$A11,Raw_Q!$R$2:$R$600,2)/SUMIFS(Raw_Q!$I$2:$I$600,Raw_Q!$A$2:$A$600,$A11,Raw_Q!$R$2:$R$600,3)-1,""))</f>
        <v/>
      </c>
      <c r="V11" s="68" t="str">
        <f aca="false">IF($A11="","",IFERROR((T11-U11)*100,""))</f>
        <v/>
      </c>
      <c r="W11" s="66" t="str">
        <f aca="false">IF($A11="","",IFERROR(IF(NOT(ISNUMBER(T11)),"",IF(T11&gt;0,IF(V11&gt;0,"成長且加速","成長但減速"),IF(V11&gt;0,"衰退但收斂","衰退且惡化"))),""))</f>
        <v/>
      </c>
      <c r="X11" s="68" t="str">
        <f aca="false">IF($A11="","",IFERROR((T11-(SUMIFS(Raw_Q!$I$2:$I$600,Raw_Q!$A$2:$A$600,$A11,Raw_Q!$R$2:$R$600,5)/SUMIFS(Raw_Q!$I$2:$I$600,Raw_Q!$A$2:$A$600,$A11,Raw_Q!$R$2:$R$600,6)-1))*100,""))</f>
        <v/>
      </c>
      <c r="Y11" s="49" t="str">
        <f aca="false">IF($A11="","",IFERROR(SUMIFS(Raw_Q!$L$2:$L$600,Raw_Q!$A$2:$A$600,$A11,Raw_Q!$R$2:$R$600,1)/SUMIFS(Raw_Q!$L$2:$L$600,Raw_Q!$A$2:$A$600,$A11,Raw_Q!$R$2:$R$600,5)-1,""))</f>
        <v/>
      </c>
      <c r="Z11" s="49" t="str">
        <f aca="false">IF($A11="","",IFERROR(SUMIFS(Raw_Q!$J$2:$J$600,Raw_Q!$A$2:$A$600,$A11,Raw_Q!$R$2:$R$600,"&gt;=1",Raw_Q!$R$2:$R$600,"&lt;=4")/E11,""))</f>
        <v/>
      </c>
      <c r="AA11" s="49" t="str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/>
      </c>
      <c r="AB11" s="50" t="str">
        <f aca="false">IF($A11="","",IFERROR((Z11-AA11)*10000,""))</f>
        <v/>
      </c>
      <c r="AC11" s="50" t="str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/>
      </c>
      <c r="AD11" s="51" t="str">
        <f aca="false">IF($A11="","",IFERROR(SUMIFS(Raw_Q!$O$2:$O$600,Raw_Q!$A$2:$A$600,$A11,Raw_Q!$R$2:$R$600,1)/SUMIFS(Raw_Q!$M$2:$M$600,Raw_Q!$A$2:$A$600,$A11,Raw_Q!$R$2:$R$600,1),""))</f>
        <v/>
      </c>
      <c r="AE11" s="48" t="str">
        <f aca="false">IF($A11="","",IFERROR(SUMPRODUCT((Raw_Q!$A$2:$A$600=$A11)*(Raw_Q!$R$2:$R$600&gt;=1)*(Raw_Q!$R$2:$R$600&lt;=4)*Raw_Q!$L$2:$L$600*Raw_Q!$M$2:$M$600),""))</f>
        <v/>
      </c>
      <c r="AF11" s="49" t="str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/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/>
      </c>
      <c r="AI11" s="51" t="str">
        <f aca="false">IF($A11="","",IFERROR(SUMIFS(Raw_Q!$L$2:$L$600,Raw_Q!$A$2:$A$600,$A11,Raw_Q!$R$2:$R$600,0),""))</f>
        <v/>
      </c>
      <c r="AJ11" s="66" t="str">
        <f aca="false">IF($A11="","",IFERROR(INDEX(Raw_Q!$B$2:$B$600,MATCH($A11&amp;"|"&amp;0,Raw_Q!$S$2:$S$600,0)),""))</f>
        <v/>
      </c>
      <c r="AK11" s="66" t="str">
        <f aca="false">IF($A11="","",IFERROR(INDEX(Raw_Q!$G$2:$G$600,MATCH($A11&amp;"|"&amp;0,Raw_Q!$S$2:$S$600,0)),""))</f>
        <v/>
      </c>
      <c r="AL11" s="47" t="str">
        <f aca="false">IF($A11="","",IFERROR(INDEX(Raw_Est!$E$2:$E$100,MATCH($A11,Raw_Est!$A$2:$A$100,0)),""))</f>
        <v/>
      </c>
      <c r="AM11" s="67" t="str">
        <f aca="false">IF($A11="","",IFERROR(INDEX(Raw_Price!$D$2:$D$100,MATCH($A11,Raw_Price!$A$2:$A$100,0)),""))</f>
        <v/>
      </c>
      <c r="AN11" s="67" t="str">
        <f aca="false">IF($A11="","",IFERROR(INDEX(Raw_Price!$E$2:$E$100,MATCH($A11,Raw_Price!$A$2:$A$100,0)),""))</f>
        <v/>
      </c>
      <c r="AO11" s="49" t="str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/>
      </c>
      <c r="AP11" s="49" t="str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/>
      </c>
      <c r="AQ11" s="49" t="str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/>
      </c>
      <c r="AR11" s="49" t="str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/>
      </c>
      <c r="AS11" s="49" t="str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IF($A12="","",IFERROR(SUMIFS(Raw_Q!$I$2:$I$600,Raw_Q!$A$2:$A$600,$A12,Raw_Q!$R$2:$R$600,"&gt;=1",Raw_Q!$R$2:$R$600,"&lt;=4"),""))</f>
        <v/>
      </c>
      <c r="F12" s="51" t="str">
        <f aca="false">IF($A12="","",IFERROR(SUMIFS(Raw_Q!$L$2:$L$600,Raw_Q!$A$2:$A$600,$A12,Raw_Q!$R$2:$R$600,"&gt;=1",Raw_Q!$R$2:$R$600,"&lt;=4"),""))</f>
        <v/>
      </c>
      <c r="G12" s="51" t="str">
        <f aca="false">IF($A12="","",IFERROR(SUMIFS(Raw_Q!$L$2:$L$600,Raw_Q!$A$2:$A$600,$A12,Raw_Q!$R$2:$R$600,"&gt;=0",Raw_Q!$R$2:$R$600,"&lt;=3"),""))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IF($A12="","",IFERROR(SUMIFS(Raw_Q!$L$2:$L$600,Raw_Q!$A$2:$A$600,$A12,Raw_Q!$R$2:$R$600,"&gt;=1",Raw_Q!$R$2:$R$600,"&lt;=4")/SUMIFS(Raw_Q!$L$2:$L$600,Raw_Q!$A$2:$A$600,$A12,Raw_Q!$R$2:$R$600,"&gt;=5",Raw_Q!$R$2:$R$600,"&lt;=8")-1,""))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IF($A12="","",IFERROR(SUMIFS(Raw_Q!$P$2:$P$600,Raw_Q!$A$2:$A$600,$A12,Raw_Q!$R$2:$R$600,"&gt;=1",Raw_Q!$R$2:$R$600,"&lt;=4"),""))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/>
      </c>
      <c r="S12" s="49" t="str">
        <f aca="false">IF($A12="","",IFERROR(SUMIFS(Raw_Q!$I$2:$I$600,Raw_Q!$A$2:$A$600,$A12,Raw_Q!$R$2:$R$600,1)/SUMIFS(Raw_Q!$I$2:$I$600,Raw_Q!$A$2:$A$600,$A12,Raw_Q!$R$2:$R$600,5)-1,""))</f>
        <v/>
      </c>
      <c r="T12" s="49" t="str">
        <f aca="false">IF($A12="","",IFERROR(SUMIFS(Raw_Q!$I$2:$I$600,Raw_Q!$A$2:$A$600,$A12,Raw_Q!$R$2:$R$600,1)/SUMIFS(Raw_Q!$I$2:$I$600,Raw_Q!$A$2:$A$600,$A12,Raw_Q!$R$2:$R$600,2)-1,""))</f>
        <v/>
      </c>
      <c r="U12" s="49" t="str">
        <f aca="false">IF($A12="","",IFERROR(SUMIFS(Raw_Q!$I$2:$I$600,Raw_Q!$A$2:$A$600,$A12,Raw_Q!$R$2:$R$600,2)/SUMIFS(Raw_Q!$I$2:$I$600,Raw_Q!$A$2:$A$600,$A12,Raw_Q!$R$2:$R$600,3)-1,""))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IF($A12="","",IFERROR((T12-(SUMIFS(Raw_Q!$I$2:$I$600,Raw_Q!$A$2:$A$600,$A12,Raw_Q!$R$2:$R$600,5)/SUMIFS(Raw_Q!$I$2:$I$600,Raw_Q!$A$2:$A$600,$A12,Raw_Q!$R$2:$R$600,6)-1))*100,""))</f>
        <v/>
      </c>
      <c r="Y12" s="49" t="str">
        <f aca="false">IF($A12="","",IFERROR(SUMIFS(Raw_Q!$L$2:$L$600,Raw_Q!$A$2:$A$600,$A12,Raw_Q!$R$2:$R$600,1)/SUMIFS(Raw_Q!$L$2:$L$600,Raw_Q!$A$2:$A$600,$A12,Raw_Q!$R$2:$R$600,5)-1,""))</f>
        <v/>
      </c>
      <c r="Z12" s="49" t="str">
        <f aca="false">IF($A12="","",IFERROR(SUMIFS(Raw_Q!$J$2:$J$600,Raw_Q!$A$2:$A$600,$A12,Raw_Q!$R$2:$R$600,"&gt;=1",Raw_Q!$R$2:$R$600,"&lt;=4")/E12,""))</f>
        <v/>
      </c>
      <c r="AA12" s="49" t="str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/>
      </c>
      <c r="AD12" s="51" t="str">
        <f aca="false">IF($A12="","",IFERROR(SUMIFS(Raw_Q!$O$2:$O$600,Raw_Q!$A$2:$A$600,$A12,Raw_Q!$R$2:$R$600,1)/SUMIFS(Raw_Q!$M$2:$M$600,Raw_Q!$A$2:$A$600,$A12,Raw_Q!$R$2:$R$600,1),""))</f>
        <v/>
      </c>
      <c r="AE12" s="48" t="str">
        <f aca="false">IF($A12="","",IFERROR(SUMPRODUCT((Raw_Q!$A$2:$A$600=$A12)*(Raw_Q!$R$2:$R$600&gt;=1)*(Raw_Q!$R$2:$R$600&lt;=4)*Raw_Q!$L$2:$L$600*Raw_Q!$M$2:$M$600),""))</f>
        <v/>
      </c>
      <c r="AF12" s="49" t="str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IF($A12="","",IFERROR(SUMIFS(Raw_Q!$L$2:$L$600,Raw_Q!$A$2:$A$600,$A12,Raw_Q!$R$2:$R$600,0),""))</f>
        <v/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/>
      </c>
      <c r="AP12" s="49" t="str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/>
      </c>
      <c r="AQ12" s="49" t="str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/>
      </c>
      <c r="AR12" s="49" t="str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/>
      </c>
      <c r="AS12" s="49" t="str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IF($A13="","",IFERROR(SUMIFS(Raw_Q!$I$2:$I$600,Raw_Q!$A$2:$A$600,$A13,Raw_Q!$R$2:$R$600,"&gt;=1",Raw_Q!$R$2:$R$600,"&lt;=4"),""))</f>
        <v/>
      </c>
      <c r="F13" s="51" t="str">
        <f aca="false">IF($A13="","",IFERROR(SUMIFS(Raw_Q!$L$2:$L$600,Raw_Q!$A$2:$A$600,$A13,Raw_Q!$R$2:$R$600,"&gt;=1",Raw_Q!$R$2:$R$600,"&lt;=4"),""))</f>
        <v/>
      </c>
      <c r="G13" s="51" t="str">
        <f aca="false">IF($A13="","",IFERROR(SUMIFS(Raw_Q!$L$2:$L$600,Raw_Q!$A$2:$A$600,$A13,Raw_Q!$R$2:$R$600,"&gt;=0",Raw_Q!$R$2:$R$600,"&lt;=3"),""))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IF($A13="","",IFERROR(SUMIFS(Raw_Q!$L$2:$L$600,Raw_Q!$A$2:$A$600,$A13,Raw_Q!$R$2:$R$600,"&gt;=1",Raw_Q!$R$2:$R$600,"&lt;=4")/SUMIFS(Raw_Q!$L$2:$L$600,Raw_Q!$A$2:$A$600,$A13,Raw_Q!$R$2:$R$600,"&gt;=5",Raw_Q!$R$2:$R$600,"&lt;=8")-1,""))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IF($A13="","",IFERROR(SUMIFS(Raw_Q!$P$2:$P$600,Raw_Q!$A$2:$A$600,$A13,Raw_Q!$R$2:$R$600,"&gt;=1",Raw_Q!$R$2:$R$600,"&lt;=4"),""))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/>
      </c>
      <c r="S13" s="49" t="str">
        <f aca="false">IF($A13="","",IFERROR(SUMIFS(Raw_Q!$I$2:$I$600,Raw_Q!$A$2:$A$600,$A13,Raw_Q!$R$2:$R$600,1)/SUMIFS(Raw_Q!$I$2:$I$600,Raw_Q!$A$2:$A$600,$A13,Raw_Q!$R$2:$R$600,5)-1,""))</f>
        <v/>
      </c>
      <c r="T13" s="49" t="str">
        <f aca="false">IF($A13="","",IFERROR(SUMIFS(Raw_Q!$I$2:$I$600,Raw_Q!$A$2:$A$600,$A13,Raw_Q!$R$2:$R$600,1)/SUMIFS(Raw_Q!$I$2:$I$600,Raw_Q!$A$2:$A$600,$A13,Raw_Q!$R$2:$R$600,2)-1,""))</f>
        <v/>
      </c>
      <c r="U13" s="49" t="str">
        <f aca="false">IF($A13="","",IFERROR(SUMIFS(Raw_Q!$I$2:$I$600,Raw_Q!$A$2:$A$600,$A13,Raw_Q!$R$2:$R$600,2)/SUMIFS(Raw_Q!$I$2:$I$600,Raw_Q!$A$2:$A$600,$A13,Raw_Q!$R$2:$R$600,3)-1,""))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IF($A13="","",IFERROR((T13-(SUMIFS(Raw_Q!$I$2:$I$600,Raw_Q!$A$2:$A$600,$A13,Raw_Q!$R$2:$R$600,5)/SUMIFS(Raw_Q!$I$2:$I$600,Raw_Q!$A$2:$A$600,$A13,Raw_Q!$R$2:$R$600,6)-1))*100,""))</f>
        <v/>
      </c>
      <c r="Y13" s="49" t="str">
        <f aca="false">IF($A13="","",IFERROR(SUMIFS(Raw_Q!$L$2:$L$600,Raw_Q!$A$2:$A$600,$A13,Raw_Q!$R$2:$R$600,1)/SUMIFS(Raw_Q!$L$2:$L$600,Raw_Q!$A$2:$A$600,$A13,Raw_Q!$R$2:$R$600,5)-1,""))</f>
        <v/>
      </c>
      <c r="Z13" s="49" t="str">
        <f aca="false">IF($A13="","",IFERROR(SUMIFS(Raw_Q!$J$2:$J$600,Raw_Q!$A$2:$A$600,$A13,Raw_Q!$R$2:$R$600,"&gt;=1",Raw_Q!$R$2:$R$600,"&lt;=4")/E13,""))</f>
        <v/>
      </c>
      <c r="AA13" s="49" t="str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/>
      </c>
      <c r="AD13" s="51" t="str">
        <f aca="false">IF($A13="","",IFERROR(SUMIFS(Raw_Q!$O$2:$O$600,Raw_Q!$A$2:$A$600,$A13,Raw_Q!$R$2:$R$600,1)/SUMIFS(Raw_Q!$M$2:$M$600,Raw_Q!$A$2:$A$600,$A13,Raw_Q!$R$2:$R$600,1),""))</f>
        <v/>
      </c>
      <c r="AE13" s="48" t="str">
        <f aca="false">IF($A13="","",IFERROR(SUMPRODUCT((Raw_Q!$A$2:$A$600=$A13)*(Raw_Q!$R$2:$R$600&gt;=1)*(Raw_Q!$R$2:$R$600&lt;=4)*Raw_Q!$L$2:$L$600*Raw_Q!$M$2:$M$600),""))</f>
        <v/>
      </c>
      <c r="AF13" s="49" t="str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IF($A13="","",IFERROR(SUMIFS(Raw_Q!$L$2:$L$600,Raw_Q!$A$2:$A$600,$A13,Raw_Q!$R$2:$R$600,0),""))</f>
        <v/>
      </c>
      <c r="AJ13" s="66" t="str">
        <f aca="false">IF($A13="","",IFERROR(INDEX(Raw_Q!$B$2:$B$600,MATCH($A13&amp;"|"&amp;0,Raw_Q!$S$2:$S$600,0)),""))</f>
        <v/>
      </c>
      <c r="AK13" s="66" t="str">
        <f aca="false">IF($A13="","",IFERROR(INDEX(Raw_Q!$G$2:$G$600,MATCH($A13&amp;"|"&amp;0,Raw_Q!$S$2:$S$600,0)),""))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/>
      </c>
      <c r="AP13" s="49" t="str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/>
      </c>
      <c r="AQ13" s="49" t="str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/>
      </c>
      <c r="AR13" s="49" t="str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/>
      </c>
      <c r="AS13" s="49" t="str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IF($A14="","",IFERROR(SUMIFS(Raw_Q!$I$2:$I$600,Raw_Q!$A$2:$A$600,$A14,Raw_Q!$R$2:$R$600,"&gt;=1",Raw_Q!$R$2:$R$600,"&lt;=4"),""))</f>
        <v/>
      </c>
      <c r="F14" s="51" t="str">
        <f aca="false">IF($A14="","",IFERROR(SUMIFS(Raw_Q!$L$2:$L$600,Raw_Q!$A$2:$A$600,$A14,Raw_Q!$R$2:$R$600,"&gt;=1",Raw_Q!$R$2:$R$600,"&lt;=4"),""))</f>
        <v/>
      </c>
      <c r="G14" s="51" t="str">
        <f aca="false">IF($A14="","",IFERROR(SUMIFS(Raw_Q!$L$2:$L$600,Raw_Q!$A$2:$A$600,$A14,Raw_Q!$R$2:$R$600,"&gt;=0",Raw_Q!$R$2:$R$600,"&lt;=3"),""))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IF($A14="","",IFERROR(SUMIFS(Raw_Q!$P$2:$P$600,Raw_Q!$A$2:$A$600,$A14,Raw_Q!$R$2:$R$600,"&gt;=1",Raw_Q!$R$2:$R$600,"&lt;=4"),""))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IF($A14="","",IFERROR((T14-(SUMIFS(Raw_Q!$I$2:$I$600,Raw_Q!$A$2:$A$600,$A14,Raw_Q!$R$2:$R$600,5)/SUMIFS(Raw_Q!$I$2:$I$600,Raw_Q!$A$2:$A$600,$A14,Raw_Q!$R$2:$R$600,6)-1))*100,""))</f>
        <v/>
      </c>
      <c r="Y14" s="49" t="str">
        <f aca="false">IF($A14="","",IFERROR(SUMIFS(Raw_Q!$L$2:$L$600,Raw_Q!$A$2:$A$600,$A14,Raw_Q!$R$2:$R$600,1)/SUMIFS(Raw_Q!$L$2:$L$600,Raw_Q!$A$2:$A$600,$A14,Raw_Q!$R$2:$R$600,5)-1,""))</f>
        <v/>
      </c>
      <c r="Z14" s="49" t="str">
        <f aca="false">IF($A14="","",IFERROR(SUMIFS(Raw_Q!$J$2:$J$600,Raw_Q!$A$2:$A$600,$A14,Raw_Q!$R$2:$R$600,"&gt;=1",Raw_Q!$R$2:$R$600,"&lt;=4")/E14,""))</f>
        <v/>
      </c>
      <c r="AA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D14" s="51" t="str">
        <f aca="false">IF($A14="","",IFERROR(SUMIFS(Raw_Q!$O$2:$O$600,Raw_Q!$A$2:$A$600,$A14,Raw_Q!$R$2:$R$600,1)/SUMIFS(Raw_Q!$M$2:$M$600,Raw_Q!$A$2:$A$600,$A14,Raw_Q!$R$2:$R$600,1),""))</f>
        <v/>
      </c>
      <c r="AE14" s="48" t="str">
        <f aca="false">IF($A14="","",IFERROR(SUMPRODUCT((Raw_Q!$A$2:$A$600=$A14)*(Raw_Q!$R$2:$R$600&gt;=1)*(Raw_Q!$R$2:$R$600&lt;=4)*Raw_Q!$L$2:$L$600*Raw_Q!$M$2:$M$600),""))</f>
        <v/>
      </c>
      <c r="AF14" s="49" t="str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IF($A14="","",IFERROR(SUMIFS(Raw_Q!$L$2:$L$600,Raw_Q!$A$2:$A$600,$A14,Raw_Q!$R$2:$R$600,0),""))</f>
        <v/>
      </c>
      <c r="AJ14" s="66" t="str">
        <f aca="false">IF($A14="","",IFERROR(INDEX(Raw_Q!$B$2:$B$600,MATCH($A14&amp;"|"&amp;0,Raw_Q!$S$2:$S$600,0)),""))</f>
        <v/>
      </c>
      <c r="AK14" s="66" t="str">
        <f aca="false">IF($A14="","",IFERROR(INDEX(Raw_Q!$G$2:$G$600,MATCH($A14&amp;"|"&amp;0,Raw_Q!$S$2:$S$600,0)),""))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P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Q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R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S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IF($A15="","",IFERROR(SUMIFS(Raw_Q!$I$2:$I$600,Raw_Q!$A$2:$A$600,$A15,Raw_Q!$R$2:$R$600,"&gt;=1",Raw_Q!$R$2:$R$600,"&lt;=4"),""))</f>
        <v/>
      </c>
      <c r="F15" s="51" t="str">
        <f aca="false">IF($A15="","",IFERROR(SUMIFS(Raw_Q!$L$2:$L$600,Raw_Q!$A$2:$A$600,$A15,Raw_Q!$R$2:$R$600,"&gt;=1",Raw_Q!$R$2:$R$600,"&lt;=4"),""))</f>
        <v/>
      </c>
      <c r="G15" s="51" t="str">
        <f aca="false">IF($A15="","",IFERROR(SUMIFS(Raw_Q!$L$2:$L$600,Raw_Q!$A$2:$A$600,$A15,Raw_Q!$R$2:$R$600,"&gt;=0",Raw_Q!$R$2:$R$600,"&lt;=3"),""))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IF($A15="","",IFERROR(SUMIFS(Raw_Q!$L$2:$L$600,Raw_Q!$A$2:$A$600,$A15,Raw_Q!$R$2:$R$600,"&gt;=1",Raw_Q!$R$2:$R$600,"&lt;=4")/SUMIFS(Raw_Q!$L$2:$L$600,Raw_Q!$A$2:$A$600,$A15,Raw_Q!$R$2:$R$600,"&gt;=5",Raw_Q!$R$2:$R$600,"&lt;=8")-1,""))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IF($A15="","",IFERROR(SUMIFS(Raw_Q!$P$2:$P$600,Raw_Q!$A$2:$A$600,$A15,Raw_Q!$R$2:$R$600,"&gt;=1",Raw_Q!$R$2:$R$600,"&lt;=4"),""))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/>
      </c>
      <c r="S15" s="49" t="str">
        <f aca="false">IF($A15="","",IFERROR(SUMIFS(Raw_Q!$I$2:$I$600,Raw_Q!$A$2:$A$600,$A15,Raw_Q!$R$2:$R$600,1)/SUMIFS(Raw_Q!$I$2:$I$600,Raw_Q!$A$2:$A$600,$A15,Raw_Q!$R$2:$R$600,5)-1,""))</f>
        <v/>
      </c>
      <c r="T15" s="49" t="str">
        <f aca="false">IF($A15="","",IFERROR(SUMIFS(Raw_Q!$I$2:$I$600,Raw_Q!$A$2:$A$600,$A15,Raw_Q!$R$2:$R$600,1)/SUMIFS(Raw_Q!$I$2:$I$600,Raw_Q!$A$2:$A$600,$A15,Raw_Q!$R$2:$R$600,2)-1,""))</f>
        <v/>
      </c>
      <c r="U15" s="49" t="str">
        <f aca="false">IF($A15="","",IFERROR(SUMIFS(Raw_Q!$I$2:$I$600,Raw_Q!$A$2:$A$600,$A15,Raw_Q!$R$2:$R$600,2)/SUMIFS(Raw_Q!$I$2:$I$600,Raw_Q!$A$2:$A$600,$A15,Raw_Q!$R$2:$R$600,3)-1,""))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IF($A15="","",IFERROR((T15-(SUMIFS(Raw_Q!$I$2:$I$600,Raw_Q!$A$2:$A$600,$A15,Raw_Q!$R$2:$R$600,5)/SUMIFS(Raw_Q!$I$2:$I$600,Raw_Q!$A$2:$A$600,$A15,Raw_Q!$R$2:$R$600,6)-1))*100,""))</f>
        <v/>
      </c>
      <c r="Y15" s="49" t="str">
        <f aca="false">IF($A15="","",IFERROR(SUMIFS(Raw_Q!$L$2:$L$600,Raw_Q!$A$2:$A$600,$A15,Raw_Q!$R$2:$R$600,1)/SUMIFS(Raw_Q!$L$2:$L$600,Raw_Q!$A$2:$A$600,$A15,Raw_Q!$R$2:$R$600,5)-1,""))</f>
        <v/>
      </c>
      <c r="Z15" s="49" t="str">
        <f aca="false">IF($A15="","",IFERROR(SUMIFS(Raw_Q!$J$2:$J$600,Raw_Q!$A$2:$A$600,$A15,Raw_Q!$R$2:$R$600,"&gt;=1",Raw_Q!$R$2:$R$600,"&lt;=4")/E15,""))</f>
        <v/>
      </c>
      <c r="AA15" s="49" t="str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/>
      </c>
      <c r="AD15" s="51" t="str">
        <f aca="false">IF($A15="","",IFERROR(SUMIFS(Raw_Q!$O$2:$O$600,Raw_Q!$A$2:$A$600,$A15,Raw_Q!$R$2:$R$600,1)/SUMIFS(Raw_Q!$M$2:$M$600,Raw_Q!$A$2:$A$600,$A15,Raw_Q!$R$2:$R$600,1),""))</f>
        <v/>
      </c>
      <c r="AE15" s="48" t="str">
        <f aca="false">IF($A15="","",IFERROR(SUMPRODUCT((Raw_Q!$A$2:$A$600=$A15)*(Raw_Q!$R$2:$R$600&gt;=1)*(Raw_Q!$R$2:$R$600&lt;=4)*Raw_Q!$L$2:$L$600*Raw_Q!$M$2:$M$600),""))</f>
        <v/>
      </c>
      <c r="AF15" s="49" t="str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IF($A15="","",IFERROR(SUMIFS(Raw_Q!$L$2:$L$600,Raw_Q!$A$2:$A$600,$A15,Raw_Q!$R$2:$R$600,0),""))</f>
        <v/>
      </c>
      <c r="AJ15" s="66" t="str">
        <f aca="false">IF($A15="","",IFERROR(INDEX(Raw_Q!$B$2:$B$600,MATCH($A15&amp;"|"&amp;0,Raw_Q!$S$2:$S$600,0)),""))</f>
        <v/>
      </c>
      <c r="AK15" s="66" t="str">
        <f aca="false">IF($A15="","",IFERROR(INDEX(Raw_Q!$G$2:$G$600,MATCH($A15&amp;"|"&amp;0,Raw_Q!$S$2:$S$600,0)),""))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/>
      </c>
      <c r="AP15" s="49" t="str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/>
      </c>
      <c r="AQ15" s="49" t="str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/>
      </c>
      <c r="AR15" s="49" t="str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/>
      </c>
      <c r="AS15" s="49" t="str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IF($A16="","",IFERROR(SUMIFS(Raw_Q!$I$2:$I$600,Raw_Q!$A$2:$A$600,$A16,Raw_Q!$R$2:$R$600,"&gt;=1",Raw_Q!$R$2:$R$600,"&lt;=4"),""))</f>
        <v/>
      </c>
      <c r="F16" s="51" t="str">
        <f aca="false">IF($A16="","",IFERROR(SUMIFS(Raw_Q!$L$2:$L$600,Raw_Q!$A$2:$A$600,$A16,Raw_Q!$R$2:$R$600,"&gt;=1",Raw_Q!$R$2:$R$600,"&lt;=4"),""))</f>
        <v/>
      </c>
      <c r="G16" s="51" t="str">
        <f aca="false">IF($A16="","",IFERROR(SUMIFS(Raw_Q!$L$2:$L$600,Raw_Q!$A$2:$A$600,$A16,Raw_Q!$R$2:$R$600,"&gt;=0",Raw_Q!$R$2:$R$600,"&lt;=3"),""))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IF($A16="","",IFERROR(SUMIFS(Raw_Q!$L$2:$L$600,Raw_Q!$A$2:$A$600,$A16,Raw_Q!$R$2:$R$600,"&gt;=1",Raw_Q!$R$2:$R$600,"&lt;=4")/SUMIFS(Raw_Q!$L$2:$L$600,Raw_Q!$A$2:$A$600,$A16,Raw_Q!$R$2:$R$600,"&gt;=5",Raw_Q!$R$2:$R$600,"&lt;=8")-1,""))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IF($A16="","",IFERROR(SUMIFS(Raw_Q!$P$2:$P$600,Raw_Q!$A$2:$A$600,$A16,Raw_Q!$R$2:$R$600,"&gt;=1",Raw_Q!$R$2:$R$600,"&lt;=4"),""))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/>
      </c>
      <c r="S16" s="49" t="str">
        <f aca="false">IF($A16="","",IFERROR(SUMIFS(Raw_Q!$I$2:$I$600,Raw_Q!$A$2:$A$600,$A16,Raw_Q!$R$2:$R$600,1)/SUMIFS(Raw_Q!$I$2:$I$600,Raw_Q!$A$2:$A$600,$A16,Raw_Q!$R$2:$R$600,5)-1,""))</f>
        <v/>
      </c>
      <c r="T16" s="49" t="str">
        <f aca="false">IF($A16="","",IFERROR(SUMIFS(Raw_Q!$I$2:$I$600,Raw_Q!$A$2:$A$600,$A16,Raw_Q!$R$2:$R$600,1)/SUMIFS(Raw_Q!$I$2:$I$600,Raw_Q!$A$2:$A$600,$A16,Raw_Q!$R$2:$R$600,2)-1,""))</f>
        <v/>
      </c>
      <c r="U16" s="49" t="str">
        <f aca="false">IF($A16="","",IFERROR(SUMIFS(Raw_Q!$I$2:$I$600,Raw_Q!$A$2:$A$600,$A16,Raw_Q!$R$2:$R$600,2)/SUMIFS(Raw_Q!$I$2:$I$600,Raw_Q!$A$2:$A$600,$A16,Raw_Q!$R$2:$R$600,3)-1,""))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IF($A16="","",IFERROR((T16-(SUMIFS(Raw_Q!$I$2:$I$600,Raw_Q!$A$2:$A$600,$A16,Raw_Q!$R$2:$R$600,5)/SUMIFS(Raw_Q!$I$2:$I$600,Raw_Q!$A$2:$A$600,$A16,Raw_Q!$R$2:$R$600,6)-1))*100,""))</f>
        <v/>
      </c>
      <c r="Y16" s="49" t="str">
        <f aca="false">IF($A16="","",IFERROR(SUMIFS(Raw_Q!$L$2:$L$600,Raw_Q!$A$2:$A$600,$A16,Raw_Q!$R$2:$R$600,1)/SUMIFS(Raw_Q!$L$2:$L$600,Raw_Q!$A$2:$A$600,$A16,Raw_Q!$R$2:$R$600,5)-1,""))</f>
        <v/>
      </c>
      <c r="Z16" s="49" t="str">
        <f aca="false">IF($A16="","",IFERROR(SUMIFS(Raw_Q!$J$2:$J$600,Raw_Q!$A$2:$A$600,$A16,Raw_Q!$R$2:$R$600,"&gt;=1",Raw_Q!$R$2:$R$600,"&lt;=4")/E16,""))</f>
        <v/>
      </c>
      <c r="AA16" s="49" t="str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/>
      </c>
      <c r="AD16" s="51" t="str">
        <f aca="false">IF($A16="","",IFERROR(SUMIFS(Raw_Q!$O$2:$O$600,Raw_Q!$A$2:$A$600,$A16,Raw_Q!$R$2:$R$600,1)/SUMIFS(Raw_Q!$M$2:$M$600,Raw_Q!$A$2:$A$600,$A16,Raw_Q!$R$2:$R$600,1),""))</f>
        <v/>
      </c>
      <c r="AE16" s="48" t="str">
        <f aca="false">IF($A16="","",IFERROR(SUMPRODUCT((Raw_Q!$A$2:$A$600=$A16)*(Raw_Q!$R$2:$R$600&gt;=1)*(Raw_Q!$R$2:$R$600&lt;=4)*Raw_Q!$L$2:$L$600*Raw_Q!$M$2:$M$600),""))</f>
        <v/>
      </c>
      <c r="AF16" s="49" t="str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IF($A16="","",IFERROR(SUMIFS(Raw_Q!$L$2:$L$600,Raw_Q!$A$2:$A$600,$A16,Raw_Q!$R$2:$R$600,0),""))</f>
        <v/>
      </c>
      <c r="AJ16" s="66" t="str">
        <f aca="false">IF($A16="","",IFERROR(INDEX(Raw_Q!$B$2:$B$600,MATCH($A16&amp;"|"&amp;0,Raw_Q!$S$2:$S$600,0)),""))</f>
        <v/>
      </c>
      <c r="AK16" s="66" t="str">
        <f aca="false">IF($A16="","",IFERROR(INDEX(Raw_Q!$G$2:$G$600,MATCH($A16&amp;"|"&amp;0,Raw_Q!$S$2:$S$600,0)),""))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/>
      </c>
      <c r="AP16" s="49" t="str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/>
      </c>
      <c r="AQ16" s="49" t="str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/>
      </c>
      <c r="AR16" s="49" t="str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/>
      </c>
      <c r="AS16" s="49" t="str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IF($A17="","",IFERROR(SUMIFS(Raw_Q!$I$2:$I$600,Raw_Q!$A$2:$A$600,$A17,Raw_Q!$R$2:$R$600,"&gt;=1",Raw_Q!$R$2:$R$600,"&lt;=4"),""))</f>
        <v/>
      </c>
      <c r="F17" s="51" t="str">
        <f aca="false">IF($A17="","",IFERROR(SUMIFS(Raw_Q!$L$2:$L$600,Raw_Q!$A$2:$A$600,$A17,Raw_Q!$R$2:$R$600,"&gt;=1",Raw_Q!$R$2:$R$600,"&lt;=4"),""))</f>
        <v/>
      </c>
      <c r="G17" s="51" t="str">
        <f aca="false">IF($A17="","",IFERROR(SUMIFS(Raw_Q!$L$2:$L$600,Raw_Q!$A$2:$A$600,$A17,Raw_Q!$R$2:$R$600,"&gt;=0",Raw_Q!$R$2:$R$600,"&lt;=3"),""))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IF($A17="","",IFERROR(SUMIFS(Raw_Q!$L$2:$L$600,Raw_Q!$A$2:$A$600,$A17,Raw_Q!$R$2:$R$600,"&gt;=1",Raw_Q!$R$2:$R$600,"&lt;=4")/SUMIFS(Raw_Q!$L$2:$L$600,Raw_Q!$A$2:$A$600,$A17,Raw_Q!$R$2:$R$600,"&gt;=5",Raw_Q!$R$2:$R$600,"&lt;=8")-1,""))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IF($A17="","",IFERROR(SUMIFS(Raw_Q!$P$2:$P$600,Raw_Q!$A$2:$A$600,$A17,Raw_Q!$R$2:$R$600,"&gt;=1",Raw_Q!$R$2:$R$600,"&lt;=4"),""))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str">
        <f aca="false">IF($A17="","",IFERROR(SUMIFS(Raw_Q!$I$2:$I$600,Raw_Q!$A$2:$A$600,$A17,Raw_Q!$R$2:$R$600,1)/SUMIFS(Raw_Q!$I$2:$I$600,Raw_Q!$A$2:$A$600,$A17,Raw_Q!$R$2:$R$600,5)-1,""))</f>
        <v/>
      </c>
      <c r="T17" s="49" t="str">
        <f aca="false">IF($A17="","",IFERROR(SUMIFS(Raw_Q!$I$2:$I$600,Raw_Q!$A$2:$A$600,$A17,Raw_Q!$R$2:$R$600,1)/SUMIFS(Raw_Q!$I$2:$I$600,Raw_Q!$A$2:$A$600,$A17,Raw_Q!$R$2:$R$600,2)-1,""))</f>
        <v/>
      </c>
      <c r="U17" s="49" t="str">
        <f aca="false">IF($A17="","",IFERROR(SUMIFS(Raw_Q!$I$2:$I$600,Raw_Q!$A$2:$A$600,$A17,Raw_Q!$R$2:$R$600,2)/SUMIFS(Raw_Q!$I$2:$I$600,Raw_Q!$A$2:$A$600,$A17,Raw_Q!$R$2:$R$600,3)-1,""))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IF($A17="","",IFERROR((T17-(SUMIFS(Raw_Q!$I$2:$I$600,Raw_Q!$A$2:$A$600,$A17,Raw_Q!$R$2:$R$600,5)/SUMIFS(Raw_Q!$I$2:$I$600,Raw_Q!$A$2:$A$600,$A17,Raw_Q!$R$2:$R$600,6)-1))*100,""))</f>
        <v/>
      </c>
      <c r="Y17" s="49" t="str">
        <f aca="false">IF($A17="","",IFERROR(SUMIFS(Raw_Q!$L$2:$L$600,Raw_Q!$A$2:$A$600,$A17,Raw_Q!$R$2:$R$600,1)/SUMIFS(Raw_Q!$L$2:$L$600,Raw_Q!$A$2:$A$600,$A17,Raw_Q!$R$2:$R$600,5)-1,""))</f>
        <v/>
      </c>
      <c r="Z17" s="49" t="str">
        <f aca="false">IF($A17="","",IFERROR(SUMIFS(Raw_Q!$J$2:$J$600,Raw_Q!$A$2:$A$600,$A17,Raw_Q!$R$2:$R$600,"&gt;=1",Raw_Q!$R$2:$R$600,"&lt;=4")/E17,""))</f>
        <v/>
      </c>
      <c r="AA17" s="49" t="str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/>
      </c>
      <c r="AD17" s="51" t="str">
        <f aca="false">IF($A17="","",IFERROR(SUMIFS(Raw_Q!$O$2:$O$600,Raw_Q!$A$2:$A$600,$A17,Raw_Q!$R$2:$R$600,1)/SUMIFS(Raw_Q!$M$2:$M$600,Raw_Q!$A$2:$A$600,$A17,Raw_Q!$R$2:$R$600,1),""))</f>
        <v/>
      </c>
      <c r="AE17" s="48" t="str">
        <f aca="false">IF($A17="","",IFERROR(SUMPRODUCT((Raw_Q!$A$2:$A$600=$A17)*(Raw_Q!$R$2:$R$600&gt;=1)*(Raw_Q!$R$2:$R$600&lt;=4)*Raw_Q!$L$2:$L$600*Raw_Q!$M$2:$M$600),""))</f>
        <v/>
      </c>
      <c r="AF17" s="49" t="str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IF($A17="","",IFERROR(SUMIFS(Raw_Q!$L$2:$L$600,Raw_Q!$A$2:$A$600,$A17,Raw_Q!$R$2:$R$600,0),""))</f>
        <v/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/>
      </c>
      <c r="AP17" s="49" t="str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/>
      </c>
      <c r="AQ17" s="49" t="str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/>
      </c>
      <c r="AR17" s="49" t="str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/>
      </c>
      <c r="AS17" s="49" t="str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IF($A18="","",IFERROR(SUMIFS(Raw_Q!$I$2:$I$600,Raw_Q!$A$2:$A$600,$A18,Raw_Q!$R$2:$R$600,"&gt;=1",Raw_Q!$R$2:$R$600,"&lt;=4"),""))</f>
        <v/>
      </c>
      <c r="F18" s="51" t="str">
        <f aca="false">IF($A18="","",IFERROR(SUMIFS(Raw_Q!$L$2:$L$600,Raw_Q!$A$2:$A$600,$A18,Raw_Q!$R$2:$R$600,"&gt;=1",Raw_Q!$R$2:$R$600,"&lt;=4"),""))</f>
        <v/>
      </c>
      <c r="G18" s="51" t="str">
        <f aca="false">IF($A18="","",IFERROR(SUMIFS(Raw_Q!$L$2:$L$600,Raw_Q!$A$2:$A$600,$A18,Raw_Q!$R$2:$R$600,"&gt;=0",Raw_Q!$R$2:$R$600,"&lt;=3"),""))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IF($A18="","",IFERROR(SUMIFS(Raw_Q!$L$2:$L$600,Raw_Q!$A$2:$A$600,$A18,Raw_Q!$R$2:$R$600,"&gt;=1",Raw_Q!$R$2:$R$600,"&lt;=4")/SUMIFS(Raw_Q!$L$2:$L$600,Raw_Q!$A$2:$A$600,$A18,Raw_Q!$R$2:$R$600,"&gt;=5",Raw_Q!$R$2:$R$600,"&lt;=8")-1,""))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IF($A18="","",IFERROR(SUMIFS(Raw_Q!$P$2:$P$600,Raw_Q!$A$2:$A$600,$A18,Raw_Q!$R$2:$R$600,"&gt;=1",Raw_Q!$R$2:$R$600,"&lt;=4"),""))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/>
      </c>
      <c r="S18" s="49" t="str">
        <f aca="false">IF($A18="","",IFERROR(SUMIFS(Raw_Q!$I$2:$I$600,Raw_Q!$A$2:$A$600,$A18,Raw_Q!$R$2:$R$600,1)/SUMIFS(Raw_Q!$I$2:$I$600,Raw_Q!$A$2:$A$600,$A18,Raw_Q!$R$2:$R$600,5)-1,""))</f>
        <v/>
      </c>
      <c r="T18" s="49" t="str">
        <f aca="false">IF($A18="","",IFERROR(SUMIFS(Raw_Q!$I$2:$I$600,Raw_Q!$A$2:$A$600,$A18,Raw_Q!$R$2:$R$600,1)/SUMIFS(Raw_Q!$I$2:$I$600,Raw_Q!$A$2:$A$600,$A18,Raw_Q!$R$2:$R$600,2)-1,""))</f>
        <v/>
      </c>
      <c r="U18" s="49" t="str">
        <f aca="false">IF($A18="","",IFERROR(SUMIFS(Raw_Q!$I$2:$I$600,Raw_Q!$A$2:$A$600,$A18,Raw_Q!$R$2:$R$600,2)/SUMIFS(Raw_Q!$I$2:$I$600,Raw_Q!$A$2:$A$600,$A18,Raw_Q!$R$2:$R$600,3)-1,""))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IF($A18="","",IFERROR((T18-(SUMIFS(Raw_Q!$I$2:$I$600,Raw_Q!$A$2:$A$600,$A18,Raw_Q!$R$2:$R$600,5)/SUMIFS(Raw_Q!$I$2:$I$600,Raw_Q!$A$2:$A$600,$A18,Raw_Q!$R$2:$R$600,6)-1))*100,""))</f>
        <v/>
      </c>
      <c r="Y18" s="49" t="str">
        <f aca="false">IF($A18="","",IFERROR(SUMIFS(Raw_Q!$L$2:$L$600,Raw_Q!$A$2:$A$600,$A18,Raw_Q!$R$2:$R$600,1)/SUMIFS(Raw_Q!$L$2:$L$600,Raw_Q!$A$2:$A$600,$A18,Raw_Q!$R$2:$R$600,5)-1,""))</f>
        <v/>
      </c>
      <c r="Z18" s="49" t="str">
        <f aca="false">IF($A18="","",IFERROR(SUMIFS(Raw_Q!$J$2:$J$600,Raw_Q!$A$2:$A$600,$A18,Raw_Q!$R$2:$R$600,"&gt;=1",Raw_Q!$R$2:$R$600,"&lt;=4")/E18,""))</f>
        <v/>
      </c>
      <c r="AA18" s="49" t="str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/>
      </c>
      <c r="AD18" s="51" t="str">
        <f aca="false">IF($A18="","",IFERROR(SUMIFS(Raw_Q!$O$2:$O$600,Raw_Q!$A$2:$A$600,$A18,Raw_Q!$R$2:$R$600,1)/SUMIFS(Raw_Q!$M$2:$M$600,Raw_Q!$A$2:$A$600,$A18,Raw_Q!$R$2:$R$600,1),""))</f>
        <v/>
      </c>
      <c r="AE18" s="48" t="str">
        <f aca="false">IF($A18="","",IFERROR(SUMPRODUCT((Raw_Q!$A$2:$A$600=$A18)*(Raw_Q!$R$2:$R$600&gt;=1)*(Raw_Q!$R$2:$R$600&lt;=4)*Raw_Q!$L$2:$L$600*Raw_Q!$M$2:$M$600),""))</f>
        <v/>
      </c>
      <c r="AF18" s="49" t="str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IF($A18="","",IFERROR(SUMIFS(Raw_Q!$L$2:$L$600,Raw_Q!$A$2:$A$600,$A18,Raw_Q!$R$2:$R$600,0),""))</f>
        <v/>
      </c>
      <c r="AJ18" s="66" t="str">
        <f aca="false">IF($A18="","",IFERROR(INDEX(Raw_Q!$B$2:$B$600,MATCH($A18&amp;"|"&amp;0,Raw_Q!$S$2:$S$600,0)),""))</f>
        <v/>
      </c>
      <c r="AK18" s="66" t="str">
        <f aca="false">IF($A18="","",IFERROR(INDEX(Raw_Q!$G$2:$G$600,MATCH($A18&amp;"|"&amp;0,Raw_Q!$S$2:$S$600,0)),""))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/>
      </c>
      <c r="AP18" s="49" t="str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/>
      </c>
      <c r="AQ18" s="49" t="str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/>
      </c>
      <c r="AR18" s="49" t="str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/>
      </c>
      <c r="AS18" s="49" t="str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IF($A19="","",IFERROR(SUMIFS(Raw_Q!$I$2:$I$600,Raw_Q!$A$2:$A$600,$A19,Raw_Q!$R$2:$R$600,"&gt;=1",Raw_Q!$R$2:$R$600,"&lt;=4"),""))</f>
        <v/>
      </c>
      <c r="F19" s="51" t="str">
        <f aca="false">IF($A19="","",IFERROR(SUMIFS(Raw_Q!$L$2:$L$600,Raw_Q!$A$2:$A$600,$A19,Raw_Q!$R$2:$R$600,"&gt;=1",Raw_Q!$R$2:$R$600,"&lt;=4"),""))</f>
        <v/>
      </c>
      <c r="G19" s="51" t="str">
        <f aca="false">IF($A19="","",IFERROR(SUMIFS(Raw_Q!$L$2:$L$600,Raw_Q!$A$2:$A$600,$A19,Raw_Q!$R$2:$R$600,"&gt;=0",Raw_Q!$R$2:$R$600,"&lt;=3"),""))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IF($A19="","",IFERROR(SUMIFS(Raw_Q!$P$2:$P$600,Raw_Q!$A$2:$A$600,$A19,Raw_Q!$R$2:$R$600,"&gt;=1",Raw_Q!$R$2:$R$600,"&lt;=4"),""))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str">
        <f aca="false">IF($A19="","",IFERROR(SUMPRODUCT((Raw_Q!$A$2:$A$600=$A19)*(Raw_Q!$R$2:$R$600&gt;=1)*(Raw_Q!$R$2:$R$600&lt;=4)*Raw_Q!$L$2:$L$600*Raw_Q!$M$2:$M$600),""))</f>
        <v/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IF($A19="","",IFERROR(SUMIFS(Raw_Q!$L$2:$L$600,Raw_Q!$A$2:$A$600,$A19,Raw_Q!$R$2:$R$600,0),""))</f>
        <v/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3" customFormat="false" ht="15" hidden="false" customHeight="false" outlineLevel="0" collapsed="false">
      <c r="A23" s="25" t="s">
        <v>396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397</v>
      </c>
    </row>
    <row r="3" customFormat="false" ht="31.5" hidden="false" customHeight="true" outlineLevel="0" collapsed="false">
      <c r="A3" s="15" t="s">
        <v>398</v>
      </c>
      <c r="B3" s="15" t="s">
        <v>399</v>
      </c>
      <c r="C3" s="15" t="s">
        <v>400</v>
      </c>
    </row>
    <row r="4" customFormat="false" ht="15" hidden="false" customHeight="false" outlineLevel="0" collapsed="false">
      <c r="A4" s="5" t="s">
        <v>401</v>
      </c>
      <c r="B4" s="83" t="n">
        <v>24</v>
      </c>
      <c r="C4" s="25" t="s">
        <v>402</v>
      </c>
    </row>
    <row r="5" customFormat="false" ht="15" hidden="false" customHeight="false" outlineLevel="0" collapsed="false">
      <c r="A5" s="5" t="s">
        <v>403</v>
      </c>
      <c r="B5" s="83" t="n">
        <v>20</v>
      </c>
      <c r="C5" s="25" t="s">
        <v>404</v>
      </c>
    </row>
    <row r="6" customFormat="false" ht="15" hidden="false" customHeight="false" outlineLevel="0" collapsed="false">
      <c r="A6" s="2" t="s">
        <v>405</v>
      </c>
      <c r="B6" s="84" t="n">
        <v>0.05</v>
      </c>
      <c r="C6" s="24" t="s">
        <v>406</v>
      </c>
    </row>
    <row r="7" customFormat="false" ht="15" hidden="false" customHeight="false" outlineLevel="0" collapsed="false">
      <c r="A7" s="5" t="s">
        <v>407</v>
      </c>
      <c r="B7" s="83" t="n">
        <v>5</v>
      </c>
      <c r="C7" s="24" t="s">
        <v>408</v>
      </c>
    </row>
    <row r="8" customFormat="false" ht="15" hidden="false" customHeight="false" outlineLevel="0" collapsed="false">
      <c r="A8" s="2" t="s">
        <v>409</v>
      </c>
      <c r="B8" s="83" t="n">
        <v>365</v>
      </c>
      <c r="C8" s="25" t="s">
        <v>410</v>
      </c>
    </row>
    <row r="11" customFormat="false" ht="15" hidden="false" customHeight="false" outlineLevel="0" collapsed="false">
      <c r="A11" s="24" t="s">
        <v>411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2026-09-02T14:00:42Z</dcterms:created>
  <dc:creator>openpyxl</dc:creator>
  <dc:description/>
  <dc:language>en-US</dc:language>
  <cp:lastModifiedBy/>
  <dcterms:modified xsi:type="dcterms:W3CDTF">2026-09-02T14:00:42Z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