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<sst xmlns="http://schemas.openxmlformats.org/spreadsheetml/2006/main" count="8221" uniqueCount="1533">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</sst>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ADDDBA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2510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0.434855197641893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29.0913305516922</v>
      </c>
      <c r="P3" s="22" t="n">
        <f aca="false">IF(Calc!$A$2="","",Calc!L$2)</f>
        <v>18.6836042299766</v>
      </c>
      <c r="Q3" s="18" t="n">
        <f aca="false">IF(Calc!$A$2="","",Calc!N$2)</f>
        <v>0.546590865320582</v>
      </c>
      <c r="R3" s="18" t="n">
        <f aca="false">IF(Calc!$A$2="","",Calc!O$2)</f>
        <v>0.571397961241143</v>
      </c>
      <c r="S3" s="19" t="n">
        <f aca="false">IF(Calc!$A$2="","",Calc!Q$2)</f>
        <v>0.00876498015139442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519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19.1160220994475</v>
      </c>
      <c r="P4" s="22" t="n">
        <f aca="false">IF(Calc!$A$3="","",Calc!L$3)</f>
        <v>5.52573153520758</v>
      </c>
      <c r="Q4" s="18" t="str">
        <f aca="false">IF(Calc!$A$3="","",Calc!N$3)</f>
        <v>N/M</v>
      </c>
      <c r="R4" s="18" t="n">
        <f aca="false">IF(Calc!$A$3="","",Calc!O$3)</f>
        <v>0.117797790357944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5.50544719843289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546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132.52427184466</v>
      </c>
      <c r="P6" s="22" t="n">
        <f aca="false">IF(Calc!$A$5="","",Calc!L$5)</f>
        <v>65.3755919445094</v>
      </c>
      <c r="Q6" s="18" t="n">
        <f aca="false">IF(Calc!$A$5="","",Calc!N$5)</f>
        <v>2.15246428792282</v>
      </c>
      <c r="R6" s="18" t="n">
        <f aca="false">IF(Calc!$A$5="","",Calc!O$5)</f>
        <v>0.96675109883827</v>
      </c>
      <c r="S6" s="19" t="n">
        <f aca="false">IF(Calc!$A$5="","",Calc!Q$5)</f>
        <v>0.00479955408424908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19.0791768399023</v>
      </c>
      <c r="P7" s="22" t="n">
        <f aca="false">IF(Calc!$A$6="","",Calc!L$6)</f>
        <v>15.6642290995833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0.0511882998171846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2555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0.270704744622308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46.8549422336329</v>
      </c>
      <c r="P8" s="22" t="n">
        <f aca="false">IF(Calc!$A$7="","",Calc!L$7)</f>
        <v>23.8762376866393</v>
      </c>
      <c r="Q8" s="18" t="n">
        <f aca="false">IF(Calc!$A$7="","",Calc!N$7)</f>
        <v>0.815370175653621</v>
      </c>
      <c r="R8" s="18" t="n">
        <f aca="false">IF(Calc!$A$7="","",Calc!O$7)</f>
        <v>0.322422015941481</v>
      </c>
      <c r="S8" s="19" t="n">
        <f aca="false">IF(Calc!$A$7="","",Calc!Q$7)</f>
        <v>0.0041117348297456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567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16.951866708059</v>
      </c>
      <c r="Q9" s="18" t="str">
        <f aca="false">IF(Calc!$A$8="","",Calc!N$8)</f>
        <v>N/M</v>
      </c>
      <c r="R9" s="18" t="n">
        <f aca="false">IF(Calc!$A$8="","",Calc!O$8)</f>
        <v>1.34165680811192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368.5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0.346627437746392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13.7963309621864</v>
      </c>
      <c r="P10" s="22" t="n">
        <f aca="false">IF(Calc!$A$9="","",Calc!L$9)</f>
        <v>10.0357174693439</v>
      </c>
      <c r="Q10" s="18" t="n">
        <f aca="false">IF(Calc!$A$9="","",Calc!N$9)</f>
        <v>0.220151364819341</v>
      </c>
      <c r="R10" s="18" t="n">
        <f aca="false">IF(Calc!$A$9="","",Calc!O$9)</f>
        <v>1.12823916073706</v>
      </c>
      <c r="S10" s="19" t="n">
        <f aca="false">IF(Calc!$A$9="","",Calc!Q$9)</f>
        <v>0.0271370420624152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11835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65.2461546943051</v>
      </c>
      <c r="P11" s="22" t="n">
        <f aca="false">IF(Calc!$A$10="","",Calc!L$10)</f>
        <v>25.6451474790249</v>
      </c>
      <c r="Q11" s="18" t="n">
        <f aca="false">IF(Calc!$A$10="","",Calc!N$10)</f>
        <v>0.387155459381615</v>
      </c>
      <c r="R11" s="18" t="n">
        <f aca="false">IF(Calc!$A$10="","",Calc!O$10)</f>
        <v>0.620871145040427</v>
      </c>
      <c r="S11" s="19" t="n">
        <f aca="false">IF(Calc!$A$10="","",Calc!Q$10)</f>
        <v>0.00272074355724546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2660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237.28813559322</v>
      </c>
      <c r="P12" s="22" t="n">
        <f aca="false">IF(Calc!$A$11="","",Calc!L$11)</f>
        <v>77.1874727445898</v>
      </c>
      <c r="Q12" s="18" t="n">
        <f aca="false">IF(Calc!$A$11="","",Calc!N$11)</f>
        <v>0.42123629112662</v>
      </c>
      <c r="R12" s="18" t="n">
        <f aca="false">IF(Calc!$A$11="","",Calc!O$11)</f>
        <v>0.778621353663872</v>
      </c>
      <c r="S12" s="19" t="n">
        <f aca="false">IF(Calc!$A$11="","",Calc!Q$11)</f>
        <v>0.000187978251879699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651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67.5311203319502</v>
      </c>
      <c r="P13" s="22" t="str">
        <f aca="false">IF(Calc!$A$12="","",Calc!L$12)</f>
        <v>N/M</v>
      </c>
      <c r="Q13" s="18" t="n">
        <f aca="false">IF(Calc!$A$12="","",Calc!N$12)</f>
        <v>0.253362120503608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1010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0.134479261477276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171.186440677966</v>
      </c>
      <c r="P14" s="22" t="n">
        <f aca="false">IF(Calc!$A$13="","",Calc!L$13)</f>
        <v>43.1153737801105</v>
      </c>
      <c r="Q14" s="18" t="n">
        <f aca="false">IF(Calc!$A$13="","",Calc!N$13)</f>
        <v>0.441653716887717</v>
      </c>
      <c r="R14" s="18" t="n">
        <f aca="false">IF(Calc!$A$13="","",Calc!O$13)</f>
        <v>0.304156794189866</v>
      </c>
      <c r="S14" s="19" t="n">
        <f aca="false">IF(Calc!$A$13="","",Calc!Q$13)</f>
        <v>0.000990269237623763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1480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13.091660282806</v>
      </c>
      <c r="Q15" s="18" t="str">
        <f aca="false">IF(Calc!$A$14="","",Calc!N$14)</f>
        <v>N/M</v>
      </c>
      <c r="R15" s="18" t="n">
        <f aca="false">IF(Calc!$A$14="","",Calc!O$14)</f>
        <v>0.119401949424445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161.5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24.1766467065868</v>
      </c>
      <c r="P16" s="22" t="n">
        <f aca="false">IF(Calc!$A$15="","",Calc!L$15)</f>
        <v>22.5842483263146</v>
      </c>
      <c r="Q16" s="18" t="n">
        <f aca="false">IF(Calc!$A$15="","",Calc!N$15)</f>
        <v>0.218347493048092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4980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0.257223026699568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82.0563519525457</v>
      </c>
      <c r="P17" s="22" t="n">
        <f aca="false">IF(Calc!$A$16="","",Calc!L$16)</f>
        <v>39.2456642964273</v>
      </c>
      <c r="Q17" s="18" t="str">
        <f aca="false">IF(Calc!$A$16="","",Calc!N$16)</f>
        <v>N/M</v>
      </c>
      <c r="R17" s="18" t="n">
        <f aca="false">IF(Calc!$A$16="","",Calc!O$16)</f>
        <v>0.340482300166337</v>
      </c>
      <c r="S17" s="19" t="n">
        <f aca="false">IF(Calc!$A$16="","",Calc!Q$16)</f>
        <v>0.0108434171626506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93.2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34.5185185185185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90.2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15.2364864864865</v>
      </c>
      <c r="P19" s="22" t="n">
        <f aca="false">IF(Calc!$A$18="","",Calc!L$18)</f>
        <v>13.2104316595115</v>
      </c>
      <c r="Q19" s="18" t="n">
        <f aca="false">IF(Calc!$A$18="","",Calc!N$18)</f>
        <v>0.618575306075306</v>
      </c>
      <c r="R19" s="18" t="n">
        <f aca="false">IF(Calc!$A$18="","",Calc!O$18)</f>
        <v>0.475606181216208</v>
      </c>
      <c r="S19" s="19" t="n">
        <f aca="false">IF(Calc!$A$18="","",Calc!Q$18)</f>
        <v>0.0444505192904656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2110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7.26132815262811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538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63.2197414806111</v>
      </c>
      <c r="P21" s="22" t="n">
        <f aca="false">IF(Calc!$A$20="","",Calc!L$20)</f>
        <v>57.4000278415127</v>
      </c>
      <c r="Q21" s="18" t="str">
        <f aca="false">IF(Calc!$A$20="","",Calc!N$20)</f>
        <v>N/M</v>
      </c>
      <c r="R21" s="18" t="n">
        <f aca="false">IF(Calc!$A$20="","",Calc!O$20)</f>
        <v>1.961525607126</v>
      </c>
      <c r="S21" s="19" t="n">
        <f aca="false">IF(Calc!$A$20="","",Calc!Q$20)</f>
        <v>0.00371747211895911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557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90.5691056910569</v>
      </c>
      <c r="P22" s="22" t="n">
        <f aca="false">IF(Calc!$A$21="","",Calc!L$21)</f>
        <v>44.7403341908537</v>
      </c>
      <c r="Q22" s="18" t="n">
        <f aca="false">IF(Calc!$A$21="","",Calc!N$21)</f>
        <v>2.02588789045785</v>
      </c>
      <c r="R22" s="18" t="n">
        <f aca="false">IF(Calc!$A$21="","",Calc!O$21)</f>
        <v>0.490550548472416</v>
      </c>
      <c r="S22" s="19" t="n">
        <f aca="false">IF(Calc!$A$21="","",Calc!Q$21)</f>
        <v>0.00277312895870736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641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66.7065334893314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180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19.8675496688742</v>
      </c>
      <c r="P24" s="22" t="n">
        <f aca="false">IF(Calc!$A$23="","",Calc!L$23)</f>
        <v>4.03924748280829</v>
      </c>
      <c r="Q24" s="18" t="str">
        <f aca="false">IF(Calc!$A$23="","",Calc!N$23)</f>
        <v>N/M</v>
      </c>
      <c r="R24" s="18" t="n">
        <f aca="false">IF(Calc!$A$23="","",Calc!O$23)</f>
        <v>0.0405390699823023</v>
      </c>
      <c r="S24" s="19" t="n">
        <f aca="false">IF(Calc!$A$23="","",Calc!Q$23)</f>
        <v>0.00277777777777778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515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104.674796747967</v>
      </c>
      <c r="P26" s="22" t="n">
        <f aca="false">IF(Calc!$A$25="","",Calc!L$25)</f>
        <v>43.0242272347535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0.00194174757281553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531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43.2532978645058</v>
      </c>
      <c r="Q27" s="18" t="str">
        <f aca="false">IF(Calc!$A$26="","",Calc!N$26)</f>
        <v>N/M</v>
      </c>
      <c r="R27" s="18" t="n">
        <f aca="false">IF(Calc!$A$26="","",Calc!O$26)</f>
        <v>0.233077119795078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7900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202.512176365035</v>
      </c>
      <c r="P28" s="22" t="n">
        <f aca="false">IF(Calc!$A$27="","",Calc!L$27)</f>
        <v>77.0684792208654</v>
      </c>
      <c r="Q28" s="18" t="n">
        <f aca="false">IF(Calc!$A$27="","",Calc!N$27)</f>
        <v>4.57471115197204</v>
      </c>
      <c r="R28" s="18" t="n">
        <f aca="false">IF(Calc!$A$27="","",Calc!O$27)</f>
        <v>0.609384162772354</v>
      </c>
      <c r="S28" s="19" t="n">
        <f aca="false">IF(Calc!$A$27="","",Calc!Q$27)</f>
        <v>0.00253164556962025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3">
    <cfRule type="cellIs" priority="8" operator="lessThan" aboveAverage="0" equalAverage="0" bottom="0" percent="0" rank="0" text="" dxfId="63">
      <formula>1.5</formula>
    </cfRule>
  </conditionalFormatting>
  <conditionalFormatting sqref="R3:R33">
    <cfRule type="cellIs" priority="9" operator="lessThan" aboveAverage="0" equalAverage="0" bottom="0" percent="0" rank="0" text="" dxfId="63">
      <formula>1.5</formula>
    </cfRule>
  </conditionalFormatting>
  <conditionalFormatting sqref="L3:L33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3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2510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46296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29.0913305516922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18.6836042299766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0.546590865320582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0.571397961241143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134.342387534247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0.00876498015139442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0.434855197641893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0.326980589664577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2510</v>
      </c>
      <c r="L12" s="55" t="n">
        <f aca="false">IF(Stock_Card!$B$2="","",IFERROR(INDEX(Calc!$Q$2:$Q$100,MATCH(Stock_Card!$B$2,Calc!$A$2:$A$100,0)),""))</f>
        <v>0.00876498015139442</v>
      </c>
      <c r="M12" s="58" t="n">
        <f aca="false">IF(Stock_Card!$B$2="","",IFERROR(INDEX(Calc!$J$2:$J$100,MATCH(Stock_Card!$B$2,Calc!$A$2:$A$100,0)),""))</f>
        <v>29.0913305516922</v>
      </c>
      <c r="N12" s="57" t="n">
        <f aca="false">IF(Stock_Card!$B$2="","",IFERROR(INDEX(Calc!$N$2:$N$100,MATCH(Stock_Card!$B$2,Calc!$A$2:$A$100,0)),""))</f>
        <v>0.546590865320582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134.342387534247</v>
      </c>
      <c r="H13" s="55" t="n">
        <f aca="false">IF(Stock_Card!$B$2="","",IFERROR(INDEX(Calc!$M$2:$M$100,MATCH(Stock_Card!$B$2,Calc!$A$2:$A$100,0)),""))</f>
        <v>0.326980589664577</v>
      </c>
      <c r="I13" s="55" t="n">
        <f aca="false">IF(Stock_Card!$B$2="","",IFERROR(INDEX(Calc!$AI$2:$AI$100,MATCH(Stock_Card!$B$2,Calc!$A$2:$A$100,0)),""))</f>
        <v>0.434855197641893</v>
      </c>
      <c r="J13" s="59"/>
      <c r="K13" s="59"/>
      <c r="L13" s="59"/>
      <c r="M13" s="58" t="n">
        <f aca="false">IF(Stock_Card!$B$2="","",IFERROR(INDEX(Calc!$L$2:$L$100,MATCH(Stock_Card!$B$2,Calc!$A$2:$A$100,0)),""))</f>
        <v>18.6836042299766</v>
      </c>
      <c r="N13" s="57" t="n">
        <f aca="false">IF(Stock_Card!$B$2="","",IFERROR(INDEX(Calc!$O$2:$O$100,MATCH(Stock_Card!$B$2,Calc!$A$2:$A$100,0)),""))</f>
        <v>0.571397961241143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{35D460C0-A7A4-4B16-84F3-53F9CFD0D1DE}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460C0-A7A4-4B16-84F3-53F9CFD0D1D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-46296</v>
      </c>
      <c r="I4" s="67" t="n">
        <f aca="false">IF($A4="","",IFERROR(INDEX(Raw_Price!$E$2:$E$100,MATCH($A4,Raw_Price!$A$2:$A$100,0)),""))</f>
        <v>46296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-46296</v>
      </c>
      <c r="I5" s="67" t="n">
        <f aca="false">IF($A5="","",IFERROR(INDEX(Raw_Price!$E$2:$E$100,MATCH($A5,Raw_Price!$A$2:$A$100,0)),""))</f>
        <v>46296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-46296</v>
      </c>
      <c r="I6" s="67" t="n">
        <f aca="false">IF($A6="","",IFERROR(INDEX(Raw_Price!$E$2:$E$100,MATCH($A6,Raw_Price!$A$2:$A$100,0)),""))</f>
        <v>46296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-46296</v>
      </c>
      <c r="I7" s="67" t="n">
        <f aca="false">IF($A7="","",IFERROR(INDEX(Raw_Price!$E$2:$E$100,MATCH($A7,Raw_Price!$A$2:$A$100,0)),""))</f>
        <v>46296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-46296</v>
      </c>
      <c r="I8" s="67" t="n">
        <f aca="false">IF($A8="","",IFERROR(INDEX(Raw_Price!$E$2:$E$100,MATCH($A8,Raw_Price!$A$2:$A$100,0)),""))</f>
        <v>46296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-46296</v>
      </c>
      <c r="I9" s="67" t="n">
        <f aca="false">IF($A9="","",IFERROR(INDEX(Raw_Price!$E$2:$E$100,MATCH($A9,Raw_Price!$A$2:$A$100,0)),""))</f>
        <v>46296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-46296</v>
      </c>
      <c r="I10" s="67" t="n">
        <f aca="false">IF($A10="","",IFERROR(INDEX(Raw_Price!$E$2:$E$100,MATCH($A10,Raw_Price!$A$2:$A$100,0)),""))</f>
        <v>46296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-46296</v>
      </c>
      <c r="I11" s="67" t="n">
        <f aca="false">IF($A11="","",IFERROR(INDEX(Raw_Price!$E$2:$E$100,MATCH($A11,Raw_Price!$A$2:$A$100,0)),""))</f>
        <v>46296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-46296</v>
      </c>
      <c r="I12" s="67" t="n">
        <f aca="false">IF($A12="","",IFERROR(INDEX(Raw_Price!$E$2:$E$100,MATCH($A12,Raw_Price!$A$2:$A$100,0)),""))</f>
        <v>46296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-46296</v>
      </c>
      <c r="I13" s="67" t="n">
        <f aca="false">IF($A13="","",IFERROR(INDEX(Raw_Price!$E$2:$E$100,MATCH($A13,Raw_Price!$A$2:$A$100,0)),""))</f>
        <v>46296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-46296</v>
      </c>
      <c r="I14" s="67" t="n">
        <f aca="false">IF($A14="","",IFERROR(INDEX(Raw_Price!$E$2:$E$100,MATCH($A14,Raw_Price!$A$2:$A$100,0)),""))</f>
        <v>46296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-46296</v>
      </c>
      <c r="I15" s="67" t="n">
        <f aca="false">IF($A15="","",IFERROR(INDEX(Raw_Price!$E$2:$E$100,MATCH($A15,Raw_Price!$A$2:$A$100,0)),""))</f>
        <v>46296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-46296</v>
      </c>
      <c r="I16" s="67" t="n">
        <f aca="false">IF($A16="","",IFERROR(INDEX(Raw_Price!$E$2:$E$100,MATCH($A16,Raw_Price!$A$2:$A$100,0)),""))</f>
        <v>46296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-46296</v>
      </c>
      <c r="I17" s="67" t="n">
        <f aca="false">IF($A17="","",IFERROR(INDEX(Raw_Price!$E$2:$E$100,MATCH($A17,Raw_Price!$A$2:$A$100,0)),""))</f>
        <v>46296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-46296</v>
      </c>
      <c r="I18" s="67" t="n">
        <f aca="false">IF($A18="","",IFERROR(INDEX(Raw_Price!$E$2:$E$100,MATCH($A18,Raw_Price!$A$2:$A$100,0)),""))</f>
        <v>46296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-46296</v>
      </c>
      <c r="I19" s="67" t="n">
        <f aca="false">IF($A19="","",IFERROR(INDEX(Raw_Price!$E$2:$E$100,MATCH($A19,Raw_Price!$A$2:$A$100,0)),""))</f>
        <v>46296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-46296</v>
      </c>
      <c r="I20" s="67" t="n">
        <f aca="false">IF($A20="","",IFERROR(INDEX(Raw_Price!$E$2:$E$100,MATCH($A20,Raw_Price!$A$2:$A$100,0)),""))</f>
        <v>46296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-46296</v>
      </c>
      <c r="I21" s="67" t="n">
        <f aca="false">IF($A21="","",IFERROR(INDEX(Raw_Price!$E$2:$E$100,MATCH($A21,Raw_Price!$A$2:$A$100,0)),""))</f>
        <v>46296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-46296</v>
      </c>
      <c r="I22" s="67" t="n">
        <f aca="false">IF($A22="","",IFERROR(INDEX(Raw_Price!$E$2:$E$100,MATCH($A22,Raw_Price!$A$2:$A$100,0)),""))</f>
        <v>46296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-46296</v>
      </c>
      <c r="I23" s="67" t="n">
        <f aca="false">IF($A23="","",IFERROR(INDEX(Raw_Price!$E$2:$E$100,MATCH($A23,Raw_Price!$A$2:$A$100,0)),""))</f>
        <v>46296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-46296</v>
      </c>
      <c r="I24" s="67" t="n">
        <f aca="false">IF($A24="","",IFERROR(INDEX(Raw_Price!$E$2:$E$100,MATCH($A24,Raw_Price!$A$2:$A$100,0)),""))</f>
        <v>46296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-46296</v>
      </c>
      <c r="I25" s="67" t="n">
        <f aca="false">IF($A25="","",IFERROR(INDEX(Raw_Price!$E$2:$E$100,MATCH($A25,Raw_Price!$A$2:$A$100,0)),""))</f>
        <v>46296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-46296</v>
      </c>
      <c r="I27" s="67" t="n">
        <f aca="false">IF($A27="","",IFERROR(INDEX(Raw_Price!$E$2:$E$100,MATCH($A27,Raw_Price!$A$2:$A$100,0)),""))</f>
        <v>46296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-46296</v>
      </c>
      <c r="I28" s="67" t="n">
        <f aca="false">IF($A28="","",IFERROR(INDEX(Raw_Price!$E$2:$E$100,MATCH($A28,Raw_Price!$A$2:$A$100,0)),""))</f>
        <v>46296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-46296</v>
      </c>
      <c r="I29" s="67" t="n">
        <f aca="false">IF($A29="","",IFERROR(INDEX(Raw_Price!$E$2:$E$100,MATCH($A29,Raw_Price!$A$2:$A$100,0)),""))</f>
        <v>46296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46296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46296</v>
      </c>
    </row>
    <row r="4" customFormat="false" ht="15" hidden="false" customHeight="false" outlineLevel="0" collapsed="false">
      <c r="A4" s="79" t="s">
        <v>345</v>
      </c>
      <c r="B4" s="83" t="n">
        <v>20.06225</v>
      </c>
      <c r="C4" s="83" t="n">
        <v>31.32791</v>
      </c>
      <c r="D4" s="81" t="n">
        <v>46387</v>
      </c>
      <c r="E4" s="80" t="n">
        <v>3</v>
      </c>
      <c r="F4" s="81" t="n">
        <v>46296</v>
      </c>
    </row>
    <row r="5" customFormat="false" ht="15" hidden="false" customHeight="false" outlineLevel="0" collapsed="false">
      <c r="A5" s="79" t="s">
        <v>79</v>
      </c>
      <c r="B5" s="83" t="n">
        <v>107.86573</v>
      </c>
      <c r="C5" s="83" t="n">
        <v>143.13573</v>
      </c>
      <c r="D5" s="81" t="n">
        <v>46387</v>
      </c>
      <c r="E5" s="80" t="n">
        <v>23</v>
      </c>
      <c r="F5" s="81" t="n">
        <v>46296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46296</v>
      </c>
    </row>
    <row r="7" customFormat="false" ht="15" hidden="false" customHeight="false" outlineLevel="0" collapsed="false">
      <c r="A7" s="79" t="s">
        <v>205</v>
      </c>
      <c r="B7" s="83" t="n">
        <v>34.42047</v>
      </c>
      <c r="C7" s="83" t="n">
        <v>37.48218</v>
      </c>
      <c r="D7" s="81" t="n">
        <v>46387</v>
      </c>
      <c r="E7" s="80" t="n">
        <v>8</v>
      </c>
      <c r="F7" s="81" t="n">
        <v>46296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46296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68.02906</v>
      </c>
      <c r="C10" s="83" t="n">
        <v>146.4427</v>
      </c>
      <c r="D10" s="81" t="n">
        <v>46387</v>
      </c>
      <c r="E10" s="80" t="n">
        <v>15</v>
      </c>
      <c r="F10" s="81" t="n">
        <v>46296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46296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46296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46296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46296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46296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46296</v>
      </c>
    </row>
    <row r="17" customFormat="false" ht="15" hidden="false" customHeight="false" outlineLevel="0" collapsed="false">
      <c r="A17" s="79" t="s">
        <v>216</v>
      </c>
      <c r="B17" s="83" t="n">
        <v>11.34889</v>
      </c>
      <c r="C17" s="83" t="n">
        <v>27.43637</v>
      </c>
      <c r="D17" s="81" t="n">
        <v>46387</v>
      </c>
      <c r="E17" s="80" t="n">
        <v>9</v>
      </c>
      <c r="F17" s="81" t="n">
        <v>46296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46296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46296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46296</v>
      </c>
    </row>
    <row r="22" customFormat="false" ht="15" hidden="false" customHeight="false" outlineLevel="0" collapsed="false">
      <c r="A22" s="79" t="s">
        <v>197</v>
      </c>
      <c r="B22" s="83" t="n">
        <v>68.77689</v>
      </c>
      <c r="C22" s="83" t="n">
        <v>119.70807</v>
      </c>
      <c r="D22" s="81" t="n">
        <v>46387</v>
      </c>
      <c r="E22" s="80" t="n">
        <v>9</v>
      </c>
      <c r="F22" s="81" t="n">
        <v>46296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46296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46296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46296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46296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46296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46296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46296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11835</v>
      </c>
      <c r="C2" s="81" t="n">
        <v>46296</v>
      </c>
      <c r="D2" s="81"/>
      <c r="E2" s="81" t="n">
        <v>46296</v>
      </c>
    </row>
    <row r="3" customFormat="false" ht="15" hidden="false" customHeight="false" outlineLevel="0" collapsed="false">
      <c r="A3" s="79" t="s">
        <v>220</v>
      </c>
      <c r="B3" s="83" t="n">
        <v>161.5</v>
      </c>
      <c r="C3" s="81" t="n">
        <v>46296</v>
      </c>
      <c r="D3" s="81"/>
      <c r="E3" s="81" t="n">
        <v>46296</v>
      </c>
    </row>
    <row r="4" customFormat="false" ht="15" hidden="false" customHeight="false" outlineLevel="0" collapsed="false">
      <c r="A4" s="79" t="s">
        <v>345</v>
      </c>
      <c r="B4" s="83" t="n">
        <v>602</v>
      </c>
      <c r="C4" s="81" t="n">
        <v>46296</v>
      </c>
      <c r="D4" s="81"/>
      <c r="E4" s="81" t="n">
        <v>46296</v>
      </c>
    </row>
    <row r="5" customFormat="false" ht="15" hidden="false" customHeight="false" outlineLevel="0" collapsed="false">
      <c r="A5" s="79" t="s">
        <v>79</v>
      </c>
      <c r="B5" s="83" t="n">
        <v>2510</v>
      </c>
      <c r="C5" s="81" t="n">
        <v>46296</v>
      </c>
      <c r="D5" s="81"/>
      <c r="E5" s="81" t="n">
        <v>46296</v>
      </c>
    </row>
    <row r="6" customFormat="false" ht="15" hidden="false" customHeight="false" outlineLevel="0" collapsed="false">
      <c r="A6" s="79" t="s">
        <v>236</v>
      </c>
      <c r="B6" s="83" t="n">
        <v>180</v>
      </c>
      <c r="C6" s="81" t="n">
        <v>46296</v>
      </c>
      <c r="D6" s="81"/>
      <c r="E6" s="81" t="n">
        <v>46296</v>
      </c>
    </row>
    <row r="7" customFormat="false" ht="15" hidden="false" customHeight="false" outlineLevel="0" collapsed="false">
      <c r="A7" s="79" t="s">
        <v>205</v>
      </c>
      <c r="B7" s="83" t="n">
        <v>368.5</v>
      </c>
      <c r="C7" s="81" t="n">
        <v>46296</v>
      </c>
      <c r="D7" s="81"/>
      <c r="E7" s="81" t="n">
        <v>46296</v>
      </c>
    </row>
    <row r="8" customFormat="false" ht="15" hidden="false" customHeight="false" outlineLevel="0" collapsed="false">
      <c r="A8" s="79" t="s">
        <v>182</v>
      </c>
      <c r="B8" s="83" t="n">
        <v>519</v>
      </c>
      <c r="C8" s="81" t="n">
        <v>46296</v>
      </c>
      <c r="D8" s="81"/>
      <c r="E8" s="81" t="n">
        <v>46296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4980</v>
      </c>
      <c r="C10" s="81" t="n">
        <v>46296</v>
      </c>
      <c r="D10" s="81"/>
      <c r="E10" s="81" t="n">
        <v>46296</v>
      </c>
    </row>
    <row r="11" customFormat="false" ht="15" hidden="false" customHeight="false" outlineLevel="0" collapsed="false">
      <c r="A11" s="79" t="s">
        <v>190</v>
      </c>
      <c r="B11" s="83" t="n">
        <v>546</v>
      </c>
      <c r="C11" s="81" t="n">
        <v>46296</v>
      </c>
      <c r="D11" s="81"/>
      <c r="E11" s="81" t="n">
        <v>46296</v>
      </c>
    </row>
    <row r="12" customFormat="false" ht="15" hidden="false" customHeight="false" outlineLevel="0" collapsed="false">
      <c r="A12" s="79" t="s">
        <v>224</v>
      </c>
      <c r="B12" s="83" t="n">
        <v>93.2</v>
      </c>
      <c r="C12" s="81" t="n">
        <v>46296</v>
      </c>
      <c r="D12" s="81"/>
      <c r="E12" s="81" t="n">
        <v>46296</v>
      </c>
    </row>
    <row r="13" customFormat="false" ht="15" hidden="false" customHeight="false" outlineLevel="0" collapsed="false">
      <c r="A13" s="79" t="s">
        <v>195</v>
      </c>
      <c r="B13" s="83" t="n">
        <v>547</v>
      </c>
      <c r="C13" s="81" t="n">
        <v>46296</v>
      </c>
      <c r="D13" s="81"/>
      <c r="E13" s="81" t="n">
        <v>46296</v>
      </c>
    </row>
    <row r="14" customFormat="false" ht="15" hidden="false" customHeight="false" outlineLevel="0" collapsed="false">
      <c r="A14" s="79" t="s">
        <v>210</v>
      </c>
      <c r="B14" s="83" t="n">
        <v>2660</v>
      </c>
      <c r="C14" s="81" t="n">
        <v>46296</v>
      </c>
      <c r="D14" s="81"/>
      <c r="E14" s="81" t="n">
        <v>46296</v>
      </c>
    </row>
    <row r="15" customFormat="false" ht="15" hidden="false" customHeight="false" outlineLevel="0" collapsed="false">
      <c r="A15" s="79" t="s">
        <v>230</v>
      </c>
      <c r="B15" s="83" t="n">
        <v>538</v>
      </c>
      <c r="C15" s="81" t="n">
        <v>46296</v>
      </c>
      <c r="D15" s="81"/>
      <c r="E15" s="81" t="n">
        <v>46296</v>
      </c>
    </row>
    <row r="16" customFormat="false" ht="15" hidden="false" customHeight="false" outlineLevel="0" collapsed="false">
      <c r="A16" s="79" t="s">
        <v>212</v>
      </c>
      <c r="B16" s="83" t="n">
        <v>651</v>
      </c>
      <c r="C16" s="81" t="n">
        <v>46296</v>
      </c>
      <c r="D16" s="81"/>
      <c r="E16" s="81" t="n">
        <v>46296</v>
      </c>
    </row>
    <row r="17" customFormat="false" ht="15" hidden="false" customHeight="false" outlineLevel="0" collapsed="false">
      <c r="A17" s="79" t="s">
        <v>216</v>
      </c>
      <c r="B17" s="83" t="n">
        <v>1010</v>
      </c>
      <c r="C17" s="81" t="n">
        <v>46296</v>
      </c>
      <c r="D17" s="81"/>
      <c r="E17" s="81" t="n">
        <v>46296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641</v>
      </c>
      <c r="C19" s="81" t="n">
        <v>46296</v>
      </c>
      <c r="D19" s="81"/>
      <c r="E19" s="81" t="n">
        <v>46296</v>
      </c>
    </row>
    <row r="20" customFormat="false" ht="15" hidden="false" customHeight="false" outlineLevel="0" collapsed="false">
      <c r="A20" s="79" t="s">
        <v>245</v>
      </c>
      <c r="B20" s="83" t="n">
        <v>7900</v>
      </c>
      <c r="C20" s="81" t="n">
        <v>46296</v>
      </c>
      <c r="D20" s="81"/>
      <c r="E20" s="81" t="n">
        <v>46296</v>
      </c>
    </row>
    <row r="21" customFormat="false" ht="15" hidden="false" customHeight="false" outlineLevel="0" collapsed="false">
      <c r="A21" s="79" t="s">
        <v>241</v>
      </c>
      <c r="B21" s="83" t="n">
        <v>515</v>
      </c>
      <c r="C21" s="81" t="n">
        <v>46296</v>
      </c>
      <c r="D21" s="81"/>
      <c r="E21" s="81" t="n">
        <v>46296</v>
      </c>
    </row>
    <row r="22" customFormat="false" ht="15" hidden="false" customHeight="false" outlineLevel="0" collapsed="false">
      <c r="A22" s="79" t="s">
        <v>197</v>
      </c>
      <c r="B22" s="83" t="n">
        <v>2555</v>
      </c>
      <c r="C22" s="81" t="n">
        <v>46296</v>
      </c>
      <c r="D22" s="81"/>
      <c r="E22" s="81" t="n">
        <v>46296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90.2</v>
      </c>
      <c r="C24" s="81" t="n">
        <v>46296</v>
      </c>
      <c r="D24" s="81"/>
      <c r="E24" s="81" t="n">
        <v>46296</v>
      </c>
    </row>
    <row r="25" customFormat="false" ht="15" hidden="false" customHeight="false" outlineLevel="0" collapsed="false">
      <c r="A25" s="79" t="s">
        <v>232</v>
      </c>
      <c r="B25" s="83" t="n">
        <v>557</v>
      </c>
      <c r="C25" s="81" t="n">
        <v>46296</v>
      </c>
      <c r="D25" s="81"/>
      <c r="E25" s="81" t="n">
        <v>46296</v>
      </c>
    </row>
    <row r="26" customFormat="false" ht="15" hidden="false" customHeight="false" outlineLevel="0" collapsed="false">
      <c r="A26" s="79" t="s">
        <v>186</v>
      </c>
      <c r="B26" s="83" t="n">
        <v>1290</v>
      </c>
      <c r="C26" s="81" t="n">
        <v>46296</v>
      </c>
      <c r="D26" s="81"/>
      <c r="E26" s="81" t="n">
        <v>46296</v>
      </c>
    </row>
    <row r="27" customFormat="false" ht="15" hidden="false" customHeight="false" outlineLevel="0" collapsed="false">
      <c r="A27" s="79" t="s">
        <v>201</v>
      </c>
      <c r="B27" s="83" t="n">
        <v>567</v>
      </c>
      <c r="C27" s="81" t="n">
        <v>46296</v>
      </c>
      <c r="D27" s="81"/>
      <c r="E27" s="81" t="n">
        <v>46296</v>
      </c>
    </row>
    <row r="28" customFormat="false" ht="15" hidden="false" customHeight="false" outlineLevel="0" collapsed="false">
      <c r="A28" s="79" t="s">
        <v>218</v>
      </c>
      <c r="B28" s="83" t="n">
        <v>1480</v>
      </c>
      <c r="C28" s="81" t="n">
        <v>46296</v>
      </c>
      <c r="D28" s="81"/>
      <c r="E28" s="81" t="n">
        <v>46296</v>
      </c>
    </row>
    <row r="29" customFormat="false" ht="15" hidden="false" customHeight="false" outlineLevel="0" collapsed="false">
      <c r="A29" s="79" t="s">
        <v>243</v>
      </c>
      <c r="B29" s="83" t="n">
        <v>531</v>
      </c>
      <c r="C29" s="81" t="n">
        <v>46296</v>
      </c>
      <c r="D29" s="81"/>
      <c r="E29" s="81" t="n">
        <v>46296</v>
      </c>
    </row>
    <row r="30" customFormat="false" ht="15" hidden="false" customHeight="false" outlineLevel="0" collapsed="false">
      <c r="A30" s="79" t="s">
        <v>228</v>
      </c>
      <c r="B30" s="83" t="n">
        <v>2110</v>
      </c>
      <c r="C30" s="81" t="n">
        <v>46296</v>
      </c>
      <c r="D30" s="81"/>
      <c r="E30" s="81" t="n">
        <v>46296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134.342387534247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29.0913305516922</v>
      </c>
      <c r="K2" s="52" t="n">
        <f aca="false">IF($A2="","",IFERROR(IF(G2&lt;=0,"N/M",D2/G2),"N/M"))</f>
        <v>25.8678962608729</v>
      </c>
      <c r="L2" s="52" t="n">
        <f aca="false">IF($A2="","",IFERROR(IF(H2&lt;=0,"N/M",D2/H2),"N/M"))</f>
        <v>18.6836042299766</v>
      </c>
      <c r="M2" s="49" t="n">
        <f aca="false">IF($A2="","",IFERROR(INDEX(Raw_Est!$C$2:$C$100,MATCH($A2,Raw_Est!$A$2:$A$100,0))/INDEX(Raw_Est!$B$2:$B$100,MATCH($A2,Raw_Est!$A$2:$A$100,0))-1,""))</f>
        <v>0.326980589664577</v>
      </c>
      <c r="N2" s="51" t="n">
        <f aca="false">IF($A2="","",IFERROR(IF(OR(NOT(ISNUMBER(J2)),I2&lt;Config!$B$6),"N/M",J2/(I2*100)),"N/M"))</f>
        <v>0.546590865320582</v>
      </c>
      <c r="O2" s="51" t="n">
        <f aca="false">IF($A2="","",IFERROR(IF(OR(NOT(ISNUMBER(L2)),M2&lt;Config!$B$6),"N/M",L2/(M2*100)),"N/M"))</f>
        <v>0.571397961241143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0.00876498015139442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0.434855197641893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46296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519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93.9242155890411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19.1160220994475</v>
      </c>
      <c r="K3" s="52" t="n">
        <f aca="false">IF($A3="","",IFERROR(IF(G3&lt;=0,"N/M",D3/G3),"N/M"))</f>
        <v>10.9268103714168</v>
      </c>
      <c r="L3" s="52" t="n">
        <f aca="false">IF($A3="","",IFERROR(IF(H3&lt;=0,"N/M",D3/H3),"N/M"))</f>
        <v>5.52573153520758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0.117797790357944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46296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234.313390630137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5.50544719843289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46296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546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8.35174082191781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132.52427184466</v>
      </c>
      <c r="K5" s="52" t="n">
        <f aca="false">IF($A5="","",IFERROR(IF(G5&lt;=0,"N/M",D5/G5),"N/M"))</f>
        <v>116.31151888784</v>
      </c>
      <c r="L5" s="52" t="n">
        <f aca="false">IF($A5="","",IFERROR(IF(H5&lt;=0,"N/M",D5/H5),"N/M"))</f>
        <v>65.3755919445094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2.15246428792282</v>
      </c>
      <c r="O5" s="51" t="n">
        <f aca="false">IF($A5="","",IFERROR(IF(OR(NOT(ISNUMBER(L5)),M5&lt;Config!$B$6),"N/M",L5/(M5*100)),"N/M"))</f>
        <v>0.96675109883827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0.00479955408424908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46296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34.9203268493151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19.0791768399023</v>
      </c>
      <c r="K6" s="52" t="n">
        <f aca="false">IF($A6="","",IFERROR(IF(G6&lt;=0,"N/M",D6/G6),"N/M"))</f>
        <v>16.9703279864907</v>
      </c>
      <c r="L6" s="52" t="n">
        <f aca="false">IF($A6="","",IFERROR(IF(H6&lt;=0,"N/M",D6/H6),"N/M"))</f>
        <v>15.6642290995833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0.0511882998171846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46296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2555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107.010159369863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46.8549422336329</v>
      </c>
      <c r="K7" s="52" t="n">
        <f aca="false">IF($A7="","",IFERROR(IF(G7&lt;=0,"N/M",D7/G7),"N/M"))</f>
        <v>42.7516680261864</v>
      </c>
      <c r="L7" s="52" t="n">
        <f aca="false">IF($A7="","",IFERROR(IF(H7&lt;=0,"N/M",D7/H7),"N/M"))</f>
        <v>23.8762376866393</v>
      </c>
      <c r="M7" s="49" t="n">
        <f aca="false">IF($A7="","",IFERROR(INDEX(Raw_Est!$C$2:$C$100,MATCH($A7,Raw_Est!$A$2:$A$100,0))/INDEX(Raw_Est!$B$2:$B$100,MATCH($A7,Raw_Est!$A$2:$A$100,0))-1,""))</f>
        <v>0.740527523125864</v>
      </c>
      <c r="N7" s="51" t="n">
        <f aca="false">IF($A7="","",IFERROR(IF(OR(NOT(ISNUMBER(J7)),I7&lt;Config!$B$6),"N/M",J7/(I7*100)),"N/M"))</f>
        <v>0.815370175653621</v>
      </c>
      <c r="O7" s="51" t="n">
        <f aca="false">IF($A7="","",IFERROR(IF(OR(NOT(ISNUMBER(L7)),M7&lt;Config!$B$6),"N/M",L7/(M7*100)),"N/M"))</f>
        <v>0.322422015941481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0.0041117348297456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0.270704744622308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46296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567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33.4476438356164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16.951866708059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1.34165680811192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46296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368.5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36.7188495616438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13.7963309621864</v>
      </c>
      <c r="K9" s="52" t="n">
        <f aca="false">IF($A9="","",IFERROR(IF(G9&lt;=0,"N/M",D9/G9),"N/M"))</f>
        <v>12.1350191295322</v>
      </c>
      <c r="L9" s="52" t="n">
        <f aca="false">IF($A9="","",IFERROR(IF(H9&lt;=0,"N/M",D9/H9),"N/M"))</f>
        <v>10.0357174693439</v>
      </c>
      <c r="M9" s="49" t="n">
        <f aca="false">IF($A9="","",IFERROR(INDEX(Raw_Est!$C$2:$C$100,MATCH($A9,Raw_Est!$A$2:$A$100,0))/INDEX(Raw_Est!$B$2:$B$100,MATCH($A9,Raw_Est!$A$2:$A$100,0))-1,""))</f>
        <v>0.0889502670939706</v>
      </c>
      <c r="N9" s="51" t="n">
        <f aca="false">IF($A9="","",IFERROR(IF(OR(NOT(ISNUMBER(J9)),I9&lt;Config!$B$6),"N/M",J9/(I9*100)),"N/M"))</f>
        <v>0.220151364819341</v>
      </c>
      <c r="O9" s="51" t="n">
        <f aca="false">IF($A9="","",IFERROR(IF(OR(NOT(ISNUMBER(L9)),M9&lt;Config!$B$6),"N/M",L9/(M9*100)),"N/M"))</f>
        <v>1.12823916073706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0.0271370420624152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0.346627437746392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46296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11835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461.490814575343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65.2461546943051</v>
      </c>
      <c r="K10" s="52" t="n">
        <f aca="false">IF($A10="","",IFERROR(IF(G10&lt;=0,"N/M",D10/G10),"N/M"))</f>
        <v>44.4522485757721</v>
      </c>
      <c r="L10" s="52" t="n">
        <f aca="false">IF($A10="","",IFERROR(IF(H10&lt;=0,"N/M",D10/H10),"N/M"))</f>
        <v>25.6451474790249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0.387155459381615</v>
      </c>
      <c r="O10" s="51" t="n">
        <f aca="false">IF($A10="","",IFERROR(IF(OR(NOT(ISNUMBER(L10)),M10&lt;Config!$B$6),"N/M",L10/(M10*100)),"N/M"))</f>
        <v>0.620871145040427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0.00272074355724546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46296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2660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34.461550630137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237.28813559322</v>
      </c>
      <c r="K11" s="52" t="n">
        <f aca="false">IF($A11="","",IFERROR(IF(G11&lt;=0,"N/M",D11/G11),"N/M"))</f>
        <v>167.085427135678</v>
      </c>
      <c r="L11" s="52" t="n">
        <f aca="false">IF($A11="","",IFERROR(IF(H11&lt;=0,"N/M",D11/H11),"N/M"))</f>
        <v>77.1874727445898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0.42123629112662</v>
      </c>
      <c r="O11" s="51" t="n">
        <f aca="false">IF($A11="","",IFERROR(IF(OR(NOT(ISNUMBER(L11)),M11&lt;Config!$B$6),"N/M",L11/(M11*100)),"N/M"))</f>
        <v>0.778621353663872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0.000187978251879699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46296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651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67.5311203319502</v>
      </c>
      <c r="K12" s="52" t="n">
        <f aca="false">IF($A12="","",IFERROR(IF(G12&lt;=0,"N/M",D12/G12),"N/M"))</f>
        <v>94.8979591836735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0.253362120503608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46296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1010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23.4255188219178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171.186440677966</v>
      </c>
      <c r="K13" s="52" t="n">
        <f aca="false">IF($A13="","",IFERROR(IF(G13&lt;=0,"N/M",D13/G13),"N/M"))</f>
        <v>121.186669466359</v>
      </c>
      <c r="L13" s="52" t="n">
        <f aca="false">IF($A13="","",IFERROR(IF(H13&lt;=0,"N/M",D13/H13),"N/M"))</f>
        <v>43.1153737801105</v>
      </c>
      <c r="M13" s="49" t="n">
        <f aca="false">IF($A13="","",IFERROR(INDEX(Raw_Est!$C$2:$C$100,MATCH($A13,Raw_Est!$A$2:$A$100,0))/INDEX(Raw_Est!$B$2:$B$100,MATCH($A13,Raw_Est!$A$2:$A$100,0))-1,""))</f>
        <v>1.41753775038792</v>
      </c>
      <c r="N13" s="51" t="n">
        <f aca="false">IF($A13="","",IFERROR(IF(OR(NOT(ISNUMBER(J13)),I13&lt;Config!$B$6),"N/M",J13/(I13*100)),"N/M"))</f>
        <v>0.441653716887717</v>
      </c>
      <c r="O13" s="51" t="n">
        <f aca="false">IF($A13="","",IFERROR(IF(OR(NOT(ISNUMBER(L13)),M13&lt;Config!$B$6),"N/M",L13/(M13*100)),"N/M"))</f>
        <v>0.304156794189866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0.000990269237623763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0.134479261477276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46296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1480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113.049068493151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13.091660282806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0.119401949424445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46296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7.15100178082192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24.1766467065868</v>
      </c>
      <c r="K15" s="52" t="n">
        <f aca="false">IF($A15="","",IFERROR(IF(G15&lt;=0,"N/M",D15/G15),"N/M"))</f>
        <v>23.4350059494442</v>
      </c>
      <c r="L15" s="52" t="n">
        <f aca="false">IF($A15="","",IFERROR(IF(H15&lt;=0,"N/M",D15/H15),"N/M"))</f>
        <v>22.5842483263146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0.218347493048092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46296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4980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126.892997972603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82.0563519525457</v>
      </c>
      <c r="K16" s="52" t="n">
        <f aca="false">IF($A16="","",IFERROR(IF(G16&lt;=0,"N/M",D16/G16),"N/M"))</f>
        <v>82.6085182320981</v>
      </c>
      <c r="L16" s="52" t="n">
        <f aca="false">IF($A16="","",IFERROR(IF(H16&lt;=0,"N/M",D16/H16),"N/M"))</f>
        <v>39.2456642964273</v>
      </c>
      <c r="M16" s="49" t="n">
        <f aca="false">IF($A16="","",IFERROR(INDEX(Raw_Est!$C$2:$C$100,MATCH($A16,Raw_Est!$A$2:$A$100,0))/INDEX(Raw_Est!$B$2:$B$100,MATCH($A16,Raw_Est!$A$2:$A$100,0))-1,""))</f>
        <v>1.15264917669008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0.340482300166337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0.0108434171626506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0.257223026699568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46296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93.2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34.5185185185185</v>
      </c>
      <c r="K17" s="52" t="n">
        <f aca="false">IF($A17="","",IFERROR(IF(G17&lt;=0,"N/M",D17/G17),"N/M"))</f>
        <v>29.776357827476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46296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6.82793736986301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13.2104316595115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0.475606181216208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46296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2110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290.58044969863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7.26132815262811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46296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538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9.37281775342466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63.2197414806111</v>
      </c>
      <c r="K20" s="52" t="n">
        <f aca="false">IF($A20="","",IFERROR(IF(G20&lt;=0,"N/M",D20/G20),"N/M"))</f>
        <v>66.3563459114377</v>
      </c>
      <c r="L20" s="52" t="n">
        <f aca="false">IF($A20="","",IFERROR(IF(H20&lt;=0,"N/M",D20/H20),"N/M"))</f>
        <v>57.4000278415127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1.961525607126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0.00371747211895911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46296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557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12.4496164383562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90.5691056910569</v>
      </c>
      <c r="K21" s="52" t="n">
        <f aca="false">IF($A21="","",IFERROR(IF(G21&lt;=0,"N/M",D21/G21),"N/M"))</f>
        <v>82.0324005891016</v>
      </c>
      <c r="L21" s="52" t="n">
        <f aca="false">IF($A21="","",IFERROR(IF(H21&lt;=0,"N/M",D21/H21),"N/M"))</f>
        <v>44.7403341908537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2.02588789045785</v>
      </c>
      <c r="O21" s="51" t="n">
        <f aca="false">IF($A21="","",IFERROR(IF(OR(NOT(ISNUMBER(L21)),M21&lt;Config!$B$6),"N/M",L21/(M21*100)),"N/M"))</f>
        <v>0.490550548472416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0.00277312895870736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46296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641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9.60925364383562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66.7065334893314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46296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180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44.562756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19.8675496688742</v>
      </c>
      <c r="K23" s="52" t="n">
        <f aca="false">IF($A23="","",IFERROR(IF(G23&lt;=0,"N/M",D23/G23),"N/M"))</f>
        <v>10.9031239267237</v>
      </c>
      <c r="L23" s="52" t="n">
        <f aca="false">IF($A23="","",IFERROR(IF(H23&lt;=0,"N/M",D23/H23),"N/M"))</f>
        <v>4.03924748280829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0.0405390699823023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0.00277777777777778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46296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515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104.674796747967</v>
      </c>
      <c r="K25" s="52" t="n">
        <f aca="false">IF($A25="","",IFERROR(IF(G25&lt;=0,"N/M",D25/G25),"N/M"))</f>
        <v>119.489559164733</v>
      </c>
      <c r="L25" s="52" t="n">
        <f aca="false">IF($A25="","",IFERROR(IF(H25&lt;=0,"N/M",D25/H25),"N/M"))</f>
        <v>43.0242272347535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0.00194174757281553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46296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531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12.2765205479452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43.2532978645058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0.233077119795078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46296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7900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102.506239643836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202.512176365035</v>
      </c>
      <c r="K27" s="52" t="n">
        <f aca="false">IF($A27="","",IFERROR(IF(G27&lt;=0,"N/M",D27/G27),"N/M"))</f>
        <v>175.984919651746</v>
      </c>
      <c r="L27" s="52" t="n">
        <f aca="false">IF($A27="","",IFERROR(IF(H27&lt;=0,"N/M",D27/H27),"N/M"))</f>
        <v>77.0684792208654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4.57471115197204</v>
      </c>
      <c r="O27" s="51" t="n">
        <f aca="false">IF($A27="","",IFERROR(IF(OR(NOT(ISNUMBER(L27)),M27&lt;Config!$B$6),"N/M",L27/(M27*100)),"N/M"))</f>
        <v>0.609384162772354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0.00253164556962025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46296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2026-10-01T13:47:08Z</dcterms:created>
  <dc:creator>openpyxl</dc:creator>
  <dc:description/>
  <dc:language>en-US</dc:language>
  <cp:lastModifiedBy/>
  <dcterms:modified xsi:type="dcterms:W3CDTF">2026-10-01T13:47:09Z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