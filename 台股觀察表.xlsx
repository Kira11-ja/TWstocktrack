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<sst xmlns="http://schemas.openxmlformats.org/spreadsheetml/2006/main" count="8221" uniqueCount="1534">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</sst>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4CC97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2425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0.44567097079796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28.1061659712564</v>
      </c>
      <c r="P3" s="22" t="n">
        <f aca="false">IF(Calc!$A$2="","",Calc!L$2)</f>
        <v>17.0292404341625</v>
      </c>
      <c r="Q3" s="18" t="n">
        <f aca="false">IF(Calc!$A$2="","",Calc!N$2)</f>
        <v>0.528080816096579</v>
      </c>
      <c r="R3" s="18" t="n">
        <f aca="false">IF(Calc!$A$2="","",Calc!O$2)</f>
        <v>0.48737620794365</v>
      </c>
      <c r="S3" s="19" t="n">
        <f aca="false">IF(Calc!$A$2="","",Calc!Q$2)</f>
        <v>0.00907220625979381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477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0.810681564635586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17.5690607734807</v>
      </c>
      <c r="P4" s="22" t="n">
        <f aca="false">IF(Calc!$A$3="","",Calc!L$3)</f>
        <v>4.07817187130735</v>
      </c>
      <c r="Q4" s="18" t="str">
        <f aca="false">IF(Calc!$A$3="","",Calc!N$3)</f>
        <v>N/M</v>
      </c>
      <c r="R4" s="18" t="n">
        <f aca="false">IF(Calc!$A$3="","",Calc!O$3)</f>
        <v>0.0619069669429426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1160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4.89370759723872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512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124.271844660194</v>
      </c>
      <c r="P6" s="22" t="n">
        <f aca="false">IF(Calc!$A$5="","",Calc!L$5)</f>
        <v>58.2867615724937</v>
      </c>
      <c r="Q6" s="18" t="n">
        <f aca="false">IF(Calc!$A$5="","",Calc!N$5)</f>
        <v>2.01842805021334</v>
      </c>
      <c r="R6" s="18" t="n">
        <f aca="false">IF(Calc!$A$5="","",Calc!O$5)</f>
        <v>0.85618335532138</v>
      </c>
      <c r="S6" s="19" t="n">
        <f aca="false">IF(Calc!$A$5="","",Calc!Q$5)</f>
        <v>0.00511827447265625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598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20.8580397628183</v>
      </c>
      <c r="P7" s="22" t="n">
        <f aca="false">IF(Calc!$A$6="","",Calc!L$6)</f>
        <v>17.0115723007309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0.0468227424749164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1810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0.277258591086113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33.192737942417</v>
      </c>
      <c r="P8" s="22" t="n">
        <f aca="false">IF(Calc!$A$7="","",Calc!L$7)</f>
        <v>15.290220726407</v>
      </c>
      <c r="Q8" s="18" t="n">
        <f aca="false">IF(Calc!$A$7="","",Calc!N$7)</f>
        <v>0.577620359269297</v>
      </c>
      <c r="R8" s="18" t="n">
        <f aca="false">IF(Calc!$A$7="","",Calc!O$7)</f>
        <v>0.18529876708362</v>
      </c>
      <c r="S8" s="19" t="n">
        <f aca="false">IF(Calc!$A$7="","",Calc!Q$7)</f>
        <v>0.00580413397237569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560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16.7668576644719</v>
      </c>
      <c r="Q9" s="18" t="str">
        <f aca="false">IF(Calc!$A$8="","",Calc!N$8)</f>
        <v>N/M</v>
      </c>
      <c r="R9" s="18" t="n">
        <f aca="false">IF(Calc!$A$8="","",Calc!O$8)</f>
        <v>1.50709591038741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362.5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0.338527322333926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13.5716959940097</v>
      </c>
      <c r="P10" s="22" t="n">
        <f aca="false">IF(Calc!$A$9="","",Calc!L$9)</f>
        <v>9.87905545315402</v>
      </c>
      <c r="Q10" s="18" t="n">
        <f aca="false">IF(Calc!$A$9="","",Calc!N$9)</f>
        <v>0.21656681071102</v>
      </c>
      <c r="R10" s="18" t="n">
        <f aca="false">IF(Calc!$A$9="","",Calc!O$9)</f>
        <v>0.889845055009513</v>
      </c>
      <c r="S10" s="19" t="n">
        <f aca="false">IF(Calc!$A$9="","",Calc!Q$9)</f>
        <v>0.0275862068965517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10150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55.9567782126909</v>
      </c>
      <c r="P11" s="22" t="n">
        <f aca="false">IF(Calc!$A$10="","",Calc!L$10)</f>
        <v>21.5517183582225</v>
      </c>
      <c r="Q11" s="18" t="n">
        <f aca="false">IF(Calc!$A$10="","",Calc!N$10)</f>
        <v>0.332034466643295</v>
      </c>
      <c r="R11" s="18" t="n">
        <f aca="false">IF(Calc!$A$10="","",Calc!O$10)</f>
        <v>0.518087163283252</v>
      </c>
      <c r="S11" s="19" t="n">
        <f aca="false">IF(Calc!$A$10="","",Calc!Q$10)</f>
        <v>0.00317241379310345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2580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230.151650312221</v>
      </c>
      <c r="P12" s="22" t="n">
        <f aca="false">IF(Calc!$A$11="","",Calc!L$11)</f>
        <v>71.8162284988526</v>
      </c>
      <c r="Q12" s="18" t="n">
        <f aca="false">IF(Calc!$A$11="","",Calc!N$11)</f>
        <v>0.408567530491233</v>
      </c>
      <c r="R12" s="18" t="n">
        <f aca="false">IF(Calc!$A$11="","",Calc!O$11)</f>
        <v>0.711907474097015</v>
      </c>
      <c r="S12" s="19" t="n">
        <f aca="false">IF(Calc!$A$11="","",Calc!Q$11)</f>
        <v>0.000193807034883721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569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59.0248962655602</v>
      </c>
      <c r="P13" s="22" t="str">
        <f aca="false">IF(Calc!$A$12="","",Calc!L$12)</f>
        <v>N/M</v>
      </c>
      <c r="Q13" s="18" t="n">
        <f aca="false">IF(Calc!$A$12="","",Calc!N$12)</f>
        <v>0.221448612237408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1035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0.145125372919156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175.423728813559</v>
      </c>
      <c r="P14" s="22" t="n">
        <f aca="false">IF(Calc!$A$13="","",Calc!L$13)</f>
        <v>37.0247349702042</v>
      </c>
      <c r="Q14" s="18" t="n">
        <f aca="false">IF(Calc!$A$13="","",Calc!N$13)</f>
        <v>0.452585739582957</v>
      </c>
      <c r="R14" s="18" t="n">
        <f aca="false">IF(Calc!$A$13="","",Calc!O$13)</f>
        <v>0.238075664444033</v>
      </c>
      <c r="S14" s="19" t="n">
        <f aca="false">IF(Calc!$A$13="","",Calc!Q$13)</f>
        <v>0.000966349690821256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1405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11.8988673424498</v>
      </c>
      <c r="Q15" s="18" t="str">
        <f aca="false">IF(Calc!$A$14="","",Calc!N$14)</f>
        <v>N/M</v>
      </c>
      <c r="R15" s="18" t="n">
        <f aca="false">IF(Calc!$A$14="","",Calc!O$14)</f>
        <v>0.108523130446435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128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0.202223819261117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19.1616766467066</v>
      </c>
      <c r="P16" s="22" t="n">
        <f aca="false">IF(Calc!$A$15="","",Calc!L$15)</f>
        <v>17.5287030448835</v>
      </c>
      <c r="Q16" s="18" t="n">
        <f aca="false">IF(Calc!$A$15="","",Calc!N$15)</f>
        <v>0.173055598205299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4235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0.263382928390365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69.7808535178777</v>
      </c>
      <c r="P17" s="22" t="n">
        <f aca="false">IF(Calc!$A$16="","",Calc!L$16)</f>
        <v>31.4753848443651</v>
      </c>
      <c r="Q17" s="18" t="str">
        <f aca="false">IF(Calc!$A$16="","",Calc!N$16)</f>
        <v>N/M</v>
      </c>
      <c r="R17" s="18" t="n">
        <f aca="false">IF(Calc!$A$16="","",Calc!O$16)</f>
        <v>0.278631284869535</v>
      </c>
      <c r="S17" s="19" t="n">
        <f aca="false">IF(Calc!$A$16="","",Calc!Q$16)</f>
        <v>0.0127509368288076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103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38.1481481481482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108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18.2432432432432</v>
      </c>
      <c r="P19" s="22" t="n">
        <f aca="false">IF(Calc!$A$18="","",Calc!L$18)</f>
        <v>15.1049037288271</v>
      </c>
      <c r="Q19" s="18" t="n">
        <f aca="false">IF(Calc!$A$18="","",Calc!N$18)</f>
        <v>0.74064449064449</v>
      </c>
      <c r="R19" s="18" t="n">
        <f aca="false">IF(Calc!$A$18="","",Calc!O$18)</f>
        <v>0.530255561425454</v>
      </c>
      <c r="S19" s="19" t="n">
        <f aca="false">IF(Calc!$A$18="","",Calc!Q$18)</f>
        <v>0.0371244151851852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2040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6.70014408566274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540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63.454759106933</v>
      </c>
      <c r="P21" s="22" t="n">
        <f aca="false">IF(Calc!$A$20="","",Calc!L$20)</f>
        <v>55.0960170672757</v>
      </c>
      <c r="Q21" s="18" t="str">
        <f aca="false">IF(Calc!$A$20="","",Calc!N$20)</f>
        <v>N/M</v>
      </c>
      <c r="R21" s="18" t="n">
        <f aca="false">IF(Calc!$A$20="","",Calc!O$20)</f>
        <v>1.76825292059567</v>
      </c>
      <c r="S21" s="19" t="n">
        <f aca="false">IF(Calc!$A$20="","",Calc!Q$20)</f>
        <v>0.0037037037037037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488.5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79.4308943089431</v>
      </c>
      <c r="P22" s="22" t="n">
        <f aca="false">IF(Calc!$A$21="","",Calc!L$21)</f>
        <v>37.72727561261</v>
      </c>
      <c r="Q22" s="18" t="n">
        <f aca="false">IF(Calc!$A$21="","",Calc!N$21)</f>
        <v>1.77674368848952</v>
      </c>
      <c r="R22" s="18" t="n">
        <f aca="false">IF(Calc!$A$21="","",Calc!O$21)</f>
        <v>0.413656627265857</v>
      </c>
      <c r="S22" s="19" t="n">
        <f aca="false">IF(Calc!$A$21="","",Calc!Q$21)</f>
        <v>0.00316199146366428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533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59.5100383106138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172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18.9845474613687</v>
      </c>
      <c r="P24" s="22" t="n">
        <f aca="false">IF(Calc!$A$23="","",Calc!L$23)</f>
        <v>3.59898783964667</v>
      </c>
      <c r="Q24" s="18" t="str">
        <f aca="false">IF(Calc!$A$23="","",Calc!N$23)</f>
        <v>N/M</v>
      </c>
      <c r="R24" s="18" t="n">
        <f aca="false">IF(Calc!$A$23="","",Calc!O$23)</f>
        <v>0.0337184031100784</v>
      </c>
      <c r="S24" s="19" t="n">
        <f aca="false">IF(Calc!$A$23="","",Calc!Q$23)</f>
        <v>0.00290697674418605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441.5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89.7357723577236</v>
      </c>
      <c r="P26" s="22" t="n">
        <f aca="false">IF(Calc!$A$25="","",Calc!L$25)</f>
        <v>36.8838763575606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0.00226500566251416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507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37.9441218443974</v>
      </c>
      <c r="Q27" s="18" t="str">
        <f aca="false">IF(Calc!$A$26="","",Calc!N$26)</f>
        <v>N/M</v>
      </c>
      <c r="R27" s="18" t="n">
        <f aca="false">IF(Calc!$A$26="","",Calc!O$26)</f>
        <v>0.150527869108487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8170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0.536692293539164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209.433478595232</v>
      </c>
      <c r="P28" s="22" t="n">
        <f aca="false">IF(Calc!$A$27="","",Calc!L$27)</f>
        <v>73.1916027874102</v>
      </c>
      <c r="Q28" s="18" t="n">
        <f aca="false">IF(Calc!$A$27="","",Calc!N$27)</f>
        <v>4.73106203944451</v>
      </c>
      <c r="R28" s="18" t="n">
        <f aca="false">IF(Calc!$A$27="","",Calc!O$27)</f>
        <v>0.564116445281177</v>
      </c>
      <c r="S28" s="19" t="n">
        <f aca="false">IF(Calc!$A$27="","",Calc!Q$27)</f>
        <v>0.00244798041615667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4">
      <formula>"N/M"</formula>
    </cfRule>
  </conditionalFormatting>
  <conditionalFormatting sqref="Q3:Q33">
    <cfRule type="cellIs" priority="8" operator="lessThan" aboveAverage="0" equalAverage="0" bottom="0" percent="0" rank="0" text="" dxfId="65">
      <formula>1.5</formula>
    </cfRule>
  </conditionalFormatting>
  <conditionalFormatting sqref="R3:R33">
    <cfRule type="cellIs" priority="9" operator="lessThan" aboveAverage="0" equalAverage="0" bottom="0" percent="0" rank="0" text="" dxfId="65">
      <formula>1.5</formula>
    </cfRule>
  </conditionalFormatting>
  <conditionalFormatting sqref="L3:L33">
    <cfRule type="cellIs" priority="10" operator="equal" aboveAverage="0" equalAverage="0" bottom="0" percent="0" rank="0" text="" dxfId="65">
      <formula>"成長且加速"</formula>
    </cfRule>
    <cfRule type="cellIs" priority="11" operator="equal" aboveAverage="0" equalAverage="0" bottom="0" percent="0" rank="0" text="" dxfId="66">
      <formula>"成長但減速"</formula>
    </cfRule>
    <cfRule type="cellIs" priority="12" operator="equal" aboveAverage="0" equalAverage="0" bottom="0" percent="0" rank="0" text="" dxfId="66">
      <formula>"衰退但收斂"</formula>
    </cfRule>
    <cfRule type="cellIs" priority="13" operator="equal" aboveAverage="0" equalAverage="0" bottom="0" percent="0" rank="0" text="" dxfId="67">
      <formula>"衰退且惡化"</formula>
    </cfRule>
  </conditionalFormatting>
  <conditionalFormatting sqref="A3:W33">
    <cfRule type="expression" priority="14" aboveAverage="0" equalAverage="0" bottom="0" percent="0" rank="0" text="" dxfId="6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2425</v>
      </c>
      <c r="D4" s="30" t="s">
        <v>81</v>
      </c>
      <c r="E4" s="32" t="n">
        <f aca="false">IF($B$2="","",IFERROR(INDEX(Calc!$AM$2:$AM$100,MATCH($B$2,Calc!$A$2:$A$100,0)),""))</f>
        <v>21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46323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28.1061659712564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17.0292404341625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0.528080816096579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0.48737620794365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142.402123534247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0.00907220625979381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0.44567097079796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0.349406478129344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2425</v>
      </c>
      <c r="L12" s="55" t="n">
        <f aca="false">IF(Stock_Card!$B$2="","",IFERROR(INDEX(Calc!$Q$2:$Q$100,MATCH(Stock_Card!$B$2,Calc!$A$2:$A$100,0)),""))</f>
        <v>0.00907220625979381</v>
      </c>
      <c r="M12" s="58" t="n">
        <f aca="false">IF(Stock_Card!$B$2="","",IFERROR(INDEX(Calc!$J$2:$J$100,MATCH(Stock_Card!$B$2,Calc!$A$2:$A$100,0)),""))</f>
        <v>28.1061659712564</v>
      </c>
      <c r="N12" s="57" t="n">
        <f aca="false">IF(Stock_Card!$B$2="","",IFERROR(INDEX(Calc!$N$2:$N$100,MATCH(Stock_Card!$B$2,Calc!$A$2:$A$100,0)),""))</f>
        <v>0.528080816096579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142.402123534247</v>
      </c>
      <c r="H13" s="55" t="n">
        <f aca="false">IF(Stock_Card!$B$2="","",IFERROR(INDEX(Calc!$M$2:$M$100,MATCH(Stock_Card!$B$2,Calc!$A$2:$A$100,0)),""))</f>
        <v>0.349406478129344</v>
      </c>
      <c r="I13" s="55" t="n">
        <f aca="false">IF(Stock_Card!$B$2="","",IFERROR(INDEX(Calc!$AI$2:$AI$100,MATCH(Stock_Card!$B$2,Calc!$A$2:$A$100,0)),""))</f>
        <v>0.44567097079796</v>
      </c>
      <c r="J13" s="59"/>
      <c r="K13" s="59"/>
      <c r="L13" s="59"/>
      <c r="M13" s="58" t="n">
        <f aca="false">IF(Stock_Card!$B$2="","",IFERROR(INDEX(Calc!$L$2:$L$100,MATCH(Stock_Card!$B$2,Calc!$A$2:$A$100,0)),""))</f>
        <v>17.0292404341625</v>
      </c>
      <c r="N13" s="57" t="n">
        <f aca="false">IF(Stock_Card!$B$2="","",IFERROR(INDEX(Calc!$O$2:$O$100,MATCH(Stock_Card!$B$2,Calc!$A$2:$A$100,0)),""))</f>
        <v>0.48737620794365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{3A373054-D55E-4813-97ED-7BDC14D18BA2}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5">
      <formula>"成長且加速"</formula>
    </cfRule>
    <cfRule type="cellIs" priority="5" operator="equal" aboveAverage="0" equalAverage="0" bottom="0" percent="0" rank="0" text="" dxfId="66">
      <formula>"成長但減速"</formula>
    </cfRule>
    <cfRule type="cellIs" priority="6" operator="equal" aboveAverage="0" equalAverage="0" bottom="0" percent="0" rank="0" text="" dxfId="66">
      <formula>"衰退但收斂"</formula>
    </cfRule>
    <cfRule type="cellIs" priority="7" operator="equal" aboveAverage="0" equalAverage="0" bottom="0" percent="0" rank="0" text="" dxfId="6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9">
      <formula>$O5="預估"</formula>
    </cfRule>
  </conditionalFormatting>
  <conditionalFormatting sqref="B24:B28">
    <cfRule type="expression" priority="12" aboveAverage="0" equalAverage="0" bottom="0" percent="0" rank="0" text="" dxfId="6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A373054-D55E-4813-97ED-7BDC14D18BA2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-46323</v>
      </c>
      <c r="I4" s="67" t="n">
        <f aca="false">IF($A4="","",IFERROR(INDEX(Raw_Price!$E$2:$E$100,MATCH($A4,Raw_Price!$A$2:$A$100,0)),""))</f>
        <v>46323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-46323</v>
      </c>
      <c r="I5" s="67" t="n">
        <f aca="false">IF($A5="","",IFERROR(INDEX(Raw_Price!$E$2:$E$100,MATCH($A5,Raw_Price!$A$2:$A$100,0)),""))</f>
        <v>46323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-46323</v>
      </c>
      <c r="I6" s="67" t="n">
        <f aca="false">IF($A6="","",IFERROR(INDEX(Raw_Price!$E$2:$E$100,MATCH($A6,Raw_Price!$A$2:$A$100,0)),""))</f>
        <v>46323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-46323</v>
      </c>
      <c r="I7" s="67" t="n">
        <f aca="false">IF($A7="","",IFERROR(INDEX(Raw_Price!$E$2:$E$100,MATCH($A7,Raw_Price!$A$2:$A$100,0)),""))</f>
        <v>46323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-46323</v>
      </c>
      <c r="I8" s="67" t="n">
        <f aca="false">IF($A8="","",IFERROR(INDEX(Raw_Price!$E$2:$E$100,MATCH($A8,Raw_Price!$A$2:$A$100,0)),""))</f>
        <v>46323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-46323</v>
      </c>
      <c r="I9" s="67" t="n">
        <f aca="false">IF($A9="","",IFERROR(INDEX(Raw_Price!$E$2:$E$100,MATCH($A9,Raw_Price!$A$2:$A$100,0)),""))</f>
        <v>46323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-46323</v>
      </c>
      <c r="I10" s="67" t="n">
        <f aca="false">IF($A10="","",IFERROR(INDEX(Raw_Price!$E$2:$E$100,MATCH($A10,Raw_Price!$A$2:$A$100,0)),""))</f>
        <v>46323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-46323</v>
      </c>
      <c r="I11" s="67" t="n">
        <f aca="false">IF($A11="","",IFERROR(INDEX(Raw_Price!$E$2:$E$100,MATCH($A11,Raw_Price!$A$2:$A$100,0)),""))</f>
        <v>46323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-46323</v>
      </c>
      <c r="I12" s="67" t="n">
        <f aca="false">IF($A12="","",IFERROR(INDEX(Raw_Price!$E$2:$E$100,MATCH($A12,Raw_Price!$A$2:$A$100,0)),""))</f>
        <v>46323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-46323</v>
      </c>
      <c r="I13" s="67" t="n">
        <f aca="false">IF($A13="","",IFERROR(INDEX(Raw_Price!$E$2:$E$100,MATCH($A13,Raw_Price!$A$2:$A$100,0)),""))</f>
        <v>46323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-46323</v>
      </c>
      <c r="I14" s="67" t="n">
        <f aca="false">IF($A14="","",IFERROR(INDEX(Raw_Price!$E$2:$E$100,MATCH($A14,Raw_Price!$A$2:$A$100,0)),""))</f>
        <v>46323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-46323</v>
      </c>
      <c r="I15" s="67" t="n">
        <f aca="false">IF($A15="","",IFERROR(INDEX(Raw_Price!$E$2:$E$100,MATCH($A15,Raw_Price!$A$2:$A$100,0)),""))</f>
        <v>46323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-46323</v>
      </c>
      <c r="I16" s="67" t="n">
        <f aca="false">IF($A16="","",IFERROR(INDEX(Raw_Price!$E$2:$E$100,MATCH($A16,Raw_Price!$A$2:$A$100,0)),""))</f>
        <v>46323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-46323</v>
      </c>
      <c r="I17" s="67" t="n">
        <f aca="false">IF($A17="","",IFERROR(INDEX(Raw_Price!$E$2:$E$100,MATCH($A17,Raw_Price!$A$2:$A$100,0)),""))</f>
        <v>46323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-46323</v>
      </c>
      <c r="I18" s="67" t="n">
        <f aca="false">IF($A18="","",IFERROR(INDEX(Raw_Price!$E$2:$E$100,MATCH($A18,Raw_Price!$A$2:$A$100,0)),""))</f>
        <v>46323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-46323</v>
      </c>
      <c r="I19" s="67" t="n">
        <f aca="false">IF($A19="","",IFERROR(INDEX(Raw_Price!$E$2:$E$100,MATCH($A19,Raw_Price!$A$2:$A$100,0)),""))</f>
        <v>46323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-46323</v>
      </c>
      <c r="I20" s="67" t="n">
        <f aca="false">IF($A20="","",IFERROR(INDEX(Raw_Price!$E$2:$E$100,MATCH($A20,Raw_Price!$A$2:$A$100,0)),""))</f>
        <v>46323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-46323</v>
      </c>
      <c r="I21" s="67" t="n">
        <f aca="false">IF($A21="","",IFERROR(INDEX(Raw_Price!$E$2:$E$100,MATCH($A21,Raw_Price!$A$2:$A$100,0)),""))</f>
        <v>46323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-46323</v>
      </c>
      <c r="I22" s="67" t="n">
        <f aca="false">IF($A22="","",IFERROR(INDEX(Raw_Price!$E$2:$E$100,MATCH($A22,Raw_Price!$A$2:$A$100,0)),""))</f>
        <v>46323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-46323</v>
      </c>
      <c r="I23" s="67" t="n">
        <f aca="false">IF($A23="","",IFERROR(INDEX(Raw_Price!$E$2:$E$100,MATCH($A23,Raw_Price!$A$2:$A$100,0)),""))</f>
        <v>46323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-46323</v>
      </c>
      <c r="I24" s="67" t="n">
        <f aca="false">IF($A24="","",IFERROR(INDEX(Raw_Price!$E$2:$E$100,MATCH($A24,Raw_Price!$A$2:$A$100,0)),""))</f>
        <v>46323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-46323</v>
      </c>
      <c r="I25" s="67" t="n">
        <f aca="false">IF($A25="","",IFERROR(INDEX(Raw_Price!$E$2:$E$100,MATCH($A25,Raw_Price!$A$2:$A$100,0)),""))</f>
        <v>46323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-46323</v>
      </c>
      <c r="I27" s="67" t="n">
        <f aca="false">IF($A27="","",IFERROR(INDEX(Raw_Price!$E$2:$E$100,MATCH($A27,Raw_Price!$A$2:$A$100,0)),""))</f>
        <v>46323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-46323</v>
      </c>
      <c r="I28" s="67" t="n">
        <f aca="false">IF($A28="","",IFERROR(INDEX(Raw_Price!$E$2:$E$100,MATCH($A28,Raw_Price!$A$2:$A$100,0)),""))</f>
        <v>46323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-46323</v>
      </c>
      <c r="I29" s="67" t="n">
        <f aca="false">IF($A29="","",IFERROR(INDEX(Raw_Price!$E$2:$E$100,MATCH($A29,Raw_Price!$A$2:$A$100,0)),""))</f>
        <v>46323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0">
      <formula>"OK"</formula>
    </cfRule>
    <cfRule type="cellIs" priority="3" operator="equal" aboveAverage="0" equalAverage="0" bottom="0" percent="0" rank="0" text="" dxfId="71">
      <formula>"待更新財報"</formula>
    </cfRule>
    <cfRule type="expression" priority="4" aboveAverage="0" equalAverage="0" bottom="0" percent="0" rank="0" text="" dxfId="72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46323</v>
      </c>
    </row>
    <row r="3" customFormat="false" ht="15" hidden="false" customHeight="false" outlineLevel="0" collapsed="false">
      <c r="A3" s="79" t="s">
        <v>220</v>
      </c>
      <c r="B3" s="83" t="n">
        <v>7.13774</v>
      </c>
      <c r="C3" s="83" t="n">
        <v>7.3373</v>
      </c>
      <c r="D3" s="81" t="n">
        <v>46387</v>
      </c>
      <c r="E3" s="80" t="n">
        <v>14</v>
      </c>
      <c r="F3" s="81" t="n">
        <v>46323</v>
      </c>
    </row>
    <row r="4" customFormat="false" ht="15" hidden="false" customHeight="false" outlineLevel="0" collapsed="false">
      <c r="A4" s="79" t="s">
        <v>345</v>
      </c>
      <c r="B4" s="83" t="n">
        <v>20.2081</v>
      </c>
      <c r="C4" s="83" t="n">
        <v>31.56977</v>
      </c>
      <c r="D4" s="81" t="n">
        <v>46387</v>
      </c>
      <c r="E4" s="80" t="n">
        <v>6</v>
      </c>
      <c r="F4" s="81" t="n">
        <v>46323</v>
      </c>
    </row>
    <row r="5" customFormat="false" ht="15" hidden="false" customHeight="false" outlineLevel="0" collapsed="false">
      <c r="A5" s="79" t="s">
        <v>79</v>
      </c>
      <c r="B5" s="83" t="n">
        <v>110.54858</v>
      </c>
      <c r="C5" s="83" t="n">
        <v>149.17497</v>
      </c>
      <c r="D5" s="81" t="n">
        <v>46387</v>
      </c>
      <c r="E5" s="80" t="n">
        <v>21</v>
      </c>
      <c r="F5" s="81" t="n">
        <v>46323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46323</v>
      </c>
    </row>
    <row r="7" customFormat="false" ht="15" hidden="false" customHeight="false" outlineLevel="0" collapsed="false">
      <c r="A7" s="79" t="s">
        <v>205</v>
      </c>
      <c r="B7" s="83" t="n">
        <v>33.61612</v>
      </c>
      <c r="C7" s="83" t="n">
        <v>37.34818</v>
      </c>
      <c r="D7" s="81" t="n">
        <v>46387</v>
      </c>
      <c r="E7" s="80" t="n">
        <v>6</v>
      </c>
      <c r="F7" s="81" t="n">
        <v>46323</v>
      </c>
    </row>
    <row r="8" customFormat="false" ht="15" hidden="false" customHeight="false" outlineLevel="0" collapsed="false">
      <c r="A8" s="79" t="s">
        <v>182</v>
      </c>
      <c r="B8" s="83" t="n">
        <v>75.79082</v>
      </c>
      <c r="C8" s="83" t="n">
        <v>125.71864</v>
      </c>
      <c r="D8" s="81" t="n">
        <v>46387</v>
      </c>
      <c r="E8" s="80" t="n">
        <v>6</v>
      </c>
      <c r="F8" s="81" t="n">
        <v>46323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69.6582</v>
      </c>
      <c r="C10" s="83" t="n">
        <v>148.34709</v>
      </c>
      <c r="D10" s="81" t="n">
        <v>46387</v>
      </c>
      <c r="E10" s="80" t="n">
        <v>15</v>
      </c>
      <c r="F10" s="81" t="n">
        <v>46323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46323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46323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46323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46323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46323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46323</v>
      </c>
    </row>
    <row r="17" customFormat="false" ht="15" hidden="false" customHeight="false" outlineLevel="0" collapsed="false">
      <c r="A17" s="79" t="s">
        <v>216</v>
      </c>
      <c r="B17" s="83" t="n">
        <v>12.24733</v>
      </c>
      <c r="C17" s="83" t="n">
        <v>31.29397</v>
      </c>
      <c r="D17" s="81" t="n">
        <v>46387</v>
      </c>
      <c r="E17" s="80" t="n">
        <v>9</v>
      </c>
      <c r="F17" s="81" t="n">
        <v>46323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46323</v>
      </c>
    </row>
    <row r="20" customFormat="false" ht="15" hidden="false" customHeight="false" outlineLevel="0" collapsed="false">
      <c r="A20" s="79" t="s">
        <v>245</v>
      </c>
      <c r="B20" s="83" t="n">
        <v>53.92617</v>
      </c>
      <c r="C20" s="83" t="n">
        <v>123.89298</v>
      </c>
      <c r="D20" s="81" t="n">
        <v>46387</v>
      </c>
      <c r="E20" s="80" t="n">
        <v>17</v>
      </c>
      <c r="F20" s="81" t="n">
        <v>46323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46323</v>
      </c>
    </row>
    <row r="22" customFormat="false" ht="15" hidden="false" customHeight="false" outlineLevel="0" collapsed="false">
      <c r="A22" s="79" t="s">
        <v>197</v>
      </c>
      <c r="B22" s="83" t="n">
        <v>70.442</v>
      </c>
      <c r="C22" s="83" t="n">
        <v>128.56833</v>
      </c>
      <c r="D22" s="81" t="n">
        <v>46387</v>
      </c>
      <c r="E22" s="80" t="n">
        <v>9</v>
      </c>
      <c r="F22" s="81" t="n">
        <v>46323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46323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46323</v>
      </c>
    </row>
    <row r="26" customFormat="false" ht="15" hidden="false" customHeight="false" outlineLevel="0" collapsed="false">
      <c r="A26" s="79" t="s">
        <v>186</v>
      </c>
      <c r="B26" s="83" t="n">
        <v>343.635</v>
      </c>
      <c r="C26" s="83" t="n">
        <v>214.37418</v>
      </c>
      <c r="D26" s="81" t="n">
        <v>46387</v>
      </c>
      <c r="E26" s="80" t="n">
        <v>2</v>
      </c>
      <c r="F26" s="81" t="n">
        <v>46323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46323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46323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46323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46323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10150</v>
      </c>
      <c r="C2" s="81" t="n">
        <v>46323</v>
      </c>
      <c r="D2" s="81"/>
      <c r="E2" s="81" t="n">
        <v>46323</v>
      </c>
    </row>
    <row r="3" customFormat="false" ht="15" hidden="false" customHeight="false" outlineLevel="0" collapsed="false">
      <c r="A3" s="79" t="s">
        <v>220</v>
      </c>
      <c r="B3" s="83" t="n">
        <v>128</v>
      </c>
      <c r="C3" s="81" t="n">
        <v>46323</v>
      </c>
      <c r="D3" s="81"/>
      <c r="E3" s="81" t="n">
        <v>46323</v>
      </c>
    </row>
    <row r="4" customFormat="false" ht="15" hidden="false" customHeight="false" outlineLevel="0" collapsed="false">
      <c r="A4" s="79" t="s">
        <v>345</v>
      </c>
      <c r="B4" s="83" t="n">
        <v>547</v>
      </c>
      <c r="C4" s="81" t="n">
        <v>46323</v>
      </c>
      <c r="D4" s="81"/>
      <c r="E4" s="81" t="n">
        <v>46323</v>
      </c>
    </row>
    <row r="5" customFormat="false" ht="15" hidden="false" customHeight="false" outlineLevel="0" collapsed="false">
      <c r="A5" s="79" t="s">
        <v>79</v>
      </c>
      <c r="B5" s="83" t="n">
        <v>2425</v>
      </c>
      <c r="C5" s="81" t="n">
        <v>46323</v>
      </c>
      <c r="D5" s="81"/>
      <c r="E5" s="81" t="n">
        <v>46323</v>
      </c>
    </row>
    <row r="6" customFormat="false" ht="15" hidden="false" customHeight="false" outlineLevel="0" collapsed="false">
      <c r="A6" s="79" t="s">
        <v>236</v>
      </c>
      <c r="B6" s="83" t="n">
        <v>172</v>
      </c>
      <c r="C6" s="81" t="n">
        <v>46323</v>
      </c>
      <c r="D6" s="81"/>
      <c r="E6" s="81" t="n">
        <v>46323</v>
      </c>
    </row>
    <row r="7" customFormat="false" ht="15" hidden="false" customHeight="false" outlineLevel="0" collapsed="false">
      <c r="A7" s="79" t="s">
        <v>205</v>
      </c>
      <c r="B7" s="83" t="n">
        <v>362.5</v>
      </c>
      <c r="C7" s="81" t="n">
        <v>46323</v>
      </c>
      <c r="D7" s="81"/>
      <c r="E7" s="81" t="n">
        <v>46323</v>
      </c>
    </row>
    <row r="8" customFormat="false" ht="15" hidden="false" customHeight="false" outlineLevel="0" collapsed="false">
      <c r="A8" s="79" t="s">
        <v>182</v>
      </c>
      <c r="B8" s="83" t="n">
        <v>477</v>
      </c>
      <c r="C8" s="81" t="n">
        <v>46323</v>
      </c>
      <c r="D8" s="81"/>
      <c r="E8" s="81" t="n">
        <v>46323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4235</v>
      </c>
      <c r="C10" s="81" t="n">
        <v>46323</v>
      </c>
      <c r="D10" s="81"/>
      <c r="E10" s="81" t="n">
        <v>46323</v>
      </c>
    </row>
    <row r="11" customFormat="false" ht="15" hidden="false" customHeight="false" outlineLevel="0" collapsed="false">
      <c r="A11" s="79" t="s">
        <v>190</v>
      </c>
      <c r="B11" s="83" t="n">
        <v>512</v>
      </c>
      <c r="C11" s="81" t="n">
        <v>46323</v>
      </c>
      <c r="D11" s="81"/>
      <c r="E11" s="81" t="n">
        <v>46323</v>
      </c>
    </row>
    <row r="12" customFormat="false" ht="15" hidden="false" customHeight="false" outlineLevel="0" collapsed="false">
      <c r="A12" s="79" t="s">
        <v>224</v>
      </c>
      <c r="B12" s="83" t="n">
        <v>103</v>
      </c>
      <c r="C12" s="81" t="n">
        <v>46323</v>
      </c>
      <c r="D12" s="81"/>
      <c r="E12" s="81" t="n">
        <v>46323</v>
      </c>
    </row>
    <row r="13" customFormat="false" ht="15" hidden="false" customHeight="false" outlineLevel="0" collapsed="false">
      <c r="A13" s="79" t="s">
        <v>195</v>
      </c>
      <c r="B13" s="83" t="n">
        <v>598</v>
      </c>
      <c r="C13" s="81" t="n">
        <v>46323</v>
      </c>
      <c r="D13" s="81"/>
      <c r="E13" s="81" t="n">
        <v>46323</v>
      </c>
    </row>
    <row r="14" customFormat="false" ht="15" hidden="false" customHeight="false" outlineLevel="0" collapsed="false">
      <c r="A14" s="79" t="s">
        <v>210</v>
      </c>
      <c r="B14" s="83" t="n">
        <v>2580</v>
      </c>
      <c r="C14" s="81" t="n">
        <v>46323</v>
      </c>
      <c r="D14" s="81"/>
      <c r="E14" s="81" t="n">
        <v>46323</v>
      </c>
    </row>
    <row r="15" customFormat="false" ht="15" hidden="false" customHeight="false" outlineLevel="0" collapsed="false">
      <c r="A15" s="79" t="s">
        <v>230</v>
      </c>
      <c r="B15" s="83" t="n">
        <v>540</v>
      </c>
      <c r="C15" s="81" t="n">
        <v>46323</v>
      </c>
      <c r="D15" s="81"/>
      <c r="E15" s="81" t="n">
        <v>46323</v>
      </c>
    </row>
    <row r="16" customFormat="false" ht="15" hidden="false" customHeight="false" outlineLevel="0" collapsed="false">
      <c r="A16" s="79" t="s">
        <v>212</v>
      </c>
      <c r="B16" s="83" t="n">
        <v>569</v>
      </c>
      <c r="C16" s="81" t="n">
        <v>46323</v>
      </c>
      <c r="D16" s="81"/>
      <c r="E16" s="81" t="n">
        <v>46323</v>
      </c>
    </row>
    <row r="17" customFormat="false" ht="15" hidden="false" customHeight="false" outlineLevel="0" collapsed="false">
      <c r="A17" s="79" t="s">
        <v>216</v>
      </c>
      <c r="B17" s="83" t="n">
        <v>1035</v>
      </c>
      <c r="C17" s="81" t="n">
        <v>46323</v>
      </c>
      <c r="D17" s="81"/>
      <c r="E17" s="81" t="n">
        <v>46323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533</v>
      </c>
      <c r="C19" s="81" t="n">
        <v>46323</v>
      </c>
      <c r="D19" s="81"/>
      <c r="E19" s="81" t="n">
        <v>46323</v>
      </c>
    </row>
    <row r="20" customFormat="false" ht="15" hidden="false" customHeight="false" outlineLevel="0" collapsed="false">
      <c r="A20" s="79" t="s">
        <v>245</v>
      </c>
      <c r="B20" s="83" t="n">
        <v>8170</v>
      </c>
      <c r="C20" s="81" t="n">
        <v>46323</v>
      </c>
      <c r="D20" s="81"/>
      <c r="E20" s="81" t="n">
        <v>46323</v>
      </c>
    </row>
    <row r="21" customFormat="false" ht="15" hidden="false" customHeight="false" outlineLevel="0" collapsed="false">
      <c r="A21" s="79" t="s">
        <v>241</v>
      </c>
      <c r="B21" s="83" t="n">
        <v>441.5</v>
      </c>
      <c r="C21" s="81" t="n">
        <v>46323</v>
      </c>
      <c r="D21" s="81"/>
      <c r="E21" s="81" t="n">
        <v>46323</v>
      </c>
    </row>
    <row r="22" customFormat="false" ht="15" hidden="false" customHeight="false" outlineLevel="0" collapsed="false">
      <c r="A22" s="79" t="s">
        <v>197</v>
      </c>
      <c r="B22" s="83" t="n">
        <v>1810</v>
      </c>
      <c r="C22" s="81" t="n">
        <v>46323</v>
      </c>
      <c r="D22" s="81"/>
      <c r="E22" s="81" t="n">
        <v>46323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108</v>
      </c>
      <c r="C24" s="81" t="n">
        <v>46323</v>
      </c>
      <c r="D24" s="81"/>
      <c r="E24" s="81" t="n">
        <v>46323</v>
      </c>
    </row>
    <row r="25" customFormat="false" ht="15" hidden="false" customHeight="false" outlineLevel="0" collapsed="false">
      <c r="A25" s="79" t="s">
        <v>232</v>
      </c>
      <c r="B25" s="83" t="n">
        <v>488.5</v>
      </c>
      <c r="C25" s="81" t="n">
        <v>46323</v>
      </c>
      <c r="D25" s="81"/>
      <c r="E25" s="81" t="n">
        <v>46323</v>
      </c>
    </row>
    <row r="26" customFormat="false" ht="15" hidden="false" customHeight="false" outlineLevel="0" collapsed="false">
      <c r="A26" s="79" t="s">
        <v>186</v>
      </c>
      <c r="B26" s="83" t="n">
        <v>1160</v>
      </c>
      <c r="C26" s="81" t="n">
        <v>46323</v>
      </c>
      <c r="D26" s="81"/>
      <c r="E26" s="81" t="n">
        <v>46323</v>
      </c>
    </row>
    <row r="27" customFormat="false" ht="15" hidden="false" customHeight="false" outlineLevel="0" collapsed="false">
      <c r="A27" s="79" t="s">
        <v>201</v>
      </c>
      <c r="B27" s="83" t="n">
        <v>560</v>
      </c>
      <c r="C27" s="81" t="n">
        <v>46323</v>
      </c>
      <c r="D27" s="81"/>
      <c r="E27" s="81" t="n">
        <v>46323</v>
      </c>
    </row>
    <row r="28" customFormat="false" ht="15" hidden="false" customHeight="false" outlineLevel="0" collapsed="false">
      <c r="A28" s="79" t="s">
        <v>218</v>
      </c>
      <c r="B28" s="83" t="n">
        <v>1405</v>
      </c>
      <c r="C28" s="81" t="n">
        <v>46323</v>
      </c>
      <c r="D28" s="81"/>
      <c r="E28" s="81" t="n">
        <v>46323</v>
      </c>
    </row>
    <row r="29" customFormat="false" ht="15" hidden="false" customHeight="false" outlineLevel="0" collapsed="false">
      <c r="A29" s="79" t="s">
        <v>243</v>
      </c>
      <c r="B29" s="83" t="n">
        <v>507</v>
      </c>
      <c r="C29" s="81" t="n">
        <v>46323</v>
      </c>
      <c r="D29" s="81"/>
      <c r="E29" s="81" t="n">
        <v>46323</v>
      </c>
    </row>
    <row r="30" customFormat="false" ht="15" hidden="false" customHeight="false" outlineLevel="0" collapsed="false">
      <c r="A30" s="79" t="s">
        <v>228</v>
      </c>
      <c r="B30" s="83" t="n">
        <v>2040</v>
      </c>
      <c r="C30" s="81" t="n">
        <v>46323</v>
      </c>
      <c r="D30" s="81"/>
      <c r="E30" s="81" t="n">
        <v>46323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2425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142.402123534247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28.1061659712564</v>
      </c>
      <c r="K2" s="52" t="n">
        <f aca="false">IF($A2="","",IFERROR(IF(G2&lt;=0,"N/M",D2/G2),"N/M"))</f>
        <v>24.9918918058234</v>
      </c>
      <c r="L2" s="52" t="n">
        <f aca="false">IF($A2="","",IFERROR(IF(H2&lt;=0,"N/M",D2/H2),"N/M"))</f>
        <v>17.0292404341625</v>
      </c>
      <c r="M2" s="49" t="n">
        <f aca="false">IF($A2="","",IFERROR(INDEX(Raw_Est!$C$2:$C$100,MATCH($A2,Raw_Est!$A$2:$A$100,0))/INDEX(Raw_Est!$B$2:$B$100,MATCH($A2,Raw_Est!$A$2:$A$100,0))-1,""))</f>
        <v>0.349406478129344</v>
      </c>
      <c r="N2" s="51" t="n">
        <f aca="false">IF($A2="","",IFERROR(IF(OR(NOT(ISNUMBER(J2)),I2&lt;Config!$B$6),"N/M",J2/(I2*100)),"N/M"))</f>
        <v>0.528080816096579</v>
      </c>
      <c r="O2" s="51" t="n">
        <f aca="false">IF($A2="","",IFERROR(IF(OR(NOT(ISNUMBER(L2)),M2&lt;Config!$B$6),"N/M",L2/(M2*100)),"N/M"))</f>
        <v>0.48737620794365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0.00907220625979381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0.44567097079796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21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46323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477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116.964172931507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17.5690607734807</v>
      </c>
      <c r="K3" s="52" t="n">
        <f aca="false">IF($A3="","",IFERROR(IF(G3&lt;=0,"N/M",D3/G3),"N/M"))</f>
        <v>10.0425598211287</v>
      </c>
      <c r="L3" s="52" t="n">
        <f aca="false">IF($A3="","",IFERROR(IF(H3&lt;=0,"N/M",D3/H3),"N/M"))</f>
        <v>4.07817187130735</v>
      </c>
      <c r="M3" s="49" t="n">
        <f aca="false">IF($A3="","",IFERROR(INDEX(Raw_Est!$C$2:$C$100,MATCH($A3,Raw_Est!$A$2:$A$100,0))/INDEX(Raw_Est!$B$2:$B$100,MATCH($A3,Raw_Est!$A$2:$A$100,0))-1,""))</f>
        <v>0.658758145115728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0.0619069669429426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0.810681564635586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46323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1160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237.03909090411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4.89370759723872</v>
      </c>
      <c r="M4" s="49" t="n">
        <f aca="false">IF($A4="","",IFERROR(INDEX(Raw_Est!$C$2:$C$100,MATCH($A4,Raw_Est!$A$2:$A$100,0))/INDEX(Raw_Est!$B$2:$B$100,MATCH($A4,Raw_Est!$A$2:$A$100,0))-1,""))</f>
        <v>-0.376157318084596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46323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512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8.78415589041096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124.271844660194</v>
      </c>
      <c r="K5" s="52" t="n">
        <f aca="false">IF($A5="","",IFERROR(IF(G5&lt;=0,"N/M",D5/G5),"N/M"))</f>
        <v>109.068677052334</v>
      </c>
      <c r="L5" s="52" t="n">
        <f aca="false">IF($A5="","",IFERROR(IF(H5&lt;=0,"N/M",D5/H5),"N/M"))</f>
        <v>58.2867615724937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2.01842805021334</v>
      </c>
      <c r="O5" s="51" t="n">
        <f aca="false">IF($A5="","",IFERROR(IF(OR(NOT(ISNUMBER(L5)),M5&lt;Config!$B$6),"N/M",L5/(M5*100)),"N/M"))</f>
        <v>0.85618335532138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0.00511827447265625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46323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598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35.1525414246575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20.8580397628183</v>
      </c>
      <c r="K6" s="52" t="n">
        <f aca="false">IF($A6="","",IFERROR(IF(G6&lt;=0,"N/M",D6/G6),"N/M"))</f>
        <v>18.5525706323976</v>
      </c>
      <c r="L6" s="52" t="n">
        <f aca="false">IF($A6="","",IFERROR(IF(H6&lt;=0,"N/M",D6/H6),"N/M"))</f>
        <v>17.0115723007309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0.0468227424749164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46323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1810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118.376315972603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33.192737942417</v>
      </c>
      <c r="K7" s="52" t="n">
        <f aca="false">IF($A7="","",IFERROR(IF(G7&lt;=0,"N/M",D7/G7),"N/M"))</f>
        <v>30.2859174666918</v>
      </c>
      <c r="L7" s="52" t="n">
        <f aca="false">IF($A7="","",IFERROR(IF(H7&lt;=0,"N/M",D7/H7),"N/M"))</f>
        <v>15.290220726407</v>
      </c>
      <c r="M7" s="49" t="n">
        <f aca="false">IF($A7="","",IFERROR(INDEX(Raw_Est!$C$2:$C$100,MATCH($A7,Raw_Est!$A$2:$A$100,0))/INDEX(Raw_Est!$B$2:$B$100,MATCH($A7,Raw_Est!$A$2:$A$100,0))-1,""))</f>
        <v>0.825165810170069</v>
      </c>
      <c r="N7" s="51" t="n">
        <f aca="false">IF($A7="","",IFERROR(IF(OR(NOT(ISNUMBER(J7)),I7&lt;Config!$B$6),"N/M",J7/(I7*100)),"N/M"))</f>
        <v>0.577620359269297</v>
      </c>
      <c r="O7" s="51" t="n">
        <f aca="false">IF($A7="","",IFERROR(IF(OR(NOT(ISNUMBER(L7)),M7&lt;Config!$B$6),"N/M",L7/(M7*100)),"N/M"))</f>
        <v>0.18529876708362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0.00580413397237569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0.277258591086113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46323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560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33.3992219178082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16.7668576644719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1.50709591038741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46323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362.5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36.6937913972603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13.5716959940097</v>
      </c>
      <c r="K9" s="52" t="n">
        <f aca="false">IF($A9="","",IFERROR(IF(G9&lt;=0,"N/M",D9/G9),"N/M"))</f>
        <v>11.9374340148044</v>
      </c>
      <c r="L9" s="52" t="n">
        <f aca="false">IF($A9="","",IFERROR(IF(H9&lt;=0,"N/M",D9/H9),"N/M"))</f>
        <v>9.87905545315402</v>
      </c>
      <c r="M9" s="49" t="n">
        <f aca="false">IF($A9="","",IFERROR(INDEX(Raw_Est!$C$2:$C$100,MATCH($A9,Raw_Est!$A$2:$A$100,0))/INDEX(Raw_Est!$B$2:$B$100,MATCH($A9,Raw_Est!$A$2:$A$100,0))-1,""))</f>
        <v>0.111019951142487</v>
      </c>
      <c r="N9" s="51" t="n">
        <f aca="false">IF($A9="","",IFERROR(IF(OR(NOT(ISNUMBER(J9)),I9&lt;Config!$B$6),"N/M",J9/(I9*100)),"N/M"))</f>
        <v>0.21656681071102</v>
      </c>
      <c r="O9" s="51" t="n">
        <f aca="false">IF($A9="","",IFERROR(IF(OR(NOT(ISNUMBER(L9)),M9&lt;Config!$B$6),"N/M",L9/(M9*100)),"N/M"))</f>
        <v>0.889845055009513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0.0275862068965517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0.338527322333926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6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46323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10150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470.96012630137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55.9567782126909</v>
      </c>
      <c r="K10" s="52" t="n">
        <f aca="false">IF($A10="","",IFERROR(IF(G10&lt;=0,"N/M",D10/G10),"N/M"))</f>
        <v>38.1233902022887</v>
      </c>
      <c r="L10" s="52" t="n">
        <f aca="false">IF($A10="","",IFERROR(IF(H10&lt;=0,"N/M",D10/H10),"N/M"))</f>
        <v>21.5517183582225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0.332034466643295</v>
      </c>
      <c r="O10" s="51" t="n">
        <f aca="false">IF($A10="","",IFERROR(IF(OR(NOT(ISNUMBER(L10)),M10&lt;Config!$B$6),"N/M",L10/(M10*100)),"N/M"))</f>
        <v>0.518087163283252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0.00317241379310345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46323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2580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35.9250277260274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230.151650312221</v>
      </c>
      <c r="K11" s="52" t="n">
        <f aca="false">IF($A11="","",IFERROR(IF(G11&lt;=0,"N/M",D11/G11),"N/M"))</f>
        <v>162.060301507538</v>
      </c>
      <c r="L11" s="52" t="n">
        <f aca="false">IF($A11="","",IFERROR(IF(H11&lt;=0,"N/M",D11/H11),"N/M"))</f>
        <v>71.8162284988526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0.408567530491233</v>
      </c>
      <c r="O11" s="51" t="n">
        <f aca="false">IF($A11="","",IFERROR(IF(OR(NOT(ISNUMBER(L11)),M11&lt;Config!$B$6),"N/M",L11/(M11*100)),"N/M"))</f>
        <v>0.711907474097015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0.000193807034883721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46323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569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59.0248962655602</v>
      </c>
      <c r="K12" s="52" t="n">
        <f aca="false">IF($A12="","",IFERROR(IF(G12&lt;=0,"N/M",D12/G12),"N/M"))</f>
        <v>82.9446064139942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0.221448612237408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46323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1035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27.9542851780822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175.423728813559</v>
      </c>
      <c r="K13" s="52" t="n">
        <f aca="false">IF($A13="","",IFERROR(IF(G13&lt;=0,"N/M",D13/G13),"N/M"))</f>
        <v>124.186339502655</v>
      </c>
      <c r="L13" s="52" t="n">
        <f aca="false">IF($A13="","",IFERROR(IF(H13&lt;=0,"N/M",D13/H13),"N/M"))</f>
        <v>37.0247349702042</v>
      </c>
      <c r="M13" s="49" t="n">
        <f aca="false">IF($A13="","",IFERROR(INDEX(Raw_Est!$C$2:$C$100,MATCH($A13,Raw_Est!$A$2:$A$100,0))/INDEX(Raw_Est!$B$2:$B$100,MATCH($A13,Raw_Est!$A$2:$A$100,0))-1,""))</f>
        <v>1.55516671797037</v>
      </c>
      <c r="N13" s="51" t="n">
        <f aca="false">IF($A13="","",IFERROR(IF(OR(NOT(ISNUMBER(J13)),I13&lt;Config!$B$6),"N/M",J13/(I13*100)),"N/M"))</f>
        <v>0.452585739582957</v>
      </c>
      <c r="O13" s="51" t="n">
        <f aca="false">IF($A13="","",IFERROR(IF(OR(NOT(ISNUMBER(L13)),M13&lt;Config!$B$6),"N/M",L13/(M13*100)),"N/M"))</f>
        <v>0.238075664444033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0.000966349690821256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0.145125372919156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46323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1405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118.078465753425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11.8988673424498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0.108523130446435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46323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128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7.30230865753425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19.1616766467066</v>
      </c>
      <c r="K15" s="52" t="n">
        <f aca="false">IF($A15="","",IFERROR(IF(G15&lt;=0,"N/M",D15/G15),"N/M"))</f>
        <v>18.5738746843892</v>
      </c>
      <c r="L15" s="52" t="n">
        <f aca="false">IF($A15="","",IFERROR(IF(H15&lt;=0,"N/M",D15/H15),"N/M"))</f>
        <v>17.5287030448835</v>
      </c>
      <c r="M15" s="49" t="n">
        <f aca="false">IF($A15="","",IFERROR(INDEX(Raw_Est!$C$2:$C$100,MATCH($A15,Raw_Est!$A$2:$A$100,0))/INDEX(Raw_Est!$B$2:$B$100,MATCH($A15,Raw_Est!$A$2:$A$100,0))-1,""))</f>
        <v>0.0279584294188358</v>
      </c>
      <c r="N15" s="51" t="n">
        <f aca="false">IF($A15="","",IFERROR(IF(OR(NOT(ISNUMBER(J15)),I15&lt;Config!$B$6),"N/M",J15/(I15*100)),"N/M"))</f>
        <v>0.173055598205299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0.202223819261117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14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46323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4235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134.549586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69.7808535178777</v>
      </c>
      <c r="K16" s="52" t="n">
        <f aca="false">IF($A16="","",IFERROR(IF(G16&lt;=0,"N/M",D16/G16),"N/M"))</f>
        <v>70.2504166090232</v>
      </c>
      <c r="L16" s="52" t="n">
        <f aca="false">IF($A16="","",IFERROR(IF(H16&lt;=0,"N/M",D16/H16),"N/M"))</f>
        <v>31.4753848443651</v>
      </c>
      <c r="M16" s="49" t="n">
        <f aca="false">IF($A16="","",IFERROR(INDEX(Raw_Est!$C$2:$C$100,MATCH($A16,Raw_Est!$A$2:$A$100,0))/INDEX(Raw_Est!$B$2:$B$100,MATCH($A16,Raw_Est!$A$2:$A$100,0))-1,""))</f>
        <v>1.12964288482907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0.278631284869535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0.0127509368288076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0.263382928390365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46323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103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38.1481481481482</v>
      </c>
      <c r="K17" s="52" t="n">
        <f aca="false">IF($A17="","",IFERROR(IF(G17&lt;=0,"N/M",D17/G17),"N/M"))</f>
        <v>32.9073482428115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46323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108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7.14999591780822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18.2432432432432</v>
      </c>
      <c r="K18" s="52" t="n">
        <f aca="false">IF($A18="","",IFERROR(IF(G18&lt;=0,"N/M",D18/G18),"N/M"))</f>
        <v>18.9454738736653</v>
      </c>
      <c r="L18" s="52" t="n">
        <f aca="false">IF($A18="","",IFERROR(IF(H18&lt;=0,"N/M",D18/H18),"N/M"))</f>
        <v>15.1049037288271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0.74064449064449</v>
      </c>
      <c r="O18" s="51" t="n">
        <f aca="false">IF($A18="","",IFERROR(IF(OR(NOT(ISNUMBER(L18)),M18&lt;Config!$B$6),"N/M",L18/(M18*100)),"N/M"))</f>
        <v>0.530255561425454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0.0371244151851852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46323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2040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304.471064191781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6.70014408566274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46323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540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9.8010714520548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63.454759106933</v>
      </c>
      <c r="K20" s="52" t="n">
        <f aca="false">IF($A20="","",IFERROR(IF(G20&lt;=0,"N/M",D20/G20),"N/M"))</f>
        <v>66.6030237772795</v>
      </c>
      <c r="L20" s="52" t="n">
        <f aca="false">IF($A20="","",IFERROR(IF(H20&lt;=0,"N/M",D20/H20),"N/M"))</f>
        <v>55.0960170672757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1.76825292059567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0.0037037037037037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46323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488.5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12.9481917808219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79.4308943089431</v>
      </c>
      <c r="K21" s="52" t="n">
        <f aca="false">IF($A21="","",IFERROR(IF(G21&lt;=0,"N/M",D21/G21),"N/M"))</f>
        <v>71.9440353460972</v>
      </c>
      <c r="L21" s="52" t="n">
        <f aca="false">IF($A21="","",IFERROR(IF(H21&lt;=0,"N/M",D21/H21),"N/M"))</f>
        <v>37.72727561261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1.77674368848952</v>
      </c>
      <c r="O21" s="51" t="n">
        <f aca="false">IF($A21="","",IFERROR(IF(OR(NOT(ISNUMBER(L21)),M21&lt;Config!$B$6),"N/M",L21/(M21*100)),"N/M"))</f>
        <v>0.413656627265857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0.00316199146366428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46323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533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8.9564721369863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59.5100383106138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46323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172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47.7912145479452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18.9845474613687</v>
      </c>
      <c r="K23" s="52" t="n">
        <f aca="false">IF($A23="","",IFERROR(IF(G23&lt;=0,"N/M",D23/G23),"N/M"))</f>
        <v>10.4185406410916</v>
      </c>
      <c r="L23" s="52" t="n">
        <f aca="false">IF($A23="","",IFERROR(IF(H23&lt;=0,"N/M",D23/H23),"N/M"))</f>
        <v>3.59898783964667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0.0337184031100784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0.00290697674418605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46323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441.5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89.7357723577236</v>
      </c>
      <c r="K25" s="52" t="n">
        <f aca="false">IF($A25="","",IFERROR(IF(G25&lt;=0,"N/M",D25/G25),"N/M"))</f>
        <v>102.436194895592</v>
      </c>
      <c r="L25" s="52" t="n">
        <f aca="false">IF($A25="","",IFERROR(IF(H25&lt;=0,"N/M",D25/H25),"N/M"))</f>
        <v>36.8838763575606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0.00226500566251416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46323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507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13.3617534246575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37.9441218443974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0.150527869108487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46323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8170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111.624827013699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209.433478595232</v>
      </c>
      <c r="K27" s="52" t="n">
        <f aca="false">IF($A27="","",IFERROR(IF(G27&lt;=0,"N/M",D27/G27),"N/M"))</f>
        <v>181.999594120856</v>
      </c>
      <c r="L27" s="52" t="n">
        <f aca="false">IF($A27="","",IFERROR(IF(H27&lt;=0,"N/M",D27/H27),"N/M"))</f>
        <v>73.1916027874102</v>
      </c>
      <c r="M27" s="49" t="n">
        <f aca="false">IF($A27="","",IFERROR(INDEX(Raw_Est!$C$2:$C$100,MATCH($A27,Raw_Est!$A$2:$A$100,0))/INDEX(Raw_Est!$B$2:$B$100,MATCH($A27,Raw_Est!$A$2:$A$100,0))-1,""))</f>
        <v>1.29745557676356</v>
      </c>
      <c r="N27" s="51" t="n">
        <f aca="false">IF($A27="","",IFERROR(IF(OR(NOT(ISNUMBER(J27)),I27&lt;Config!$B$6),"N/M",J27/(I27*100)),"N/M"))</f>
        <v>4.73106203944451</v>
      </c>
      <c r="O27" s="51" t="n">
        <f aca="false">IF($A27="","",IFERROR(IF(OR(NOT(ISNUMBER(L27)),M27&lt;Config!$B$6),"N/M",L27/(M27*100)),"N/M"))</f>
        <v>0.564116445281177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0.00244798041615667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0.536692293539164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46323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2026-10-28T13:23:40Z</dcterms:created>
  <dc:creator>openpyxl</dc:creator>
  <dc:description/>
  <dc:language>en-US</dc:language>
  <cp:lastModifiedBy/>
  <dcterms:modified xsi:type="dcterms:W3CDTF">2026-10-28T13:23:41Z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