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<sst xmlns="http://schemas.openxmlformats.org/spreadsheetml/2006/main" count="8221" uniqueCount="1534">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</sst>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7CD99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2405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0.444461536074878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27.8743625405656</v>
      </c>
      <c r="P3" s="22" t="n">
        <f aca="false">IF(Calc!$A$2="","",Calc!L$2)</f>
        <v>17.0422646775889</v>
      </c>
      <c r="Q3" s="18" t="n">
        <f aca="false">IF(Calc!$A$2="","",Calc!N$2)</f>
        <v>0.523725510396813</v>
      </c>
      <c r="R3" s="18" t="n">
        <f aca="false">IF(Calc!$A$2="","",Calc!O$2)</f>
        <v>0.488564699943012</v>
      </c>
      <c r="S3" s="19" t="n">
        <f aca="false">IF(Calc!$A$2="","",Calc!Q$2)</f>
        <v>0.0091476508024948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422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0.810551818481909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15.5432780847145</v>
      </c>
      <c r="P4" s="22" t="n">
        <f aca="false">IF(Calc!$A$3="","",Calc!L$3)</f>
        <v>3.82810382969174</v>
      </c>
      <c r="Q4" s="18" t="str">
        <f aca="false">IF(Calc!$A$3="","",Calc!N$3)</f>
        <v>N/M</v>
      </c>
      <c r="R4" s="18" t="n">
        <f aca="false">IF(Calc!$A$3="","",Calc!O$3)</f>
        <v>0.0675782971790547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1100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4.86578423104041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485.5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117.839805825243</v>
      </c>
      <c r="P6" s="22" t="n">
        <f aca="false">IF(Calc!$A$5="","",Calc!L$5)</f>
        <v>55.8032322748708</v>
      </c>
      <c r="Q6" s="18" t="n">
        <f aca="false">IF(Calc!$A$5="","",Calc!N$5)</f>
        <v>1.91395862964566</v>
      </c>
      <c r="R6" s="18" t="n">
        <f aca="false">IF(Calc!$A$5="","",Calc!O$5)</f>
        <v>0.8197024051071</v>
      </c>
      <c r="S6" s="19" t="n">
        <f aca="false">IF(Calc!$A$5="","",Calc!Q$5)</f>
        <v>0.00539764475798146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568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19.8116498081618</v>
      </c>
      <c r="P7" s="22" t="n">
        <f aca="false">IF(Calc!$A$6="","",Calc!L$6)</f>
        <v>16.1730578222093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0.0492957746478873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1925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0.277258591086113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35.3016688061617</v>
      </c>
      <c r="P8" s="22" t="n">
        <f aca="false">IF(Calc!$A$7="","",Calc!L$7)</f>
        <v>16.4386162035792</v>
      </c>
      <c r="Q8" s="18" t="n">
        <f aca="false">IF(Calc!$A$7="","",Calc!N$7)</f>
        <v>0.614319995355468</v>
      </c>
      <c r="R8" s="18" t="n">
        <f aca="false">IF(Calc!$A$7="","",Calc!O$7)</f>
        <v>0.19921591516487</v>
      </c>
      <c r="S8" s="19" t="n">
        <f aca="false">IF(Calc!$A$7="","",Calc!Q$7)</f>
        <v>0.0054573935012987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561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16.8343981594753</v>
      </c>
      <c r="Q9" s="18" t="str">
        <f aca="false">IF(Calc!$A$8="","",Calc!N$8)</f>
        <v>N/M</v>
      </c>
      <c r="R9" s="18" t="n">
        <f aca="false">IF(Calc!$A$8="","",Calc!O$8)</f>
        <v>1.5131668156126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355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0.337807994623461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13.2909022837888</v>
      </c>
      <c r="P10" s="22" t="n">
        <f aca="false">IF(Calc!$A$9="","",Calc!L$9)</f>
        <v>9.70256323831948</v>
      </c>
      <c r="Q10" s="18" t="n">
        <f aca="false">IF(Calc!$A$9="","",Calc!N$9)</f>
        <v>0.21208611807562</v>
      </c>
      <c r="R10" s="18" t="n">
        <f aca="false">IF(Calc!$A$9="","",Calc!O$9)</f>
        <v>0.858421032456431</v>
      </c>
      <c r="S10" s="19" t="n">
        <f aca="false">IF(Calc!$A$9="","",Calc!Q$9)</f>
        <v>0.028169014084507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10100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55.6811290589338</v>
      </c>
      <c r="P11" s="22" t="n">
        <f aca="false">IF(Calc!$A$10="","",Calc!L$10)</f>
        <v>21.5921343080211</v>
      </c>
      <c r="Q11" s="18" t="n">
        <f aca="false">IF(Calc!$A$10="","",Calc!N$10)</f>
        <v>0.330398828876579</v>
      </c>
      <c r="R11" s="18" t="n">
        <f aca="false">IF(Calc!$A$10="","",Calc!O$10)</f>
        <v>0.519058732437719</v>
      </c>
      <c r="S11" s="19" t="n">
        <f aca="false">IF(Calc!$A$10="","",Calc!Q$10)</f>
        <v>0.00318811881188119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2490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222.123104371097</v>
      </c>
      <c r="P12" s="22" t="n">
        <f aca="false">IF(Calc!$A$11="","",Calc!L$11)</f>
        <v>70.1577892797286</v>
      </c>
      <c r="Q12" s="18" t="n">
        <f aca="false">IF(Calc!$A$11="","",Calc!N$11)</f>
        <v>0.394315174776423</v>
      </c>
      <c r="R12" s="18" t="n">
        <f aca="false">IF(Calc!$A$11="","",Calc!O$11)</f>
        <v>0.6954675231262</v>
      </c>
      <c r="S12" s="19" t="n">
        <f aca="false">IF(Calc!$A$11="","",Calc!Q$11)</f>
        <v>0.000200812108433735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556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57.6763485477179</v>
      </c>
      <c r="P13" s="22" t="str">
        <f aca="false">IF(Calc!$A$12="","",Calc!L$12)</f>
        <v>N/M</v>
      </c>
      <c r="Q13" s="18" t="n">
        <f aca="false">IF(Calc!$A$12="","",Calc!N$12)</f>
        <v>0.21638915360984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945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0.141799796168161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160.169491525424</v>
      </c>
      <c r="P14" s="22" t="n">
        <f aca="false">IF(Calc!$A$13="","",Calc!L$13)</f>
        <v>35.3621655566485</v>
      </c>
      <c r="Q14" s="18" t="n">
        <f aca="false">IF(Calc!$A$13="","",Calc!N$13)</f>
        <v>0.413230457880091</v>
      </c>
      <c r="R14" s="18" t="n">
        <f aca="false">IF(Calc!$A$13="","",Calc!O$13)</f>
        <v>0.23019463555725</v>
      </c>
      <c r="S14" s="19" t="n">
        <f aca="false">IF(Calc!$A$13="","",Calc!Q$13)</f>
        <v>0.00105838299470899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1455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12.479814225073</v>
      </c>
      <c r="Q15" s="18" t="str">
        <f aca="false">IF(Calc!$A$14="","",Calc!N$14)</f>
        <v>N/M</v>
      </c>
      <c r="R15" s="18" t="n">
        <f aca="false">IF(Calc!$A$14="","",Calc!O$14)</f>
        <v>0.113821632607263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127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0.202785635513313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19.0119760479042</v>
      </c>
      <c r="P16" s="22" t="n">
        <f aca="false">IF(Calc!$A$15="","",Calc!L$15)</f>
        <v>17.3348885058714</v>
      </c>
      <c r="Q16" s="18" t="n">
        <f aca="false">IF(Calc!$A$15="","",Calc!N$15)</f>
        <v>0.17170360134432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4150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0.25995791657519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68.3802932937881</v>
      </c>
      <c r="P17" s="22" t="n">
        <f aca="false">IF(Calc!$A$16="","",Calc!L$16)</f>
        <v>31.374678085084</v>
      </c>
      <c r="Q17" s="18" t="str">
        <f aca="false">IF(Calc!$A$16="","",Calc!N$16)</f>
        <v>N/M</v>
      </c>
      <c r="R17" s="18" t="n">
        <f aca="false">IF(Calc!$A$16="","",Calc!O$16)</f>
        <v>0.272603783060344</v>
      </c>
      <c r="S17" s="19" t="n">
        <f aca="false">IF(Calc!$A$16="","",Calc!Q$16)</f>
        <v>0.0130121005951807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82.8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30.6666666666667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105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17.7364864864865</v>
      </c>
      <c r="P19" s="22" t="n">
        <f aca="false">IF(Calc!$A$18="","",Calc!L$18)</f>
        <v>14.7599470518239</v>
      </c>
      <c r="Q19" s="18" t="n">
        <f aca="false">IF(Calc!$A$18="","",Calc!N$18)</f>
        <v>0.720071032571033</v>
      </c>
      <c r="R19" s="18" t="n">
        <f aca="false">IF(Calc!$A$18="","",Calc!O$18)</f>
        <v>0.518145904871821</v>
      </c>
      <c r="S19" s="19" t="n">
        <f aca="false">IF(Calc!$A$18="","",Calc!Q$18)</f>
        <v>0.0381851127619048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1845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6.00316130445646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475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55.8166862514689</v>
      </c>
      <c r="P21" s="22" t="n">
        <f aca="false">IF(Calc!$A$20="","",Calc!L$20)</f>
        <v>48.7288420702768</v>
      </c>
      <c r="Q21" s="18" t="str">
        <f aca="false">IF(Calc!$A$20="","",Calc!N$20)</f>
        <v>N/M</v>
      </c>
      <c r="R21" s="18" t="n">
        <f aca="false">IF(Calc!$A$20="","",Calc!O$20)</f>
        <v>1.56390465036337</v>
      </c>
      <c r="S21" s="19" t="n">
        <f aca="false">IF(Calc!$A$20="","",Calc!Q$20)</f>
        <v>0.00421052631578947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470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76.4227642276423</v>
      </c>
      <c r="P22" s="22" t="n">
        <f aca="false">IF(Calc!$A$21="","",Calc!L$21)</f>
        <v>36.7174139639611</v>
      </c>
      <c r="Q22" s="18" t="n">
        <f aca="false">IF(Calc!$A$21="","",Calc!N$21)</f>
        <v>1.70945656824989</v>
      </c>
      <c r="R22" s="18" t="n">
        <f aca="false">IF(Calc!$A$21="","",Calc!O$21)</f>
        <v>0.402584108595953</v>
      </c>
      <c r="S22" s="19" t="n">
        <f aca="false">IF(Calc!$A$21="","",Calc!Q$21)</f>
        <v>0.00328645282978723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517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59.37843364906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152.5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16.832229580574</v>
      </c>
      <c r="P24" s="22" t="n">
        <f aca="false">IF(Calc!$A$23="","",Calc!L$23)</f>
        <v>3.23116648921775</v>
      </c>
      <c r="Q24" s="18" t="str">
        <f aca="false">IF(Calc!$A$23="","",Calc!N$23)</f>
        <v>N/M</v>
      </c>
      <c r="R24" s="18" t="n">
        <f aca="false">IF(Calc!$A$23="","",Calc!O$23)</f>
        <v>0.0302723374052625</v>
      </c>
      <c r="S24" s="19" t="n">
        <f aca="false">IF(Calc!$A$23="","",Calc!Q$23)</f>
        <v>0.00327868852459016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430.5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87.5</v>
      </c>
      <c r="P26" s="22" t="n">
        <f aca="false">IF(Calc!$A$25="","",Calc!L$25)</f>
        <v>35.9649122807018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0.00232288037166086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476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36.2750338238487</v>
      </c>
      <c r="Q27" s="18" t="str">
        <f aca="false">IF(Calc!$A$26="","",Calc!N$26)</f>
        <v>N/M</v>
      </c>
      <c r="R27" s="18" t="n">
        <f aca="false">IF(Calc!$A$26="","",Calc!O$26)</f>
        <v>0.14390644131216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7745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0.536692293539164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198.538836195847</v>
      </c>
      <c r="P28" s="22" t="n">
        <f aca="false">IF(Calc!$A$27="","",Calc!L$27)</f>
        <v>70.3506947860922</v>
      </c>
      <c r="Q28" s="18" t="n">
        <f aca="false">IF(Calc!$A$27="","",Calc!N$27)</f>
        <v>4.48495416101563</v>
      </c>
      <c r="R28" s="18" t="n">
        <f aca="false">IF(Calc!$A$27="","",Calc!O$27)</f>
        <v>0.54222045090421</v>
      </c>
      <c r="S28" s="19" t="n">
        <f aca="false">IF(Calc!$A$27="","",Calc!Q$27)</f>
        <v>0.0025823111684958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5">
      <formula>"N/M"</formula>
    </cfRule>
  </conditionalFormatting>
  <conditionalFormatting sqref="Q3:Q33">
    <cfRule type="cellIs" priority="8" operator="lessThan" aboveAverage="0" equalAverage="0" bottom="0" percent="0" rank="0" text="" dxfId="66">
      <formula>1.5</formula>
    </cfRule>
  </conditionalFormatting>
  <conditionalFormatting sqref="R3:R33">
    <cfRule type="cellIs" priority="9" operator="lessThan" aboveAverage="0" equalAverage="0" bottom="0" percent="0" rank="0" text="" dxfId="66">
      <formula>1.5</formula>
    </cfRule>
  </conditionalFormatting>
  <conditionalFormatting sqref="L3:L33">
    <cfRule type="cellIs" priority="10" operator="equal" aboveAverage="0" equalAverage="0" bottom="0" percent="0" rank="0" text="" dxfId="66">
      <formula>"成長且加速"</formula>
    </cfRule>
    <cfRule type="cellIs" priority="11" operator="equal" aboveAverage="0" equalAverage="0" bottom="0" percent="0" rank="0" text="" dxfId="67">
      <formula>"成長但減速"</formula>
    </cfRule>
    <cfRule type="cellIs" priority="12" operator="equal" aboveAverage="0" equalAverage="0" bottom="0" percent="0" rank="0" text="" dxfId="67">
      <formula>"衰退但收斂"</formula>
    </cfRule>
    <cfRule type="cellIs" priority="13" operator="equal" aboveAverage="0" equalAverage="0" bottom="0" percent="0" rank="0" text="" dxfId="68">
      <formula>"衰退且惡化"</formula>
    </cfRule>
  </conditionalFormatting>
  <conditionalFormatting sqref="A3:W33">
    <cfRule type="expression" priority="14" aboveAverage="0" equalAverage="0" bottom="0" percent="0" rank="0" text="" dxfId="6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2405</v>
      </c>
      <c r="D4" s="30" t="s">
        <v>81</v>
      </c>
      <c r="E4" s="32" t="n">
        <f aca="false">IF($B$2="","",IFERROR(INDEX(Calc!$AM$2:$AM$100,MATCH($B$2,Calc!$A$2:$A$100,0)),""))</f>
        <v>21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46315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27.8743625405656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17.0422646775889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0.523725510396813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0.488564699943012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141.119742328767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0.0091476508024948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0.444461536074878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0.348823086882389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2405</v>
      </c>
      <c r="L12" s="55" t="n">
        <f aca="false">IF(Stock_Card!$B$2="","",IFERROR(INDEX(Calc!$Q$2:$Q$100,MATCH(Stock_Card!$B$2,Calc!$A$2:$A$100,0)),""))</f>
        <v>0.0091476508024948</v>
      </c>
      <c r="M12" s="58" t="n">
        <f aca="false">IF(Stock_Card!$B$2="","",IFERROR(INDEX(Calc!$J$2:$J$100,MATCH(Stock_Card!$B$2,Calc!$A$2:$A$100,0)),""))</f>
        <v>27.8743625405656</v>
      </c>
      <c r="N12" s="57" t="n">
        <f aca="false">IF(Stock_Card!$B$2="","",IFERROR(INDEX(Calc!$N$2:$N$100,MATCH(Stock_Card!$B$2,Calc!$A$2:$A$100,0)),""))</f>
        <v>0.523725510396813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141.119742328767</v>
      </c>
      <c r="H13" s="55" t="n">
        <f aca="false">IF(Stock_Card!$B$2="","",IFERROR(INDEX(Calc!$M$2:$M$100,MATCH(Stock_Card!$B$2,Calc!$A$2:$A$100,0)),""))</f>
        <v>0.348823086882389</v>
      </c>
      <c r="I13" s="55" t="n">
        <f aca="false">IF(Stock_Card!$B$2="","",IFERROR(INDEX(Calc!$AI$2:$AI$100,MATCH(Stock_Card!$B$2,Calc!$A$2:$A$100,0)),""))</f>
        <v>0.444461536074878</v>
      </c>
      <c r="J13" s="59"/>
      <c r="K13" s="59"/>
      <c r="L13" s="59"/>
      <c r="M13" s="58" t="n">
        <f aca="false">IF(Stock_Card!$B$2="","",IFERROR(INDEX(Calc!$L$2:$L$100,MATCH(Stock_Card!$B$2,Calc!$A$2:$A$100,0)),""))</f>
        <v>17.0422646775889</v>
      </c>
      <c r="N13" s="57" t="n">
        <f aca="false">IF(Stock_Card!$B$2="","",IFERROR(INDEX(Calc!$O$2:$O$100,MATCH(Stock_Card!$B$2,Calc!$A$2:$A$100,0)),""))</f>
        <v>0.488564699943012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{F9C6D198-4370-42C2-90CD-40DCE140CAB0}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6">
      <formula>"成長且加速"</formula>
    </cfRule>
    <cfRule type="cellIs" priority="5" operator="equal" aboveAverage="0" equalAverage="0" bottom="0" percent="0" rank="0" text="" dxfId="67">
      <formula>"成長但減速"</formula>
    </cfRule>
    <cfRule type="cellIs" priority="6" operator="equal" aboveAverage="0" equalAverage="0" bottom="0" percent="0" rank="0" text="" dxfId="67">
      <formula>"衰退但收斂"</formula>
    </cfRule>
    <cfRule type="cellIs" priority="7" operator="equal" aboveAverage="0" equalAverage="0" bottom="0" percent="0" rank="0" text="" dxfId="6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0">
      <formula>$O5="預估"</formula>
    </cfRule>
  </conditionalFormatting>
  <conditionalFormatting sqref="B24:B28">
    <cfRule type="expression" priority="12" aboveAverage="0" equalAverage="0" bottom="0" percent="0" rank="0" text="" dxfId="7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C6D198-4370-42C2-90CD-40DCE140CAB0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-46315</v>
      </c>
      <c r="I4" s="67" t="n">
        <f aca="false">IF($A4="","",IFERROR(INDEX(Raw_Price!$E$2:$E$100,MATCH($A4,Raw_Price!$A$2:$A$100,0)),""))</f>
        <v>46315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-46315</v>
      </c>
      <c r="I5" s="67" t="n">
        <f aca="false">IF($A5="","",IFERROR(INDEX(Raw_Price!$E$2:$E$100,MATCH($A5,Raw_Price!$A$2:$A$100,0)),""))</f>
        <v>46315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-46315</v>
      </c>
      <c r="I6" s="67" t="n">
        <f aca="false">IF($A6="","",IFERROR(INDEX(Raw_Price!$E$2:$E$100,MATCH($A6,Raw_Price!$A$2:$A$100,0)),""))</f>
        <v>46315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-46315</v>
      </c>
      <c r="I7" s="67" t="n">
        <f aca="false">IF($A7="","",IFERROR(INDEX(Raw_Price!$E$2:$E$100,MATCH($A7,Raw_Price!$A$2:$A$100,0)),""))</f>
        <v>46315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-46315</v>
      </c>
      <c r="I8" s="67" t="n">
        <f aca="false">IF($A8="","",IFERROR(INDEX(Raw_Price!$E$2:$E$100,MATCH($A8,Raw_Price!$A$2:$A$100,0)),""))</f>
        <v>46315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-46315</v>
      </c>
      <c r="I9" s="67" t="n">
        <f aca="false">IF($A9="","",IFERROR(INDEX(Raw_Price!$E$2:$E$100,MATCH($A9,Raw_Price!$A$2:$A$100,0)),""))</f>
        <v>46315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-46315</v>
      </c>
      <c r="I10" s="67" t="n">
        <f aca="false">IF($A10="","",IFERROR(INDEX(Raw_Price!$E$2:$E$100,MATCH($A10,Raw_Price!$A$2:$A$100,0)),""))</f>
        <v>46315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-46315</v>
      </c>
      <c r="I11" s="67" t="n">
        <f aca="false">IF($A11="","",IFERROR(INDEX(Raw_Price!$E$2:$E$100,MATCH($A11,Raw_Price!$A$2:$A$100,0)),""))</f>
        <v>46315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-46315</v>
      </c>
      <c r="I12" s="67" t="n">
        <f aca="false">IF($A12="","",IFERROR(INDEX(Raw_Price!$E$2:$E$100,MATCH($A12,Raw_Price!$A$2:$A$100,0)),""))</f>
        <v>46315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-46315</v>
      </c>
      <c r="I13" s="67" t="n">
        <f aca="false">IF($A13="","",IFERROR(INDEX(Raw_Price!$E$2:$E$100,MATCH($A13,Raw_Price!$A$2:$A$100,0)),""))</f>
        <v>46315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-46315</v>
      </c>
      <c r="I14" s="67" t="n">
        <f aca="false">IF($A14="","",IFERROR(INDEX(Raw_Price!$E$2:$E$100,MATCH($A14,Raw_Price!$A$2:$A$100,0)),""))</f>
        <v>46315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-46315</v>
      </c>
      <c r="I15" s="67" t="n">
        <f aca="false">IF($A15="","",IFERROR(INDEX(Raw_Price!$E$2:$E$100,MATCH($A15,Raw_Price!$A$2:$A$100,0)),""))</f>
        <v>46315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-46315</v>
      </c>
      <c r="I16" s="67" t="n">
        <f aca="false">IF($A16="","",IFERROR(INDEX(Raw_Price!$E$2:$E$100,MATCH($A16,Raw_Price!$A$2:$A$100,0)),""))</f>
        <v>46315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-46315</v>
      </c>
      <c r="I17" s="67" t="n">
        <f aca="false">IF($A17="","",IFERROR(INDEX(Raw_Price!$E$2:$E$100,MATCH($A17,Raw_Price!$A$2:$A$100,0)),""))</f>
        <v>46315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-46315</v>
      </c>
      <c r="I18" s="67" t="n">
        <f aca="false">IF($A18="","",IFERROR(INDEX(Raw_Price!$E$2:$E$100,MATCH($A18,Raw_Price!$A$2:$A$100,0)),""))</f>
        <v>46315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-46315</v>
      </c>
      <c r="I19" s="67" t="n">
        <f aca="false">IF($A19="","",IFERROR(INDEX(Raw_Price!$E$2:$E$100,MATCH($A19,Raw_Price!$A$2:$A$100,0)),""))</f>
        <v>46315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-46315</v>
      </c>
      <c r="I20" s="67" t="n">
        <f aca="false">IF($A20="","",IFERROR(INDEX(Raw_Price!$E$2:$E$100,MATCH($A20,Raw_Price!$A$2:$A$100,0)),""))</f>
        <v>46315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-46315</v>
      </c>
      <c r="I21" s="67" t="n">
        <f aca="false">IF($A21="","",IFERROR(INDEX(Raw_Price!$E$2:$E$100,MATCH($A21,Raw_Price!$A$2:$A$100,0)),""))</f>
        <v>46315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-46315</v>
      </c>
      <c r="I22" s="67" t="n">
        <f aca="false">IF($A22="","",IFERROR(INDEX(Raw_Price!$E$2:$E$100,MATCH($A22,Raw_Price!$A$2:$A$100,0)),""))</f>
        <v>46315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-46315</v>
      </c>
      <c r="I23" s="67" t="n">
        <f aca="false">IF($A23="","",IFERROR(INDEX(Raw_Price!$E$2:$E$100,MATCH($A23,Raw_Price!$A$2:$A$100,0)),""))</f>
        <v>46315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-46315</v>
      </c>
      <c r="I24" s="67" t="n">
        <f aca="false">IF($A24="","",IFERROR(INDEX(Raw_Price!$E$2:$E$100,MATCH($A24,Raw_Price!$A$2:$A$100,0)),""))</f>
        <v>46315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-46315</v>
      </c>
      <c r="I25" s="67" t="n">
        <f aca="false">IF($A25="","",IFERROR(INDEX(Raw_Price!$E$2:$E$100,MATCH($A25,Raw_Price!$A$2:$A$100,0)),""))</f>
        <v>46315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-46315</v>
      </c>
      <c r="I27" s="67" t="n">
        <f aca="false">IF($A27="","",IFERROR(INDEX(Raw_Price!$E$2:$E$100,MATCH($A27,Raw_Price!$A$2:$A$100,0)),""))</f>
        <v>46315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-46315</v>
      </c>
      <c r="I28" s="67" t="n">
        <f aca="false">IF($A28="","",IFERROR(INDEX(Raw_Price!$E$2:$E$100,MATCH($A28,Raw_Price!$A$2:$A$100,0)),""))</f>
        <v>46315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-46315</v>
      </c>
      <c r="I29" s="67" t="n">
        <f aca="false">IF($A29="","",IFERROR(INDEX(Raw_Price!$E$2:$E$100,MATCH($A29,Raw_Price!$A$2:$A$100,0)),""))</f>
        <v>46315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71">
      <formula>"OK"</formula>
    </cfRule>
    <cfRule type="cellIs" priority="3" operator="equal" aboveAverage="0" equalAverage="0" bottom="0" percent="0" rank="0" text="" dxfId="72">
      <formula>"待更新財報"</formula>
    </cfRule>
    <cfRule type="expression" priority="4" aboveAverage="0" equalAverage="0" bottom="0" percent="0" rank="0" text="" dxfId="73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1.81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1213.881</v>
      </c>
      <c r="J700" s="82" t="n">
        <v>283.468</v>
      </c>
      <c r="K700" s="82" t="n">
        <v>-13251000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46315</v>
      </c>
    </row>
    <row r="3" customFormat="false" ht="15" hidden="false" customHeight="false" outlineLevel="0" collapsed="false">
      <c r="A3" s="79" t="s">
        <v>220</v>
      </c>
      <c r="B3" s="83" t="n">
        <v>7.15757</v>
      </c>
      <c r="C3" s="83" t="n">
        <v>7.36772</v>
      </c>
      <c r="D3" s="81" t="n">
        <v>46387</v>
      </c>
      <c r="E3" s="80" t="n">
        <v>14</v>
      </c>
      <c r="F3" s="81" t="n">
        <v>46315</v>
      </c>
    </row>
    <row r="4" customFormat="false" ht="15" hidden="false" customHeight="false" outlineLevel="0" collapsed="false">
      <c r="A4" s="79" t="s">
        <v>345</v>
      </c>
      <c r="B4" s="83" t="n">
        <v>20.11068</v>
      </c>
      <c r="C4" s="83" t="n">
        <v>31.56477</v>
      </c>
      <c r="D4" s="81" t="n">
        <v>46387</v>
      </c>
      <c r="E4" s="80" t="n">
        <v>3</v>
      </c>
      <c r="F4" s="81" t="n">
        <v>46315</v>
      </c>
    </row>
    <row r="5" customFormat="false" ht="15" hidden="false" customHeight="false" outlineLevel="0" collapsed="false">
      <c r="A5" s="79" t="s">
        <v>79</v>
      </c>
      <c r="B5" s="83" t="n">
        <v>110.24858</v>
      </c>
      <c r="C5" s="83" t="n">
        <v>148.70583</v>
      </c>
      <c r="D5" s="81" t="n">
        <v>46387</v>
      </c>
      <c r="E5" s="80" t="n">
        <v>21</v>
      </c>
      <c r="F5" s="81" t="n">
        <v>46315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46315</v>
      </c>
    </row>
    <row r="7" customFormat="false" ht="15" hidden="false" customHeight="false" outlineLevel="0" collapsed="false">
      <c r="A7" s="79" t="s">
        <v>205</v>
      </c>
      <c r="B7" s="83" t="n">
        <v>33.54469</v>
      </c>
      <c r="C7" s="83" t="n">
        <v>37.33618</v>
      </c>
      <c r="D7" s="81" t="n">
        <v>46387</v>
      </c>
      <c r="E7" s="80" t="n">
        <v>8</v>
      </c>
      <c r="F7" s="81" t="n">
        <v>46315</v>
      </c>
    </row>
    <row r="8" customFormat="false" ht="15" hidden="false" customHeight="false" outlineLevel="0" collapsed="false">
      <c r="A8" s="79" t="s">
        <v>182</v>
      </c>
      <c r="B8" s="83" t="n">
        <v>75.77869</v>
      </c>
      <c r="C8" s="83" t="n">
        <v>118.705</v>
      </c>
      <c r="D8" s="81" t="n">
        <v>46387</v>
      </c>
      <c r="E8" s="80" t="n">
        <v>5</v>
      </c>
      <c r="F8" s="81" t="n">
        <v>46315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68.75237</v>
      </c>
      <c r="C10" s="83" t="n">
        <v>147.88126</v>
      </c>
      <c r="D10" s="81" t="n">
        <v>46387</v>
      </c>
      <c r="E10" s="80" t="n">
        <v>15</v>
      </c>
      <c r="F10" s="81" t="n">
        <v>46315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46315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46315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46315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46315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46315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46315</v>
      </c>
    </row>
    <row r="17" customFormat="false" ht="15" hidden="false" customHeight="false" outlineLevel="0" collapsed="false">
      <c r="A17" s="79" t="s">
        <v>216</v>
      </c>
      <c r="B17" s="83" t="n">
        <v>11.96668</v>
      </c>
      <c r="C17" s="83" t="n">
        <v>30.34972</v>
      </c>
      <c r="D17" s="81" t="n">
        <v>46387</v>
      </c>
      <c r="E17" s="80" t="n">
        <v>8</v>
      </c>
      <c r="F17" s="81" t="n">
        <v>46315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46315</v>
      </c>
    </row>
    <row r="20" customFormat="false" ht="15" hidden="false" customHeight="false" outlineLevel="0" collapsed="false">
      <c r="A20" s="79" t="s">
        <v>245</v>
      </c>
      <c r="B20" s="83" t="n">
        <v>53.92617</v>
      </c>
      <c r="C20" s="83" t="n">
        <v>123.89298</v>
      </c>
      <c r="D20" s="81" t="n">
        <v>46387</v>
      </c>
      <c r="E20" s="80" t="n">
        <v>17</v>
      </c>
      <c r="F20" s="81" t="n">
        <v>46315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46315</v>
      </c>
    </row>
    <row r="22" customFormat="false" ht="15" hidden="false" customHeight="false" outlineLevel="0" collapsed="false">
      <c r="A22" s="79" t="s">
        <v>197</v>
      </c>
      <c r="B22" s="83" t="n">
        <v>70.442</v>
      </c>
      <c r="C22" s="83" t="n">
        <v>128.56833</v>
      </c>
      <c r="D22" s="81" t="n">
        <v>46387</v>
      </c>
      <c r="E22" s="80" t="n">
        <v>9</v>
      </c>
      <c r="F22" s="81" t="n">
        <v>46315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46315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46315</v>
      </c>
    </row>
    <row r="26" customFormat="false" ht="15" hidden="false" customHeight="false" outlineLevel="0" collapsed="false">
      <c r="A26" s="79" t="s">
        <v>186</v>
      </c>
      <c r="B26" s="83" t="n">
        <v>353.215</v>
      </c>
      <c r="C26" s="83" t="n">
        <v>194.82417</v>
      </c>
      <c r="D26" s="81" t="n">
        <v>46387</v>
      </c>
      <c r="E26" s="80" t="n">
        <v>2</v>
      </c>
      <c r="F26" s="81" t="n">
        <v>46315</v>
      </c>
    </row>
    <row r="27" customFormat="false" ht="15" hidden="false" customHeight="false" outlineLevel="0" collapsed="false">
      <c r="A27" s="79" t="s">
        <v>201</v>
      </c>
      <c r="B27" s="83" t="n">
        <v>30.5925</v>
      </c>
      <c r="C27" s="83" t="n">
        <v>33.996</v>
      </c>
      <c r="D27" s="81" t="n">
        <v>46387</v>
      </c>
      <c r="E27" s="80" t="n">
        <v>4</v>
      </c>
      <c r="F27" s="81" t="n">
        <v>46315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46315</v>
      </c>
    </row>
    <row r="29" customFormat="false" ht="15" hidden="false" customHeight="false" outlineLevel="0" collapsed="false">
      <c r="A29" s="79" t="s">
        <v>243</v>
      </c>
      <c r="B29" s="83" t="n">
        <v>4.34</v>
      </c>
      <c r="C29" s="83" t="n">
        <v>15.28</v>
      </c>
      <c r="D29" s="81" t="n">
        <v>46387</v>
      </c>
      <c r="E29" s="80" t="n">
        <v>1</v>
      </c>
      <c r="F29" s="81" t="n">
        <v>46315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46315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10100</v>
      </c>
      <c r="C2" s="81" t="n">
        <v>46315</v>
      </c>
      <c r="D2" s="81"/>
      <c r="E2" s="81" t="n">
        <v>46315</v>
      </c>
    </row>
    <row r="3" customFormat="false" ht="15" hidden="false" customHeight="false" outlineLevel="0" collapsed="false">
      <c r="A3" s="79" t="s">
        <v>220</v>
      </c>
      <c r="B3" s="83" t="n">
        <v>127</v>
      </c>
      <c r="C3" s="81" t="n">
        <v>46315</v>
      </c>
      <c r="D3" s="81"/>
      <c r="E3" s="81" t="n">
        <v>46315</v>
      </c>
    </row>
    <row r="4" customFormat="false" ht="15" hidden="false" customHeight="false" outlineLevel="0" collapsed="false">
      <c r="A4" s="79" t="s">
        <v>345</v>
      </c>
      <c r="B4" s="83" t="n">
        <v>523</v>
      </c>
      <c r="C4" s="81" t="n">
        <v>46315</v>
      </c>
      <c r="D4" s="81"/>
      <c r="E4" s="81" t="n">
        <v>46315</v>
      </c>
    </row>
    <row r="5" customFormat="false" ht="15" hidden="false" customHeight="false" outlineLevel="0" collapsed="false">
      <c r="A5" s="79" t="s">
        <v>79</v>
      </c>
      <c r="B5" s="83" t="n">
        <v>2405</v>
      </c>
      <c r="C5" s="81" t="n">
        <v>46315</v>
      </c>
      <c r="D5" s="81"/>
      <c r="E5" s="81" t="n">
        <v>46315</v>
      </c>
    </row>
    <row r="6" customFormat="false" ht="15" hidden="false" customHeight="false" outlineLevel="0" collapsed="false">
      <c r="A6" s="79" t="s">
        <v>236</v>
      </c>
      <c r="B6" s="83" t="n">
        <v>152.5</v>
      </c>
      <c r="C6" s="81" t="n">
        <v>46315</v>
      </c>
      <c r="D6" s="81"/>
      <c r="E6" s="81" t="n">
        <v>46315</v>
      </c>
    </row>
    <row r="7" customFormat="false" ht="15" hidden="false" customHeight="false" outlineLevel="0" collapsed="false">
      <c r="A7" s="79" t="s">
        <v>205</v>
      </c>
      <c r="B7" s="83" t="n">
        <v>355</v>
      </c>
      <c r="C7" s="81" t="n">
        <v>46315</v>
      </c>
      <c r="D7" s="81"/>
      <c r="E7" s="81" t="n">
        <v>46315</v>
      </c>
    </row>
    <row r="8" customFormat="false" ht="15" hidden="false" customHeight="false" outlineLevel="0" collapsed="false">
      <c r="A8" s="79" t="s">
        <v>182</v>
      </c>
      <c r="B8" s="83" t="n">
        <v>422</v>
      </c>
      <c r="C8" s="81" t="n">
        <v>46315</v>
      </c>
      <c r="D8" s="81"/>
      <c r="E8" s="81" t="n">
        <v>46315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4150</v>
      </c>
      <c r="C10" s="81" t="n">
        <v>46315</v>
      </c>
      <c r="D10" s="81"/>
      <c r="E10" s="81" t="n">
        <v>46315</v>
      </c>
    </row>
    <row r="11" customFormat="false" ht="15" hidden="false" customHeight="false" outlineLevel="0" collapsed="false">
      <c r="A11" s="79" t="s">
        <v>190</v>
      </c>
      <c r="B11" s="83" t="n">
        <v>485.5</v>
      </c>
      <c r="C11" s="81" t="n">
        <v>46315</v>
      </c>
      <c r="D11" s="81"/>
      <c r="E11" s="81" t="n">
        <v>46315</v>
      </c>
    </row>
    <row r="12" customFormat="false" ht="15" hidden="false" customHeight="false" outlineLevel="0" collapsed="false">
      <c r="A12" s="79" t="s">
        <v>224</v>
      </c>
      <c r="B12" s="83" t="n">
        <v>82.8</v>
      </c>
      <c r="C12" s="81" t="n">
        <v>46315</v>
      </c>
      <c r="D12" s="81"/>
      <c r="E12" s="81" t="n">
        <v>46315</v>
      </c>
    </row>
    <row r="13" customFormat="false" ht="15" hidden="false" customHeight="false" outlineLevel="0" collapsed="false">
      <c r="A13" s="79" t="s">
        <v>195</v>
      </c>
      <c r="B13" s="83" t="n">
        <v>568</v>
      </c>
      <c r="C13" s="81" t="n">
        <v>46315</v>
      </c>
      <c r="D13" s="81"/>
      <c r="E13" s="81" t="n">
        <v>46315</v>
      </c>
    </row>
    <row r="14" customFormat="false" ht="15" hidden="false" customHeight="false" outlineLevel="0" collapsed="false">
      <c r="A14" s="79" t="s">
        <v>210</v>
      </c>
      <c r="B14" s="83" t="n">
        <v>2490</v>
      </c>
      <c r="C14" s="81" t="n">
        <v>46315</v>
      </c>
      <c r="D14" s="81"/>
      <c r="E14" s="81" t="n">
        <v>46315</v>
      </c>
    </row>
    <row r="15" customFormat="false" ht="15" hidden="false" customHeight="false" outlineLevel="0" collapsed="false">
      <c r="A15" s="79" t="s">
        <v>230</v>
      </c>
      <c r="B15" s="83" t="n">
        <v>475</v>
      </c>
      <c r="C15" s="81" t="n">
        <v>46315</v>
      </c>
      <c r="D15" s="81"/>
      <c r="E15" s="81" t="n">
        <v>46315</v>
      </c>
    </row>
    <row r="16" customFormat="false" ht="15" hidden="false" customHeight="false" outlineLevel="0" collapsed="false">
      <c r="A16" s="79" t="s">
        <v>212</v>
      </c>
      <c r="B16" s="83" t="n">
        <v>556</v>
      </c>
      <c r="C16" s="81" t="n">
        <v>46315</v>
      </c>
      <c r="D16" s="81"/>
      <c r="E16" s="81" t="n">
        <v>46315</v>
      </c>
    </row>
    <row r="17" customFormat="false" ht="15" hidden="false" customHeight="false" outlineLevel="0" collapsed="false">
      <c r="A17" s="79" t="s">
        <v>216</v>
      </c>
      <c r="B17" s="83" t="n">
        <v>945</v>
      </c>
      <c r="C17" s="81" t="n">
        <v>46315</v>
      </c>
      <c r="D17" s="81"/>
      <c r="E17" s="81" t="n">
        <v>46315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517</v>
      </c>
      <c r="C19" s="81" t="n">
        <v>46315</v>
      </c>
      <c r="D19" s="81"/>
      <c r="E19" s="81" t="n">
        <v>46315</v>
      </c>
    </row>
    <row r="20" customFormat="false" ht="15" hidden="false" customHeight="false" outlineLevel="0" collapsed="false">
      <c r="A20" s="79" t="s">
        <v>245</v>
      </c>
      <c r="B20" s="83" t="n">
        <v>7745</v>
      </c>
      <c r="C20" s="81" t="n">
        <v>46315</v>
      </c>
      <c r="D20" s="81"/>
      <c r="E20" s="81" t="n">
        <v>46315</v>
      </c>
    </row>
    <row r="21" customFormat="false" ht="15" hidden="false" customHeight="false" outlineLevel="0" collapsed="false">
      <c r="A21" s="79" t="s">
        <v>241</v>
      </c>
      <c r="B21" s="83" t="n">
        <v>430.5</v>
      </c>
      <c r="C21" s="81" t="n">
        <v>46315</v>
      </c>
      <c r="D21" s="81"/>
      <c r="E21" s="81" t="n">
        <v>46315</v>
      </c>
    </row>
    <row r="22" customFormat="false" ht="15" hidden="false" customHeight="false" outlineLevel="0" collapsed="false">
      <c r="A22" s="79" t="s">
        <v>197</v>
      </c>
      <c r="B22" s="83" t="n">
        <v>1925</v>
      </c>
      <c r="C22" s="81" t="n">
        <v>46315</v>
      </c>
      <c r="D22" s="81"/>
      <c r="E22" s="81" t="n">
        <v>46315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105</v>
      </c>
      <c r="C24" s="81" t="n">
        <v>46315</v>
      </c>
      <c r="D24" s="81"/>
      <c r="E24" s="81" t="n">
        <v>46315</v>
      </c>
    </row>
    <row r="25" customFormat="false" ht="15" hidden="false" customHeight="false" outlineLevel="0" collapsed="false">
      <c r="A25" s="79" t="s">
        <v>232</v>
      </c>
      <c r="B25" s="83" t="n">
        <v>470</v>
      </c>
      <c r="C25" s="81" t="n">
        <v>46315</v>
      </c>
      <c r="D25" s="81"/>
      <c r="E25" s="81" t="n">
        <v>46315</v>
      </c>
    </row>
    <row r="26" customFormat="false" ht="15" hidden="false" customHeight="false" outlineLevel="0" collapsed="false">
      <c r="A26" s="79" t="s">
        <v>186</v>
      </c>
      <c r="B26" s="83" t="n">
        <v>1100</v>
      </c>
      <c r="C26" s="81" t="n">
        <v>46315</v>
      </c>
      <c r="D26" s="81"/>
      <c r="E26" s="81" t="n">
        <v>46315</v>
      </c>
    </row>
    <row r="27" customFormat="false" ht="15" hidden="false" customHeight="false" outlineLevel="0" collapsed="false">
      <c r="A27" s="79" t="s">
        <v>201</v>
      </c>
      <c r="B27" s="83" t="n">
        <v>561</v>
      </c>
      <c r="C27" s="81" t="n">
        <v>46315</v>
      </c>
      <c r="D27" s="81"/>
      <c r="E27" s="81" t="n">
        <v>46315</v>
      </c>
    </row>
    <row r="28" customFormat="false" ht="15" hidden="false" customHeight="false" outlineLevel="0" collapsed="false">
      <c r="A28" s="79" t="s">
        <v>218</v>
      </c>
      <c r="B28" s="83" t="n">
        <v>1455</v>
      </c>
      <c r="C28" s="81" t="n">
        <v>46315</v>
      </c>
      <c r="D28" s="81"/>
      <c r="E28" s="81" t="n">
        <v>46315</v>
      </c>
    </row>
    <row r="29" customFormat="false" ht="15" hidden="false" customHeight="false" outlineLevel="0" collapsed="false">
      <c r="A29" s="79" t="s">
        <v>243</v>
      </c>
      <c r="B29" s="83" t="n">
        <v>476</v>
      </c>
      <c r="C29" s="81" t="n">
        <v>46315</v>
      </c>
      <c r="D29" s="81"/>
      <c r="E29" s="81" t="n">
        <v>46315</v>
      </c>
    </row>
    <row r="30" customFormat="false" ht="15" hidden="false" customHeight="false" outlineLevel="0" collapsed="false">
      <c r="A30" s="79" t="s">
        <v>228</v>
      </c>
      <c r="B30" s="83" t="n">
        <v>1845</v>
      </c>
      <c r="C30" s="81" t="n">
        <v>46315</v>
      </c>
      <c r="D30" s="81"/>
      <c r="E30" s="81" t="n">
        <v>46315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2405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141.119742328767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27.8743625405656</v>
      </c>
      <c r="K2" s="52" t="n">
        <f aca="false">IF($A2="","",IFERROR(IF(G2&lt;=0,"N/M",D2/G2),"N/M"))</f>
        <v>24.7857731105177</v>
      </c>
      <c r="L2" s="52" t="n">
        <f aca="false">IF($A2="","",IFERROR(IF(H2&lt;=0,"N/M",D2/H2),"N/M"))</f>
        <v>17.0422646775889</v>
      </c>
      <c r="M2" s="49" t="n">
        <f aca="false">IF($A2="","",IFERROR(INDEX(Raw_Est!$C$2:$C$100,MATCH($A2,Raw_Est!$A$2:$A$100,0))/INDEX(Raw_Est!$B$2:$B$100,MATCH($A2,Raw_Est!$A$2:$A$100,0))-1,""))</f>
        <v>0.348823086882389</v>
      </c>
      <c r="N2" s="51" t="n">
        <f aca="false">IF($A2="","",IFERROR(IF(OR(NOT(ISNUMBER(J2)),I2&lt;Config!$B$6),"N/M",J2/(I2*100)),"N/M"))</f>
        <v>0.523725510396813</v>
      </c>
      <c r="O2" s="51" t="n">
        <f aca="false">IF($A2="","",IFERROR(IF(OR(NOT(ISNUMBER(L2)),M2&lt;Config!$B$6),"N/M",L2/(M2*100)),"N/M"))</f>
        <v>0.488564699943012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0.0091476508024948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0.444461536074878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21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46315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422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110.237344328767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15.5432780847145</v>
      </c>
      <c r="K3" s="52" t="n">
        <f aca="false">IF($A3="","",IFERROR(IF(G3&lt;=0,"N/M",D3/G3),"N/M"))</f>
        <v>8.88461267194199</v>
      </c>
      <c r="L3" s="52" t="n">
        <f aca="false">IF($A3="","",IFERROR(IF(H3&lt;=0,"N/M",D3/H3),"N/M"))</f>
        <v>3.82810382969174</v>
      </c>
      <c r="M3" s="49" t="n">
        <f aca="false">IF($A3="","",IFERROR(INDEX(Raw_Est!$C$2:$C$100,MATCH($A3,Raw_Est!$A$2:$A$100,0))/INDEX(Raw_Est!$B$2:$B$100,MATCH($A3,Raw_Est!$A$2:$A$100,0))-1,""))</f>
        <v>0.566469412442997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0.0675782971790547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0.810551818481909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5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46315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1100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226.068388520548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4.86578423104041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46315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485.5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8.70021287671233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117.839805825243</v>
      </c>
      <c r="K5" s="52" t="n">
        <f aca="false">IF($A5="","",IFERROR(IF(G5&lt;=0,"N/M",D5/G5),"N/M"))</f>
        <v>103.423520915836</v>
      </c>
      <c r="L5" s="52" t="n">
        <f aca="false">IF($A5="","",IFERROR(IF(H5&lt;=0,"N/M",D5/H5),"N/M"))</f>
        <v>55.8032322748708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1.91395862964566</v>
      </c>
      <c r="O5" s="51" t="n">
        <f aca="false">IF($A5="","",IFERROR(IF(OR(NOT(ISNUMBER(L5)),M5&lt;Config!$B$6),"N/M",L5/(M5*100)),"N/M"))</f>
        <v>0.8197024051071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0.00539764475798146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46315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568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35.1201366027397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19.8116498081618</v>
      </c>
      <c r="K6" s="52" t="n">
        <f aca="false">IF($A6="","",IFERROR(IF(G6&lt;=0,"N/M",D6/G6),"N/M"))</f>
        <v>17.6218396642171</v>
      </c>
      <c r="L6" s="52" t="n">
        <f aca="false">IF($A6="","",IFERROR(IF(H6&lt;=0,"N/M",D6/H6),"N/M"))</f>
        <v>16.1730578222093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0.0492957746478873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46315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1925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117.102314219178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35.3016688061617</v>
      </c>
      <c r="K7" s="52" t="n">
        <f aca="false">IF($A7="","",IFERROR(IF(G7&lt;=0,"N/M",D7/G7),"N/M"))</f>
        <v>32.2101608416473</v>
      </c>
      <c r="L7" s="52" t="n">
        <f aca="false">IF($A7="","",IFERROR(IF(H7&lt;=0,"N/M",D7/H7),"N/M"))</f>
        <v>16.4386162035792</v>
      </c>
      <c r="M7" s="49" t="n">
        <f aca="false">IF($A7="","",IFERROR(INDEX(Raw_Est!$C$2:$C$100,MATCH($A7,Raw_Est!$A$2:$A$100,0))/INDEX(Raw_Est!$B$2:$B$100,MATCH($A7,Raw_Est!$A$2:$A$100,0))-1,""))</f>
        <v>0.825165810170069</v>
      </c>
      <c r="N7" s="51" t="n">
        <f aca="false">IF($A7="","",IFERROR(IF(OR(NOT(ISNUMBER(J7)),I7&lt;Config!$B$6),"N/M",J7/(I7*100)),"N/M"))</f>
        <v>0.614319995355468</v>
      </c>
      <c r="O7" s="51" t="n">
        <f aca="false">IF($A7="","",IFERROR(IF(OR(NOT(ISNUMBER(L7)),M7&lt;Config!$B$6),"N/M",L7/(M7*100)),"N/M"))</f>
        <v>0.19921591516487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0.0054573935012987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0.277258591086113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46315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561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33.3246246575343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16.8343981594753</v>
      </c>
      <c r="M8" s="49" t="n">
        <f aca="false">IF($A8="","",IFERROR(INDEX(Raw_Est!$C$2:$C$100,MATCH($A8,Raw_Est!$A$2:$A$100,0))/INDEX(Raw_Est!$B$2:$B$100,MATCH($A8,Raw_Est!$A$2:$A$100,0))-1,""))</f>
        <v>0.111252758028929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1.5131668156126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4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46315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355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36.5882696438356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13.2909022837888</v>
      </c>
      <c r="K9" s="52" t="n">
        <f aca="false">IF($A9="","",IFERROR(IF(G9&lt;=0,"N/M",D9/G9),"N/M"))</f>
        <v>11.6904526213946</v>
      </c>
      <c r="L9" s="52" t="n">
        <f aca="false">IF($A9="","",IFERROR(IF(H9&lt;=0,"N/M",D9/H9),"N/M"))</f>
        <v>9.70256323831948</v>
      </c>
      <c r="M9" s="49" t="n">
        <f aca="false">IF($A9="","",IFERROR(INDEX(Raw_Est!$C$2:$C$100,MATCH($A9,Raw_Est!$A$2:$A$100,0))/INDEX(Raw_Est!$B$2:$B$100,MATCH($A9,Raw_Est!$A$2:$A$100,0))-1,""))</f>
        <v>0.113028023213212</v>
      </c>
      <c r="N9" s="51" t="n">
        <f aca="false">IF($A9="","",IFERROR(IF(OR(NOT(ISNUMBER(J9)),I9&lt;Config!$B$6),"N/M",J9/(I9*100)),"N/M"))</f>
        <v>0.21208611807562</v>
      </c>
      <c r="O9" s="51" t="n">
        <f aca="false">IF($A9="","",IFERROR(IF(OR(NOT(ISNUMBER(L9)),M9&lt;Config!$B$6),"N/M",L9/(M9*100)),"N/M"))</f>
        <v>0.858421032456431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0.028169014084507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0.337807994623461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8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46315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10100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467.762929589041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55.6811290589338</v>
      </c>
      <c r="K10" s="52" t="n">
        <f aca="false">IF($A10="","",IFERROR(IF(G10&lt;=0,"N/M",D10/G10),"N/M"))</f>
        <v>37.9355902505533</v>
      </c>
      <c r="L10" s="52" t="n">
        <f aca="false">IF($A10="","",IFERROR(IF(H10&lt;=0,"N/M",D10/H10),"N/M"))</f>
        <v>21.5921343080211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0.330398828876579</v>
      </c>
      <c r="O10" s="51" t="n">
        <f aca="false">IF($A10="","",IFERROR(IF(OR(NOT(ISNUMBER(L10)),M10&lt;Config!$B$6),"N/M",L10/(M10*100)),"N/M"))</f>
        <v>0.519058732437719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0.00318811881188119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46315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2490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35.4914261917808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222.123104371097</v>
      </c>
      <c r="K11" s="52" t="n">
        <f aca="false">IF($A11="","",IFERROR(IF(G11&lt;=0,"N/M",D11/G11),"N/M"))</f>
        <v>156.407035175879</v>
      </c>
      <c r="L11" s="52" t="n">
        <f aca="false">IF($A11="","",IFERROR(IF(H11&lt;=0,"N/M",D11/H11),"N/M"))</f>
        <v>70.1577892797286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0.394315174776423</v>
      </c>
      <c r="O11" s="51" t="n">
        <f aca="false">IF($A11="","",IFERROR(IF(OR(NOT(ISNUMBER(L11)),M11&lt;Config!$B$6),"N/M",L11/(M11*100)),"N/M"))</f>
        <v>0.6954675231262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0.000200812108433735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46315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556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57.6763485477179</v>
      </c>
      <c r="K12" s="52" t="n">
        <f aca="false">IF($A12="","",IFERROR(IF(G12&lt;=0,"N/M",D12/G12),"N/M"))</f>
        <v>81.0495626822158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0.21638915360984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46315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945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26.7234764931507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160.169491525424</v>
      </c>
      <c r="K13" s="52" t="n">
        <f aca="false">IF($A13="","",IFERROR(IF(G13&lt;=0,"N/M",D13/G13),"N/M"))</f>
        <v>113.387527371989</v>
      </c>
      <c r="L13" s="52" t="n">
        <f aca="false">IF($A13="","",IFERROR(IF(H13&lt;=0,"N/M",D13/H13),"N/M"))</f>
        <v>35.3621655566485</v>
      </c>
      <c r="M13" s="49" t="n">
        <f aca="false">IF($A13="","",IFERROR(INDEX(Raw_Est!$C$2:$C$100,MATCH($A13,Raw_Est!$A$2:$A$100,0))/INDEX(Raw_Est!$B$2:$B$100,MATCH($A13,Raw_Est!$A$2:$A$100,0))-1,""))</f>
        <v>1.53618547500226</v>
      </c>
      <c r="N13" s="51" t="n">
        <f aca="false">IF($A13="","",IFERROR(IF(OR(NOT(ISNUMBER(J13)),I13&lt;Config!$B$6),"N/M",J13/(I13*100)),"N/M"))</f>
        <v>0.413230457880091</v>
      </c>
      <c r="O13" s="51" t="n">
        <f aca="false">IF($A13="","",IFERROR(IF(OR(NOT(ISNUMBER(L13)),M13&lt;Config!$B$6),"N/M",L13/(M13*100)),"N/M"))</f>
        <v>0.23019463555725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0.00105838299470899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0.141799796168161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8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46315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1455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116.588273972603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12.479814225073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0.113821632607263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46315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127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7.32626575342466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19.0119760479042</v>
      </c>
      <c r="K15" s="52" t="n">
        <f aca="false">IF($A15="","",IFERROR(IF(G15&lt;=0,"N/M",D15/G15),"N/M"))</f>
        <v>18.4287662884175</v>
      </c>
      <c r="L15" s="52" t="n">
        <f aca="false">IF($A15="","",IFERROR(IF(H15&lt;=0,"N/M",D15/H15),"N/M"))</f>
        <v>17.3348885058714</v>
      </c>
      <c r="M15" s="49" t="n">
        <f aca="false">IF($A15="","",IFERROR(INDEX(Raw_Est!$C$2:$C$100,MATCH($A15,Raw_Est!$A$2:$A$100,0))/INDEX(Raw_Est!$B$2:$B$100,MATCH($A15,Raw_Est!$A$2:$A$100,0))-1,""))</f>
        <v>0.0293605231943244</v>
      </c>
      <c r="N15" s="51" t="n">
        <f aca="false">IF($A15="","",IFERROR(IF(OR(NOT(ISNUMBER(J15)),I15&lt;Config!$B$6),"N/M",J15/(I15*100)),"N/M"))</f>
        <v>0.17170360134432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0.202785635513313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14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46315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4150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132.272273479452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68.3802932937881</v>
      </c>
      <c r="K16" s="52" t="n">
        <f aca="false">IF($A16="","",IFERROR(IF(G16&lt;=0,"N/M",D16/G16),"N/M"))</f>
        <v>68.8404318600817</v>
      </c>
      <c r="L16" s="52" t="n">
        <f aca="false">IF($A16="","",IFERROR(IF(H16&lt;=0,"N/M",D16/H16),"N/M"))</f>
        <v>31.374678085084</v>
      </c>
      <c r="M16" s="49" t="n">
        <f aca="false">IF($A16="","",IFERROR(INDEX(Raw_Est!$C$2:$C$100,MATCH($A16,Raw_Est!$A$2:$A$100,0))/INDEX(Raw_Est!$B$2:$B$100,MATCH($A16,Raw_Est!$A$2:$A$100,0))-1,""))</f>
        <v>1.15092599716926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0.272603783060344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0.0130121005951807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0.25995791657519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46315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82.8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30.6666666666667</v>
      </c>
      <c r="K17" s="52" t="n">
        <f aca="false">IF($A17="","",IFERROR(IF(G17&lt;=0,"N/M",D17/G17),"N/M"))</f>
        <v>26.4536741214058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46315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105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7.11384665753425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17.7364864864865</v>
      </c>
      <c r="K18" s="52" t="n">
        <f aca="false">IF($A18="","",IFERROR(IF(G18&lt;=0,"N/M",D18/G18),"N/M"))</f>
        <v>18.4192107105079</v>
      </c>
      <c r="L18" s="52" t="n">
        <f aca="false">IF($A18="","",IFERROR(IF(H18&lt;=0,"N/M",D18/H18),"N/M"))</f>
        <v>14.7599470518239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0.720071032571033</v>
      </c>
      <c r="O18" s="51" t="n">
        <f aca="false">IF($A18="","",IFERROR(IF(OR(NOT(ISNUMBER(L18)),M18&lt;Config!$B$6),"N/M",L18/(M18*100)),"N/M"))</f>
        <v>0.518145904871821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0.0381851127619048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46315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1845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307.338068465753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6.00316130445646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46315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475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9.74782038356164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55.8166862514689</v>
      </c>
      <c r="K20" s="52" t="n">
        <f aca="false">IF($A20="","",IFERROR(IF(G20&lt;=0,"N/M",D20/G20),"N/M"))</f>
        <v>58.5859931374218</v>
      </c>
      <c r="L20" s="52" t="n">
        <f aca="false">IF($A20="","",IFERROR(IF(H20&lt;=0,"N/M",D20/H20),"N/M"))</f>
        <v>48.7288420702768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1.56390465036337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0.00421052631578947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46315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470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12.8004657534247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76.4227642276423</v>
      </c>
      <c r="K21" s="52" t="n">
        <f aca="false">IF($A21="","",IFERROR(IF(G21&lt;=0,"N/M",D21/G21),"N/M"))</f>
        <v>69.219440353461</v>
      </c>
      <c r="L21" s="52" t="n">
        <f aca="false">IF($A21="","",IFERROR(IF(H21&lt;=0,"N/M",D21/H21),"N/M"))</f>
        <v>36.7174139639611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1.70945656824989</v>
      </c>
      <c r="O21" s="51" t="n">
        <f aca="false">IF($A21="","",IFERROR(IF(OR(NOT(ISNUMBER(L21)),M21&lt;Config!$B$6),"N/M",L21/(M21*100)),"N/M"))</f>
        <v>0.402584108595953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0.00328645282978723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46315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517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8.70686490410959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59.37843364906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46315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152.5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47.1965776164384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16.832229580574</v>
      </c>
      <c r="K23" s="52" t="n">
        <f aca="false">IF($A23="","",IFERROR(IF(G23&lt;=0,"N/M",D23/G23),"N/M"))</f>
        <v>9.23736888236317</v>
      </c>
      <c r="L23" s="52" t="n">
        <f aca="false">IF($A23="","",IFERROR(IF(H23&lt;=0,"N/M",D23/H23),"N/M"))</f>
        <v>3.23116648921775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0.0302723374052625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0.00327868852459016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46315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430.5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87.5</v>
      </c>
      <c r="K25" s="52" t="n">
        <f aca="false">IF($A25="","",IFERROR(IF(G25&lt;=0,"N/M",D25/G25),"N/M"))</f>
        <v>99.8839907192576</v>
      </c>
      <c r="L25" s="52" t="n">
        <f aca="false">IF($A25="","",IFERROR(IF(H25&lt;=0,"N/M",D25/H25),"N/M"))</f>
        <v>35.9649122807018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0.00232288037166086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46315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476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13.1219726027397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36.2750338238487</v>
      </c>
      <c r="M26" s="49" t="n">
        <f aca="false">IF($A26="","",IFERROR(INDEX(Raw_Est!$C$2:$C$100,MATCH($A26,Raw_Est!$A$2:$A$100,0))/INDEX(Raw_Est!$B$2:$B$100,MATCH($A26,Raw_Est!$A$2:$A$100,0))-1,""))</f>
        <v>2.52073732718894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0.14390644131216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46315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7745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110.091307890411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198.538836195847</v>
      </c>
      <c r="K27" s="52" t="n">
        <f aca="false">IF($A27="","",IFERROR(IF(G27&lt;=0,"N/M",D27/G27),"N/M"))</f>
        <v>172.532050975034</v>
      </c>
      <c r="L27" s="52" t="n">
        <f aca="false">IF($A27="","",IFERROR(IF(H27&lt;=0,"N/M",D27/H27),"N/M"))</f>
        <v>70.3506947860922</v>
      </c>
      <c r="M27" s="49" t="n">
        <f aca="false">IF($A27="","",IFERROR(INDEX(Raw_Est!$C$2:$C$100,MATCH($A27,Raw_Est!$A$2:$A$100,0))/INDEX(Raw_Est!$B$2:$B$100,MATCH($A27,Raw_Est!$A$2:$A$100,0))-1,""))</f>
        <v>1.29745557676356</v>
      </c>
      <c r="N27" s="51" t="n">
        <f aca="false">IF($A27="","",IFERROR(IF(OR(NOT(ISNUMBER(J27)),I27&lt;Config!$B$6),"N/M",J27/(I27*100)),"N/M"))</f>
        <v>4.48495416101563</v>
      </c>
      <c r="O27" s="51" t="n">
        <f aca="false">IF($A27="","",IFERROR(IF(OR(NOT(ISNUMBER(L27)),M27&lt;Config!$B$6),"N/M",L27/(M27*100)),"N/M"))</f>
        <v>0.54222045090421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0.0025823111684958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0.536692293539164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46315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2026-10-20T11:59:01Z</dcterms:created>
  <dc:creator>openpyxl</dc:creator>
  <dc:description/>
  <dc:language>en-US</dc:language>
  <cp:lastModifiedBy/>
  <dcterms:modified xsi:type="dcterms:W3CDTF">2026-10-20T11:59:02Z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