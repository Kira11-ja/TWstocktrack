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<sst xmlns="http://schemas.openxmlformats.org/spreadsheetml/2006/main" count="8221" uniqueCount="1534">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</sst>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80CA94"/>
          <bgColor rgb="FF000000"/>
        </patternFill>
      </fill>
    </dxf>
    <dxf>
      <fill>
        <patternFill patternType="solid">
          <fgColor rgb="FFA2D9B1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2400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0.444947607890085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27.8164116828929</v>
      </c>
      <c r="P3" s="22" t="n">
        <f aca="false">IF(Calc!$A$2="","",Calc!L$2)</f>
        <v>16.8990208893456</v>
      </c>
      <c r="Q3" s="18" t="n">
        <f aca="false">IF(Calc!$A$2="","",Calc!N$2)</f>
        <v>0.522636683971872</v>
      </c>
      <c r="R3" s="18" t="n">
        <f aca="false">IF(Calc!$A$2="","",Calc!O$2)</f>
        <v>0.484341182761289</v>
      </c>
      <c r="S3" s="19" t="n">
        <f aca="false">IF(Calc!$A$2="","",Calc!Q$2)</f>
        <v>0.00916670840833333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441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0.810551818481909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16.2430939226519</v>
      </c>
      <c r="P4" s="22" t="n">
        <f aca="false">IF(Calc!$A$3="","",Calc!L$3)</f>
        <v>3.97080553452363</v>
      </c>
      <c r="Q4" s="18" t="str">
        <f aca="false">IF(Calc!$A$3="","",Calc!N$3)</f>
        <v>N/M</v>
      </c>
      <c r="R4" s="18" t="n">
        <f aca="false">IF(Calc!$A$3="","",Calc!O$3)</f>
        <v>0.070097439461009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1095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4.61259994384902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466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0.281671516389037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113.106796116505</v>
      </c>
      <c r="P6" s="22" t="n">
        <f aca="false">IF(Calc!$A$5="","",Calc!L$5)</f>
        <v>53.1135056443834</v>
      </c>
      <c r="Q6" s="18" t="n">
        <f aca="false">IF(Calc!$A$5="","",Calc!N$5)</f>
        <v>1.83708490507699</v>
      </c>
      <c r="R6" s="18" t="n">
        <f aca="false">IF(Calc!$A$5="","",Calc!O$5)</f>
        <v>0.780192590026299</v>
      </c>
      <c r="S6" s="19" t="n">
        <f aca="false">IF(Calc!$A$5="","",Calc!Q$5)</f>
        <v>0.00562351186695279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599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20.8929194279735</v>
      </c>
      <c r="P7" s="22" t="n">
        <f aca="false">IF(Calc!$A$6="","",Calc!L$6)</f>
        <v>17.0419834818762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0.0467445742904841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1735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0.277258591086113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31.8173482486705</v>
      </c>
      <c r="P8" s="22" t="n">
        <f aca="false">IF(Calc!$A$7="","",Calc!L$7)</f>
        <v>14.6763920161818</v>
      </c>
      <c r="Q8" s="18" t="n">
        <f aca="false">IF(Calc!$A$7="","",Calc!N$7)</f>
        <v>0.553685813995707</v>
      </c>
      <c r="R8" s="18" t="n">
        <f aca="false">IF(Calc!$A$7="","",Calc!O$7)</f>
        <v>0.17785991415661</v>
      </c>
      <c r="S8" s="19" t="n">
        <f aca="false">IF(Calc!$A$7="","",Calc!Q$7)</f>
        <v>0.00605503313544669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546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16.3522515731011</v>
      </c>
      <c r="Q9" s="18" t="str">
        <f aca="false">IF(Calc!$A$8="","",Calc!N$8)</f>
        <v>N/M</v>
      </c>
      <c r="R9" s="18" t="n">
        <f aca="false">IF(Calc!$A$8="","",Calc!O$8)</f>
        <v>1.46982887101541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357.5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0.338527322333926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13.3845001871958</v>
      </c>
      <c r="P10" s="22" t="n">
        <f aca="false">IF(Calc!$A$9="","",Calc!L$9)</f>
        <v>9.74550823093358</v>
      </c>
      <c r="Q10" s="18" t="n">
        <f aca="false">IF(Calc!$A$9="","",Calc!N$9)</f>
        <v>0.21357968228742</v>
      </c>
      <c r="R10" s="18" t="n">
        <f aca="false">IF(Calc!$A$9="","",Calc!O$9)</f>
        <v>0.877815935842541</v>
      </c>
      <c r="S10" s="19" t="n">
        <f aca="false">IF(Calc!$A$9="","",Calc!Q$9)</f>
        <v>0.027972027972028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9810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54.0823639671426</v>
      </c>
      <c r="P11" s="22" t="n">
        <f aca="false">IF(Calc!$A$10="","",Calc!L$10)</f>
        <v>20.8474797300013</v>
      </c>
      <c r="Q11" s="18" t="n">
        <f aca="false">IF(Calc!$A$10="","",Calc!N$10)</f>
        <v>0.320912129829628</v>
      </c>
      <c r="R11" s="18" t="n">
        <f aca="false">IF(Calc!$A$10="","",Calc!O$10)</f>
        <v>0.50115779426009</v>
      </c>
      <c r="S11" s="19" t="n">
        <f aca="false">IF(Calc!$A$10="","",Calc!Q$10)</f>
        <v>0.00328236493374108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2500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223.015165031222</v>
      </c>
      <c r="P12" s="22" t="n">
        <f aca="false">IF(Calc!$A$11="","",Calc!L$11)</f>
        <v>69.6945170170162</v>
      </c>
      <c r="Q12" s="18" t="n">
        <f aca="false">IF(Calc!$A$11="","",Calc!N$11)</f>
        <v>0.395898769855846</v>
      </c>
      <c r="R12" s="18" t="n">
        <f aca="false">IF(Calc!$A$11="","",Calc!O$11)</f>
        <v>0.690875149045012</v>
      </c>
      <c r="S12" s="19" t="n">
        <f aca="false">IF(Calc!$A$11="","",Calc!Q$11)</f>
        <v>0.00020000886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538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55.8091286307054</v>
      </c>
      <c r="P13" s="22" t="str">
        <f aca="false">IF(Calc!$A$12="","",Calc!L$12)</f>
        <v>N/M</v>
      </c>
      <c r="Q13" s="18" t="n">
        <f aca="false">IF(Calc!$A$12="","",Calc!N$12)</f>
        <v>0.209383749356284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941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0.145125372919156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159.491525423729</v>
      </c>
      <c r="P14" s="22" t="n">
        <f aca="false">IF(Calc!$A$13="","",Calc!L$13)</f>
        <v>33.725056975011</v>
      </c>
      <c r="Q14" s="18" t="n">
        <f aca="false">IF(Calc!$A$13="","",Calc!N$13)</f>
        <v>0.411481334248853</v>
      </c>
      <c r="R14" s="18" t="n">
        <f aca="false">IF(Calc!$A$13="","",Calc!O$13)</f>
        <v>0.216858145080582</v>
      </c>
      <c r="S14" s="19" t="n">
        <f aca="false">IF(Calc!$A$13="","",Calc!Q$13)</f>
        <v>0.00106288196599362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1380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11.7056098385686</v>
      </c>
      <c r="Q15" s="18" t="str">
        <f aca="false">IF(Calc!$A$14="","",Calc!N$14)</f>
        <v>N/M</v>
      </c>
      <c r="R15" s="18" t="n">
        <f aca="false">IF(Calc!$A$14="","",Calc!O$14)</f>
        <v>0.106760533326906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122.5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0.202489003331745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18.3383233532934</v>
      </c>
      <c r="P16" s="22" t="n">
        <f aca="false">IF(Calc!$A$15="","",Calc!L$15)</f>
        <v>16.7059383095515</v>
      </c>
      <c r="Q16" s="18" t="n">
        <f aca="false">IF(Calc!$A$15="","",Calc!N$15)</f>
        <v>0.165619615469915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3960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0.261792381079974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65.2496292634701</v>
      </c>
      <c r="P17" s="22" t="n">
        <f aca="false">IF(Calc!$A$16="","",Calc!L$16)</f>
        <v>29.544958519841</v>
      </c>
      <c r="Q17" s="18" t="str">
        <f aca="false">IF(Calc!$A$16="","",Calc!N$16)</f>
        <v>N/M</v>
      </c>
      <c r="R17" s="18" t="n">
        <f aca="false">IF(Calc!$A$16="","",Calc!O$16)</f>
        <v>0.259482872006017</v>
      </c>
      <c r="S17" s="19" t="n">
        <f aca="false">IF(Calc!$A$16="","",Calc!Q$16)</f>
        <v>0.0136364185530303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93.9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34.7777777777778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105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0.0748730420535528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17.7364864864865</v>
      </c>
      <c r="P19" s="22" t="n">
        <f aca="false">IF(Calc!$A$18="","",Calc!L$18)</f>
        <v>14.6946097755791</v>
      </c>
      <c r="Q19" s="18" t="n">
        <f aca="false">IF(Calc!$A$18="","",Calc!N$18)</f>
        <v>0.720071032571033</v>
      </c>
      <c r="R19" s="18" t="n">
        <f aca="false">IF(Calc!$A$18="","",Calc!O$18)</f>
        <v>0.51585224880362</v>
      </c>
      <c r="S19" s="19" t="n">
        <f aca="false">IF(Calc!$A$18="","",Calc!Q$18)</f>
        <v>0.0381851127619048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1910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6.26579900457337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491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0.0754540807228892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57.6968272620447</v>
      </c>
      <c r="P21" s="22" t="n">
        <f aca="false">IF(Calc!$A$20="","",Calc!L$20)</f>
        <v>50.1306097981754</v>
      </c>
      <c r="Q21" s="18" t="str">
        <f aca="false">IF(Calc!$A$20="","",Calc!N$20)</f>
        <v>N/M</v>
      </c>
      <c r="R21" s="18" t="n">
        <f aca="false">IF(Calc!$A$20="","",Calc!O$20)</f>
        <v>1.60889301814006</v>
      </c>
      <c r="S21" s="19" t="n">
        <f aca="false">IF(Calc!$A$20="","",Calc!Q$20)</f>
        <v>0.00407331975560081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467.5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76.0162601626016</v>
      </c>
      <c r="P22" s="22" t="n">
        <f aca="false">IF(Calc!$A$21="","",Calc!L$21)</f>
        <v>36.1569919586384</v>
      </c>
      <c r="Q22" s="18" t="n">
        <f aca="false">IF(Calc!$A$21="","",Calc!N$21)</f>
        <v>1.70036371416346</v>
      </c>
      <c r="R22" s="18" t="n">
        <f aca="false">IF(Calc!$A$21="","",Calc!O$21)</f>
        <v>0.396439422217118</v>
      </c>
      <c r="S22" s="19" t="n">
        <f aca="false">IF(Calc!$A$21="","",Calc!Q$21)</f>
        <v>0.00330402744385027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499.5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55.9646857744855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163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17.9911699779249</v>
      </c>
      <c r="P24" s="22" t="n">
        <f aca="false">IF(Calc!$A$23="","",Calc!L$23)</f>
        <v>3.41598158039804</v>
      </c>
      <c r="Q24" s="18" t="str">
        <f aca="false">IF(Calc!$A$23="","",Calc!N$23)</f>
        <v>N/M</v>
      </c>
      <c r="R24" s="18" t="n">
        <f aca="false">IF(Calc!$A$23="","",Calc!O$23)</f>
        <v>0.0320038436016976</v>
      </c>
      <c r="S24" s="19" t="n">
        <f aca="false">IF(Calc!$A$23="","",Calc!Q$23)</f>
        <v>0.00306748466257669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429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87.1951219512195</v>
      </c>
      <c r="P26" s="22" t="n">
        <f aca="false">IF(Calc!$A$25="","",Calc!L$25)</f>
        <v>35.8395989974937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0.00233100233100233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469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35.1790961961324</v>
      </c>
      <c r="Q27" s="18" t="str">
        <f aca="false">IF(Calc!$A$26="","",Calc!N$26)</f>
        <v>N/M</v>
      </c>
      <c r="R27" s="18" t="n">
        <f aca="false">IF(Calc!$A$26="","",Calc!O$26)</f>
        <v>0.139558754562354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7430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0.536692293539164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190.46398359395</v>
      </c>
      <c r="P28" s="22" t="n">
        <f aca="false">IF(Calc!$A$27="","",Calc!L$27)</f>
        <v>66.6767551538963</v>
      </c>
      <c r="Q28" s="18" t="n">
        <f aca="false">IF(Calc!$A$27="","",Calc!N$27)</f>
        <v>4.30254479229776</v>
      </c>
      <c r="R28" s="18" t="n">
        <f aca="false">IF(Calc!$A$27="","",Calc!O$27)</f>
        <v>0.513903954385999</v>
      </c>
      <c r="S28" s="19" t="n">
        <f aca="false">IF(Calc!$A$27="","",Calc!Q$27)</f>
        <v>0.00269179004037685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5">
      <formula>"N/M"</formula>
    </cfRule>
  </conditionalFormatting>
  <conditionalFormatting sqref="Q3:Q33">
    <cfRule type="cellIs" priority="8" operator="lessThan" aboveAverage="0" equalAverage="0" bottom="0" percent="0" rank="0" text="" dxfId="66">
      <formula>1.5</formula>
    </cfRule>
  </conditionalFormatting>
  <conditionalFormatting sqref="R3:R33">
    <cfRule type="cellIs" priority="9" operator="lessThan" aboveAverage="0" equalAverage="0" bottom="0" percent="0" rank="0" text="" dxfId="66">
      <formula>1.5</formula>
    </cfRule>
  </conditionalFormatting>
  <conditionalFormatting sqref="L3:L33">
    <cfRule type="cellIs" priority="10" operator="equal" aboveAverage="0" equalAverage="0" bottom="0" percent="0" rank="0" text="" dxfId="66">
      <formula>"成長且加速"</formula>
    </cfRule>
    <cfRule type="cellIs" priority="11" operator="equal" aboveAverage="0" equalAverage="0" bottom="0" percent="0" rank="0" text="" dxfId="67">
      <formula>"成長但減速"</formula>
    </cfRule>
    <cfRule type="cellIs" priority="12" operator="equal" aboveAverage="0" equalAverage="0" bottom="0" percent="0" rank="0" text="" dxfId="67">
      <formula>"衰退但收斂"</formula>
    </cfRule>
    <cfRule type="cellIs" priority="13" operator="equal" aboveAverage="0" equalAverage="0" bottom="0" percent="0" rank="0" text="" dxfId="68">
      <formula>"衰退且惡化"</formula>
    </cfRule>
  </conditionalFormatting>
  <conditionalFormatting sqref="A3:W33">
    <cfRule type="expression" priority="14" aboveAverage="0" equalAverage="0" bottom="0" percent="0" rank="0" text="" dxfId="6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2400</v>
      </c>
      <c r="D4" s="30" t="s">
        <v>81</v>
      </c>
      <c r="E4" s="32" t="n">
        <f aca="false">IF($B$2="","",IFERROR(INDEX(Calc!$AM$2:$AM$100,MATCH($B$2,Calc!$A$2:$A$100,0)),""))</f>
        <v>21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46322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27.8164116828929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16.8990208893456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0.522636683971872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0.484341182761289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142.020062328767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0.00916670840833333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0.444947607890085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0.348907371308015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2400</v>
      </c>
      <c r="L12" s="55" t="n">
        <f aca="false">IF(Stock_Card!$B$2="","",IFERROR(INDEX(Calc!$Q$2:$Q$100,MATCH(Stock_Card!$B$2,Calc!$A$2:$A$100,0)),""))</f>
        <v>0.00916670840833333</v>
      </c>
      <c r="M12" s="58" t="n">
        <f aca="false">IF(Stock_Card!$B$2="","",IFERROR(INDEX(Calc!$J$2:$J$100,MATCH(Stock_Card!$B$2,Calc!$A$2:$A$100,0)),""))</f>
        <v>27.8164116828929</v>
      </c>
      <c r="N12" s="57" t="n">
        <f aca="false">IF(Stock_Card!$B$2="","",IFERROR(INDEX(Calc!$N$2:$N$100,MATCH(Stock_Card!$B$2,Calc!$A$2:$A$100,0)),""))</f>
        <v>0.522636683971872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142.020062328767</v>
      </c>
      <c r="H13" s="55" t="n">
        <f aca="false">IF(Stock_Card!$B$2="","",IFERROR(INDEX(Calc!$M$2:$M$100,MATCH(Stock_Card!$B$2,Calc!$A$2:$A$100,0)),""))</f>
        <v>0.348907371308015</v>
      </c>
      <c r="I13" s="55" t="n">
        <f aca="false">IF(Stock_Card!$B$2="","",IFERROR(INDEX(Calc!$AI$2:$AI$100,MATCH(Stock_Card!$B$2,Calc!$A$2:$A$100,0)),""))</f>
        <v>0.444947607890085</v>
      </c>
      <c r="J13" s="59"/>
      <c r="K13" s="59"/>
      <c r="L13" s="59"/>
      <c r="M13" s="58" t="n">
        <f aca="false">IF(Stock_Card!$B$2="","",IFERROR(INDEX(Calc!$L$2:$L$100,MATCH(Stock_Card!$B$2,Calc!$A$2:$A$100,0)),""))</f>
        <v>16.8990208893456</v>
      </c>
      <c r="N13" s="57" t="n">
        <f aca="false">IF(Stock_Card!$B$2="","",IFERROR(INDEX(Calc!$O$2:$O$100,MATCH(Stock_Card!$B$2,Calc!$A$2:$A$100,0)),""))</f>
        <v>0.484341182761289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{356C3439-81D9-4B1A-894D-64E08F84DCF1}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6">
      <formula>"成長且加速"</formula>
    </cfRule>
    <cfRule type="cellIs" priority="5" operator="equal" aboveAverage="0" equalAverage="0" bottom="0" percent="0" rank="0" text="" dxfId="67">
      <formula>"成長但減速"</formula>
    </cfRule>
    <cfRule type="cellIs" priority="6" operator="equal" aboveAverage="0" equalAverage="0" bottom="0" percent="0" rank="0" text="" dxfId="67">
      <formula>"衰退但收斂"</formula>
    </cfRule>
    <cfRule type="cellIs" priority="7" operator="equal" aboveAverage="0" equalAverage="0" bottom="0" percent="0" rank="0" text="" dxfId="6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0">
      <formula>$O5="預估"</formula>
    </cfRule>
  </conditionalFormatting>
  <conditionalFormatting sqref="B24:B28">
    <cfRule type="expression" priority="12" aboveAverage="0" equalAverage="0" bottom="0" percent="0" rank="0" text="" dxfId="7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6C3439-81D9-4B1A-894D-64E08F84DCF1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-46322</v>
      </c>
      <c r="I4" s="67" t="n">
        <f aca="false">IF($A4="","",IFERROR(INDEX(Raw_Price!$E$2:$E$100,MATCH($A4,Raw_Price!$A$2:$A$100,0)),""))</f>
        <v>46322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-46322</v>
      </c>
      <c r="I5" s="67" t="n">
        <f aca="false">IF($A5="","",IFERROR(INDEX(Raw_Price!$E$2:$E$100,MATCH($A5,Raw_Price!$A$2:$A$100,0)),""))</f>
        <v>46322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-46322</v>
      </c>
      <c r="I6" s="67" t="n">
        <f aca="false">IF($A6="","",IFERROR(INDEX(Raw_Price!$E$2:$E$100,MATCH($A6,Raw_Price!$A$2:$A$100,0)),""))</f>
        <v>46322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-46322</v>
      </c>
      <c r="I7" s="67" t="n">
        <f aca="false">IF($A7="","",IFERROR(INDEX(Raw_Price!$E$2:$E$100,MATCH($A7,Raw_Price!$A$2:$A$100,0)),""))</f>
        <v>46322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-46322</v>
      </c>
      <c r="I8" s="67" t="n">
        <f aca="false">IF($A8="","",IFERROR(INDEX(Raw_Price!$E$2:$E$100,MATCH($A8,Raw_Price!$A$2:$A$100,0)),""))</f>
        <v>46322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-46322</v>
      </c>
      <c r="I9" s="67" t="n">
        <f aca="false">IF($A9="","",IFERROR(INDEX(Raw_Price!$E$2:$E$100,MATCH($A9,Raw_Price!$A$2:$A$100,0)),""))</f>
        <v>46322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-46322</v>
      </c>
      <c r="I10" s="67" t="n">
        <f aca="false">IF($A10="","",IFERROR(INDEX(Raw_Price!$E$2:$E$100,MATCH($A10,Raw_Price!$A$2:$A$100,0)),""))</f>
        <v>46322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-46322</v>
      </c>
      <c r="I11" s="67" t="n">
        <f aca="false">IF($A11="","",IFERROR(INDEX(Raw_Price!$E$2:$E$100,MATCH($A11,Raw_Price!$A$2:$A$100,0)),""))</f>
        <v>46322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-46322</v>
      </c>
      <c r="I12" s="67" t="n">
        <f aca="false">IF($A12="","",IFERROR(INDEX(Raw_Price!$E$2:$E$100,MATCH($A12,Raw_Price!$A$2:$A$100,0)),""))</f>
        <v>46322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-46322</v>
      </c>
      <c r="I13" s="67" t="n">
        <f aca="false">IF($A13="","",IFERROR(INDEX(Raw_Price!$E$2:$E$100,MATCH($A13,Raw_Price!$A$2:$A$100,0)),""))</f>
        <v>46322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-46322</v>
      </c>
      <c r="I14" s="67" t="n">
        <f aca="false">IF($A14="","",IFERROR(INDEX(Raw_Price!$E$2:$E$100,MATCH($A14,Raw_Price!$A$2:$A$100,0)),""))</f>
        <v>46322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-46322</v>
      </c>
      <c r="I15" s="67" t="n">
        <f aca="false">IF($A15="","",IFERROR(INDEX(Raw_Price!$E$2:$E$100,MATCH($A15,Raw_Price!$A$2:$A$100,0)),""))</f>
        <v>46322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-46322</v>
      </c>
      <c r="I16" s="67" t="n">
        <f aca="false">IF($A16="","",IFERROR(INDEX(Raw_Price!$E$2:$E$100,MATCH($A16,Raw_Price!$A$2:$A$100,0)),""))</f>
        <v>46322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-46322</v>
      </c>
      <c r="I17" s="67" t="n">
        <f aca="false">IF($A17="","",IFERROR(INDEX(Raw_Price!$E$2:$E$100,MATCH($A17,Raw_Price!$A$2:$A$100,0)),""))</f>
        <v>46322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-46322</v>
      </c>
      <c r="I18" s="67" t="n">
        <f aca="false">IF($A18="","",IFERROR(INDEX(Raw_Price!$E$2:$E$100,MATCH($A18,Raw_Price!$A$2:$A$100,0)),""))</f>
        <v>46322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-46322</v>
      </c>
      <c r="I19" s="67" t="n">
        <f aca="false">IF($A19="","",IFERROR(INDEX(Raw_Price!$E$2:$E$100,MATCH($A19,Raw_Price!$A$2:$A$100,0)),""))</f>
        <v>46322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-46322</v>
      </c>
      <c r="I20" s="67" t="n">
        <f aca="false">IF($A20="","",IFERROR(INDEX(Raw_Price!$E$2:$E$100,MATCH($A20,Raw_Price!$A$2:$A$100,0)),""))</f>
        <v>46322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-46322</v>
      </c>
      <c r="I21" s="67" t="n">
        <f aca="false">IF($A21="","",IFERROR(INDEX(Raw_Price!$E$2:$E$100,MATCH($A21,Raw_Price!$A$2:$A$100,0)),""))</f>
        <v>46322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-46322</v>
      </c>
      <c r="I22" s="67" t="n">
        <f aca="false">IF($A22="","",IFERROR(INDEX(Raw_Price!$E$2:$E$100,MATCH($A22,Raw_Price!$A$2:$A$100,0)),""))</f>
        <v>46322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-46322</v>
      </c>
      <c r="I23" s="67" t="n">
        <f aca="false">IF($A23="","",IFERROR(INDEX(Raw_Price!$E$2:$E$100,MATCH($A23,Raw_Price!$A$2:$A$100,0)),""))</f>
        <v>46322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-46322</v>
      </c>
      <c r="I24" s="67" t="n">
        <f aca="false">IF($A24="","",IFERROR(INDEX(Raw_Price!$E$2:$E$100,MATCH($A24,Raw_Price!$A$2:$A$100,0)),""))</f>
        <v>46322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-46322</v>
      </c>
      <c r="I25" s="67" t="n">
        <f aca="false">IF($A25="","",IFERROR(INDEX(Raw_Price!$E$2:$E$100,MATCH($A25,Raw_Price!$A$2:$A$100,0)),""))</f>
        <v>46322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-46322</v>
      </c>
      <c r="I27" s="67" t="n">
        <f aca="false">IF($A27="","",IFERROR(INDEX(Raw_Price!$E$2:$E$100,MATCH($A27,Raw_Price!$A$2:$A$100,0)),""))</f>
        <v>46322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-46322</v>
      </c>
      <c r="I28" s="67" t="n">
        <f aca="false">IF($A28="","",IFERROR(INDEX(Raw_Price!$E$2:$E$100,MATCH($A28,Raw_Price!$A$2:$A$100,0)),""))</f>
        <v>46322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-46322</v>
      </c>
      <c r="I29" s="67" t="n">
        <f aca="false">IF($A29="","",IFERROR(INDEX(Raw_Price!$E$2:$E$100,MATCH($A29,Raw_Price!$A$2:$A$100,0)),""))</f>
        <v>46322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71">
      <formula>"OK"</formula>
    </cfRule>
    <cfRule type="cellIs" priority="3" operator="equal" aboveAverage="0" equalAverage="0" bottom="0" percent="0" rank="0" text="" dxfId="72">
      <formula>"待更新財報"</formula>
    </cfRule>
    <cfRule type="expression" priority="4" aboveAverage="0" equalAverage="0" bottom="0" percent="0" rank="0" text="" dxfId="73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1.81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46322</v>
      </c>
    </row>
    <row r="3" customFormat="false" ht="15" hidden="false" customHeight="false" outlineLevel="0" collapsed="false">
      <c r="A3" s="79" t="s">
        <v>220</v>
      </c>
      <c r="B3" s="83" t="n">
        <v>7.1471</v>
      </c>
      <c r="C3" s="83" t="n">
        <v>7.37294</v>
      </c>
      <c r="D3" s="81" t="n">
        <v>46387</v>
      </c>
      <c r="E3" s="80" t="n">
        <v>14</v>
      </c>
      <c r="F3" s="81" t="n">
        <v>46322</v>
      </c>
    </row>
    <row r="4" customFormat="false" ht="15" hidden="false" customHeight="false" outlineLevel="0" collapsed="false">
      <c r="A4" s="79" t="s">
        <v>345</v>
      </c>
      <c r="B4" s="83" t="n">
        <v>20.11068</v>
      </c>
      <c r="C4" s="83" t="n">
        <v>31.56477</v>
      </c>
      <c r="D4" s="81" t="n">
        <v>46387</v>
      </c>
      <c r="E4" s="80" t="n">
        <v>3</v>
      </c>
      <c r="F4" s="81" t="n">
        <v>46322</v>
      </c>
    </row>
    <row r="5" customFormat="false" ht="15" hidden="false" customHeight="false" outlineLevel="0" collapsed="false">
      <c r="A5" s="79" t="s">
        <v>79</v>
      </c>
      <c r="B5" s="83" t="n">
        <v>110.36915</v>
      </c>
      <c r="C5" s="83" t="n">
        <v>148.87776</v>
      </c>
      <c r="D5" s="81" t="n">
        <v>46387</v>
      </c>
      <c r="E5" s="80" t="n">
        <v>21</v>
      </c>
      <c r="F5" s="81" t="n">
        <v>46322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46322</v>
      </c>
    </row>
    <row r="7" customFormat="false" ht="15" hidden="false" customHeight="false" outlineLevel="0" collapsed="false">
      <c r="A7" s="79" t="s">
        <v>205</v>
      </c>
      <c r="B7" s="83" t="n">
        <v>33.61612</v>
      </c>
      <c r="C7" s="83" t="n">
        <v>37.34818</v>
      </c>
      <c r="D7" s="81" t="n">
        <v>46387</v>
      </c>
      <c r="E7" s="80" t="n">
        <v>6</v>
      </c>
      <c r="F7" s="81" t="n">
        <v>46322</v>
      </c>
    </row>
    <row r="8" customFormat="false" ht="15" hidden="false" customHeight="false" outlineLevel="0" collapsed="false">
      <c r="A8" s="79" t="s">
        <v>182</v>
      </c>
      <c r="B8" s="83" t="n">
        <v>75.77869</v>
      </c>
      <c r="C8" s="83" t="n">
        <v>118.705</v>
      </c>
      <c r="D8" s="81" t="n">
        <v>46387</v>
      </c>
      <c r="E8" s="80" t="n">
        <v>5</v>
      </c>
      <c r="F8" s="81" t="n">
        <v>46322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69.23754</v>
      </c>
      <c r="C10" s="83" t="n">
        <v>148.07204</v>
      </c>
      <c r="D10" s="81" t="n">
        <v>46387</v>
      </c>
      <c r="E10" s="80" t="n">
        <v>15</v>
      </c>
      <c r="F10" s="81" t="n">
        <v>46322</v>
      </c>
    </row>
    <row r="11" customFormat="false" ht="15" hidden="false" customHeight="false" outlineLevel="0" collapsed="false">
      <c r="A11" s="79" t="s">
        <v>190</v>
      </c>
      <c r="B11" s="83" t="n">
        <v>5.6258</v>
      </c>
      <c r="C11" s="83" t="n">
        <v>9.4557</v>
      </c>
      <c r="D11" s="81" t="n">
        <v>46387</v>
      </c>
      <c r="E11" s="80" t="n">
        <v>8</v>
      </c>
      <c r="F11" s="81" t="n">
        <v>46322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46322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46322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46322</v>
      </c>
    </row>
    <row r="15" customFormat="false" ht="15" hidden="false" customHeight="false" outlineLevel="0" collapsed="false">
      <c r="A15" s="79" t="s">
        <v>230</v>
      </c>
      <c r="B15" s="83" t="n">
        <v>7.7975</v>
      </c>
      <c r="C15" s="83" t="n">
        <v>10.22708</v>
      </c>
      <c r="D15" s="81" t="n">
        <v>46387</v>
      </c>
      <c r="E15" s="80" t="n">
        <v>10</v>
      </c>
      <c r="F15" s="81" t="n">
        <v>46322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46322</v>
      </c>
    </row>
    <row r="17" customFormat="false" ht="15" hidden="false" customHeight="false" outlineLevel="0" collapsed="false">
      <c r="A17" s="79" t="s">
        <v>216</v>
      </c>
      <c r="B17" s="83" t="n">
        <v>12.24733</v>
      </c>
      <c r="C17" s="83" t="n">
        <v>31.29397</v>
      </c>
      <c r="D17" s="81" t="n">
        <v>46387</v>
      </c>
      <c r="E17" s="80" t="n">
        <v>9</v>
      </c>
      <c r="F17" s="81" t="n">
        <v>46322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46322</v>
      </c>
    </row>
    <row r="20" customFormat="false" ht="15" hidden="false" customHeight="false" outlineLevel="0" collapsed="false">
      <c r="A20" s="79" t="s">
        <v>245</v>
      </c>
      <c r="B20" s="83" t="n">
        <v>53.92617</v>
      </c>
      <c r="C20" s="83" t="n">
        <v>123.89298</v>
      </c>
      <c r="D20" s="81" t="n">
        <v>46387</v>
      </c>
      <c r="E20" s="80" t="n">
        <v>17</v>
      </c>
      <c r="F20" s="81" t="n">
        <v>46322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46322</v>
      </c>
    </row>
    <row r="22" customFormat="false" ht="15" hidden="false" customHeight="false" outlineLevel="0" collapsed="false">
      <c r="A22" s="79" t="s">
        <v>197</v>
      </c>
      <c r="B22" s="83" t="n">
        <v>70.442</v>
      </c>
      <c r="C22" s="83" t="n">
        <v>128.56833</v>
      </c>
      <c r="D22" s="81" t="n">
        <v>46387</v>
      </c>
      <c r="E22" s="80" t="n">
        <v>9</v>
      </c>
      <c r="F22" s="81" t="n">
        <v>46322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5.78988</v>
      </c>
      <c r="C24" s="83" t="n">
        <v>7.43919</v>
      </c>
      <c r="D24" s="81" t="n">
        <v>46387</v>
      </c>
      <c r="E24" s="80" t="n">
        <v>6</v>
      </c>
      <c r="F24" s="81" t="n">
        <v>46322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46322</v>
      </c>
    </row>
    <row r="26" customFormat="false" ht="15" hidden="false" customHeight="false" outlineLevel="0" collapsed="false">
      <c r="A26" s="79" t="s">
        <v>186</v>
      </c>
      <c r="B26" s="83" t="n">
        <v>343.635</v>
      </c>
      <c r="C26" s="83" t="n">
        <v>214.37418</v>
      </c>
      <c r="D26" s="81" t="n">
        <v>46387</v>
      </c>
      <c r="E26" s="80" t="n">
        <v>2</v>
      </c>
      <c r="F26" s="81" t="n">
        <v>46322</v>
      </c>
    </row>
    <row r="27" customFormat="false" ht="15" hidden="false" customHeight="false" outlineLevel="0" collapsed="false">
      <c r="A27" s="79" t="s">
        <v>201</v>
      </c>
      <c r="B27" s="83" t="n">
        <v>30.5925</v>
      </c>
      <c r="C27" s="83" t="n">
        <v>33.996</v>
      </c>
      <c r="D27" s="81" t="n">
        <v>46387</v>
      </c>
      <c r="E27" s="80" t="n">
        <v>4</v>
      </c>
      <c r="F27" s="81" t="n">
        <v>46322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46322</v>
      </c>
    </row>
    <row r="29" customFormat="false" ht="15" hidden="false" customHeight="false" outlineLevel="0" collapsed="false">
      <c r="A29" s="79" t="s">
        <v>243</v>
      </c>
      <c r="B29" s="83" t="n">
        <v>4.34</v>
      </c>
      <c r="C29" s="83" t="n">
        <v>15.28</v>
      </c>
      <c r="D29" s="81" t="n">
        <v>46387</v>
      </c>
      <c r="E29" s="80" t="n">
        <v>1</v>
      </c>
      <c r="F29" s="81" t="n">
        <v>46322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46322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9810</v>
      </c>
      <c r="C2" s="81" t="n">
        <v>46322</v>
      </c>
      <c r="D2" s="81"/>
      <c r="E2" s="81" t="n">
        <v>46322</v>
      </c>
    </row>
    <row r="3" customFormat="false" ht="15" hidden="false" customHeight="false" outlineLevel="0" collapsed="false">
      <c r="A3" s="79" t="s">
        <v>220</v>
      </c>
      <c r="B3" s="83" t="n">
        <v>122.5</v>
      </c>
      <c r="C3" s="81" t="n">
        <v>46322</v>
      </c>
      <c r="D3" s="81"/>
      <c r="E3" s="81" t="n">
        <v>46322</v>
      </c>
    </row>
    <row r="4" customFormat="false" ht="15" hidden="false" customHeight="false" outlineLevel="0" collapsed="false">
      <c r="A4" s="79" t="s">
        <v>345</v>
      </c>
      <c r="B4" s="83" t="n">
        <v>521</v>
      </c>
      <c r="C4" s="81" t="n">
        <v>46322</v>
      </c>
      <c r="D4" s="81"/>
      <c r="E4" s="81" t="n">
        <v>46322</v>
      </c>
    </row>
    <row r="5" customFormat="false" ht="15" hidden="false" customHeight="false" outlineLevel="0" collapsed="false">
      <c r="A5" s="79" t="s">
        <v>79</v>
      </c>
      <c r="B5" s="83" t="n">
        <v>2400</v>
      </c>
      <c r="C5" s="81" t="n">
        <v>46322</v>
      </c>
      <c r="D5" s="81"/>
      <c r="E5" s="81" t="n">
        <v>46322</v>
      </c>
    </row>
    <row r="6" customFormat="false" ht="15" hidden="false" customHeight="false" outlineLevel="0" collapsed="false">
      <c r="A6" s="79" t="s">
        <v>236</v>
      </c>
      <c r="B6" s="83" t="n">
        <v>163</v>
      </c>
      <c r="C6" s="81" t="n">
        <v>46322</v>
      </c>
      <c r="D6" s="81"/>
      <c r="E6" s="81" t="n">
        <v>46322</v>
      </c>
    </row>
    <row r="7" customFormat="false" ht="15" hidden="false" customHeight="false" outlineLevel="0" collapsed="false">
      <c r="A7" s="79" t="s">
        <v>205</v>
      </c>
      <c r="B7" s="83" t="n">
        <v>357.5</v>
      </c>
      <c r="C7" s="81" t="n">
        <v>46322</v>
      </c>
      <c r="D7" s="81"/>
      <c r="E7" s="81" t="n">
        <v>46322</v>
      </c>
    </row>
    <row r="8" customFormat="false" ht="15" hidden="false" customHeight="false" outlineLevel="0" collapsed="false">
      <c r="A8" s="79" t="s">
        <v>182</v>
      </c>
      <c r="B8" s="83" t="n">
        <v>441</v>
      </c>
      <c r="C8" s="81" t="n">
        <v>46322</v>
      </c>
      <c r="D8" s="81"/>
      <c r="E8" s="81" t="n">
        <v>46322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3960</v>
      </c>
      <c r="C10" s="81" t="n">
        <v>46322</v>
      </c>
      <c r="D10" s="81"/>
      <c r="E10" s="81" t="n">
        <v>46322</v>
      </c>
    </row>
    <row r="11" customFormat="false" ht="15" hidden="false" customHeight="false" outlineLevel="0" collapsed="false">
      <c r="A11" s="79" t="s">
        <v>190</v>
      </c>
      <c r="B11" s="83" t="n">
        <v>466</v>
      </c>
      <c r="C11" s="81" t="n">
        <v>46322</v>
      </c>
      <c r="D11" s="81"/>
      <c r="E11" s="81" t="n">
        <v>46322</v>
      </c>
    </row>
    <row r="12" customFormat="false" ht="15" hidden="false" customHeight="false" outlineLevel="0" collapsed="false">
      <c r="A12" s="79" t="s">
        <v>224</v>
      </c>
      <c r="B12" s="83" t="n">
        <v>93.9</v>
      </c>
      <c r="C12" s="81" t="n">
        <v>46322</v>
      </c>
      <c r="D12" s="81"/>
      <c r="E12" s="81" t="n">
        <v>46322</v>
      </c>
    </row>
    <row r="13" customFormat="false" ht="15" hidden="false" customHeight="false" outlineLevel="0" collapsed="false">
      <c r="A13" s="79" t="s">
        <v>195</v>
      </c>
      <c r="B13" s="83" t="n">
        <v>599</v>
      </c>
      <c r="C13" s="81" t="n">
        <v>46322</v>
      </c>
      <c r="D13" s="81"/>
      <c r="E13" s="81" t="n">
        <v>46322</v>
      </c>
    </row>
    <row r="14" customFormat="false" ht="15" hidden="false" customHeight="false" outlineLevel="0" collapsed="false">
      <c r="A14" s="79" t="s">
        <v>210</v>
      </c>
      <c r="B14" s="83" t="n">
        <v>2500</v>
      </c>
      <c r="C14" s="81" t="n">
        <v>46322</v>
      </c>
      <c r="D14" s="81"/>
      <c r="E14" s="81" t="n">
        <v>46322</v>
      </c>
    </row>
    <row r="15" customFormat="false" ht="15" hidden="false" customHeight="false" outlineLevel="0" collapsed="false">
      <c r="A15" s="79" t="s">
        <v>230</v>
      </c>
      <c r="B15" s="83" t="n">
        <v>491</v>
      </c>
      <c r="C15" s="81" t="n">
        <v>46322</v>
      </c>
      <c r="D15" s="81"/>
      <c r="E15" s="81" t="n">
        <v>46322</v>
      </c>
    </row>
    <row r="16" customFormat="false" ht="15" hidden="false" customHeight="false" outlineLevel="0" collapsed="false">
      <c r="A16" s="79" t="s">
        <v>212</v>
      </c>
      <c r="B16" s="83" t="n">
        <v>538</v>
      </c>
      <c r="C16" s="81" t="n">
        <v>46322</v>
      </c>
      <c r="D16" s="81"/>
      <c r="E16" s="81" t="n">
        <v>46322</v>
      </c>
    </row>
    <row r="17" customFormat="false" ht="15" hidden="false" customHeight="false" outlineLevel="0" collapsed="false">
      <c r="A17" s="79" t="s">
        <v>216</v>
      </c>
      <c r="B17" s="83" t="n">
        <v>941</v>
      </c>
      <c r="C17" s="81" t="n">
        <v>46322</v>
      </c>
      <c r="D17" s="81"/>
      <c r="E17" s="81" t="n">
        <v>46322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499.5</v>
      </c>
      <c r="C19" s="81" t="n">
        <v>46322</v>
      </c>
      <c r="D19" s="81"/>
      <c r="E19" s="81" t="n">
        <v>46322</v>
      </c>
    </row>
    <row r="20" customFormat="false" ht="15" hidden="false" customHeight="false" outlineLevel="0" collapsed="false">
      <c r="A20" s="79" t="s">
        <v>245</v>
      </c>
      <c r="B20" s="83" t="n">
        <v>7430</v>
      </c>
      <c r="C20" s="81" t="n">
        <v>46322</v>
      </c>
      <c r="D20" s="81"/>
      <c r="E20" s="81" t="n">
        <v>46322</v>
      </c>
    </row>
    <row r="21" customFormat="false" ht="15" hidden="false" customHeight="false" outlineLevel="0" collapsed="false">
      <c r="A21" s="79" t="s">
        <v>241</v>
      </c>
      <c r="B21" s="83" t="n">
        <v>429</v>
      </c>
      <c r="C21" s="81" t="n">
        <v>46322</v>
      </c>
      <c r="D21" s="81"/>
      <c r="E21" s="81" t="n">
        <v>46322</v>
      </c>
    </row>
    <row r="22" customFormat="false" ht="15" hidden="false" customHeight="false" outlineLevel="0" collapsed="false">
      <c r="A22" s="79" t="s">
        <v>197</v>
      </c>
      <c r="B22" s="83" t="n">
        <v>1735</v>
      </c>
      <c r="C22" s="81" t="n">
        <v>46322</v>
      </c>
      <c r="D22" s="81"/>
      <c r="E22" s="81" t="n">
        <v>46322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105</v>
      </c>
      <c r="C24" s="81" t="n">
        <v>46322</v>
      </c>
      <c r="D24" s="81"/>
      <c r="E24" s="81" t="n">
        <v>46322</v>
      </c>
    </row>
    <row r="25" customFormat="false" ht="15" hidden="false" customHeight="false" outlineLevel="0" collapsed="false">
      <c r="A25" s="79" t="s">
        <v>232</v>
      </c>
      <c r="B25" s="83" t="n">
        <v>467.5</v>
      </c>
      <c r="C25" s="81" t="n">
        <v>46322</v>
      </c>
      <c r="D25" s="81"/>
      <c r="E25" s="81" t="n">
        <v>46322</v>
      </c>
    </row>
    <row r="26" customFormat="false" ht="15" hidden="false" customHeight="false" outlineLevel="0" collapsed="false">
      <c r="A26" s="79" t="s">
        <v>186</v>
      </c>
      <c r="B26" s="83" t="n">
        <v>1095</v>
      </c>
      <c r="C26" s="81" t="n">
        <v>46322</v>
      </c>
      <c r="D26" s="81"/>
      <c r="E26" s="81" t="n">
        <v>46322</v>
      </c>
    </row>
    <row r="27" customFormat="false" ht="15" hidden="false" customHeight="false" outlineLevel="0" collapsed="false">
      <c r="A27" s="79" t="s">
        <v>201</v>
      </c>
      <c r="B27" s="83" t="n">
        <v>546</v>
      </c>
      <c r="C27" s="81" t="n">
        <v>46322</v>
      </c>
      <c r="D27" s="81"/>
      <c r="E27" s="81" t="n">
        <v>46322</v>
      </c>
    </row>
    <row r="28" customFormat="false" ht="15" hidden="false" customHeight="false" outlineLevel="0" collapsed="false">
      <c r="A28" s="79" t="s">
        <v>218</v>
      </c>
      <c r="B28" s="83" t="n">
        <v>1380</v>
      </c>
      <c r="C28" s="81" t="n">
        <v>46322</v>
      </c>
      <c r="D28" s="81"/>
      <c r="E28" s="81" t="n">
        <v>46322</v>
      </c>
    </row>
    <row r="29" customFormat="false" ht="15" hidden="false" customHeight="false" outlineLevel="0" collapsed="false">
      <c r="A29" s="79" t="s">
        <v>243</v>
      </c>
      <c r="B29" s="83" t="n">
        <v>469</v>
      </c>
      <c r="C29" s="81" t="n">
        <v>46322</v>
      </c>
      <c r="D29" s="81"/>
      <c r="E29" s="81" t="n">
        <v>46322</v>
      </c>
    </row>
    <row r="30" customFormat="false" ht="15" hidden="false" customHeight="false" outlineLevel="0" collapsed="false">
      <c r="A30" s="79" t="s">
        <v>228</v>
      </c>
      <c r="B30" s="83" t="n">
        <v>1910</v>
      </c>
      <c r="C30" s="81" t="n">
        <v>46322</v>
      </c>
      <c r="D30" s="81"/>
      <c r="E30" s="81" t="n">
        <v>46322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2400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142.020062328767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27.8164116828929</v>
      </c>
      <c r="K2" s="52" t="n">
        <f aca="false">IF($A2="","",IFERROR(IF(G2&lt;=0,"N/M",D2/G2),"N/M"))</f>
        <v>24.7342434366912</v>
      </c>
      <c r="L2" s="52" t="n">
        <f aca="false">IF($A2="","",IFERROR(IF(H2&lt;=0,"N/M",D2/H2),"N/M"))</f>
        <v>16.8990208893456</v>
      </c>
      <c r="M2" s="49" t="n">
        <f aca="false">IF($A2="","",IFERROR(INDEX(Raw_Est!$C$2:$C$100,MATCH($A2,Raw_Est!$A$2:$A$100,0))/INDEX(Raw_Est!$B$2:$B$100,MATCH($A2,Raw_Est!$A$2:$A$100,0))-1,""))</f>
        <v>0.348907371308015</v>
      </c>
      <c r="N2" s="51" t="n">
        <f aca="false">IF($A2="","",IFERROR(IF(OR(NOT(ISNUMBER(J2)),I2&lt;Config!$B$6),"N/M",J2/(I2*100)),"N/M"))</f>
        <v>0.522636683971872</v>
      </c>
      <c r="O2" s="51" t="n">
        <f aca="false">IF($A2="","",IFERROR(IF(OR(NOT(ISNUMBER(L2)),M2&lt;Config!$B$6),"N/M",L2/(M2*100)),"N/M"))</f>
        <v>0.484341182761289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0.00916670840833333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0.444947607890085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21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46322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441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111.060588630137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16.2430939226519</v>
      </c>
      <c r="K3" s="52" t="n">
        <f aca="false">IF($A3="","",IFERROR(IF(G3&lt;=0,"N/M",D3/G3),"N/M"))</f>
        <v>9.28463077802469</v>
      </c>
      <c r="L3" s="52" t="n">
        <f aca="false">IF($A3="","",IFERROR(IF(H3&lt;=0,"N/M",D3/H3),"N/M"))</f>
        <v>3.97080553452363</v>
      </c>
      <c r="M3" s="49" t="n">
        <f aca="false">IF($A3="","",IFERROR(INDEX(Raw_Est!$C$2:$C$100,MATCH($A3,Raw_Est!$A$2:$A$100,0))/INDEX(Raw_Est!$B$2:$B$100,MATCH($A3,Raw_Est!$A$2:$A$100,0))-1,""))</f>
        <v>0.566469412442997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0.070097439461009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0.810551818481909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5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46322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1095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237.393230136986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4.61259994384902</v>
      </c>
      <c r="M4" s="49" t="n">
        <f aca="false">IF($A4="","",IFERROR(INDEX(Raw_Est!$C$2:$C$100,MATCH($A4,Raw_Est!$A$2:$A$100,0))/INDEX(Raw_Est!$B$2:$B$100,MATCH($A4,Raw_Est!$A$2:$A$100,0))-1,""))</f>
        <v>-0.376157318084596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46322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466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8.77366301369863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113.106796116505</v>
      </c>
      <c r="K5" s="52" t="n">
        <f aca="false">IF($A5="","",IFERROR(IF(G5&lt;=0,"N/M",D5/G5),"N/M"))</f>
        <v>99.2695380984132</v>
      </c>
      <c r="L5" s="52" t="n">
        <f aca="false">IF($A5="","",IFERROR(IF(H5&lt;=0,"N/M",D5/H5),"N/M"))</f>
        <v>53.1135056443834</v>
      </c>
      <c r="M5" s="49" t="n">
        <f aca="false">IF($A5="","",IFERROR(INDEX(Raw_Est!$C$2:$C$100,MATCH($A5,Raw_Est!$A$2:$A$100,0))/INDEX(Raw_Est!$B$2:$B$100,MATCH($A5,Raw_Est!$A$2:$A$100,0))-1,""))</f>
        <v>0.680774289878773</v>
      </c>
      <c r="N5" s="51" t="n">
        <f aca="false">IF($A5="","",IFERROR(IF(OR(NOT(ISNUMBER(J5)),I5&lt;Config!$B$6),"N/M",J5/(I5*100)),"N/M"))</f>
        <v>1.83708490507699</v>
      </c>
      <c r="O5" s="51" t="n">
        <f aca="false">IF($A5="","",IFERROR(IF(OR(NOT(ISNUMBER(L5)),M5&lt;Config!$B$6),"N/M",L5/(M5*100)),"N/M"))</f>
        <v>0.780192590026299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0.00562351186695279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0.281671516389037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8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46322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599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35.1484908219178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20.8929194279735</v>
      </c>
      <c r="K6" s="52" t="n">
        <f aca="false">IF($A6="","",IFERROR(IF(G6&lt;=0,"N/M",D6/G6),"N/M"))</f>
        <v>18.5835949980036</v>
      </c>
      <c r="L6" s="52" t="n">
        <f aca="false">IF($A6="","",IFERROR(IF(H6&lt;=0,"N/M",D6/H6),"N/M"))</f>
        <v>17.0419834818762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0.0467445742904841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46322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1735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118.217065753425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31.8173482486705</v>
      </c>
      <c r="K7" s="52" t="n">
        <f aca="false">IF($A7="","",IFERROR(IF(G7&lt;=0,"N/M",D7/G7),"N/M"))</f>
        <v>29.030976135199</v>
      </c>
      <c r="L7" s="52" t="n">
        <f aca="false">IF($A7="","",IFERROR(IF(H7&lt;=0,"N/M",D7/H7),"N/M"))</f>
        <v>14.6763920161818</v>
      </c>
      <c r="M7" s="49" t="n">
        <f aca="false">IF($A7="","",IFERROR(INDEX(Raw_Est!$C$2:$C$100,MATCH($A7,Raw_Est!$A$2:$A$100,0))/INDEX(Raw_Est!$B$2:$B$100,MATCH($A7,Raw_Est!$A$2:$A$100,0))-1,""))</f>
        <v>0.825165810170069</v>
      </c>
      <c r="N7" s="51" t="n">
        <f aca="false">IF($A7="","",IFERROR(IF(OR(NOT(ISNUMBER(J7)),I7&lt;Config!$B$6),"N/M",J7/(I7*100)),"N/M"))</f>
        <v>0.553685813995707</v>
      </c>
      <c r="O7" s="51" t="n">
        <f aca="false">IF($A7="","",IFERROR(IF(OR(NOT(ISNUMBER(L7)),M7&lt;Config!$B$6),"N/M",L7/(M7*100)),"N/M"))</f>
        <v>0.17785991415661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0.00605503313544669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0.277258591086113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46322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546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33.389897260274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16.3522515731011</v>
      </c>
      <c r="M8" s="49" t="n">
        <f aca="false">IF($A8="","",IFERROR(INDEX(Raw_Est!$C$2:$C$100,MATCH($A8,Raw_Est!$A$2:$A$100,0))/INDEX(Raw_Est!$B$2:$B$100,MATCH($A8,Raw_Est!$A$2:$A$100,0))-1,""))</f>
        <v>0.111252758028929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1.46982887101541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4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46322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357.5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36.6835665753425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13.3845001871958</v>
      </c>
      <c r="K9" s="52" t="n">
        <f aca="false">IF($A9="","",IFERROR(IF(G9&lt;=0,"N/M",D9/G9),"N/M"))</f>
        <v>11.7727797525312</v>
      </c>
      <c r="L9" s="52" t="n">
        <f aca="false">IF($A9="","",IFERROR(IF(H9&lt;=0,"N/M",D9/H9),"N/M"))</f>
        <v>9.74550823093358</v>
      </c>
      <c r="M9" s="49" t="n">
        <f aca="false">IF($A9="","",IFERROR(INDEX(Raw_Est!$C$2:$C$100,MATCH($A9,Raw_Est!$A$2:$A$100,0))/INDEX(Raw_Est!$B$2:$B$100,MATCH($A9,Raw_Est!$A$2:$A$100,0))-1,""))</f>
        <v>0.111019951142487</v>
      </c>
      <c r="N9" s="51" t="n">
        <f aca="false">IF($A9="","",IFERROR(IF(OR(NOT(ISNUMBER(J9)),I9&lt;Config!$B$6),"N/M",J9/(I9*100)),"N/M"))</f>
        <v>0.21357968228742</v>
      </c>
      <c r="O9" s="51" t="n">
        <f aca="false">IF($A9="","",IFERROR(IF(OR(NOT(ISNUMBER(L9)),M9&lt;Config!$B$6),"N/M",L9/(M9*100)),"N/M"))</f>
        <v>0.877815935842541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0.027972027972028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0.338527322333926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6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46322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9810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470.560476712329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54.0823639671426</v>
      </c>
      <c r="K10" s="52" t="n">
        <f aca="false">IF($A10="","",IFERROR(IF(G10&lt;=0,"N/M",D10/G10),"N/M"))</f>
        <v>36.8463505304879</v>
      </c>
      <c r="L10" s="52" t="n">
        <f aca="false">IF($A10="","",IFERROR(IF(H10&lt;=0,"N/M",D10/H10),"N/M"))</f>
        <v>20.8474797300013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0.320912129829628</v>
      </c>
      <c r="O10" s="51" t="n">
        <f aca="false">IF($A10="","",IFERROR(IF(OR(NOT(ISNUMBER(L10)),M10&lt;Config!$B$6),"N/M",L10/(M10*100)),"N/M"))</f>
        <v>0.50115779426009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0.00328236493374108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46322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2500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35.8708275342466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223.015165031222</v>
      </c>
      <c r="K11" s="52" t="n">
        <f aca="false">IF($A11="","",IFERROR(IF(G11&lt;=0,"N/M",D11/G11),"N/M"))</f>
        <v>157.035175879397</v>
      </c>
      <c r="L11" s="52" t="n">
        <f aca="false">IF($A11="","",IFERROR(IF(H11&lt;=0,"N/M",D11/H11),"N/M"))</f>
        <v>69.6945170170162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0.395898769855846</v>
      </c>
      <c r="O11" s="51" t="n">
        <f aca="false">IF($A11="","",IFERROR(IF(OR(NOT(ISNUMBER(L11)),M11&lt;Config!$B$6),"N/M",L11/(M11*100)),"N/M"))</f>
        <v>0.690875149045012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0.00020000886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46322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538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55.8091286307054</v>
      </c>
      <c r="K12" s="52" t="n">
        <f aca="false">IF($A12="","",IFERROR(IF(G12&lt;=0,"N/M",D12/G12),"N/M"))</f>
        <v>78.4256559766764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0.209383749356284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46322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941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27.9021026027397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159.491525423729</v>
      </c>
      <c r="K13" s="52" t="n">
        <f aca="false">IF($A13="","",IFERROR(IF(G13&lt;=0,"N/M",D13/G13),"N/M"))</f>
        <v>112.907580166182</v>
      </c>
      <c r="L13" s="52" t="n">
        <f aca="false">IF($A13="","",IFERROR(IF(H13&lt;=0,"N/M",D13/H13),"N/M"))</f>
        <v>33.725056975011</v>
      </c>
      <c r="M13" s="49" t="n">
        <f aca="false">IF($A13="","",IFERROR(INDEX(Raw_Est!$C$2:$C$100,MATCH($A13,Raw_Est!$A$2:$A$100,0))/INDEX(Raw_Est!$B$2:$B$100,MATCH($A13,Raw_Est!$A$2:$A$100,0))-1,""))</f>
        <v>1.55516671797037</v>
      </c>
      <c r="N13" s="51" t="n">
        <f aca="false">IF($A13="","",IFERROR(IF(OR(NOT(ISNUMBER(J13)),I13&lt;Config!$B$6),"N/M",J13/(I13*100)),"N/M"))</f>
        <v>0.411481334248853</v>
      </c>
      <c r="O13" s="51" t="n">
        <f aca="false">IF($A13="","",IFERROR(IF(OR(NOT(ISNUMBER(L13)),M13&lt;Config!$B$6),"N/M",L13/(M13*100)),"N/M"))</f>
        <v>0.216858145080582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0.00106288196599362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0.145125372919156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46322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1380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117.892191780822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11.7056098385686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0.106760533326906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46322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122.5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7.33272191780822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18.3383233532934</v>
      </c>
      <c r="K15" s="52" t="n">
        <f aca="false">IF($A15="","",IFERROR(IF(G15&lt;=0,"N/M",D15/G15),"N/M"))</f>
        <v>17.7757785065444</v>
      </c>
      <c r="L15" s="52" t="n">
        <f aca="false">IF($A15="","",IFERROR(IF(H15&lt;=0,"N/M",D15/H15),"N/M"))</f>
        <v>16.7059383095515</v>
      </c>
      <c r="M15" s="49" t="n">
        <f aca="false">IF($A15="","",IFERROR(INDEX(Raw_Est!$C$2:$C$100,MATCH($A15,Raw_Est!$A$2:$A$100,0))/INDEX(Raw_Est!$B$2:$B$100,MATCH($A15,Raw_Est!$A$2:$A$100,0))-1,""))</f>
        <v>0.0315988302948049</v>
      </c>
      <c r="N15" s="51" t="n">
        <f aca="false">IF($A15="","",IFERROR(IF(OR(NOT(ISNUMBER(J15)),I15&lt;Config!$B$6),"N/M",J15/(I15*100)),"N/M"))</f>
        <v>0.165619615469915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0.202489003331745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14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46322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3960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134.033019452055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65.2496292634701</v>
      </c>
      <c r="K16" s="52" t="n">
        <f aca="false">IF($A16="","",IFERROR(IF(G16&lt;=0,"N/M",D16/G16),"N/M"))</f>
        <v>65.6887012448009</v>
      </c>
      <c r="L16" s="52" t="n">
        <f aca="false">IF($A16="","",IFERROR(IF(H16&lt;=0,"N/M",D16/H16),"N/M"))</f>
        <v>29.544958519841</v>
      </c>
      <c r="M16" s="49" t="n">
        <f aca="false">IF($A16="","",IFERROR(INDEX(Raw_Est!$C$2:$C$100,MATCH($A16,Raw_Est!$A$2:$A$100,0))/INDEX(Raw_Est!$B$2:$B$100,MATCH($A16,Raw_Est!$A$2:$A$100,0))-1,""))</f>
        <v>1.13860919957584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0.259482872006017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0.0136364185530303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0.261792381079974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46322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93.9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34.7777777777778</v>
      </c>
      <c r="K17" s="52" t="n">
        <f aca="false">IF($A17="","",IFERROR(IF(G17&lt;=0,"N/M",D17/G17),"N/M"))</f>
        <v>30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46322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105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7.14547726027397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17.7364864864865</v>
      </c>
      <c r="K18" s="52" t="n">
        <f aca="false">IF($A18="","",IFERROR(IF(G18&lt;=0,"N/M",D18/G18),"N/M"))</f>
        <v>18.4192107105079</v>
      </c>
      <c r="L18" s="52" t="n">
        <f aca="false">IF($A18="","",IFERROR(IF(H18&lt;=0,"N/M",D18/H18),"N/M"))</f>
        <v>14.6946097755791</v>
      </c>
      <c r="M18" s="49" t="n">
        <f aca="false">IF($A18="","",IFERROR(INDEX(Raw_Est!$C$2:$C$100,MATCH($A18,Raw_Est!$A$2:$A$100,0))/INDEX(Raw_Est!$B$2:$B$100,MATCH($A18,Raw_Est!$A$2:$A$100,0))-1,""))</f>
        <v>0.284860826131111</v>
      </c>
      <c r="N18" s="51" t="n">
        <f aca="false">IF($A18="","",IFERROR(IF(OR(NOT(ISNUMBER(J18)),I18&lt;Config!$B$6),"N/M",J18/(I18*100)),"N/M"))</f>
        <v>0.720071032571033</v>
      </c>
      <c r="O18" s="51" t="n">
        <f aca="false">IF($A18="","",IFERROR(IF(OR(NOT(ISNUMBER(L18)),M18&lt;Config!$B$6),"N/M",L18/(M18*100)),"N/M"))</f>
        <v>0.51585224880362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0.0381851127619048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0.0748730420535528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46322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1910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304.829439726027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6.26579900457337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46322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491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9.79441506849315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57.6968272620447</v>
      </c>
      <c r="K20" s="52" t="n">
        <f aca="false">IF($A20="","",IFERROR(IF(G20&lt;=0,"N/M",D20/G20),"N/M"))</f>
        <v>60.559416064156</v>
      </c>
      <c r="L20" s="52" t="n">
        <f aca="false">IF($A20="","",IFERROR(IF(H20&lt;=0,"N/M",D20/H20),"N/M"))</f>
        <v>50.1306097981754</v>
      </c>
      <c r="M20" s="49" t="n">
        <f aca="false">IF($A20="","",IFERROR(INDEX(Raw_Est!$C$2:$C$100,MATCH($A20,Raw_Est!$A$2:$A$100,0))/INDEX(Raw_Est!$B$2:$B$100,MATCH($A20,Raw_Est!$A$2:$A$100,0))-1,""))</f>
        <v>0.311584482205835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1.60889301814006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0.00407331975560081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0.0754540807228892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10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46322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467.5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12.9297260273973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76.0162601626016</v>
      </c>
      <c r="K21" s="52" t="n">
        <f aca="false">IF($A21="","",IFERROR(IF(G21&lt;=0,"N/M",D21/G21),"N/M"))</f>
        <v>68.8512518409426</v>
      </c>
      <c r="L21" s="52" t="n">
        <f aca="false">IF($A21="","",IFERROR(IF(H21&lt;=0,"N/M",D21/H21),"N/M"))</f>
        <v>36.1569919586384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1.70036371416346</v>
      </c>
      <c r="O21" s="51" t="n">
        <f aca="false">IF($A21="","",IFERROR(IF(OR(NOT(ISNUMBER(L21)),M21&lt;Config!$B$6),"N/M",L21/(M21*100)),"N/M"))</f>
        <v>0.396439422217118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0.00330402744385027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46322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499.5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8.92527123287671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55.9646857744855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46322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163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47.7168849315069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17.9911699779249</v>
      </c>
      <c r="K23" s="52" t="n">
        <f aca="false">IF($A23="","",IFERROR(IF(G23&lt;=0,"N/M",D23/G23),"N/M"))</f>
        <v>9.87338444475538</v>
      </c>
      <c r="L23" s="52" t="n">
        <f aca="false">IF($A23="","",IFERROR(IF(H23&lt;=0,"N/M",D23/H23),"N/M"))</f>
        <v>3.41598158039804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0.0320038436016976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0.00306748466257669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46322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429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87.1951219512195</v>
      </c>
      <c r="K25" s="52" t="n">
        <f aca="false">IF($A25="","",IFERROR(IF(G25&lt;=0,"N/M",D25/G25),"N/M"))</f>
        <v>99.5359628770302</v>
      </c>
      <c r="L25" s="52" t="n">
        <f aca="false">IF($A25="","",IFERROR(IF(H25&lt;=0,"N/M",D25/H25),"N/M"))</f>
        <v>35.8395989974937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0.00233100233100233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46322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469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13.3317808219178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35.1790961961324</v>
      </c>
      <c r="M26" s="49" t="n">
        <f aca="false">IF($A26="","",IFERROR(INDEX(Raw_Est!$C$2:$C$100,MATCH($A26,Raw_Est!$A$2:$A$100,0))/INDEX(Raw_Est!$B$2:$B$100,MATCH($A26,Raw_Est!$A$2:$A$100,0))-1,""))</f>
        <v>2.52073732718894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0.139558754562354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46322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7430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111.433137123288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190.46398359395</v>
      </c>
      <c r="K27" s="52" t="n">
        <f aca="false">IF($A27="","",IFERROR(IF(G27&lt;=0,"N/M",D27/G27),"N/M"))</f>
        <v>165.514930761072</v>
      </c>
      <c r="L27" s="52" t="n">
        <f aca="false">IF($A27="","",IFERROR(IF(H27&lt;=0,"N/M",D27/H27),"N/M"))</f>
        <v>66.6767551538963</v>
      </c>
      <c r="M27" s="49" t="n">
        <f aca="false">IF($A27="","",IFERROR(INDEX(Raw_Est!$C$2:$C$100,MATCH($A27,Raw_Est!$A$2:$A$100,0))/INDEX(Raw_Est!$B$2:$B$100,MATCH($A27,Raw_Est!$A$2:$A$100,0))-1,""))</f>
        <v>1.29745557676356</v>
      </c>
      <c r="N27" s="51" t="n">
        <f aca="false">IF($A27="","",IFERROR(IF(OR(NOT(ISNUMBER(J27)),I27&lt;Config!$B$6),"N/M",J27/(I27*100)),"N/M"))</f>
        <v>4.30254479229776</v>
      </c>
      <c r="O27" s="51" t="n">
        <f aca="false">IF($A27="","",IFERROR(IF(OR(NOT(ISNUMBER(L27)),M27&lt;Config!$B$6),"N/M",L27/(M27*100)),"N/M"))</f>
        <v>0.513903954385999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0.00269179004037685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0.536692293539164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46322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2026-10-27T12:36:22Z</dcterms:created>
  <dc:creator>openpyxl</dc:creator>
  <dc:description/>
  <dc:language>en-US</dc:language>
  <cp:lastModifiedBy/>
  <dcterms:modified xsi:type="dcterms:W3CDTF">2026-10-27T12:36:23Z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