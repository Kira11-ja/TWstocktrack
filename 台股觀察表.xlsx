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<sst xmlns="http://schemas.openxmlformats.org/spreadsheetml/2006/main" count="8221" uniqueCount="1533">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</sst>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0.434855197641893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28.743625405656</v>
      </c>
      <c r="P3" s="22" t="n">
        <f aca="false">IF(Calc!$A$2="","",Calc!L$2)</f>
        <v>18.4735819446508</v>
      </c>
      <c r="Q3" s="18" t="n">
        <f aca="false">IF(Calc!$A$2="","",Calc!N$2)</f>
        <v>0.540057906770934</v>
      </c>
      <c r="R3" s="18" t="n">
        <f aca="false">IF(Calc!$A$2="","",Calc!O$2)</f>
        <v>0.564974880117544</v>
      </c>
      <c r="S3" s="19" t="n">
        <f aca="false">IF(Calc!$A$2="","",Calc!Q$2)</f>
        <v>0.00887100813709678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519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19.1160220994475</v>
      </c>
      <c r="P4" s="22" t="n">
        <f aca="false">IF(Calc!$A$3="","",Calc!L$3)</f>
        <v>5.53098858611724</v>
      </c>
      <c r="Q4" s="18" t="str">
        <f aca="false">IF(Calc!$A$3="","",Calc!N$3)</f>
        <v>N/M</v>
      </c>
      <c r="R4" s="18" t="n">
        <f aca="false">IF(Calc!$A$3="","",Calc!O$3)</f>
        <v>0.11790986040279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5.49526998000624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552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133.980582524272</v>
      </c>
      <c r="P6" s="22" t="n">
        <f aca="false">IF(Calc!$A$5="","",Calc!L$5)</f>
        <v>66.1753265813786</v>
      </c>
      <c r="Q6" s="18" t="n">
        <f aca="false">IF(Calc!$A$5="","",Calc!N$5)</f>
        <v>2.17611774163626</v>
      </c>
      <c r="R6" s="18" t="n">
        <f aca="false">IF(Calc!$A$5="","",Calc!O$5)</f>
        <v>0.978577291396933</v>
      </c>
      <c r="S6" s="19" t="n">
        <f aca="false">IF(Calc!$A$5="","",Calc!Q$5)</f>
        <v>0.00474738501811594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546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19.0442971747471</v>
      </c>
      <c r="P7" s="22" t="n">
        <f aca="false">IF(Calc!$A$6="","",Calc!L$6)</f>
        <v>15.637579582492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0.0512820512820513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2595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0.271658472926531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47.588483403631</v>
      </c>
      <c r="P8" s="22" t="n">
        <f aca="false">IF(Calc!$A$7="","",Calc!L$7)</f>
        <v>24.4444234507277</v>
      </c>
      <c r="Q8" s="18" t="n">
        <f aca="false">IF(Calc!$A$7="","",Calc!N$7)</f>
        <v>0.828135266466202</v>
      </c>
      <c r="R8" s="18" t="n">
        <f aca="false">IF(Calc!$A$7="","",Calc!O$7)</f>
        <v>0.339764353049331</v>
      </c>
      <c r="S8" s="19" t="n">
        <f aca="false">IF(Calc!$A$7="","",Calc!Q$7)</f>
        <v>0.00404835548747592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555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16.5983450407349</v>
      </c>
      <c r="Q9" s="18" t="str">
        <f aca="false">IF(Calc!$A$8="","",Calc!N$8)</f>
        <v>N/M</v>
      </c>
      <c r="R9" s="18" t="n">
        <f aca="false">IF(Calc!$A$8="","",Calc!O$8)</f>
        <v>1.31367730827578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358.5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13.4219393485586</v>
      </c>
      <c r="P10" s="22" t="n">
        <f aca="false">IF(Calc!$A$9="","",Calc!L$9)</f>
        <v>9.76560868911901</v>
      </c>
      <c r="Q10" s="18" t="n">
        <f aca="false">IF(Calc!$A$9="","",Calc!N$9)</f>
        <v>0.21417710797214</v>
      </c>
      <c r="R10" s="18" t="n">
        <f aca="false">IF(Calc!$A$9="","",Calc!O$9)</f>
        <v>1.09787289101698</v>
      </c>
      <c r="S10" s="19" t="n">
        <f aca="false">IF(Calc!$A$9="","",Calc!Q$9)</f>
        <v>0.0278940027894003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12055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66.4590109708363</v>
      </c>
      <c r="P11" s="22" t="n">
        <f aca="false">IF(Calc!$A$10="","",Calc!L$10)</f>
        <v>26.1444470765367</v>
      </c>
      <c r="Q11" s="18" t="n">
        <f aca="false">IF(Calc!$A$10="","",Calc!N$10)</f>
        <v>0.394352265555165</v>
      </c>
      <c r="R11" s="18" t="n">
        <f aca="false">IF(Calc!$A$10="","",Calc!O$10)</f>
        <v>0.632959229660681</v>
      </c>
      <c r="S11" s="19" t="n">
        <f aca="false">IF(Calc!$A$10="","",Calc!Q$10)</f>
        <v>0.00267109083367897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2695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240.410347903657</v>
      </c>
      <c r="P12" s="22" t="n">
        <f aca="false">IF(Calc!$A$11="","",Calc!L$11)</f>
        <v>78.3250628872203</v>
      </c>
      <c r="Q12" s="18" t="n">
        <f aca="false">IF(Calc!$A$11="","",Calc!N$11)</f>
        <v>0.426778873904602</v>
      </c>
      <c r="R12" s="18" t="n">
        <f aca="false">IF(Calc!$A$11="","",Calc!O$11)</f>
        <v>0.790096686969583</v>
      </c>
      <c r="S12" s="19" t="n">
        <f aca="false">IF(Calc!$A$11="","",Calc!Q$11)</f>
        <v>0.000185536975881262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643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66.701244813278</v>
      </c>
      <c r="P13" s="22" t="str">
        <f aca="false">IF(Calc!$A$12="","",Calc!L$12)</f>
        <v>N/M</v>
      </c>
      <c r="Q13" s="18" t="n">
        <f aca="false">IF(Calc!$A$12="","",Calc!N$12)</f>
        <v>0.250248607502027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970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0.131855652183002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164.406779661017</v>
      </c>
      <c r="P14" s="22" t="n">
        <f aca="false">IF(Calc!$A$13="","",Calc!L$13)</f>
        <v>42.3708880593952</v>
      </c>
      <c r="Q14" s="18" t="n">
        <f aca="false">IF(Calc!$A$13="","",Calc!N$13)</f>
        <v>0.424162480575332</v>
      </c>
      <c r="R14" s="18" t="n">
        <f aca="false">IF(Calc!$A$13="","",Calc!O$13)</f>
        <v>0.299723092797179</v>
      </c>
      <c r="S14" s="19" t="n">
        <f aca="false">IF(Calc!$A$13="","",Calc!Q$13)</f>
        <v>0.00103110508247423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1490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13.2018705218993</v>
      </c>
      <c r="Q15" s="18" t="str">
        <f aca="false">IF(Calc!$A$14="","",Calc!N$14)</f>
        <v>N/M</v>
      </c>
      <c r="R15" s="18" t="n">
        <f aca="false">IF(Calc!$A$14="","",Calc!O$14)</f>
        <v>0.120407117379464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154.5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23.1287425149701</v>
      </c>
      <c r="P16" s="22" t="n">
        <f aca="false">IF(Calc!$A$15="","",Calc!L$15)</f>
        <v>21.6071989589003</v>
      </c>
      <c r="Q16" s="18" t="n">
        <f aca="false">IF(Calc!$A$15="","",Calc!N$15)</f>
        <v>0.20888351502124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4920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0.25722990825737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81.0677212061295</v>
      </c>
      <c r="P17" s="22" t="n">
        <f aca="false">IF(Calc!$A$16="","",Calc!L$16)</f>
        <v>38.9777418217406</v>
      </c>
      <c r="Q17" s="18" t="str">
        <f aca="false">IF(Calc!$A$16="","",Calc!N$16)</f>
        <v>N/M</v>
      </c>
      <c r="R17" s="18" t="n">
        <f aca="false">IF(Calc!$A$16="","",Calc!O$16)</f>
        <v>0.340805682782304</v>
      </c>
      <c r="S17" s="19" t="n">
        <f aca="false">IF(Calc!$A$16="","",Calc!Q$16)</f>
        <v>0.0109756539573171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33.7777777777778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89.8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15.1689189189189</v>
      </c>
      <c r="P19" s="22" t="n">
        <f aca="false">IF(Calc!$A$18="","",Calc!L$18)</f>
        <v>13.1601356112687</v>
      </c>
      <c r="Q19" s="18" t="n">
        <f aca="false">IF(Calc!$A$18="","",Calc!N$18)</f>
        <v>0.615832178332178</v>
      </c>
      <c r="R19" s="18" t="n">
        <f aca="false">IF(Calc!$A$18="","",Calc!O$18)</f>
        <v>0.473795406818251</v>
      </c>
      <c r="S19" s="19" t="n">
        <f aca="false">IF(Calc!$A$18="","",Calc!Q$18)</f>
        <v>0.0446485171492205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2150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7.39193868622997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542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63.689776733255</v>
      </c>
      <c r="P21" s="22" t="n">
        <f aca="false">IF(Calc!$A$20="","",Calc!L$20)</f>
        <v>57.8648300093309</v>
      </c>
      <c r="Q21" s="18" t="str">
        <f aca="false">IF(Calc!$A$20="","",Calc!N$20)</f>
        <v>N/M</v>
      </c>
      <c r="R21" s="18" t="n">
        <f aca="false">IF(Calc!$A$20="","",Calc!O$20)</f>
        <v>1.97740924671134</v>
      </c>
      <c r="S21" s="19" t="n">
        <f aca="false">IF(Calc!$A$20="","",Calc!Q$20)</f>
        <v>0.003690036900369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569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92.520325203252</v>
      </c>
      <c r="P22" s="22" t="n">
        <f aca="false">IF(Calc!$A$21="","",Calc!L$21)</f>
        <v>45.7721102753357</v>
      </c>
      <c r="Q22" s="18" t="n">
        <f aca="false">IF(Calc!$A$21="","",Calc!N$21)</f>
        <v>2.06953359007274</v>
      </c>
      <c r="R22" s="18" t="n">
        <f aca="false">IF(Calc!$A$21="","",Calc!O$21)</f>
        <v>0.501863345600491</v>
      </c>
      <c r="S22" s="19" t="n">
        <f aca="false">IF(Calc!$A$21="","",Calc!Q$21)</f>
        <v>0.00271464469244288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649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51.0595693179161</v>
      </c>
      <c r="Q23" s="18" t="str">
        <f aca="false">IF(Calc!$A$22="","",Calc!N$22)</f>
        <v>N/M</v>
      </c>
      <c r="R23" s="18" t="n">
        <f aca="false">IF(Calc!$A$22="","",Calc!O$22)</f>
        <v>0.00626029408503158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179.5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19.8123620309051</v>
      </c>
      <c r="P24" s="22" t="n">
        <f aca="false">IF(Calc!$A$23="","",Calc!L$23)</f>
        <v>4.0343277917627</v>
      </c>
      <c r="Q24" s="18" t="str">
        <f aca="false">IF(Calc!$A$23="","",Calc!N$23)</f>
        <v>N/M</v>
      </c>
      <c r="R24" s="18" t="n">
        <f aca="false">IF(Calc!$A$23="","",Calc!O$23)</f>
        <v>0.0404896945230274</v>
      </c>
      <c r="S24" s="19" t="n">
        <f aca="false">IF(Calc!$A$23="","",Calc!Q$23)</f>
        <v>0.00278551532033426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523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106.30081300813</v>
      </c>
      <c r="P26" s="22" t="n">
        <f aca="false">IF(Calc!$A$25="","",Calc!L$25)</f>
        <v>43.6925647451963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0.00191204588910134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533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43.5086471605154</v>
      </c>
      <c r="Q27" s="18" t="str">
        <f aca="false">IF(Calc!$A$26="","",Calc!N$26)</f>
        <v>N/M</v>
      </c>
      <c r="R27" s="18" t="n">
        <f aca="false">IF(Calc!$A$26="","",Calc!O$26)</f>
        <v>0.234453109173785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8040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206.100999743655</v>
      </c>
      <c r="P28" s="22" t="n">
        <f aca="false">IF(Calc!$A$27="","",Calc!L$27)</f>
        <v>78.5739100610601</v>
      </c>
      <c r="Q28" s="18" t="n">
        <f aca="false">IF(Calc!$A$27="","",Calc!N$27)</f>
        <v>4.65578198251332</v>
      </c>
      <c r="R28" s="18" t="n">
        <f aca="false">IF(Calc!$A$27="","",Calc!O$27)</f>
        <v>0.621287676652972</v>
      </c>
      <c r="S28" s="19" t="n">
        <f aca="false">IF(Calc!$A$27="","",Calc!Q$27)</f>
        <v>0.00248756218905473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46295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28.743625405656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18.4735819446508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0.540057906770934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0.564974880117544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134.24575739726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0.00887100813709678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0.434855197641893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0.326980589664577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2480</v>
      </c>
      <c r="L12" s="55" t="n">
        <f aca="false">IF(Stock_Card!$B$2="","",IFERROR(INDEX(Calc!$Q$2:$Q$100,MATCH(Stock_Card!$B$2,Calc!$A$2:$A$100,0)),""))</f>
        <v>0.00887100813709678</v>
      </c>
      <c r="M12" s="58" t="n">
        <f aca="false">IF(Stock_Card!$B$2="","",IFERROR(INDEX(Calc!$J$2:$J$100,MATCH(Stock_Card!$B$2,Calc!$A$2:$A$100,0)),""))</f>
        <v>28.743625405656</v>
      </c>
      <c r="N12" s="57" t="n">
        <f aca="false">IF(Stock_Card!$B$2="","",IFERROR(INDEX(Calc!$N$2:$N$100,MATCH(Stock_Card!$B$2,Calc!$A$2:$A$100,0)),""))</f>
        <v>0.540057906770934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134.24575739726</v>
      </c>
      <c r="H13" s="55" t="n">
        <f aca="false">IF(Stock_Card!$B$2="","",IFERROR(INDEX(Calc!$M$2:$M$100,MATCH(Stock_Card!$B$2,Calc!$A$2:$A$100,0)),""))</f>
        <v>0.326980589664577</v>
      </c>
      <c r="I13" s="55" t="n">
        <f aca="false">IF(Stock_Card!$B$2="","",IFERROR(INDEX(Calc!$AI$2:$AI$100,MATCH(Stock_Card!$B$2,Calc!$A$2:$A$100,0)),""))</f>
        <v>0.434855197641893</v>
      </c>
      <c r="J13" s="59"/>
      <c r="K13" s="59"/>
      <c r="L13" s="59"/>
      <c r="M13" s="58" t="n">
        <f aca="false">IF(Stock_Card!$B$2="","",IFERROR(INDEX(Calc!$L$2:$L$100,MATCH(Stock_Card!$B$2,Calc!$A$2:$A$100,0)),""))</f>
        <v>18.4735819446508</v>
      </c>
      <c r="N13" s="57" t="n">
        <f aca="false">IF(Stock_Card!$B$2="","",IFERROR(INDEX(Calc!$O$2:$O$100,MATCH(Stock_Card!$B$2,Calc!$A$2:$A$100,0)),""))</f>
        <v>0.564974880117544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{E99959AD-F6C0-41FF-95C0-AEFC97F17174}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9959AD-F6C0-41FF-95C0-AEFC97F1717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-46295</v>
      </c>
      <c r="I4" s="67" t="n">
        <f aca="false">IF($A4="","",IFERROR(INDEX(Raw_Price!$E$2:$E$100,MATCH($A4,Raw_Price!$A$2:$A$100,0)),""))</f>
        <v>46295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-46295</v>
      </c>
      <c r="I5" s="67" t="n">
        <f aca="false">IF($A5="","",IFERROR(INDEX(Raw_Price!$E$2:$E$100,MATCH($A5,Raw_Price!$A$2:$A$100,0)),""))</f>
        <v>46295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-46295</v>
      </c>
      <c r="I6" s="67" t="n">
        <f aca="false">IF($A6="","",IFERROR(INDEX(Raw_Price!$E$2:$E$100,MATCH($A6,Raw_Price!$A$2:$A$100,0)),""))</f>
        <v>46295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-46295</v>
      </c>
      <c r="I7" s="67" t="n">
        <f aca="false">IF($A7="","",IFERROR(INDEX(Raw_Price!$E$2:$E$100,MATCH($A7,Raw_Price!$A$2:$A$100,0)),""))</f>
        <v>46295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-46295</v>
      </c>
      <c r="I8" s="67" t="n">
        <f aca="false">IF($A8="","",IFERROR(INDEX(Raw_Price!$E$2:$E$100,MATCH($A8,Raw_Price!$A$2:$A$100,0)),""))</f>
        <v>46295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-46295</v>
      </c>
      <c r="I9" s="67" t="n">
        <f aca="false">IF($A9="","",IFERROR(INDEX(Raw_Price!$E$2:$E$100,MATCH($A9,Raw_Price!$A$2:$A$100,0)),""))</f>
        <v>46295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-46295</v>
      </c>
      <c r="I10" s="67" t="n">
        <f aca="false">IF($A10="","",IFERROR(INDEX(Raw_Price!$E$2:$E$100,MATCH($A10,Raw_Price!$A$2:$A$100,0)),""))</f>
        <v>46295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-46295</v>
      </c>
      <c r="I11" s="67" t="n">
        <f aca="false">IF($A11="","",IFERROR(INDEX(Raw_Price!$E$2:$E$100,MATCH($A11,Raw_Price!$A$2:$A$100,0)),""))</f>
        <v>46295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-46295</v>
      </c>
      <c r="I12" s="67" t="n">
        <f aca="false">IF($A12="","",IFERROR(INDEX(Raw_Price!$E$2:$E$100,MATCH($A12,Raw_Price!$A$2:$A$100,0)),""))</f>
        <v>46295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-46295</v>
      </c>
      <c r="I13" s="67" t="n">
        <f aca="false">IF($A13="","",IFERROR(INDEX(Raw_Price!$E$2:$E$100,MATCH($A13,Raw_Price!$A$2:$A$100,0)),""))</f>
        <v>46295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-46295</v>
      </c>
      <c r="I14" s="67" t="n">
        <f aca="false">IF($A14="","",IFERROR(INDEX(Raw_Price!$E$2:$E$100,MATCH($A14,Raw_Price!$A$2:$A$100,0)),""))</f>
        <v>46295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-46295</v>
      </c>
      <c r="I15" s="67" t="n">
        <f aca="false">IF($A15="","",IFERROR(INDEX(Raw_Price!$E$2:$E$100,MATCH($A15,Raw_Price!$A$2:$A$100,0)),""))</f>
        <v>46295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-46295</v>
      </c>
      <c r="I16" s="67" t="n">
        <f aca="false">IF($A16="","",IFERROR(INDEX(Raw_Price!$E$2:$E$100,MATCH($A16,Raw_Price!$A$2:$A$100,0)),""))</f>
        <v>46295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-46295</v>
      </c>
      <c r="I17" s="67" t="n">
        <f aca="false">IF($A17="","",IFERROR(INDEX(Raw_Price!$E$2:$E$100,MATCH($A17,Raw_Price!$A$2:$A$100,0)),""))</f>
        <v>46295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-46295</v>
      </c>
      <c r="I18" s="67" t="n">
        <f aca="false">IF($A18="","",IFERROR(INDEX(Raw_Price!$E$2:$E$100,MATCH($A18,Raw_Price!$A$2:$A$100,0)),""))</f>
        <v>46295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-46295</v>
      </c>
      <c r="I19" s="67" t="n">
        <f aca="false">IF($A19="","",IFERROR(INDEX(Raw_Price!$E$2:$E$100,MATCH($A19,Raw_Price!$A$2:$A$100,0)),""))</f>
        <v>46295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-46295</v>
      </c>
      <c r="I20" s="67" t="n">
        <f aca="false">IF($A20="","",IFERROR(INDEX(Raw_Price!$E$2:$E$100,MATCH($A20,Raw_Price!$A$2:$A$100,0)),""))</f>
        <v>46295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-46295</v>
      </c>
      <c r="I21" s="67" t="n">
        <f aca="false">IF($A21="","",IFERROR(INDEX(Raw_Price!$E$2:$E$100,MATCH($A21,Raw_Price!$A$2:$A$100,0)),""))</f>
        <v>46295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-46295</v>
      </c>
      <c r="I22" s="67" t="n">
        <f aca="false">IF($A22="","",IFERROR(INDEX(Raw_Price!$E$2:$E$100,MATCH($A22,Raw_Price!$A$2:$A$100,0)),""))</f>
        <v>46295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-46295</v>
      </c>
      <c r="I23" s="67" t="n">
        <f aca="false">IF($A23="","",IFERROR(INDEX(Raw_Price!$E$2:$E$100,MATCH($A23,Raw_Price!$A$2:$A$100,0)),""))</f>
        <v>46295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-46295</v>
      </c>
      <c r="I24" s="67" t="n">
        <f aca="false">IF($A24="","",IFERROR(INDEX(Raw_Price!$E$2:$E$100,MATCH($A24,Raw_Price!$A$2:$A$100,0)),""))</f>
        <v>46295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-46295</v>
      </c>
      <c r="I25" s="67" t="n">
        <f aca="false">IF($A25="","",IFERROR(INDEX(Raw_Price!$E$2:$E$100,MATCH($A25,Raw_Price!$A$2:$A$100,0)),""))</f>
        <v>46295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-46295</v>
      </c>
      <c r="I27" s="67" t="n">
        <f aca="false">IF($A27="","",IFERROR(INDEX(Raw_Price!$E$2:$E$100,MATCH($A27,Raw_Price!$A$2:$A$100,0)),""))</f>
        <v>46295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-46295</v>
      </c>
      <c r="I28" s="67" t="n">
        <f aca="false">IF($A28="","",IFERROR(INDEX(Raw_Price!$E$2:$E$100,MATCH($A28,Raw_Price!$A$2:$A$100,0)),""))</f>
        <v>46295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-46295</v>
      </c>
      <c r="I29" s="67" t="n">
        <f aca="false">IF($A29="","",IFERROR(INDEX(Raw_Price!$E$2:$E$100,MATCH($A29,Raw_Price!$A$2:$A$100,0)),""))</f>
        <v>46295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46295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46295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46295</v>
      </c>
    </row>
    <row r="5" customFormat="false" ht="15" hidden="false" customHeight="false" outlineLevel="0" collapsed="false">
      <c r="A5" s="79" t="s">
        <v>79</v>
      </c>
      <c r="B5" s="83" t="n">
        <v>107.86573</v>
      </c>
      <c r="C5" s="83" t="n">
        <v>143.13573</v>
      </c>
      <c r="D5" s="81" t="n">
        <v>46387</v>
      </c>
      <c r="E5" s="80" t="n">
        <v>23</v>
      </c>
      <c r="F5" s="81" t="n">
        <v>46295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46295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37.48218</v>
      </c>
      <c r="D7" s="81" t="n">
        <v>46387</v>
      </c>
      <c r="E7" s="80" t="n">
        <v>8</v>
      </c>
      <c r="F7" s="81" t="n">
        <v>46295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46295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68.03088</v>
      </c>
      <c r="C10" s="83" t="n">
        <v>145.83739</v>
      </c>
      <c r="D10" s="81" t="n">
        <v>46387</v>
      </c>
      <c r="E10" s="80" t="n">
        <v>16</v>
      </c>
      <c r="F10" s="81" t="n">
        <v>46295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46295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46295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46295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46295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46295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46295</v>
      </c>
    </row>
    <row r="17" customFormat="false" ht="15" hidden="false" customHeight="false" outlineLevel="0" collapsed="false">
      <c r="A17" s="79" t="s">
        <v>216</v>
      </c>
      <c r="B17" s="83" t="n">
        <v>11.12748</v>
      </c>
      <c r="C17" s="83" t="n">
        <v>26.85804</v>
      </c>
      <c r="D17" s="81" t="n">
        <v>46387</v>
      </c>
      <c r="E17" s="80" t="n">
        <v>9</v>
      </c>
      <c r="F17" s="81" t="n">
        <v>46295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46295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46295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46295</v>
      </c>
    </row>
    <row r="22" customFormat="false" ht="15" hidden="false" customHeight="false" outlineLevel="0" collapsed="false">
      <c r="A22" s="79" t="s">
        <v>197</v>
      </c>
      <c r="B22" s="83" t="n">
        <v>69.0192</v>
      </c>
      <c r="C22" s="83" t="n">
        <v>118.67522</v>
      </c>
      <c r="D22" s="81" t="n">
        <v>46387</v>
      </c>
      <c r="E22" s="80" t="n">
        <v>6</v>
      </c>
      <c r="F22" s="81" t="n">
        <v>46295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46295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46295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46295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46295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46295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46295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46295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12055</v>
      </c>
      <c r="C2" s="81" t="n">
        <v>46295</v>
      </c>
      <c r="D2" s="81"/>
      <c r="E2" s="81" t="n">
        <v>46295</v>
      </c>
    </row>
    <row r="3" customFormat="false" ht="15" hidden="false" customHeight="false" outlineLevel="0" collapsed="false">
      <c r="A3" s="79" t="s">
        <v>220</v>
      </c>
      <c r="B3" s="83" t="n">
        <v>154.5</v>
      </c>
      <c r="C3" s="81" t="n">
        <v>46295</v>
      </c>
      <c r="D3" s="81"/>
      <c r="E3" s="81" t="n">
        <v>46295</v>
      </c>
    </row>
    <row r="4" customFormat="false" ht="15" hidden="false" customHeight="false" outlineLevel="0" collapsed="false">
      <c r="A4" s="79" t="s">
        <v>345</v>
      </c>
      <c r="B4" s="83" t="n">
        <v>548</v>
      </c>
      <c r="C4" s="81" t="n">
        <v>46295</v>
      </c>
      <c r="D4" s="81"/>
      <c r="E4" s="81" t="n">
        <v>46295</v>
      </c>
    </row>
    <row r="5" customFormat="false" ht="15" hidden="false" customHeight="false" outlineLevel="0" collapsed="false">
      <c r="A5" s="79" t="s">
        <v>79</v>
      </c>
      <c r="B5" s="83" t="n">
        <v>2480</v>
      </c>
      <c r="C5" s="81" t="n">
        <v>46295</v>
      </c>
      <c r="D5" s="81"/>
      <c r="E5" s="81" t="n">
        <v>46295</v>
      </c>
    </row>
    <row r="6" customFormat="false" ht="15" hidden="false" customHeight="false" outlineLevel="0" collapsed="false">
      <c r="A6" s="79" t="s">
        <v>236</v>
      </c>
      <c r="B6" s="83" t="n">
        <v>179.5</v>
      </c>
      <c r="C6" s="81" t="n">
        <v>46295</v>
      </c>
      <c r="D6" s="81"/>
      <c r="E6" s="81" t="n">
        <v>46295</v>
      </c>
    </row>
    <row r="7" customFormat="false" ht="15" hidden="false" customHeight="false" outlineLevel="0" collapsed="false">
      <c r="A7" s="79" t="s">
        <v>205</v>
      </c>
      <c r="B7" s="83" t="n">
        <v>358.5</v>
      </c>
      <c r="C7" s="81" t="n">
        <v>46295</v>
      </c>
      <c r="D7" s="81"/>
      <c r="E7" s="81" t="n">
        <v>46295</v>
      </c>
    </row>
    <row r="8" customFormat="false" ht="15" hidden="false" customHeight="false" outlineLevel="0" collapsed="false">
      <c r="A8" s="79" t="s">
        <v>182</v>
      </c>
      <c r="B8" s="83" t="n">
        <v>519</v>
      </c>
      <c r="C8" s="81" t="n">
        <v>46295</v>
      </c>
      <c r="D8" s="81"/>
      <c r="E8" s="81" t="n">
        <v>46295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4920</v>
      </c>
      <c r="C10" s="81" t="n">
        <v>46295</v>
      </c>
      <c r="D10" s="81"/>
      <c r="E10" s="81" t="n">
        <v>46295</v>
      </c>
    </row>
    <row r="11" customFormat="false" ht="15" hidden="false" customHeight="false" outlineLevel="0" collapsed="false">
      <c r="A11" s="79" t="s">
        <v>190</v>
      </c>
      <c r="B11" s="83" t="n">
        <v>552</v>
      </c>
      <c r="C11" s="81" t="n">
        <v>46295</v>
      </c>
      <c r="D11" s="81"/>
      <c r="E11" s="81" t="n">
        <v>46295</v>
      </c>
    </row>
    <row r="12" customFormat="false" ht="15" hidden="false" customHeight="false" outlineLevel="0" collapsed="false">
      <c r="A12" s="79" t="s">
        <v>224</v>
      </c>
      <c r="B12" s="83" t="n">
        <v>91.2</v>
      </c>
      <c r="C12" s="81" t="n">
        <v>46295</v>
      </c>
      <c r="D12" s="81"/>
      <c r="E12" s="81" t="n">
        <v>46295</v>
      </c>
    </row>
    <row r="13" customFormat="false" ht="15" hidden="false" customHeight="false" outlineLevel="0" collapsed="false">
      <c r="A13" s="79" t="s">
        <v>195</v>
      </c>
      <c r="B13" s="83" t="n">
        <v>546</v>
      </c>
      <c r="C13" s="81" t="n">
        <v>46295</v>
      </c>
      <c r="D13" s="81"/>
      <c r="E13" s="81" t="n">
        <v>46295</v>
      </c>
    </row>
    <row r="14" customFormat="false" ht="15" hidden="false" customHeight="false" outlineLevel="0" collapsed="false">
      <c r="A14" s="79" t="s">
        <v>210</v>
      </c>
      <c r="B14" s="83" t="n">
        <v>2695</v>
      </c>
      <c r="C14" s="81" t="n">
        <v>46295</v>
      </c>
      <c r="D14" s="81"/>
      <c r="E14" s="81" t="n">
        <v>46295</v>
      </c>
    </row>
    <row r="15" customFormat="false" ht="15" hidden="false" customHeight="false" outlineLevel="0" collapsed="false">
      <c r="A15" s="79" t="s">
        <v>230</v>
      </c>
      <c r="B15" s="83" t="n">
        <v>542</v>
      </c>
      <c r="C15" s="81" t="n">
        <v>46295</v>
      </c>
      <c r="D15" s="81"/>
      <c r="E15" s="81" t="n">
        <v>46295</v>
      </c>
    </row>
    <row r="16" customFormat="false" ht="15" hidden="false" customHeight="false" outlineLevel="0" collapsed="false">
      <c r="A16" s="79" t="s">
        <v>212</v>
      </c>
      <c r="B16" s="83" t="n">
        <v>643</v>
      </c>
      <c r="C16" s="81" t="n">
        <v>46295</v>
      </c>
      <c r="D16" s="81"/>
      <c r="E16" s="81" t="n">
        <v>46295</v>
      </c>
    </row>
    <row r="17" customFormat="false" ht="15" hidden="false" customHeight="false" outlineLevel="0" collapsed="false">
      <c r="A17" s="79" t="s">
        <v>216</v>
      </c>
      <c r="B17" s="83" t="n">
        <v>970</v>
      </c>
      <c r="C17" s="81" t="n">
        <v>46295</v>
      </c>
      <c r="D17" s="81"/>
      <c r="E17" s="81" t="n">
        <v>46295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649</v>
      </c>
      <c r="C19" s="81" t="n">
        <v>46295</v>
      </c>
      <c r="D19" s="81"/>
      <c r="E19" s="81" t="n">
        <v>46295</v>
      </c>
    </row>
    <row r="20" customFormat="false" ht="15" hidden="false" customHeight="false" outlineLevel="0" collapsed="false">
      <c r="A20" s="79" t="s">
        <v>245</v>
      </c>
      <c r="B20" s="83" t="n">
        <v>8040</v>
      </c>
      <c r="C20" s="81" t="n">
        <v>46295</v>
      </c>
      <c r="D20" s="81"/>
      <c r="E20" s="81" t="n">
        <v>46295</v>
      </c>
    </row>
    <row r="21" customFormat="false" ht="15" hidden="false" customHeight="false" outlineLevel="0" collapsed="false">
      <c r="A21" s="79" t="s">
        <v>241</v>
      </c>
      <c r="B21" s="83" t="n">
        <v>523</v>
      </c>
      <c r="C21" s="81" t="n">
        <v>46295</v>
      </c>
      <c r="D21" s="81"/>
      <c r="E21" s="81" t="n">
        <v>46295</v>
      </c>
    </row>
    <row r="22" customFormat="false" ht="15" hidden="false" customHeight="false" outlineLevel="0" collapsed="false">
      <c r="A22" s="79" t="s">
        <v>197</v>
      </c>
      <c r="B22" s="83" t="n">
        <v>2595</v>
      </c>
      <c r="C22" s="81" t="n">
        <v>46295</v>
      </c>
      <c r="D22" s="81"/>
      <c r="E22" s="81" t="n">
        <v>46295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89.8</v>
      </c>
      <c r="C24" s="81" t="n">
        <v>46295</v>
      </c>
      <c r="D24" s="81"/>
      <c r="E24" s="81" t="n">
        <v>46295</v>
      </c>
    </row>
    <row r="25" customFormat="false" ht="15" hidden="false" customHeight="false" outlineLevel="0" collapsed="false">
      <c r="A25" s="79" t="s">
        <v>232</v>
      </c>
      <c r="B25" s="83" t="n">
        <v>569</v>
      </c>
      <c r="C25" s="81" t="n">
        <v>46295</v>
      </c>
      <c r="D25" s="81"/>
      <c r="E25" s="81" t="n">
        <v>46295</v>
      </c>
    </row>
    <row r="26" customFormat="false" ht="15" hidden="false" customHeight="false" outlineLevel="0" collapsed="false">
      <c r="A26" s="79" t="s">
        <v>186</v>
      </c>
      <c r="B26" s="83" t="n">
        <v>1290</v>
      </c>
      <c r="C26" s="81" t="n">
        <v>46295</v>
      </c>
      <c r="D26" s="81"/>
      <c r="E26" s="81" t="n">
        <v>46295</v>
      </c>
    </row>
    <row r="27" customFormat="false" ht="15" hidden="false" customHeight="false" outlineLevel="0" collapsed="false">
      <c r="A27" s="79" t="s">
        <v>201</v>
      </c>
      <c r="B27" s="83" t="n">
        <v>555</v>
      </c>
      <c r="C27" s="81" t="n">
        <v>46295</v>
      </c>
      <c r="D27" s="81"/>
      <c r="E27" s="81" t="n">
        <v>46295</v>
      </c>
    </row>
    <row r="28" customFormat="false" ht="15" hidden="false" customHeight="false" outlineLevel="0" collapsed="false">
      <c r="A28" s="79" t="s">
        <v>218</v>
      </c>
      <c r="B28" s="83" t="n">
        <v>1490</v>
      </c>
      <c r="C28" s="81" t="n">
        <v>46295</v>
      </c>
      <c r="D28" s="81"/>
      <c r="E28" s="81" t="n">
        <v>46295</v>
      </c>
    </row>
    <row r="29" customFormat="false" ht="15" hidden="false" customHeight="false" outlineLevel="0" collapsed="false">
      <c r="A29" s="79" t="s">
        <v>243</v>
      </c>
      <c r="B29" s="83" t="n">
        <v>533</v>
      </c>
      <c r="C29" s="81" t="n">
        <v>46295</v>
      </c>
      <c r="D29" s="81"/>
      <c r="E29" s="81" t="n">
        <v>46295</v>
      </c>
    </row>
    <row r="30" customFormat="false" ht="15" hidden="false" customHeight="false" outlineLevel="0" collapsed="false">
      <c r="A30" s="79" t="s">
        <v>228</v>
      </c>
      <c r="B30" s="83" t="n">
        <v>2150</v>
      </c>
      <c r="C30" s="81" t="n">
        <v>46295</v>
      </c>
      <c r="D30" s="81"/>
      <c r="E30" s="81" t="n">
        <v>46295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134.24575739726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28.743625405656</v>
      </c>
      <c r="K2" s="52" t="n">
        <f aca="false">IF($A2="","",IFERROR(IF(G2&lt;=0,"N/M",D2/G2),"N/M"))</f>
        <v>25.5587182179143</v>
      </c>
      <c r="L2" s="52" t="n">
        <f aca="false">IF($A2="","",IFERROR(IF(H2&lt;=0,"N/M",D2/H2),"N/M"))</f>
        <v>18.4735819446508</v>
      </c>
      <c r="M2" s="49" t="n">
        <f aca="false">IF($A2="","",IFERROR(INDEX(Raw_Est!$C$2:$C$100,MATCH($A2,Raw_Est!$A$2:$A$100,0))/INDEX(Raw_Est!$B$2:$B$100,MATCH($A2,Raw_Est!$A$2:$A$100,0))-1,""))</f>
        <v>0.326980589664577</v>
      </c>
      <c r="N2" s="51" t="n">
        <f aca="false">IF($A2="","",IFERROR(IF(OR(NOT(ISNUMBER(J2)),I2&lt;Config!$B$6),"N/M",J2/(I2*100)),"N/M"))</f>
        <v>0.540057906770934</v>
      </c>
      <c r="O2" s="51" t="n">
        <f aca="false">IF($A2="","",IFERROR(IF(OR(NOT(ISNUMBER(L2)),M2&lt;Config!$B$6),"N/M",L2/(M2*100)),"N/M"))</f>
        <v>0.564974880117544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0.00887100813709678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0.434855197641893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46295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519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93.8349432328767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19.1160220994475</v>
      </c>
      <c r="K3" s="52" t="n">
        <f aca="false">IF($A3="","",IFERROR(IF(G3&lt;=0,"N/M",D3/G3),"N/M"))</f>
        <v>10.9268103714168</v>
      </c>
      <c r="L3" s="52" t="n">
        <f aca="false">IF($A3="","",IFERROR(IF(H3&lt;=0,"N/M",D3/H3),"N/M"))</f>
        <v>5.53098858611724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0.11790986040279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46295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234.747338109589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5.49526998000624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46295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8.34147753424658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133.980582524272</v>
      </c>
      <c r="K5" s="52" t="n">
        <f aca="false">IF($A5="","",IFERROR(IF(G5&lt;=0,"N/M",D5/G5),"N/M"))</f>
        <v>117.589667447047</v>
      </c>
      <c r="L5" s="52" t="n">
        <f aca="false">IF($A5="","",IFERROR(IF(H5&lt;=0,"N/M",D5/H5),"N/M"))</f>
        <v>66.1753265813786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2.17611774163626</v>
      </c>
      <c r="O5" s="51" t="n">
        <f aca="false">IF($A5="","",IFERROR(IF(OR(NOT(ISNUMBER(L5)),M5&lt;Config!$B$6),"N/M",L5/(M5*100)),"N/M"))</f>
        <v>0.978577291396933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0.00474738501811594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46295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34.9158894520548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19.0442971747471</v>
      </c>
      <c r="K6" s="52" t="n">
        <f aca="false">IF($A6="","",IFERROR(IF(G6&lt;=0,"N/M",D6/G6),"N/M"))</f>
        <v>16.9393036208847</v>
      </c>
      <c r="L6" s="52" t="n">
        <f aca="false">IF($A6="","",IFERROR(IF(H6&lt;=0,"N/M",D6/H6),"N/M"))</f>
        <v>15.637579582492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0.0512820512820513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46295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2595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106.159182082192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47.588483403631</v>
      </c>
      <c r="K7" s="52" t="n">
        <f aca="false">IF($A7="","",IFERROR(IF(G7&lt;=0,"N/M",D7/G7),"N/M"))</f>
        <v>43.4209700696492</v>
      </c>
      <c r="L7" s="52" t="n">
        <f aca="false">IF($A7="","",IFERROR(IF(H7&lt;=0,"N/M",D7/H7),"N/M"))</f>
        <v>24.4444234507277</v>
      </c>
      <c r="M7" s="49" t="n">
        <f aca="false">IF($A7="","",IFERROR(INDEX(Raw_Est!$C$2:$C$100,MATCH($A7,Raw_Est!$A$2:$A$100,0))/INDEX(Raw_Est!$B$2:$B$100,MATCH($A7,Raw_Est!$A$2:$A$100,0))-1,""))</f>
        <v>0.719452268354313</v>
      </c>
      <c r="N7" s="51" t="n">
        <f aca="false">IF($A7="","",IFERROR(IF(OR(NOT(ISNUMBER(J7)),I7&lt;Config!$B$6),"N/M",J7/(I7*100)),"N/M"))</f>
        <v>0.828135266466202</v>
      </c>
      <c r="O7" s="51" t="n">
        <f aca="false">IF($A7="","",IFERROR(IF(OR(NOT(ISNUMBER(L7)),M7&lt;Config!$B$6),"N/M",L7/(M7*100)),"N/M"))</f>
        <v>0.339764353049331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0.00404835548747592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0.271658472926531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6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46295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555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33.4370684931507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16.5983450407349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1.31367730827578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46295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358.5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36.7104613150685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13.4219393485586</v>
      </c>
      <c r="K9" s="52" t="n">
        <f aca="false">IF($A9="","",IFERROR(IF(G9&lt;=0,"N/M",D9/G9),"N/M"))</f>
        <v>11.8057106049859</v>
      </c>
      <c r="L9" s="52" t="n">
        <f aca="false">IF($A9="","",IFERROR(IF(H9&lt;=0,"N/M",D9/H9),"N/M"))</f>
        <v>9.76560868911901</v>
      </c>
      <c r="M9" s="49" t="n">
        <f aca="false">IF($A9="","",IFERROR(INDEX(Raw_Est!$C$2:$C$100,MATCH($A9,Raw_Est!$A$2:$A$100,0))/INDEX(Raw_Est!$B$2:$B$100,MATCH($A9,Raw_Est!$A$2:$A$100,0))-1,""))</f>
        <v>0.0889502670939706</v>
      </c>
      <c r="N9" s="51" t="n">
        <f aca="false">IF($A9="","",IFERROR(IF(OR(NOT(ISNUMBER(J9)),I9&lt;Config!$B$6),"N/M",J9/(I9*100)),"N/M"))</f>
        <v>0.21417710797214</v>
      </c>
      <c r="O9" s="51" t="n">
        <f aca="false">IF($A9="","",IFERROR(IF(OR(NOT(ISNUMBER(L9)),M9&lt;Config!$B$6),"N/M",L9/(M9*100)),"N/M"))</f>
        <v>1.09787289101698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0.0278940027894003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46295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12055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461.092176273973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66.4590109708363</v>
      </c>
      <c r="K10" s="52" t="n">
        <f aca="false">IF($A10="","",IFERROR(IF(G10&lt;=0,"N/M",D10/G10),"N/M"))</f>
        <v>45.2785683634079</v>
      </c>
      <c r="L10" s="52" t="n">
        <f aca="false">IF($A10="","",IFERROR(IF(H10&lt;=0,"N/M",D10/H10),"N/M"))</f>
        <v>26.1444470765367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0.394352265555165</v>
      </c>
      <c r="O10" s="51" t="n">
        <f aca="false">IF($A10="","",IFERROR(IF(OR(NOT(ISNUMBER(L10)),M10&lt;Config!$B$6),"N/M",L10/(M10*100)),"N/M"))</f>
        <v>0.632959229660681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0.00267109083367897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46295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2695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34.407888109589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240.410347903657</v>
      </c>
      <c r="K11" s="52" t="n">
        <f aca="false">IF($A11="","",IFERROR(IF(G11&lt;=0,"N/M",D11/G11),"N/M"))</f>
        <v>169.28391959799</v>
      </c>
      <c r="L11" s="52" t="n">
        <f aca="false">IF($A11="","",IFERROR(IF(H11&lt;=0,"N/M",D11/H11),"N/M"))</f>
        <v>78.3250628872203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0.426778873904602</v>
      </c>
      <c r="O11" s="51" t="n">
        <f aca="false">IF($A11="","",IFERROR(IF(OR(NOT(ISNUMBER(L11)),M11&lt;Config!$B$6),"N/M",L11/(M11*100)),"N/M"))</f>
        <v>0.790096686969583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0.000185536975881262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46295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643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66.701244813278</v>
      </c>
      <c r="K12" s="52" t="n">
        <f aca="false">IF($A12="","",IFERROR(IF(G12&lt;=0,"N/M",D12/G12),"N/M"))</f>
        <v>93.731778425656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0.250248607502027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46295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970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22.8930769315068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164.406779661017</v>
      </c>
      <c r="K13" s="52" t="n">
        <f aca="false">IF($A13="","",IFERROR(IF(G13&lt;=0,"N/M",D13/G13),"N/M"))</f>
        <v>116.387197408285</v>
      </c>
      <c r="L13" s="52" t="n">
        <f aca="false">IF($A13="","",IFERROR(IF(H13&lt;=0,"N/M",D13/H13),"N/M"))</f>
        <v>42.3708880593952</v>
      </c>
      <c r="M13" s="49" t="n">
        <f aca="false">IF($A13="","",IFERROR(INDEX(Raw_Est!$C$2:$C$100,MATCH($A13,Raw_Est!$A$2:$A$100,0))/INDEX(Raw_Est!$B$2:$B$100,MATCH($A13,Raw_Est!$A$2:$A$100,0))-1,""))</f>
        <v>1.4136677846197</v>
      </c>
      <c r="N13" s="51" t="n">
        <f aca="false">IF($A13="","",IFERROR(IF(OR(NOT(ISNUMBER(J13)),I13&lt;Config!$B$6),"N/M",J13/(I13*100)),"N/M"))</f>
        <v>0.424162480575332</v>
      </c>
      <c r="O13" s="51" t="n">
        <f aca="false">IF($A13="","",IFERROR(IF(OR(NOT(ISNUMBER(L13)),M13&lt;Config!$B$6),"N/M",L13/(M13*100)),"N/M"))</f>
        <v>0.299723092797179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0.00103110508247423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0.131855652183002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46295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1490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112.862794520548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13.2018705218993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0.120407117379464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46295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154.5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7.15039465753425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23.1287425149701</v>
      </c>
      <c r="K15" s="52" t="n">
        <f aca="false">IF($A15="","",IFERROR(IF(G15&lt;=0,"N/M",D15/G15),"N/M"))</f>
        <v>22.4192471776417</v>
      </c>
      <c r="L15" s="52" t="n">
        <f aca="false">IF($A15="","",IFERROR(IF(H15&lt;=0,"N/M",D15/H15),"N/M"))</f>
        <v>21.6071989589003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0.20888351502124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46295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4920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126.225886109589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81.0677212061295</v>
      </c>
      <c r="K16" s="52" t="n">
        <f aca="false">IF($A16="","",IFERROR(IF(G16&lt;=0,"N/M",D16/G16),"N/M"))</f>
        <v>81.6132348799041</v>
      </c>
      <c r="L16" s="52" t="n">
        <f aca="false">IF($A16="","",IFERROR(IF(H16&lt;=0,"N/M",D16/H16),"N/M"))</f>
        <v>38.9777418217406</v>
      </c>
      <c r="M16" s="49" t="n">
        <f aca="false">IF($A16="","",IFERROR(INDEX(Raw_Est!$C$2:$C$100,MATCH($A16,Raw_Est!$A$2:$A$100,0))/INDEX(Raw_Est!$B$2:$B$100,MATCH($A16,Raw_Est!$A$2:$A$100,0))-1,""))</f>
        <v>1.14369401071984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0.340805682782304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0.0109756539573171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0.25722990825737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46295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33.7777777777778</v>
      </c>
      <c r="K17" s="52" t="n">
        <f aca="false">IF($A17="","",IFERROR(IF(G17&lt;=0,"N/M",D17/G17),"N/M"))</f>
        <v>29.1373801916933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46295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89.8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6.82363789041096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15.1689189189189</v>
      </c>
      <c r="K18" s="52" t="n">
        <f aca="false">IF($A18="","",IFERROR(IF(G18&lt;=0,"N/M",D18/G18),"N/M"))</f>
        <v>15.7528106838439</v>
      </c>
      <c r="L18" s="52" t="n">
        <f aca="false">IF($A18="","",IFERROR(IF(H18&lt;=0,"N/M",D18/H18),"N/M"))</f>
        <v>13.1601356112687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0.615832178332178</v>
      </c>
      <c r="O18" s="51" t="n">
        <f aca="false">IF($A18="","",IFERROR(IF(OR(NOT(ISNUMBER(L18)),M18&lt;Config!$B$6),"N/M",L18/(M18*100)),"N/M"))</f>
        <v>0.473795406818251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0.0446485171492205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46295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2150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290.85739090411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7.39193868622997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46295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542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9.36665673972603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63.689776733255</v>
      </c>
      <c r="K20" s="52" t="n">
        <f aca="false">IF($A20="","",IFERROR(IF(G20&lt;=0,"N/M",D20/G20),"N/M"))</f>
        <v>66.8497016431213</v>
      </c>
      <c r="L20" s="52" t="n">
        <f aca="false">IF($A20="","",IFERROR(IF(H20&lt;=0,"N/M",D20/H20),"N/M"))</f>
        <v>57.8648300093309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1.97740924671134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0.003690036900369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46295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569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12.4311506849315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92.520325203252</v>
      </c>
      <c r="K21" s="52" t="n">
        <f aca="false">IF($A21="","",IFERROR(IF(G21&lt;=0,"N/M",D21/G21),"N/M"))</f>
        <v>83.79970544919</v>
      </c>
      <c r="L21" s="52" t="n">
        <f aca="false">IF($A21="","",IFERROR(IF(H21&lt;=0,"N/M",D21/H21),"N/M"))</f>
        <v>45.7721102753357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2.06953359007274</v>
      </c>
      <c r="O21" s="51" t="n">
        <f aca="false">IF($A21="","",IFERROR(IF(OR(NOT(ISNUMBER(L21)),M21&lt;Config!$B$6),"N/M",L21/(M21*100)),"N/M"))</f>
        <v>0.501863345600491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0.00271464469244288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46295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649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12.7106438356164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51.0595693179161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0.00626029408503158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46295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179.5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44.493162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19.8123620309051</v>
      </c>
      <c r="K23" s="52" t="n">
        <f aca="false">IF($A23="","",IFERROR(IF(G23&lt;=0,"N/M",D23/G23),"N/M"))</f>
        <v>10.8728374713717</v>
      </c>
      <c r="L23" s="52" t="n">
        <f aca="false">IF($A23="","",IFERROR(IF(H23&lt;=0,"N/M",D23/H23),"N/M"))</f>
        <v>4.0343277917627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0.0404896945230274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0.00278551532033426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46295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523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106.30081300813</v>
      </c>
      <c r="K25" s="52" t="n">
        <f aca="false">IF($A25="","",IFERROR(IF(G25&lt;=0,"N/M",D25/G25),"N/M"))</f>
        <v>121.345707656613</v>
      </c>
      <c r="L25" s="52" t="n">
        <f aca="false">IF($A25="","",IFERROR(IF(H25&lt;=0,"N/M",D25/H25),"N/M"))</f>
        <v>43.6925647451963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0.00191204588910134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46295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533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12.2504383561644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43.5086471605154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0.234453109173785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46295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8040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102.324041068493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206.100999743655</v>
      </c>
      <c r="K27" s="52" t="n">
        <f aca="false">IF($A27="","",IFERROR(IF(G27&lt;=0,"N/M",D27/G27),"N/M"))</f>
        <v>179.10363974684</v>
      </c>
      <c r="L27" s="52" t="n">
        <f aca="false">IF($A27="","",IFERROR(IF(H27&lt;=0,"N/M",D27/H27),"N/M"))</f>
        <v>78.5739100610601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4.65578198251332</v>
      </c>
      <c r="O27" s="51" t="n">
        <f aca="false">IF($A27="","",IFERROR(IF(OR(NOT(ISNUMBER(L27)),M27&lt;Config!$B$6),"N/M",L27/(M27*100)),"N/M"))</f>
        <v>0.621287676652972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0.00248756218905473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46295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2026-09-30T12:55:27Z</dcterms:created>
  <dc:creator>openpyxl</dc:creator>
  <dc:description/>
  <dc:language>en-US</dc:language>
  <cp:lastModifiedBy/>
  <dcterms:modified xsi:type="dcterms:W3CDTF">2026-09-30T12:55:28Z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