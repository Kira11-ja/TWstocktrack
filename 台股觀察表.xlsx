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<sst xmlns="http://schemas.openxmlformats.org/spreadsheetml/2006/main" count="8219" uniqueCount="1533">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</sst>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5C68B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2460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0.434791782947913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28.5118219749652</v>
      </c>
      <c r="P3" s="22" t="n">
        <f aca="false">IF(Calc!$A$2="","",Calc!L$2)</f>
        <v>18.4355103278117</v>
      </c>
      <c r="Q3" s="18" t="n">
        <f aca="false">IF(Calc!$A$2="","",Calc!N$2)</f>
        <v>0.535702601071169</v>
      </c>
      <c r="R3" s="18" t="n">
        <f aca="false">IF(Calc!$A$2="","",Calc!O$2)</f>
        <v>0.566272614396037</v>
      </c>
      <c r="S3" s="19" t="n">
        <f aca="false">IF(Calc!$A$2="","",Calc!Q$2)</f>
        <v>0.00894313015447155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497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18.3057090239411</v>
      </c>
      <c r="P4" s="22" t="n">
        <f aca="false">IF(Calc!$A$3="","",Calc!L$3)</f>
        <v>5.33204381613744</v>
      </c>
      <c r="Q4" s="18" t="str">
        <f aca="false">IF(Calc!$A$3="","",Calc!N$3)</f>
        <v>N/M</v>
      </c>
      <c r="R4" s="18" t="n">
        <f aca="false">IF(Calc!$A$3="","",Calc!O$3)</f>
        <v>0.113668746957888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5.4460969398674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547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132.766990291262</v>
      </c>
      <c r="P6" s="22" t="n">
        <f aca="false">IF(Calc!$A$5="","",Calc!L$5)</f>
        <v>66.1456076010184</v>
      </c>
      <c r="Q6" s="18" t="n">
        <f aca="false">IF(Calc!$A$5="","",Calc!N$5)</f>
        <v>2.1564065302084</v>
      </c>
      <c r="R6" s="18" t="n">
        <f aca="false">IF(Calc!$A$5="","",Calc!O$5)</f>
        <v>0.978137817641284</v>
      </c>
      <c r="S6" s="19" t="n">
        <f aca="false">IF(Calc!$A$5="","",Calc!Q$5)</f>
        <v>0.00479077976234004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557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19.4279734914545</v>
      </c>
      <c r="P7" s="22" t="n">
        <f aca="false">IF(Calc!$A$6="","",Calc!L$6)</f>
        <v>15.9668267606011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0.0502692998204668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2245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0.261043871679733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41.1699981661471</v>
      </c>
      <c r="P8" s="22" t="n">
        <f aca="false">IF(Calc!$A$7="","",Calc!L$7)</f>
        <v>22.0870851374483</v>
      </c>
      <c r="Q8" s="18" t="n">
        <f aca="false">IF(Calc!$A$7="","",Calc!N$7)</f>
        <v>0.716440721856117</v>
      </c>
      <c r="R8" s="18" t="n">
        <f aca="false">IF(Calc!$A$7="","",Calc!O$7)</f>
        <v>0.302244085479642</v>
      </c>
      <c r="S8" s="19" t="n">
        <f aca="false">IF(Calc!$A$7="","",Calc!Q$7)</f>
        <v>0.00467950222271715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534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16.0057351626071</v>
      </c>
      <c r="Q9" s="18" t="str">
        <f aca="false">IF(Calc!$A$8="","",Calc!N$8)</f>
        <v>N/M</v>
      </c>
      <c r="R9" s="18" t="n">
        <f aca="false">IF(Calc!$A$8="","",Calc!O$8)</f>
        <v>1.2667751534136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366.5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13.7214526394609</v>
      </c>
      <c r="P10" s="22" t="n">
        <f aca="false">IF(Calc!$A$9="","",Calc!L$9)</f>
        <v>10.0873833243276</v>
      </c>
      <c r="Q10" s="18" t="n">
        <f aca="false">IF(Calc!$A$9="","",Calc!N$9)</f>
        <v>0.218956513449901</v>
      </c>
      <c r="R10" s="18" t="n">
        <f aca="false">IF(Calc!$A$9="","",Calc!O$9)</f>
        <v>1.0050430549032</v>
      </c>
      <c r="S10" s="19" t="n">
        <f aca="false">IF(Calc!$A$9="","",Calc!Q$9)</f>
        <v>0.0272851296043656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12670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69.8494955620486</v>
      </c>
      <c r="P11" s="22" t="n">
        <f aca="false">IF(Calc!$A$10="","",Calc!L$10)</f>
        <v>27.6455439163572</v>
      </c>
      <c r="Q11" s="18" t="n">
        <f aca="false">IF(Calc!$A$10="","",Calc!N$10)</f>
        <v>0.414470610085768</v>
      </c>
      <c r="R11" s="18" t="n">
        <f aca="false">IF(Calc!$A$10="","",Calc!O$10)</f>
        <v>0.669300908511162</v>
      </c>
      <c r="S11" s="19" t="n">
        <f aca="false">IF(Calc!$A$10="","",Calc!Q$10)</f>
        <v>0.0025414364640884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252.007136485281</v>
      </c>
      <c r="P12" s="22" t="n">
        <f aca="false">IF(Calc!$A$11="","",Calc!L$11)</f>
        <v>83.0094972074442</v>
      </c>
      <c r="Q12" s="18" t="n">
        <f aca="false">IF(Calc!$A$11="","",Calc!N$11)</f>
        <v>0.447365609937106</v>
      </c>
      <c r="R12" s="18" t="n">
        <f aca="false">IF(Calc!$A$11="","",Calc!O$11)</f>
        <v>0.837350476501355</v>
      </c>
      <c r="S12" s="19" t="n">
        <f aca="false">IF(Calc!$A$11="","",Calc!Q$11)</f>
        <v>0.000176998991150443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667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69.1908713692946</v>
      </c>
      <c r="P13" s="22" t="str">
        <f aca="false">IF(Calc!$A$12="","",Calc!L$12)</f>
        <v>N/M</v>
      </c>
      <c r="Q13" s="18" t="n">
        <f aca="false">IF(Calc!$A$12="","",Calc!N$12)</f>
        <v>0.259589146506769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909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154.06779661017</v>
      </c>
      <c r="P14" s="22" t="n">
        <f aca="false">IF(Calc!$A$13="","",Calc!L$13)</f>
        <v>41.1051132843096</v>
      </c>
      <c r="Q14" s="18" t="n">
        <f aca="false">IF(Calc!$A$13="","",Calc!N$13)</f>
        <v>0.397488345198945</v>
      </c>
      <c r="R14" s="18" t="n">
        <f aca="false">IF(Calc!$A$13="","",Calc!O$13)</f>
        <v>0.26681082103127</v>
      </c>
      <c r="S14" s="19" t="n">
        <f aca="false">IF(Calc!$A$13="","",Calc!Q$13)</f>
        <v>0.00110029915291529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13.535453605308</v>
      </c>
      <c r="Q15" s="18" t="str">
        <f aca="false">IF(Calc!$A$14="","",Calc!N$14)</f>
        <v>N/M</v>
      </c>
      <c r="R15" s="18" t="n">
        <f aca="false">IF(Calc!$A$14="","",Calc!O$14)</f>
        <v>0.12344954817843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160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23.9520958083832</v>
      </c>
      <c r="P16" s="22" t="n">
        <f aca="false">IF(Calc!$A$15="","",Calc!L$15)</f>
        <v>22.3896946676316</v>
      </c>
      <c r="Q16" s="18" t="n">
        <f aca="false">IF(Calc!$A$15="","",Calc!N$15)</f>
        <v>0.216319497756624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5180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85.3517877739331</v>
      </c>
      <c r="P17" s="22" t="n">
        <f aca="false">IF(Calc!$A$16="","",Calc!L$16)</f>
        <v>41.6021529280267</v>
      </c>
      <c r="Q17" s="18" t="str">
        <f aca="false">IF(Calc!$A$16="","",Calc!N$16)</f>
        <v>N/M</v>
      </c>
      <c r="R17" s="18" t="n">
        <f aca="false">IF(Calc!$A$16="","",Calc!O$16)</f>
        <v>0.365181861098063</v>
      </c>
      <c r="S17" s="19" t="n">
        <f aca="false">IF(Calc!$A$16="","",Calc!Q$16)</f>
        <v>0.0104247524073359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91.1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33.7407407407407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15.2027027027027</v>
      </c>
      <c r="P19" s="22" t="n">
        <f aca="false">IF(Calc!$A$18="","",Calc!L$18)</f>
        <v>13.2447785958056</v>
      </c>
      <c r="Q19" s="18" t="n">
        <f aca="false">IF(Calc!$A$18="","",Calc!N$18)</f>
        <v>0.617203742203742</v>
      </c>
      <c r="R19" s="18" t="n">
        <f aca="false">IF(Calc!$A$18="","",Calc!O$18)</f>
        <v>0.477434037213879</v>
      </c>
      <c r="S19" s="19" t="n">
        <f aca="false">IF(Calc!$A$18="","",Calc!Q$18)</f>
        <v>0.0445492982222222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2185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7.46253416767154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58.8719153936545</v>
      </c>
      <c r="P21" s="22" t="n">
        <f aca="false">IF(Calc!$A$20="","",Calc!L$20)</f>
        <v>53.7350144353585</v>
      </c>
      <c r="Q21" s="18" t="str">
        <f aca="false">IF(Calc!$A$20="","",Calc!N$20)</f>
        <v>N/M</v>
      </c>
      <c r="R21" s="18" t="n">
        <f aca="false">IF(Calc!$A$20="","",Calc!O$20)</f>
        <v>1.83628145800326</v>
      </c>
      <c r="S21" s="19" t="n">
        <f aca="false">IF(Calc!$A$20="","",Calc!Q$20)</f>
        <v>0.00399201596806387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605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98.3739837398374</v>
      </c>
      <c r="P22" s="22" t="n">
        <f aca="false">IF(Calc!$A$21="","",Calc!L$21)</f>
        <v>49.1794333870059</v>
      </c>
      <c r="Q22" s="18" t="n">
        <f aca="false">IF(Calc!$A$21="","",Calc!N$21)</f>
        <v>2.20047068891741</v>
      </c>
      <c r="R22" s="18" t="n">
        <f aca="false">IF(Calc!$A$21="","",Calc!O$21)</f>
        <v>0.539222570815985</v>
      </c>
      <c r="S22" s="19" t="n">
        <f aca="false">IF(Calc!$A$21="","",Calc!Q$21)</f>
        <v>0.00255311211570248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660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53.268824028242</v>
      </c>
      <c r="Q23" s="18" t="str">
        <f aca="false">IF(Calc!$A$22="","",Calc!N$22)</f>
        <v>N/M</v>
      </c>
      <c r="R23" s="18" t="n">
        <f aca="false">IF(Calc!$A$22="","",Calc!O$22)</f>
        <v>0.00653116562547225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171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18.8741721854305</v>
      </c>
      <c r="P24" s="22" t="n">
        <f aca="false">IF(Calc!$A$23="","",Calc!L$23)</f>
        <v>3.88583339673377</v>
      </c>
      <c r="Q24" s="18" t="str">
        <f aca="false">IF(Calc!$A$23="","",Calc!N$23)</f>
        <v>N/M</v>
      </c>
      <c r="R24" s="18" t="n">
        <f aca="false">IF(Calc!$A$23="","",Calc!O$23)</f>
        <v>0.0389993613117848</v>
      </c>
      <c r="S24" s="19" t="n">
        <f aca="false">IF(Calc!$A$23="","",Calc!Q$23)</f>
        <v>0.00292397660818713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526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106.910569105691</v>
      </c>
      <c r="P26" s="22" t="n">
        <f aca="false">IF(Calc!$A$25="","",Calc!L$25)</f>
        <v>43.9431913116124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0.00190114068441065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547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45.3269977774095</v>
      </c>
      <c r="Q27" s="18" t="str">
        <f aca="false">IF(Calc!$A$26="","",Calc!N$26)</f>
        <v>N/M</v>
      </c>
      <c r="R27" s="18" t="n">
        <f aca="false">IF(Calc!$A$26="","",Calc!O$26)</f>
        <v>0.244251574157679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8375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214.688541399641</v>
      </c>
      <c r="P28" s="22" t="n">
        <f aca="false">IF(Calc!$A$27="","",Calc!L$27)</f>
        <v>82.8808689053547</v>
      </c>
      <c r="Q28" s="18" t="n">
        <f aca="false">IF(Calc!$A$27="","",Calc!N$27)</f>
        <v>4.84977289845138</v>
      </c>
      <c r="R28" s="18" t="n">
        <f aca="false">IF(Calc!$A$27="","",Calc!O$27)</f>
        <v>0.655343006873046</v>
      </c>
      <c r="S28" s="19" t="n">
        <f aca="false">IF(Calc!$A$27="","",Calc!Q$27)</f>
        <v>0.00238805970149254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3">
      <formula>"N/M"</formula>
    </cfRule>
  </conditionalFormatting>
  <conditionalFormatting sqref="Q3:Q33">
    <cfRule type="cellIs" priority="8" operator="lessThan" aboveAverage="0" equalAverage="0" bottom="0" percent="0" rank="0" text="" dxfId="64">
      <formula>1.5</formula>
    </cfRule>
  </conditionalFormatting>
  <conditionalFormatting sqref="R3:R33">
    <cfRule type="cellIs" priority="9" operator="lessThan" aboveAverage="0" equalAverage="0" bottom="0" percent="0" rank="0" text="" dxfId="64">
      <formula>1.5</formula>
    </cfRule>
  </conditionalFormatting>
  <conditionalFormatting sqref="L3:L33">
    <cfRule type="cellIs" priority="10" operator="equal" aboveAverage="0" equalAverage="0" bottom="0" percent="0" rank="0" text="" dxfId="64">
      <formula>"成長且加速"</formula>
    </cfRule>
    <cfRule type="cellIs" priority="11" operator="equal" aboveAverage="0" equalAverage="0" bottom="0" percent="0" rank="0" text="" dxfId="65">
      <formula>"成長但減速"</formula>
    </cfRule>
    <cfRule type="cellIs" priority="12" operator="equal" aboveAverage="0" equalAverage="0" bottom="0" percent="0" rank="0" text="" dxfId="65">
      <formula>"衰退但收斂"</formula>
    </cfRule>
    <cfRule type="cellIs" priority="13" operator="equal" aboveAverage="0" equalAverage="0" bottom="0" percent="0" rank="0" text="" dxfId="66">
      <formula>"衰退且惡化"</formula>
    </cfRule>
  </conditionalFormatting>
  <conditionalFormatting sqref="A3:W33">
    <cfRule type="expression" priority="14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2460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46288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28.5118219749652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18.4355103278117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0.535702601071169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0.566272614396037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133.438128712329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0.00894313015447155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0.434791782947913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0.325558924432082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2460</v>
      </c>
      <c r="L12" s="55" t="n">
        <f aca="false">IF(Stock_Card!$B$2="","",IFERROR(INDEX(Calc!$Q$2:$Q$100,MATCH(Stock_Card!$B$2,Calc!$A$2:$A$100,0)),""))</f>
        <v>0.00894313015447155</v>
      </c>
      <c r="M12" s="58" t="n">
        <f aca="false">IF(Stock_Card!$B$2="","",IFERROR(INDEX(Calc!$J$2:$J$100,MATCH(Stock_Card!$B$2,Calc!$A$2:$A$100,0)),""))</f>
        <v>28.5118219749652</v>
      </c>
      <c r="N12" s="57" t="n">
        <f aca="false">IF(Stock_Card!$B$2="","",IFERROR(INDEX(Calc!$N$2:$N$100,MATCH(Stock_Card!$B$2,Calc!$A$2:$A$100,0)),""))</f>
        <v>0.535702601071169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133.438128712329</v>
      </c>
      <c r="H13" s="55" t="n">
        <f aca="false">IF(Stock_Card!$B$2="","",IFERROR(INDEX(Calc!$M$2:$M$100,MATCH(Stock_Card!$B$2,Calc!$A$2:$A$100,0)),""))</f>
        <v>0.325558924432082</v>
      </c>
      <c r="I13" s="55" t="n">
        <f aca="false">IF(Stock_Card!$B$2="","",IFERROR(INDEX(Calc!$AI$2:$AI$100,MATCH(Stock_Card!$B$2,Calc!$A$2:$A$100,0)),""))</f>
        <v>0.434791782947913</v>
      </c>
      <c r="J13" s="59"/>
      <c r="K13" s="59"/>
      <c r="L13" s="59"/>
      <c r="M13" s="58" t="n">
        <f aca="false">IF(Stock_Card!$B$2="","",IFERROR(INDEX(Calc!$L$2:$L$100,MATCH(Stock_Card!$B$2,Calc!$A$2:$A$100,0)),""))</f>
        <v>18.4355103278117</v>
      </c>
      <c r="N13" s="57" t="n">
        <f aca="false">IF(Stock_Card!$B$2="","",IFERROR(INDEX(Calc!$O$2:$O$100,MATCH(Stock_Card!$B$2,Calc!$A$2:$A$100,0)),""))</f>
        <v>0.566272614396037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{35B4C075-A0BD-4910-B9A2-A725ACF4779E}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B4C075-A0BD-4910-B9A2-A725ACF4779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-46288</v>
      </c>
      <c r="I4" s="67" t="n">
        <f aca="false">IF($A4="","",IFERROR(INDEX(Raw_Price!$E$2:$E$100,MATCH($A4,Raw_Price!$A$2:$A$100,0)),""))</f>
        <v>46288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-46288</v>
      </c>
      <c r="I5" s="67" t="n">
        <f aca="false">IF($A5="","",IFERROR(INDEX(Raw_Price!$E$2:$E$100,MATCH($A5,Raw_Price!$A$2:$A$100,0)),""))</f>
        <v>46288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-46288</v>
      </c>
      <c r="I6" s="67" t="n">
        <f aca="false">IF($A6="","",IFERROR(INDEX(Raw_Price!$E$2:$E$100,MATCH($A6,Raw_Price!$A$2:$A$100,0)),""))</f>
        <v>46288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-46288</v>
      </c>
      <c r="I7" s="67" t="n">
        <f aca="false">IF($A7="","",IFERROR(INDEX(Raw_Price!$E$2:$E$100,MATCH($A7,Raw_Price!$A$2:$A$100,0)),""))</f>
        <v>46288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-46288</v>
      </c>
      <c r="I8" s="67" t="n">
        <f aca="false">IF($A8="","",IFERROR(INDEX(Raw_Price!$E$2:$E$100,MATCH($A8,Raw_Price!$A$2:$A$100,0)),""))</f>
        <v>46288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-46288</v>
      </c>
      <c r="I9" s="67" t="n">
        <f aca="false">IF($A9="","",IFERROR(INDEX(Raw_Price!$E$2:$E$100,MATCH($A9,Raw_Price!$A$2:$A$100,0)),""))</f>
        <v>46288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-46288</v>
      </c>
      <c r="I10" s="67" t="n">
        <f aca="false">IF($A10="","",IFERROR(INDEX(Raw_Price!$E$2:$E$100,MATCH($A10,Raw_Price!$A$2:$A$100,0)),""))</f>
        <v>46288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-46288</v>
      </c>
      <c r="I11" s="67" t="n">
        <f aca="false">IF($A11="","",IFERROR(INDEX(Raw_Price!$E$2:$E$100,MATCH($A11,Raw_Price!$A$2:$A$100,0)),""))</f>
        <v>46288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-46288</v>
      </c>
      <c r="I12" s="67" t="n">
        <f aca="false">IF($A12="","",IFERROR(INDEX(Raw_Price!$E$2:$E$100,MATCH($A12,Raw_Price!$A$2:$A$100,0)),""))</f>
        <v>46288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-46288</v>
      </c>
      <c r="I13" s="67" t="n">
        <f aca="false">IF($A13="","",IFERROR(INDEX(Raw_Price!$E$2:$E$100,MATCH($A13,Raw_Price!$A$2:$A$100,0)),""))</f>
        <v>46288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-46288</v>
      </c>
      <c r="I14" s="67" t="n">
        <f aca="false">IF($A14="","",IFERROR(INDEX(Raw_Price!$E$2:$E$100,MATCH($A14,Raw_Price!$A$2:$A$100,0)),""))</f>
        <v>46288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-46288</v>
      </c>
      <c r="I15" s="67" t="n">
        <f aca="false">IF($A15="","",IFERROR(INDEX(Raw_Price!$E$2:$E$100,MATCH($A15,Raw_Price!$A$2:$A$100,0)),""))</f>
        <v>46288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-46288</v>
      </c>
      <c r="I16" s="67" t="n">
        <f aca="false">IF($A16="","",IFERROR(INDEX(Raw_Price!$E$2:$E$100,MATCH($A16,Raw_Price!$A$2:$A$100,0)),""))</f>
        <v>46288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-46288</v>
      </c>
      <c r="I17" s="67" t="n">
        <f aca="false">IF($A17="","",IFERROR(INDEX(Raw_Price!$E$2:$E$100,MATCH($A17,Raw_Price!$A$2:$A$100,0)),""))</f>
        <v>46288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-46288</v>
      </c>
      <c r="I18" s="67" t="n">
        <f aca="false">IF($A18="","",IFERROR(INDEX(Raw_Price!$E$2:$E$100,MATCH($A18,Raw_Price!$A$2:$A$100,0)),""))</f>
        <v>46288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-46288</v>
      </c>
      <c r="I19" s="67" t="n">
        <f aca="false">IF($A19="","",IFERROR(INDEX(Raw_Price!$E$2:$E$100,MATCH($A19,Raw_Price!$A$2:$A$100,0)),""))</f>
        <v>46288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-46288</v>
      </c>
      <c r="I20" s="67" t="n">
        <f aca="false">IF($A20="","",IFERROR(INDEX(Raw_Price!$E$2:$E$100,MATCH($A20,Raw_Price!$A$2:$A$100,0)),""))</f>
        <v>46288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-46288</v>
      </c>
      <c r="I21" s="67" t="n">
        <f aca="false">IF($A21="","",IFERROR(INDEX(Raw_Price!$E$2:$E$100,MATCH($A21,Raw_Price!$A$2:$A$100,0)),""))</f>
        <v>46288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-46288</v>
      </c>
      <c r="I22" s="67" t="n">
        <f aca="false">IF($A22="","",IFERROR(INDEX(Raw_Price!$E$2:$E$100,MATCH($A22,Raw_Price!$A$2:$A$100,0)),""))</f>
        <v>46288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-46288</v>
      </c>
      <c r="I23" s="67" t="n">
        <f aca="false">IF($A23="","",IFERROR(INDEX(Raw_Price!$E$2:$E$100,MATCH($A23,Raw_Price!$A$2:$A$100,0)),""))</f>
        <v>46288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-46288</v>
      </c>
      <c r="I24" s="67" t="n">
        <f aca="false">IF($A24="","",IFERROR(INDEX(Raw_Price!$E$2:$E$100,MATCH($A24,Raw_Price!$A$2:$A$100,0)),""))</f>
        <v>46288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-46288</v>
      </c>
      <c r="I25" s="67" t="n">
        <f aca="false">IF($A25="","",IFERROR(INDEX(Raw_Price!$E$2:$E$100,MATCH($A25,Raw_Price!$A$2:$A$100,0)),""))</f>
        <v>46288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-46288</v>
      </c>
      <c r="I27" s="67" t="n">
        <f aca="false">IF($A27="","",IFERROR(INDEX(Raw_Price!$E$2:$E$100,MATCH($A27,Raw_Price!$A$2:$A$100,0)),""))</f>
        <v>46288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-46288</v>
      </c>
      <c r="I28" s="67" t="n">
        <f aca="false">IF($A28="","",IFERROR(INDEX(Raw_Price!$E$2:$E$100,MATCH($A28,Raw_Price!$A$2:$A$100,0)),""))</f>
        <v>46288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-46288</v>
      </c>
      <c r="I29" s="67" t="n">
        <f aca="false">IF($A29="","",IFERROR(INDEX(Raw_Price!$E$2:$E$100,MATCH($A29,Raw_Price!$A$2:$A$100,0)),""))</f>
        <v>46288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E22" s="77" t="s">
        <v>235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207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207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207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207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207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207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207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207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207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207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207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207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207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207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207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207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207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207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207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207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207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207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207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207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207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219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219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219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219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219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219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219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219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219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219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219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219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219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219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219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219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219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219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219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219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219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219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219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219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219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204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204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204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204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204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204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204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204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204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204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204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204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204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204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204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204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204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204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204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204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204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204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204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204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204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221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221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221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221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221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221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221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221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221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221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221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221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221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221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221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221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221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221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221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221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221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221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221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221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221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223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223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223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223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223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223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223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223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223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223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223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223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223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223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223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223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223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223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223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223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223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223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223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223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209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209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209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209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209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209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209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209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209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209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209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209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209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209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209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209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209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209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209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209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209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209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209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209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209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229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229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229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229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229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229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229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229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229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229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229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229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229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229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229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229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229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229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229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229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229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229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229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229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229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211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211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211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211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211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211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211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211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211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211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211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211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211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211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211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211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211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211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211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211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211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211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211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211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215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215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215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215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215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215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215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215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215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215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215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215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215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215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215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215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215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215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215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215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215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215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215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215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215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233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233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233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233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233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233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233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233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233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233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233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233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233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233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233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233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233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233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233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233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233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233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233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233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233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225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225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225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225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225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225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225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225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225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225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225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225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225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225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225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225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225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225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225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225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225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225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225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225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225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231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231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231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231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231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231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231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231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231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231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231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231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231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231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231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231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231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231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231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231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231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231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231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231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231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217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217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217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217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217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217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217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217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217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217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217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217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217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217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217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217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217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217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217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217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217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217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217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217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217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227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227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227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227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227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227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227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227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227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227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227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227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227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227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227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227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227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227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227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227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227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227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227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227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227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207</v>
      </c>
      <c r="B2" s="79" t="s">
        <v>1079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207</v>
      </c>
      <c r="B3" s="79" t="s">
        <v>1080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207</v>
      </c>
      <c r="B4" s="79" t="s">
        <v>1081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207</v>
      </c>
      <c r="B5" s="79" t="s">
        <v>1082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207</v>
      </c>
      <c r="B6" s="79" t="s">
        <v>1083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207</v>
      </c>
      <c r="B7" s="79" t="s">
        <v>1084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207</v>
      </c>
      <c r="B8" s="79" t="s">
        <v>1085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207</v>
      </c>
      <c r="B9" s="79" t="s">
        <v>1086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207</v>
      </c>
      <c r="B10" s="79" t="s">
        <v>1087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207</v>
      </c>
      <c r="B11" s="79" t="s">
        <v>1088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207</v>
      </c>
      <c r="B12" s="79" t="s">
        <v>1089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207</v>
      </c>
      <c r="B13" s="79" t="s">
        <v>1090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207</v>
      </c>
      <c r="B14" s="79" t="s">
        <v>1091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207</v>
      </c>
      <c r="B15" s="79" t="s">
        <v>1092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207</v>
      </c>
      <c r="B16" s="79" t="s">
        <v>1093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207</v>
      </c>
      <c r="B17" s="79" t="s">
        <v>1094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207</v>
      </c>
      <c r="B18" s="79" t="s">
        <v>1095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207</v>
      </c>
      <c r="B19" s="79" t="s">
        <v>1096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207</v>
      </c>
      <c r="B20" s="79" t="s">
        <v>1097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207</v>
      </c>
      <c r="B21" s="79" t="s">
        <v>1098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207</v>
      </c>
      <c r="B22" s="79" t="s">
        <v>1099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207</v>
      </c>
      <c r="B23" s="79" t="s">
        <v>1100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207</v>
      </c>
      <c r="B24" s="79" t="s">
        <v>1101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207</v>
      </c>
      <c r="B25" s="79" t="s">
        <v>1102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207</v>
      </c>
      <c r="B26" s="79" t="s">
        <v>1103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207</v>
      </c>
      <c r="B27" s="79" t="s">
        <v>1105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207</v>
      </c>
      <c r="B28" s="79" t="s">
        <v>1107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207</v>
      </c>
      <c r="B29" s="79" t="s">
        <v>1109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207</v>
      </c>
      <c r="B30" s="79" t="s">
        <v>1111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207</v>
      </c>
      <c r="B31" s="79" t="s">
        <v>1113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207</v>
      </c>
      <c r="B32" s="79" t="s">
        <v>1115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207</v>
      </c>
      <c r="B33" s="79" t="s">
        <v>1117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207</v>
      </c>
      <c r="B34" s="79" t="s">
        <v>1119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207</v>
      </c>
      <c r="B35" s="79" t="s">
        <v>1121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207</v>
      </c>
      <c r="B36" s="79" t="s">
        <v>1123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207</v>
      </c>
      <c r="B37" s="79" t="s">
        <v>1125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219</v>
      </c>
      <c r="B38" s="79" t="s">
        <v>1079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219</v>
      </c>
      <c r="B39" s="79" t="s">
        <v>1080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219</v>
      </c>
      <c r="B40" s="79" t="s">
        <v>1081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219</v>
      </c>
      <c r="B41" s="79" t="s">
        <v>1082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219</v>
      </c>
      <c r="B42" s="79" t="s">
        <v>1083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219</v>
      </c>
      <c r="B43" s="79" t="s">
        <v>1084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219</v>
      </c>
      <c r="B44" s="79" t="s">
        <v>1085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219</v>
      </c>
      <c r="B45" s="79" t="s">
        <v>1086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219</v>
      </c>
      <c r="B46" s="79" t="s">
        <v>1087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219</v>
      </c>
      <c r="B47" s="79" t="s">
        <v>1088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219</v>
      </c>
      <c r="B48" s="79" t="s">
        <v>1089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219</v>
      </c>
      <c r="B49" s="79" t="s">
        <v>1090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219</v>
      </c>
      <c r="B50" s="79" t="s">
        <v>1091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219</v>
      </c>
      <c r="B51" s="79" t="s">
        <v>1092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219</v>
      </c>
      <c r="B52" s="79" t="s">
        <v>1093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219</v>
      </c>
      <c r="B53" s="79" t="s">
        <v>1094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219</v>
      </c>
      <c r="B54" s="79" t="s">
        <v>1095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219</v>
      </c>
      <c r="B55" s="79" t="s">
        <v>1096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219</v>
      </c>
      <c r="B56" s="79" t="s">
        <v>1097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219</v>
      </c>
      <c r="B57" s="79" t="s">
        <v>1098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219</v>
      </c>
      <c r="B58" s="79" t="s">
        <v>1099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219</v>
      </c>
      <c r="B59" s="79" t="s">
        <v>1100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219</v>
      </c>
      <c r="B60" s="79" t="s">
        <v>1101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219</v>
      </c>
      <c r="B61" s="79" t="s">
        <v>1102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219</v>
      </c>
      <c r="B62" s="79" t="s">
        <v>1103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219</v>
      </c>
      <c r="B63" s="79" t="s">
        <v>1105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219</v>
      </c>
      <c r="B64" s="79" t="s">
        <v>1107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219</v>
      </c>
      <c r="B65" s="79" t="s">
        <v>1109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219</v>
      </c>
      <c r="B66" s="79" t="s">
        <v>1111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219</v>
      </c>
      <c r="B67" s="79" t="s">
        <v>1113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219</v>
      </c>
      <c r="B68" s="79" t="s">
        <v>1115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219</v>
      </c>
      <c r="B69" s="79" t="s">
        <v>1117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219</v>
      </c>
      <c r="B70" s="79" t="s">
        <v>1119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219</v>
      </c>
      <c r="B71" s="79" t="s">
        <v>1121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219</v>
      </c>
      <c r="B72" s="79" t="s">
        <v>1123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219</v>
      </c>
      <c r="B73" s="79" t="s">
        <v>1125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204</v>
      </c>
      <c r="B182" s="79" t="s">
        <v>1079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204</v>
      </c>
      <c r="B183" s="79" t="s">
        <v>1080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204</v>
      </c>
      <c r="B184" s="79" t="s">
        <v>1081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204</v>
      </c>
      <c r="B185" s="79" t="s">
        <v>1082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204</v>
      </c>
      <c r="B186" s="79" t="s">
        <v>1083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204</v>
      </c>
      <c r="B187" s="79" t="s">
        <v>1084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204</v>
      </c>
      <c r="B188" s="79" t="s">
        <v>1085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204</v>
      </c>
      <c r="B189" s="79" t="s">
        <v>1086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204</v>
      </c>
      <c r="B190" s="79" t="s">
        <v>1087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204</v>
      </c>
      <c r="B191" s="79" t="s">
        <v>1088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204</v>
      </c>
      <c r="B192" s="79" t="s">
        <v>1089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204</v>
      </c>
      <c r="B193" s="79" t="s">
        <v>1090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204</v>
      </c>
      <c r="B194" s="79" t="s">
        <v>1091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204</v>
      </c>
      <c r="B195" s="79" t="s">
        <v>1092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204</v>
      </c>
      <c r="B196" s="79" t="s">
        <v>1093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204</v>
      </c>
      <c r="B197" s="79" t="s">
        <v>1094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204</v>
      </c>
      <c r="B198" s="79" t="s">
        <v>1095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204</v>
      </c>
      <c r="B199" s="79" t="s">
        <v>1096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204</v>
      </c>
      <c r="B200" s="79" t="s">
        <v>1097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204</v>
      </c>
      <c r="B201" s="79" t="s">
        <v>1098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204</v>
      </c>
      <c r="B202" s="79" t="s">
        <v>1099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204</v>
      </c>
      <c r="B203" s="79" t="s">
        <v>1100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204</v>
      </c>
      <c r="B204" s="79" t="s">
        <v>1101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204</v>
      </c>
      <c r="B205" s="79" t="s">
        <v>1102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204</v>
      </c>
      <c r="B206" s="79" t="s">
        <v>1103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204</v>
      </c>
      <c r="B207" s="79" t="s">
        <v>1105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204</v>
      </c>
      <c r="B208" s="79" t="s">
        <v>1107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204</v>
      </c>
      <c r="B209" s="79" t="s">
        <v>1109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204</v>
      </c>
      <c r="B210" s="79" t="s">
        <v>1111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204</v>
      </c>
      <c r="B211" s="79" t="s">
        <v>1113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204</v>
      </c>
      <c r="B212" s="79" t="s">
        <v>1115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204</v>
      </c>
      <c r="B213" s="79" t="s">
        <v>1117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204</v>
      </c>
      <c r="B214" s="79" t="s">
        <v>1119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204</v>
      </c>
      <c r="B215" s="79" t="s">
        <v>1121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204</v>
      </c>
      <c r="B216" s="79" t="s">
        <v>1123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204</v>
      </c>
      <c r="B217" s="79" t="s">
        <v>1125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1079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1089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1099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1109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1119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1125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1210</v>
      </c>
    </row>
    <row r="290" customFormat="false" ht="15" hidden="false" customHeight="false" outlineLevel="0" collapsed="false">
      <c r="A290" s="79" t="s">
        <v>221</v>
      </c>
      <c r="B290" s="79" t="s">
        <v>1079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221</v>
      </c>
      <c r="B291" s="79" t="s">
        <v>1080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221</v>
      </c>
      <c r="B292" s="79" t="s">
        <v>1081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221</v>
      </c>
      <c r="B293" s="79" t="s">
        <v>1082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221</v>
      </c>
      <c r="B294" s="79" t="s">
        <v>1083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221</v>
      </c>
      <c r="B295" s="79" t="s">
        <v>1084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221</v>
      </c>
      <c r="B296" s="79" t="s">
        <v>1085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221</v>
      </c>
      <c r="B297" s="79" t="s">
        <v>1086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221</v>
      </c>
      <c r="B298" s="79" t="s">
        <v>1087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221</v>
      </c>
      <c r="B299" s="79" t="s">
        <v>1088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221</v>
      </c>
      <c r="B300" s="79" t="s">
        <v>1089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221</v>
      </c>
      <c r="B301" s="79" t="s">
        <v>1090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221</v>
      </c>
      <c r="B302" s="79" t="s">
        <v>1091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221</v>
      </c>
      <c r="B303" s="79" t="s">
        <v>1092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221</v>
      </c>
      <c r="B304" s="79" t="s">
        <v>1093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221</v>
      </c>
      <c r="B305" s="79" t="s">
        <v>1094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221</v>
      </c>
      <c r="B306" s="79" t="s">
        <v>1095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221</v>
      </c>
      <c r="B307" s="79" t="s">
        <v>1096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221</v>
      </c>
      <c r="B308" s="79" t="s">
        <v>1097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221</v>
      </c>
      <c r="B309" s="79" t="s">
        <v>1098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221</v>
      </c>
      <c r="B310" s="79" t="s">
        <v>1099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221</v>
      </c>
      <c r="B311" s="79" t="s">
        <v>1100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221</v>
      </c>
      <c r="B312" s="79" t="s">
        <v>1101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221</v>
      </c>
      <c r="B313" s="79" t="s">
        <v>1102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221</v>
      </c>
      <c r="B314" s="79" t="s">
        <v>1103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1211</v>
      </c>
    </row>
    <row r="315" customFormat="false" ht="15" hidden="false" customHeight="false" outlineLevel="0" collapsed="false">
      <c r="A315" s="79" t="s">
        <v>221</v>
      </c>
      <c r="B315" s="79" t="s">
        <v>1105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1212</v>
      </c>
    </row>
    <row r="316" customFormat="false" ht="15" hidden="false" customHeight="false" outlineLevel="0" collapsed="false">
      <c r="A316" s="79" t="s">
        <v>221</v>
      </c>
      <c r="B316" s="79" t="s">
        <v>1107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1213</v>
      </c>
    </row>
    <row r="317" customFormat="false" ht="15" hidden="false" customHeight="false" outlineLevel="0" collapsed="false">
      <c r="A317" s="79" t="s">
        <v>221</v>
      </c>
      <c r="B317" s="79" t="s">
        <v>1109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1214</v>
      </c>
    </row>
    <row r="318" customFormat="false" ht="15" hidden="false" customHeight="false" outlineLevel="0" collapsed="false">
      <c r="A318" s="79" t="s">
        <v>221</v>
      </c>
      <c r="B318" s="79" t="s">
        <v>1111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1215</v>
      </c>
    </row>
    <row r="319" customFormat="false" ht="15" hidden="false" customHeight="false" outlineLevel="0" collapsed="false">
      <c r="A319" s="79" t="s">
        <v>221</v>
      </c>
      <c r="B319" s="79" t="s">
        <v>1113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1216</v>
      </c>
    </row>
    <row r="320" customFormat="false" ht="15" hidden="false" customHeight="false" outlineLevel="0" collapsed="false">
      <c r="A320" s="79" t="s">
        <v>221</v>
      </c>
      <c r="B320" s="79" t="s">
        <v>1115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1217</v>
      </c>
    </row>
    <row r="321" customFormat="false" ht="15" hidden="false" customHeight="false" outlineLevel="0" collapsed="false">
      <c r="A321" s="79" t="s">
        <v>221</v>
      </c>
      <c r="B321" s="79" t="s">
        <v>1117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1218</v>
      </c>
    </row>
    <row r="322" customFormat="false" ht="15" hidden="false" customHeight="false" outlineLevel="0" collapsed="false">
      <c r="A322" s="79" t="s">
        <v>221</v>
      </c>
      <c r="B322" s="79" t="s">
        <v>1119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1219</v>
      </c>
    </row>
    <row r="323" customFormat="false" ht="15" hidden="false" customHeight="false" outlineLevel="0" collapsed="false">
      <c r="A323" s="79" t="s">
        <v>221</v>
      </c>
      <c r="B323" s="79" t="s">
        <v>1121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1220</v>
      </c>
    </row>
    <row r="324" customFormat="false" ht="15" hidden="false" customHeight="false" outlineLevel="0" collapsed="false">
      <c r="A324" s="79" t="s">
        <v>221</v>
      </c>
      <c r="B324" s="79" t="s">
        <v>1123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1221</v>
      </c>
    </row>
    <row r="325" customFormat="false" ht="15" hidden="false" customHeight="false" outlineLevel="0" collapsed="false">
      <c r="A325" s="79" t="s">
        <v>221</v>
      </c>
      <c r="B325" s="79" t="s">
        <v>1125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1222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1223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1224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1225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1226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1227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1228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1229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1230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1231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1232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1233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1234</v>
      </c>
    </row>
    <row r="362" customFormat="false" ht="15" hidden="false" customHeight="false" outlineLevel="0" collapsed="false">
      <c r="A362" s="79" t="s">
        <v>223</v>
      </c>
      <c r="B362" s="79" t="s">
        <v>1079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223</v>
      </c>
      <c r="B363" s="79" t="s">
        <v>1080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223</v>
      </c>
      <c r="B364" s="79" t="s">
        <v>1081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223</v>
      </c>
      <c r="B365" s="79" t="s">
        <v>1082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223</v>
      </c>
      <c r="B366" s="79" t="s">
        <v>1083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223</v>
      </c>
      <c r="B367" s="79" t="s">
        <v>1084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223</v>
      </c>
      <c r="B368" s="79" t="s">
        <v>1085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223</v>
      </c>
      <c r="B369" s="79" t="s">
        <v>1086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223</v>
      </c>
      <c r="B370" s="79" t="s">
        <v>1087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223</v>
      </c>
      <c r="B371" s="79" t="s">
        <v>1088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223</v>
      </c>
      <c r="B372" s="79" t="s">
        <v>1089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223</v>
      </c>
      <c r="B373" s="79" t="s">
        <v>1090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223</v>
      </c>
      <c r="B374" s="79" t="s">
        <v>1091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223</v>
      </c>
      <c r="B375" s="79" t="s">
        <v>1092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223</v>
      </c>
      <c r="B376" s="79" t="s">
        <v>1093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223</v>
      </c>
      <c r="B377" s="79" t="s">
        <v>1094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223</v>
      </c>
      <c r="B378" s="79" t="s">
        <v>1095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223</v>
      </c>
      <c r="B379" s="79" t="s">
        <v>1096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223</v>
      </c>
      <c r="B380" s="79" t="s">
        <v>1097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223</v>
      </c>
      <c r="B381" s="79" t="s">
        <v>1098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223</v>
      </c>
      <c r="B382" s="79" t="s">
        <v>1099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223</v>
      </c>
      <c r="B383" s="79" t="s">
        <v>1100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223</v>
      </c>
      <c r="B384" s="79" t="s">
        <v>1101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223</v>
      </c>
      <c r="B385" s="79" t="s">
        <v>1102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223</v>
      </c>
      <c r="B386" s="79" t="s">
        <v>1103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1235</v>
      </c>
    </row>
    <row r="387" customFormat="false" ht="15" hidden="false" customHeight="false" outlineLevel="0" collapsed="false">
      <c r="A387" s="79" t="s">
        <v>223</v>
      </c>
      <c r="B387" s="79" t="s">
        <v>1105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1236</v>
      </c>
    </row>
    <row r="388" customFormat="false" ht="15" hidden="false" customHeight="false" outlineLevel="0" collapsed="false">
      <c r="A388" s="79" t="s">
        <v>223</v>
      </c>
      <c r="B388" s="79" t="s">
        <v>1107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1237</v>
      </c>
    </row>
    <row r="389" customFormat="false" ht="15" hidden="false" customHeight="false" outlineLevel="0" collapsed="false">
      <c r="A389" s="79" t="s">
        <v>223</v>
      </c>
      <c r="B389" s="79" t="s">
        <v>1109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1238</v>
      </c>
    </row>
    <row r="390" customFormat="false" ht="15" hidden="false" customHeight="false" outlineLevel="0" collapsed="false">
      <c r="A390" s="79" t="s">
        <v>223</v>
      </c>
      <c r="B390" s="79" t="s">
        <v>1111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1239</v>
      </c>
    </row>
    <row r="391" customFormat="false" ht="15" hidden="false" customHeight="false" outlineLevel="0" collapsed="false">
      <c r="A391" s="79" t="s">
        <v>223</v>
      </c>
      <c r="B391" s="79" t="s">
        <v>1113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1240</v>
      </c>
    </row>
    <row r="392" customFormat="false" ht="15" hidden="false" customHeight="false" outlineLevel="0" collapsed="false">
      <c r="A392" s="79" t="s">
        <v>223</v>
      </c>
      <c r="B392" s="79" t="s">
        <v>1115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1241</v>
      </c>
    </row>
    <row r="393" customFormat="false" ht="15" hidden="false" customHeight="false" outlineLevel="0" collapsed="false">
      <c r="A393" s="79" t="s">
        <v>223</v>
      </c>
      <c r="B393" s="79" t="s">
        <v>1117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1242</v>
      </c>
    </row>
    <row r="394" customFormat="false" ht="15" hidden="false" customHeight="false" outlineLevel="0" collapsed="false">
      <c r="A394" s="79" t="s">
        <v>223</v>
      </c>
      <c r="B394" s="79" t="s">
        <v>1119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1243</v>
      </c>
    </row>
    <row r="395" customFormat="false" ht="15" hidden="false" customHeight="false" outlineLevel="0" collapsed="false">
      <c r="A395" s="79" t="s">
        <v>223</v>
      </c>
      <c r="B395" s="79" t="s">
        <v>1121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1244</v>
      </c>
    </row>
    <row r="396" customFormat="false" ht="15" hidden="false" customHeight="false" outlineLevel="0" collapsed="false">
      <c r="A396" s="79" t="s">
        <v>223</v>
      </c>
      <c r="B396" s="79" t="s">
        <v>1123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1245</v>
      </c>
    </row>
    <row r="397" customFormat="false" ht="15" hidden="false" customHeight="false" outlineLevel="0" collapsed="false">
      <c r="A397" s="79" t="s">
        <v>223</v>
      </c>
      <c r="B397" s="79" t="s">
        <v>1125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1246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1247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1248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1249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1250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1251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1252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1253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1254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1255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1256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1257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1258</v>
      </c>
    </row>
    <row r="434" customFormat="false" ht="15" hidden="false" customHeight="false" outlineLevel="0" collapsed="false">
      <c r="A434" s="79" t="s">
        <v>209</v>
      </c>
      <c r="B434" s="79" t="s">
        <v>1079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209</v>
      </c>
      <c r="B435" s="79" t="s">
        <v>1080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209</v>
      </c>
      <c r="B436" s="79" t="s">
        <v>1081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209</v>
      </c>
      <c r="B437" s="79" t="s">
        <v>1082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209</v>
      </c>
      <c r="B438" s="79" t="s">
        <v>1083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209</v>
      </c>
      <c r="B439" s="79" t="s">
        <v>1084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209</v>
      </c>
      <c r="B440" s="79" t="s">
        <v>1085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209</v>
      </c>
      <c r="B441" s="79" t="s">
        <v>1086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209</v>
      </c>
      <c r="B442" s="79" t="s">
        <v>1087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209</v>
      </c>
      <c r="B443" s="79" t="s">
        <v>1088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209</v>
      </c>
      <c r="B444" s="79" t="s">
        <v>1089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209</v>
      </c>
      <c r="B445" s="79" t="s">
        <v>1090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209</v>
      </c>
      <c r="B446" s="79" t="s">
        <v>1091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209</v>
      </c>
      <c r="B447" s="79" t="s">
        <v>1092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209</v>
      </c>
      <c r="B448" s="79" t="s">
        <v>1093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209</v>
      </c>
      <c r="B449" s="79" t="s">
        <v>1094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209</v>
      </c>
      <c r="B450" s="79" t="s">
        <v>1095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209</v>
      </c>
      <c r="B451" s="79" t="s">
        <v>1096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209</v>
      </c>
      <c r="B452" s="79" t="s">
        <v>1097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209</v>
      </c>
      <c r="B453" s="79" t="s">
        <v>1098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209</v>
      </c>
      <c r="B454" s="79" t="s">
        <v>1099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209</v>
      </c>
      <c r="B455" s="79" t="s">
        <v>1100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209</v>
      </c>
      <c r="B456" s="79" t="s">
        <v>1101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209</v>
      </c>
      <c r="B457" s="79" t="s">
        <v>1102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209</v>
      </c>
      <c r="B458" s="79" t="s">
        <v>1103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1259</v>
      </c>
    </row>
    <row r="459" customFormat="false" ht="15" hidden="false" customHeight="false" outlineLevel="0" collapsed="false">
      <c r="A459" s="79" t="s">
        <v>209</v>
      </c>
      <c r="B459" s="79" t="s">
        <v>1105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1260</v>
      </c>
    </row>
    <row r="460" customFormat="false" ht="15" hidden="false" customHeight="false" outlineLevel="0" collapsed="false">
      <c r="A460" s="79" t="s">
        <v>209</v>
      </c>
      <c r="B460" s="79" t="s">
        <v>1107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1261</v>
      </c>
    </row>
    <row r="461" customFormat="false" ht="15" hidden="false" customHeight="false" outlineLevel="0" collapsed="false">
      <c r="A461" s="79" t="s">
        <v>209</v>
      </c>
      <c r="B461" s="79" t="s">
        <v>1109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1262</v>
      </c>
    </row>
    <row r="462" customFormat="false" ht="15" hidden="false" customHeight="false" outlineLevel="0" collapsed="false">
      <c r="A462" s="79" t="s">
        <v>209</v>
      </c>
      <c r="B462" s="79" t="s">
        <v>1111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1263</v>
      </c>
    </row>
    <row r="463" customFormat="false" ht="15" hidden="false" customHeight="false" outlineLevel="0" collapsed="false">
      <c r="A463" s="79" t="s">
        <v>209</v>
      </c>
      <c r="B463" s="79" t="s">
        <v>1113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1264</v>
      </c>
    </row>
    <row r="464" customFormat="false" ht="15" hidden="false" customHeight="false" outlineLevel="0" collapsed="false">
      <c r="A464" s="79" t="s">
        <v>209</v>
      </c>
      <c r="B464" s="79" t="s">
        <v>1115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1265</v>
      </c>
    </row>
    <row r="465" customFormat="false" ht="15" hidden="false" customHeight="false" outlineLevel="0" collapsed="false">
      <c r="A465" s="79" t="s">
        <v>209</v>
      </c>
      <c r="B465" s="79" t="s">
        <v>1117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1266</v>
      </c>
    </row>
    <row r="466" customFormat="false" ht="15" hidden="false" customHeight="false" outlineLevel="0" collapsed="false">
      <c r="A466" s="79" t="s">
        <v>209</v>
      </c>
      <c r="B466" s="79" t="s">
        <v>1119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1267</v>
      </c>
    </row>
    <row r="467" customFormat="false" ht="15" hidden="false" customHeight="false" outlineLevel="0" collapsed="false">
      <c r="A467" s="79" t="s">
        <v>209</v>
      </c>
      <c r="B467" s="79" t="s">
        <v>1121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1268</v>
      </c>
    </row>
    <row r="468" customFormat="false" ht="15" hidden="false" customHeight="false" outlineLevel="0" collapsed="false">
      <c r="A468" s="79" t="s">
        <v>209</v>
      </c>
      <c r="B468" s="79" t="s">
        <v>1123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1269</v>
      </c>
    </row>
    <row r="469" customFormat="false" ht="15" hidden="false" customHeight="false" outlineLevel="0" collapsed="false">
      <c r="A469" s="79" t="s">
        <v>209</v>
      </c>
      <c r="B469" s="79" t="s">
        <v>1125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1270</v>
      </c>
    </row>
    <row r="470" customFormat="false" ht="15" hidden="false" customHeight="false" outlineLevel="0" collapsed="false">
      <c r="A470" s="79" t="s">
        <v>229</v>
      </c>
      <c r="B470" s="79" t="s">
        <v>1079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229</v>
      </c>
      <c r="B471" s="79" t="s">
        <v>1080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229</v>
      </c>
      <c r="B472" s="79" t="s">
        <v>1081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229</v>
      </c>
      <c r="B473" s="79" t="s">
        <v>1082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229</v>
      </c>
      <c r="B474" s="79" t="s">
        <v>1083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229</v>
      </c>
      <c r="B475" s="79" t="s">
        <v>1084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229</v>
      </c>
      <c r="B476" s="79" t="s">
        <v>1085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229</v>
      </c>
      <c r="B477" s="79" t="s">
        <v>1086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229</v>
      </c>
      <c r="B478" s="79" t="s">
        <v>1087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229</v>
      </c>
      <c r="B479" s="79" t="s">
        <v>1088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229</v>
      </c>
      <c r="B480" s="79" t="s">
        <v>1089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229</v>
      </c>
      <c r="B481" s="79" t="s">
        <v>1090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229</v>
      </c>
      <c r="B482" s="79" t="s">
        <v>1091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229</v>
      </c>
      <c r="B483" s="79" t="s">
        <v>1092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229</v>
      </c>
      <c r="B484" s="79" t="s">
        <v>1093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229</v>
      </c>
      <c r="B485" s="79" t="s">
        <v>1094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229</v>
      </c>
      <c r="B486" s="79" t="s">
        <v>1095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229</v>
      </c>
      <c r="B487" s="79" t="s">
        <v>1096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229</v>
      </c>
      <c r="B488" s="79" t="s">
        <v>1097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229</v>
      </c>
      <c r="B489" s="79" t="s">
        <v>1098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229</v>
      </c>
      <c r="B490" s="79" t="s">
        <v>1099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229</v>
      </c>
      <c r="B491" s="79" t="s">
        <v>1100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229</v>
      </c>
      <c r="B492" s="79" t="s">
        <v>1101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229</v>
      </c>
      <c r="B493" s="79" t="s">
        <v>1102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229</v>
      </c>
      <c r="B494" s="79" t="s">
        <v>1103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1271</v>
      </c>
    </row>
    <row r="495" customFormat="false" ht="15" hidden="false" customHeight="false" outlineLevel="0" collapsed="false">
      <c r="A495" s="79" t="s">
        <v>229</v>
      </c>
      <c r="B495" s="79" t="s">
        <v>1105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1272</v>
      </c>
    </row>
    <row r="496" customFormat="false" ht="15" hidden="false" customHeight="false" outlineLevel="0" collapsed="false">
      <c r="A496" s="79" t="s">
        <v>229</v>
      </c>
      <c r="B496" s="79" t="s">
        <v>1107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1273</v>
      </c>
    </row>
    <row r="497" customFormat="false" ht="15" hidden="false" customHeight="false" outlineLevel="0" collapsed="false">
      <c r="A497" s="79" t="s">
        <v>229</v>
      </c>
      <c r="B497" s="79" t="s">
        <v>1109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1274</v>
      </c>
    </row>
    <row r="498" customFormat="false" ht="15" hidden="false" customHeight="false" outlineLevel="0" collapsed="false">
      <c r="A498" s="79" t="s">
        <v>229</v>
      </c>
      <c r="B498" s="79" t="s">
        <v>1111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1275</v>
      </c>
    </row>
    <row r="499" customFormat="false" ht="15" hidden="false" customHeight="false" outlineLevel="0" collapsed="false">
      <c r="A499" s="79" t="s">
        <v>229</v>
      </c>
      <c r="B499" s="79" t="s">
        <v>1113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1276</v>
      </c>
    </row>
    <row r="500" customFormat="false" ht="15" hidden="false" customHeight="false" outlineLevel="0" collapsed="false">
      <c r="A500" s="79" t="s">
        <v>229</v>
      </c>
      <c r="B500" s="79" t="s">
        <v>1115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1277</v>
      </c>
    </row>
    <row r="501" customFormat="false" ht="15" hidden="false" customHeight="false" outlineLevel="0" collapsed="false">
      <c r="A501" s="79" t="s">
        <v>229</v>
      </c>
      <c r="B501" s="79" t="s">
        <v>1117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1278</v>
      </c>
    </row>
    <row r="502" customFormat="false" ht="15" hidden="false" customHeight="false" outlineLevel="0" collapsed="false">
      <c r="A502" s="79" t="s">
        <v>229</v>
      </c>
      <c r="B502" s="79" t="s">
        <v>1119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1279</v>
      </c>
    </row>
    <row r="503" customFormat="false" ht="15" hidden="false" customHeight="false" outlineLevel="0" collapsed="false">
      <c r="A503" s="79" t="s">
        <v>229</v>
      </c>
      <c r="B503" s="79" t="s">
        <v>1121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1280</v>
      </c>
    </row>
    <row r="504" customFormat="false" ht="15" hidden="false" customHeight="false" outlineLevel="0" collapsed="false">
      <c r="A504" s="79" t="s">
        <v>229</v>
      </c>
      <c r="B504" s="79" t="s">
        <v>1123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1281</v>
      </c>
    </row>
    <row r="505" customFormat="false" ht="15" hidden="false" customHeight="false" outlineLevel="0" collapsed="false">
      <c r="A505" s="79" t="s">
        <v>229</v>
      </c>
      <c r="B505" s="79" t="s">
        <v>1125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1282</v>
      </c>
    </row>
    <row r="506" customFormat="false" ht="15" hidden="false" customHeight="false" outlineLevel="0" collapsed="false">
      <c r="A506" s="79" t="s">
        <v>211</v>
      </c>
      <c r="B506" s="79" t="s">
        <v>1079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211</v>
      </c>
      <c r="B507" s="79" t="s">
        <v>1080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211</v>
      </c>
      <c r="B508" s="79" t="s">
        <v>1081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211</v>
      </c>
      <c r="B509" s="79" t="s">
        <v>1082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211</v>
      </c>
      <c r="B510" s="79" t="s">
        <v>1083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211</v>
      </c>
      <c r="B511" s="79" t="s">
        <v>1084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211</v>
      </c>
      <c r="B512" s="79" t="s">
        <v>1085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211</v>
      </c>
      <c r="B513" s="79" t="s">
        <v>1086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211</v>
      </c>
      <c r="B514" s="79" t="s">
        <v>1087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211</v>
      </c>
      <c r="B515" s="79" t="s">
        <v>1088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211</v>
      </c>
      <c r="B516" s="79" t="s">
        <v>1089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211</v>
      </c>
      <c r="B517" s="79" t="s">
        <v>1090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211</v>
      </c>
      <c r="B518" s="79" t="s">
        <v>1091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211</v>
      </c>
      <c r="B519" s="79" t="s">
        <v>1092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211</v>
      </c>
      <c r="B520" s="79" t="s">
        <v>1093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211</v>
      </c>
      <c r="B521" s="79" t="s">
        <v>1094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211</v>
      </c>
      <c r="B522" s="79" t="s">
        <v>1095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211</v>
      </c>
      <c r="B523" s="79" t="s">
        <v>1096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211</v>
      </c>
      <c r="B524" s="79" t="s">
        <v>1097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211</v>
      </c>
      <c r="B525" s="79" t="s">
        <v>1098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211</v>
      </c>
      <c r="B526" s="79" t="s">
        <v>1099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211</v>
      </c>
      <c r="B527" s="79" t="s">
        <v>1100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211</v>
      </c>
      <c r="B528" s="79" t="s">
        <v>1101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211</v>
      </c>
      <c r="B529" s="79" t="s">
        <v>1102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211</v>
      </c>
      <c r="B530" s="79" t="s">
        <v>1103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1283</v>
      </c>
    </row>
    <row r="531" customFormat="false" ht="15" hidden="false" customHeight="false" outlineLevel="0" collapsed="false">
      <c r="A531" s="79" t="s">
        <v>211</v>
      </c>
      <c r="B531" s="79" t="s">
        <v>1105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1284</v>
      </c>
    </row>
    <row r="532" customFormat="false" ht="15" hidden="false" customHeight="false" outlineLevel="0" collapsed="false">
      <c r="A532" s="79" t="s">
        <v>211</v>
      </c>
      <c r="B532" s="79" t="s">
        <v>1107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1285</v>
      </c>
    </row>
    <row r="533" customFormat="false" ht="15" hidden="false" customHeight="false" outlineLevel="0" collapsed="false">
      <c r="A533" s="79" t="s">
        <v>211</v>
      </c>
      <c r="B533" s="79" t="s">
        <v>1109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1286</v>
      </c>
    </row>
    <row r="534" customFormat="false" ht="15" hidden="false" customHeight="false" outlineLevel="0" collapsed="false">
      <c r="A534" s="79" t="s">
        <v>211</v>
      </c>
      <c r="B534" s="79" t="s">
        <v>1111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1287</v>
      </c>
    </row>
    <row r="535" customFormat="false" ht="15" hidden="false" customHeight="false" outlineLevel="0" collapsed="false">
      <c r="A535" s="79" t="s">
        <v>211</v>
      </c>
      <c r="B535" s="79" t="s">
        <v>1113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1288</v>
      </c>
    </row>
    <row r="536" customFormat="false" ht="15" hidden="false" customHeight="false" outlineLevel="0" collapsed="false">
      <c r="A536" s="79" t="s">
        <v>211</v>
      </c>
      <c r="B536" s="79" t="s">
        <v>1115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1289</v>
      </c>
    </row>
    <row r="537" customFormat="false" ht="15" hidden="false" customHeight="false" outlineLevel="0" collapsed="false">
      <c r="A537" s="79" t="s">
        <v>211</v>
      </c>
      <c r="B537" s="79" t="s">
        <v>1117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1290</v>
      </c>
    </row>
    <row r="538" customFormat="false" ht="15" hidden="false" customHeight="false" outlineLevel="0" collapsed="false">
      <c r="A538" s="79" t="s">
        <v>211</v>
      </c>
      <c r="B538" s="79" t="s">
        <v>1119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1291</v>
      </c>
    </row>
    <row r="539" customFormat="false" ht="15" hidden="false" customHeight="false" outlineLevel="0" collapsed="false">
      <c r="A539" s="79" t="s">
        <v>211</v>
      </c>
      <c r="B539" s="79" t="s">
        <v>1121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1292</v>
      </c>
    </row>
    <row r="540" customFormat="false" ht="15" hidden="false" customHeight="false" outlineLevel="0" collapsed="false">
      <c r="A540" s="79" t="s">
        <v>211</v>
      </c>
      <c r="B540" s="79" t="s">
        <v>1123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1293</v>
      </c>
    </row>
    <row r="541" customFormat="false" ht="15" hidden="false" customHeight="false" outlineLevel="0" collapsed="false">
      <c r="A541" s="79" t="s">
        <v>211</v>
      </c>
      <c r="B541" s="79" t="s">
        <v>1125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1294</v>
      </c>
    </row>
    <row r="542" customFormat="false" ht="15" hidden="false" customHeight="false" outlineLevel="0" collapsed="false">
      <c r="A542" s="79" t="s">
        <v>215</v>
      </c>
      <c r="B542" s="79" t="s">
        <v>1079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215</v>
      </c>
      <c r="B543" s="79" t="s">
        <v>1080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215</v>
      </c>
      <c r="B544" s="79" t="s">
        <v>1081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215</v>
      </c>
      <c r="B545" s="79" t="s">
        <v>1082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215</v>
      </c>
      <c r="B546" s="79" t="s">
        <v>1083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215</v>
      </c>
      <c r="B547" s="79" t="s">
        <v>1084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215</v>
      </c>
      <c r="B548" s="79" t="s">
        <v>1085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215</v>
      </c>
      <c r="B549" s="79" t="s">
        <v>1086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215</v>
      </c>
      <c r="B550" s="79" t="s">
        <v>1087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215</v>
      </c>
      <c r="B551" s="79" t="s">
        <v>1088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215</v>
      </c>
      <c r="B552" s="79" t="s">
        <v>1089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215</v>
      </c>
      <c r="B553" s="79" t="s">
        <v>1090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215</v>
      </c>
      <c r="B554" s="79" t="s">
        <v>1091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215</v>
      </c>
      <c r="B555" s="79" t="s">
        <v>1092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215</v>
      </c>
      <c r="B556" s="79" t="s">
        <v>1093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215</v>
      </c>
      <c r="B557" s="79" t="s">
        <v>1094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215</v>
      </c>
      <c r="B558" s="79" t="s">
        <v>1095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215</v>
      </c>
      <c r="B559" s="79" t="s">
        <v>1096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215</v>
      </c>
      <c r="B560" s="79" t="s">
        <v>1097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215</v>
      </c>
      <c r="B561" s="79" t="s">
        <v>1098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215</v>
      </c>
      <c r="B562" s="79" t="s">
        <v>1099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215</v>
      </c>
      <c r="B563" s="79" t="s">
        <v>1100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215</v>
      </c>
      <c r="B564" s="79" t="s">
        <v>1101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215</v>
      </c>
      <c r="B565" s="79" t="s">
        <v>1102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215</v>
      </c>
      <c r="B566" s="79" t="s">
        <v>1103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1295</v>
      </c>
    </row>
    <row r="567" customFormat="false" ht="15" hidden="false" customHeight="false" outlineLevel="0" collapsed="false">
      <c r="A567" s="79" t="s">
        <v>215</v>
      </c>
      <c r="B567" s="79" t="s">
        <v>1105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1296</v>
      </c>
    </row>
    <row r="568" customFormat="false" ht="15" hidden="false" customHeight="false" outlineLevel="0" collapsed="false">
      <c r="A568" s="79" t="s">
        <v>215</v>
      </c>
      <c r="B568" s="79" t="s">
        <v>1107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1297</v>
      </c>
    </row>
    <row r="569" customFormat="false" ht="15" hidden="false" customHeight="false" outlineLevel="0" collapsed="false">
      <c r="A569" s="79" t="s">
        <v>215</v>
      </c>
      <c r="B569" s="79" t="s">
        <v>1109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1298</v>
      </c>
    </row>
    <row r="570" customFormat="false" ht="15" hidden="false" customHeight="false" outlineLevel="0" collapsed="false">
      <c r="A570" s="79" t="s">
        <v>215</v>
      </c>
      <c r="B570" s="79" t="s">
        <v>1111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1299</v>
      </c>
    </row>
    <row r="571" customFormat="false" ht="15" hidden="false" customHeight="false" outlineLevel="0" collapsed="false">
      <c r="A571" s="79" t="s">
        <v>215</v>
      </c>
      <c r="B571" s="79" t="s">
        <v>1113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1300</v>
      </c>
    </row>
    <row r="572" customFormat="false" ht="15" hidden="false" customHeight="false" outlineLevel="0" collapsed="false">
      <c r="A572" s="79" t="s">
        <v>215</v>
      </c>
      <c r="B572" s="79" t="s">
        <v>1115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1301</v>
      </c>
    </row>
    <row r="573" customFormat="false" ht="15" hidden="false" customHeight="false" outlineLevel="0" collapsed="false">
      <c r="A573" s="79" t="s">
        <v>215</v>
      </c>
      <c r="B573" s="79" t="s">
        <v>1117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1302</v>
      </c>
    </row>
    <row r="574" customFormat="false" ht="15" hidden="false" customHeight="false" outlineLevel="0" collapsed="false">
      <c r="A574" s="79" t="s">
        <v>215</v>
      </c>
      <c r="B574" s="79" t="s">
        <v>1119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1303</v>
      </c>
    </row>
    <row r="575" customFormat="false" ht="15" hidden="false" customHeight="false" outlineLevel="0" collapsed="false">
      <c r="A575" s="79" t="s">
        <v>215</v>
      </c>
      <c r="B575" s="79" t="s">
        <v>1121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1304</v>
      </c>
    </row>
    <row r="576" customFormat="false" ht="15" hidden="false" customHeight="false" outlineLevel="0" collapsed="false">
      <c r="A576" s="79" t="s">
        <v>215</v>
      </c>
      <c r="B576" s="79" t="s">
        <v>1123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1305</v>
      </c>
    </row>
    <row r="577" customFormat="false" ht="15" hidden="false" customHeight="false" outlineLevel="0" collapsed="false">
      <c r="A577" s="79" t="s">
        <v>215</v>
      </c>
      <c r="B577" s="79" t="s">
        <v>1125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1306</v>
      </c>
    </row>
    <row r="578" customFormat="false" ht="15" hidden="false" customHeight="false" outlineLevel="0" collapsed="false">
      <c r="A578" s="79" t="s">
        <v>695</v>
      </c>
      <c r="B578" s="79" t="s">
        <v>1079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1089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1099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1307</v>
      </c>
    </row>
    <row r="603" customFormat="false" ht="15" hidden="false" customHeight="false" outlineLevel="0" collapsed="false">
      <c r="A603" s="79" t="s">
        <v>695</v>
      </c>
      <c r="B603" s="79" t="s">
        <v>1105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1308</v>
      </c>
    </row>
    <row r="604" customFormat="false" ht="15" hidden="false" customHeight="false" outlineLevel="0" collapsed="false">
      <c r="A604" s="79" t="s">
        <v>695</v>
      </c>
      <c r="B604" s="79" t="s">
        <v>1107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1309</v>
      </c>
    </row>
    <row r="605" customFormat="false" ht="15" hidden="false" customHeight="false" outlineLevel="0" collapsed="false">
      <c r="A605" s="79" t="s">
        <v>695</v>
      </c>
      <c r="B605" s="79" t="s">
        <v>1109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1310</v>
      </c>
    </row>
    <row r="606" customFormat="false" ht="15" hidden="false" customHeight="false" outlineLevel="0" collapsed="false">
      <c r="A606" s="79" t="s">
        <v>695</v>
      </c>
      <c r="B606" s="79" t="s">
        <v>1111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1311</v>
      </c>
    </row>
    <row r="607" customFormat="false" ht="15" hidden="false" customHeight="false" outlineLevel="0" collapsed="false">
      <c r="A607" s="79" t="s">
        <v>695</v>
      </c>
      <c r="B607" s="79" t="s">
        <v>1113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1312</v>
      </c>
    </row>
    <row r="608" customFormat="false" ht="15" hidden="false" customHeight="false" outlineLevel="0" collapsed="false">
      <c r="A608" s="79" t="s">
        <v>695</v>
      </c>
      <c r="B608" s="79" t="s">
        <v>1115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1313</v>
      </c>
    </row>
    <row r="609" customFormat="false" ht="15" hidden="false" customHeight="false" outlineLevel="0" collapsed="false">
      <c r="A609" s="79" t="s">
        <v>695</v>
      </c>
      <c r="B609" s="79" t="s">
        <v>1117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1314</v>
      </c>
    </row>
    <row r="610" customFormat="false" ht="15" hidden="false" customHeight="false" outlineLevel="0" collapsed="false">
      <c r="A610" s="79" t="s">
        <v>695</v>
      </c>
      <c r="B610" s="79" t="s">
        <v>1119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1315</v>
      </c>
    </row>
    <row r="611" customFormat="false" ht="15" hidden="false" customHeight="false" outlineLevel="0" collapsed="false">
      <c r="A611" s="79" t="s">
        <v>695</v>
      </c>
      <c r="B611" s="79" t="s">
        <v>1121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1316</v>
      </c>
    </row>
    <row r="612" customFormat="false" ht="15" hidden="false" customHeight="false" outlineLevel="0" collapsed="false">
      <c r="A612" s="79" t="s">
        <v>695</v>
      </c>
      <c r="B612" s="79" t="s">
        <v>1123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1317</v>
      </c>
    </row>
    <row r="613" customFormat="false" ht="15" hidden="false" customHeight="false" outlineLevel="0" collapsed="false">
      <c r="A613" s="79" t="s">
        <v>695</v>
      </c>
      <c r="B613" s="79" t="s">
        <v>1125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1318</v>
      </c>
    </row>
    <row r="614" customFormat="false" ht="15" hidden="false" customHeight="false" outlineLevel="0" collapsed="false">
      <c r="A614" s="79" t="s">
        <v>233</v>
      </c>
      <c r="B614" s="79" t="s">
        <v>1079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233</v>
      </c>
      <c r="B615" s="79" t="s">
        <v>1080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233</v>
      </c>
      <c r="B616" s="79" t="s">
        <v>1081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233</v>
      </c>
      <c r="B617" s="79" t="s">
        <v>1082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233</v>
      </c>
      <c r="B618" s="79" t="s">
        <v>1083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233</v>
      </c>
      <c r="B619" s="79" t="s">
        <v>1084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233</v>
      </c>
      <c r="B620" s="79" t="s">
        <v>1085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233</v>
      </c>
      <c r="B621" s="79" t="s">
        <v>1086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233</v>
      </c>
      <c r="B622" s="79" t="s">
        <v>1087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233</v>
      </c>
      <c r="B623" s="79" t="s">
        <v>1088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233</v>
      </c>
      <c r="B624" s="79" t="s">
        <v>1089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233</v>
      </c>
      <c r="B625" s="79" t="s">
        <v>1090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233</v>
      </c>
      <c r="B626" s="79" t="s">
        <v>1091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233</v>
      </c>
      <c r="B627" s="79" t="s">
        <v>1092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233</v>
      </c>
      <c r="B628" s="79" t="s">
        <v>1093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233</v>
      </c>
      <c r="B629" s="79" t="s">
        <v>1094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233</v>
      </c>
      <c r="B630" s="79" t="s">
        <v>1095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233</v>
      </c>
      <c r="B631" s="79" t="s">
        <v>1096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233</v>
      </c>
      <c r="B632" s="79" t="s">
        <v>1097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233</v>
      </c>
      <c r="B633" s="79" t="s">
        <v>1098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233</v>
      </c>
      <c r="B634" s="79" t="s">
        <v>1099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233</v>
      </c>
      <c r="B635" s="79" t="s">
        <v>1100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233</v>
      </c>
      <c r="B636" s="79" t="s">
        <v>1101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233</v>
      </c>
      <c r="B637" s="79" t="s">
        <v>1102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233</v>
      </c>
      <c r="B638" s="79" t="s">
        <v>1103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1319</v>
      </c>
    </row>
    <row r="639" customFormat="false" ht="15" hidden="false" customHeight="false" outlineLevel="0" collapsed="false">
      <c r="A639" s="79" t="s">
        <v>233</v>
      </c>
      <c r="B639" s="79" t="s">
        <v>1105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1320</v>
      </c>
    </row>
    <row r="640" customFormat="false" ht="15" hidden="false" customHeight="false" outlineLevel="0" collapsed="false">
      <c r="A640" s="79" t="s">
        <v>233</v>
      </c>
      <c r="B640" s="79" t="s">
        <v>1107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1321</v>
      </c>
    </row>
    <row r="641" customFormat="false" ht="15" hidden="false" customHeight="false" outlineLevel="0" collapsed="false">
      <c r="A641" s="79" t="s">
        <v>233</v>
      </c>
      <c r="B641" s="79" t="s">
        <v>1109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1322</v>
      </c>
    </row>
    <row r="642" customFormat="false" ht="15" hidden="false" customHeight="false" outlineLevel="0" collapsed="false">
      <c r="A642" s="79" t="s">
        <v>233</v>
      </c>
      <c r="B642" s="79" t="s">
        <v>1111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1323</v>
      </c>
    </row>
    <row r="643" customFormat="false" ht="15" hidden="false" customHeight="false" outlineLevel="0" collapsed="false">
      <c r="A643" s="79" t="s">
        <v>233</v>
      </c>
      <c r="B643" s="79" t="s">
        <v>1113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1324</v>
      </c>
    </row>
    <row r="644" customFormat="false" ht="15" hidden="false" customHeight="false" outlineLevel="0" collapsed="false">
      <c r="A644" s="79" t="s">
        <v>233</v>
      </c>
      <c r="B644" s="79" t="s">
        <v>1115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1325</v>
      </c>
    </row>
    <row r="645" customFormat="false" ht="15" hidden="false" customHeight="false" outlineLevel="0" collapsed="false">
      <c r="A645" s="79" t="s">
        <v>233</v>
      </c>
      <c r="B645" s="79" t="s">
        <v>1117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1326</v>
      </c>
    </row>
    <row r="646" customFormat="false" ht="15" hidden="false" customHeight="false" outlineLevel="0" collapsed="false">
      <c r="A646" s="79" t="s">
        <v>233</v>
      </c>
      <c r="B646" s="79" t="s">
        <v>1119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1327</v>
      </c>
    </row>
    <row r="647" customFormat="false" ht="15" hidden="false" customHeight="false" outlineLevel="0" collapsed="false">
      <c r="A647" s="79" t="s">
        <v>233</v>
      </c>
      <c r="B647" s="79" t="s">
        <v>1121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1328</v>
      </c>
    </row>
    <row r="648" customFormat="false" ht="15" hidden="false" customHeight="false" outlineLevel="0" collapsed="false">
      <c r="A648" s="79" t="s">
        <v>233</v>
      </c>
      <c r="B648" s="79" t="s">
        <v>1123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1329</v>
      </c>
    </row>
    <row r="649" customFormat="false" ht="15" hidden="false" customHeight="false" outlineLevel="0" collapsed="false">
      <c r="A649" s="79" t="s">
        <v>233</v>
      </c>
      <c r="B649" s="79" t="s">
        <v>1125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1330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202609</v>
      </c>
      <c r="D650" s="81" t="n">
        <v>46266</v>
      </c>
      <c r="E650" s="82" t="n">
        <v>5840.094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202608</v>
      </c>
      <c r="D651" s="81" t="n">
        <v>46235</v>
      </c>
      <c r="E651" s="82" t="n">
        <v>5769.17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202607</v>
      </c>
      <c r="D652" s="81" t="n">
        <v>46204</v>
      </c>
      <c r="E652" s="82" t="n">
        <v>4928.512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202606</v>
      </c>
      <c r="D653" s="81" t="n">
        <v>46174</v>
      </c>
      <c r="E653" s="82" t="n">
        <v>4674.012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202605</v>
      </c>
      <c r="D654" s="81" t="n">
        <v>46143</v>
      </c>
      <c r="E654" s="82" t="n">
        <v>4294.033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202604</v>
      </c>
      <c r="D655" s="81" t="n">
        <v>46113</v>
      </c>
      <c r="E655" s="82" t="n">
        <v>3860.47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202603</v>
      </c>
      <c r="D656" s="81" t="n">
        <v>46082</v>
      </c>
      <c r="E656" s="82" t="n">
        <v>3351.5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202602</v>
      </c>
      <c r="D657" s="81" t="n">
        <v>46054</v>
      </c>
      <c r="E657" s="82" t="n">
        <v>4235.842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202601</v>
      </c>
      <c r="D658" s="81" t="n">
        <v>46023</v>
      </c>
      <c r="E658" s="82" t="n">
        <v>4747.837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202512</v>
      </c>
      <c r="D659" s="81" t="n">
        <v>45992</v>
      </c>
      <c r="E659" s="82" t="n">
        <v>3936.093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202511</v>
      </c>
      <c r="D660" s="81" t="n">
        <v>45962</v>
      </c>
      <c r="E660" s="82" t="n">
        <v>3715.719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202510</v>
      </c>
      <c r="D661" s="81" t="n">
        <v>45931</v>
      </c>
      <c r="E661" s="82" t="n">
        <v>3612.747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202509</v>
      </c>
      <c r="D662" s="81" t="n">
        <v>45901</v>
      </c>
      <c r="E662" s="82" t="n">
        <v>2767.549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202508</v>
      </c>
      <c r="D663" s="81" t="n">
        <v>45870</v>
      </c>
      <c r="E663" s="82" t="n">
        <v>2232.812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202507</v>
      </c>
      <c r="D664" s="81" t="n">
        <v>45839</v>
      </c>
      <c r="E664" s="82" t="n">
        <v>2419.27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202506</v>
      </c>
      <c r="D665" s="81" t="n">
        <v>45809</v>
      </c>
      <c r="E665" s="82" t="n">
        <v>2013.507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202505</v>
      </c>
      <c r="D666" s="81" t="n">
        <v>45778</v>
      </c>
      <c r="E666" s="82" t="n">
        <v>1671.8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202504</v>
      </c>
      <c r="D667" s="81" t="n">
        <v>45748</v>
      </c>
      <c r="E667" s="82" t="n">
        <v>2892.233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202503</v>
      </c>
      <c r="D668" s="81" t="n">
        <v>45717</v>
      </c>
      <c r="E668" s="82" t="n">
        <v>2092.746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202502</v>
      </c>
      <c r="D669" s="81" t="n">
        <v>45689</v>
      </c>
      <c r="E669" s="82" t="n">
        <v>2038.665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202501</v>
      </c>
      <c r="D670" s="81" t="n">
        <v>45658</v>
      </c>
      <c r="E670" s="82" t="n">
        <v>2702.478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202412</v>
      </c>
      <c r="D671" s="81" t="n">
        <v>45627</v>
      </c>
      <c r="E671" s="82" t="n">
        <v>1837.436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202411</v>
      </c>
      <c r="D672" s="81" t="n">
        <v>45597</v>
      </c>
      <c r="E672" s="82" t="n">
        <v>1482.729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202410</v>
      </c>
      <c r="D673" s="81" t="n">
        <v>45566</v>
      </c>
      <c r="E673" s="82" t="n">
        <v>1763.514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202409</v>
      </c>
      <c r="D674" s="81" t="n">
        <v>45536</v>
      </c>
      <c r="E674" s="82" t="n">
        <v>1944.75</v>
      </c>
      <c r="F674" s="80" t="n">
        <v>25</v>
      </c>
      <c r="G674" s="79" t="s">
        <v>1331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202408</v>
      </c>
      <c r="D675" s="81" t="n">
        <v>45505</v>
      </c>
      <c r="E675" s="82" t="n">
        <v>2903.133</v>
      </c>
      <c r="F675" s="80" t="n">
        <v>26</v>
      </c>
      <c r="G675" s="79" t="s">
        <v>1332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202407</v>
      </c>
      <c r="D676" s="81" t="n">
        <v>45474</v>
      </c>
      <c r="E676" s="82" t="n">
        <v>2673.12</v>
      </c>
      <c r="F676" s="80" t="n">
        <v>27</v>
      </c>
      <c r="G676" s="79" t="s">
        <v>1333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202406</v>
      </c>
      <c r="D677" s="81" t="n">
        <v>45444</v>
      </c>
      <c r="E677" s="82" t="n">
        <v>2353.184</v>
      </c>
      <c r="F677" s="80" t="n">
        <v>28</v>
      </c>
      <c r="G677" s="79" t="s">
        <v>1334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202405</v>
      </c>
      <c r="D678" s="81" t="n">
        <v>45413</v>
      </c>
      <c r="E678" s="82" t="n">
        <v>1693.477</v>
      </c>
      <c r="F678" s="80" t="n">
        <v>29</v>
      </c>
      <c r="G678" s="79" t="s">
        <v>1335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202404</v>
      </c>
      <c r="D679" s="81" t="n">
        <v>45383</v>
      </c>
      <c r="E679" s="82" t="n">
        <v>2192.386</v>
      </c>
      <c r="F679" s="80" t="n">
        <v>30</v>
      </c>
      <c r="G679" s="79" t="s">
        <v>1336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202403</v>
      </c>
      <c r="D680" s="81" t="n">
        <v>45352</v>
      </c>
      <c r="E680" s="82" t="n">
        <v>1760.131</v>
      </c>
      <c r="F680" s="80" t="n">
        <v>31</v>
      </c>
      <c r="G680" s="79" t="s">
        <v>1337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202402</v>
      </c>
      <c r="D681" s="81" t="n">
        <v>45323</v>
      </c>
      <c r="E681" s="82" t="n">
        <v>1737.854</v>
      </c>
      <c r="F681" s="80" t="n">
        <v>32</v>
      </c>
      <c r="G681" s="79" t="s">
        <v>1338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202401</v>
      </c>
      <c r="D682" s="81" t="n">
        <v>45292</v>
      </c>
      <c r="E682" s="82" t="n">
        <v>2208.208</v>
      </c>
      <c r="F682" s="80" t="n">
        <v>33</v>
      </c>
      <c r="G682" s="79" t="s">
        <v>1339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202312</v>
      </c>
      <c r="D683" s="81" t="n">
        <v>45261</v>
      </c>
      <c r="E683" s="82" t="n">
        <v>1978.714</v>
      </c>
      <c r="F683" s="80" t="n">
        <v>34</v>
      </c>
      <c r="G683" s="79" t="s">
        <v>1340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202311</v>
      </c>
      <c r="D684" s="81" t="n">
        <v>45231</v>
      </c>
      <c r="E684" s="82" t="n">
        <v>2127.874</v>
      </c>
      <c r="F684" s="80" t="n">
        <v>35</v>
      </c>
      <c r="G684" s="79" t="s">
        <v>1341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202310</v>
      </c>
      <c r="D685" s="81" t="n">
        <v>45200</v>
      </c>
      <c r="E685" s="82" t="n">
        <v>2324.969</v>
      </c>
      <c r="F685" s="80" t="n">
        <v>36</v>
      </c>
      <c r="G685" s="79" t="s">
        <v>1342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1343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1344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1345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1346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1347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1348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1349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1350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1351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1352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1353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1354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202609</v>
      </c>
      <c r="D722" s="81" t="n">
        <v>46266</v>
      </c>
      <c r="E722" s="82" t="n">
        <v>8891.805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202608</v>
      </c>
      <c r="D723" s="81" t="n">
        <v>46235</v>
      </c>
      <c r="E723" s="82" t="n">
        <v>9630.165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202607</v>
      </c>
      <c r="D724" s="81" t="n">
        <v>46204</v>
      </c>
      <c r="E724" s="82" t="n">
        <v>8518.109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202606</v>
      </c>
      <c r="D725" s="81" t="n">
        <v>46174</v>
      </c>
      <c r="E725" s="82" t="n">
        <v>7352.121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202605</v>
      </c>
      <c r="D726" s="81" t="n">
        <v>46143</v>
      </c>
      <c r="E726" s="82" t="n">
        <v>7382.955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202604</v>
      </c>
      <c r="D727" s="81" t="n">
        <v>46113</v>
      </c>
      <c r="E727" s="82" t="n">
        <v>7013.696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202603</v>
      </c>
      <c r="D728" s="81" t="n">
        <v>46082</v>
      </c>
      <c r="E728" s="82" t="n">
        <v>6387.852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202602</v>
      </c>
      <c r="D729" s="81" t="n">
        <v>46054</v>
      </c>
      <c r="E729" s="82" t="n">
        <v>7455.82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202601</v>
      </c>
      <c r="D730" s="81" t="n">
        <v>46023</v>
      </c>
      <c r="E730" s="82" t="n">
        <v>6640.666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202512</v>
      </c>
      <c r="D731" s="81" t="n">
        <v>45992</v>
      </c>
      <c r="E731" s="82" t="n">
        <v>6538.775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202511</v>
      </c>
      <c r="D732" s="81" t="n">
        <v>45962</v>
      </c>
      <c r="E732" s="82" t="n">
        <v>6581.49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202510</v>
      </c>
      <c r="D733" s="81" t="n">
        <v>45931</v>
      </c>
      <c r="E733" s="82" t="n">
        <v>6706.222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202509</v>
      </c>
      <c r="D734" s="81" t="n">
        <v>45901</v>
      </c>
      <c r="E734" s="82" t="n">
        <v>5774.218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202508</v>
      </c>
      <c r="D735" s="81" t="n">
        <v>45870</v>
      </c>
      <c r="E735" s="82" t="n">
        <v>6034.282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202507</v>
      </c>
      <c r="D736" s="81" t="n">
        <v>45839</v>
      </c>
      <c r="E736" s="82" t="n">
        <v>5200.632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202506</v>
      </c>
      <c r="D737" s="81" t="n">
        <v>45809</v>
      </c>
      <c r="E737" s="82" t="n">
        <v>5201.409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202505</v>
      </c>
      <c r="D738" s="81" t="n">
        <v>45778</v>
      </c>
      <c r="E738" s="82" t="n">
        <v>6228.086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202504</v>
      </c>
      <c r="D739" s="81" t="n">
        <v>45748</v>
      </c>
      <c r="E739" s="82" t="n">
        <v>5738.989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202503</v>
      </c>
      <c r="D740" s="81" t="n">
        <v>45717</v>
      </c>
      <c r="E740" s="82" t="n">
        <v>5001.88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202502</v>
      </c>
      <c r="D741" s="81" t="n">
        <v>45689</v>
      </c>
      <c r="E741" s="82" t="n">
        <v>5555.836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202501</v>
      </c>
      <c r="D742" s="81" t="n">
        <v>45658</v>
      </c>
      <c r="E742" s="82" t="n">
        <v>4641.987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202412</v>
      </c>
      <c r="D743" s="81" t="n">
        <v>45627</v>
      </c>
      <c r="E743" s="82" t="n">
        <v>4910.75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202411</v>
      </c>
      <c r="D744" s="81" t="n">
        <v>45597</v>
      </c>
      <c r="E744" s="82" t="n">
        <v>4911.147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202410</v>
      </c>
      <c r="D745" s="81" t="n">
        <v>45566</v>
      </c>
      <c r="E745" s="82" t="n">
        <v>4589.632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202409</v>
      </c>
      <c r="D746" s="81" t="n">
        <v>45536</v>
      </c>
      <c r="E746" s="82" t="n">
        <v>4558.801</v>
      </c>
      <c r="F746" s="80" t="n">
        <v>25</v>
      </c>
      <c r="G746" s="79" t="s">
        <v>1355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202408</v>
      </c>
      <c r="D747" s="81" t="n">
        <v>45505</v>
      </c>
      <c r="E747" s="82" t="n">
        <v>5010.561</v>
      </c>
      <c r="F747" s="80" t="n">
        <v>26</v>
      </c>
      <c r="G747" s="79" t="s">
        <v>1356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202407</v>
      </c>
      <c r="D748" s="81" t="n">
        <v>45474</v>
      </c>
      <c r="E748" s="82" t="n">
        <v>4270.645</v>
      </c>
      <c r="F748" s="80" t="n">
        <v>27</v>
      </c>
      <c r="G748" s="79" t="s">
        <v>1357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202406</v>
      </c>
      <c r="D749" s="81" t="n">
        <v>45444</v>
      </c>
      <c r="E749" s="82" t="n">
        <v>4319.672</v>
      </c>
      <c r="F749" s="80" t="n">
        <v>28</v>
      </c>
      <c r="G749" s="79" t="s">
        <v>1358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202405</v>
      </c>
      <c r="D750" s="81" t="n">
        <v>45413</v>
      </c>
      <c r="E750" s="82" t="n">
        <v>4501.705</v>
      </c>
      <c r="F750" s="80" t="n">
        <v>29</v>
      </c>
      <c r="G750" s="79" t="s">
        <v>1359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202404</v>
      </c>
      <c r="D751" s="81" t="n">
        <v>45383</v>
      </c>
      <c r="E751" s="82" t="n">
        <v>4270.952</v>
      </c>
      <c r="F751" s="80" t="n">
        <v>30</v>
      </c>
      <c r="G751" s="79" t="s">
        <v>1360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202403</v>
      </c>
      <c r="D752" s="81" t="n">
        <v>45352</v>
      </c>
      <c r="E752" s="82" t="n">
        <v>3836.515</v>
      </c>
      <c r="F752" s="80" t="n">
        <v>31</v>
      </c>
      <c r="G752" s="79" t="s">
        <v>1361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202402</v>
      </c>
      <c r="D753" s="81" t="n">
        <v>45323</v>
      </c>
      <c r="E753" s="82" t="n">
        <v>4256.429</v>
      </c>
      <c r="F753" s="80" t="n">
        <v>32</v>
      </c>
      <c r="G753" s="79" t="s">
        <v>1362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202401</v>
      </c>
      <c r="D754" s="81" t="n">
        <v>45292</v>
      </c>
      <c r="E754" s="82" t="n">
        <v>3488.338</v>
      </c>
      <c r="F754" s="80" t="n">
        <v>33</v>
      </c>
      <c r="G754" s="79" t="s">
        <v>1363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202312</v>
      </c>
      <c r="D755" s="81" t="n">
        <v>45261</v>
      </c>
      <c r="E755" s="82" t="n">
        <v>4142.794</v>
      </c>
      <c r="F755" s="80" t="n">
        <v>34</v>
      </c>
      <c r="G755" s="79" t="s">
        <v>1364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202311</v>
      </c>
      <c r="D756" s="81" t="n">
        <v>45231</v>
      </c>
      <c r="E756" s="82" t="n">
        <v>4486.505</v>
      </c>
      <c r="F756" s="80" t="n">
        <v>35</v>
      </c>
      <c r="G756" s="79" t="s">
        <v>1365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202310</v>
      </c>
      <c r="D757" s="81" t="n">
        <v>45200</v>
      </c>
      <c r="E757" s="82" t="n">
        <v>4304.914</v>
      </c>
      <c r="F757" s="80" t="n">
        <v>36</v>
      </c>
      <c r="G757" s="79" t="s">
        <v>1366</v>
      </c>
    </row>
    <row r="758" customFormat="false" ht="15" hidden="false" customHeight="false" outlineLevel="0" collapsed="false">
      <c r="A758" s="79" t="s">
        <v>820</v>
      </c>
      <c r="B758" s="79" t="s">
        <v>1079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1080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1081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1082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1083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1084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1085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1086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1087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1088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1089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1090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1091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1092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1093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1094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1095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1096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1097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1098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1099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1100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1101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1102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1103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1367</v>
      </c>
    </row>
    <row r="783" customFormat="false" ht="15" hidden="false" customHeight="false" outlineLevel="0" collapsed="false">
      <c r="A783" s="79" t="s">
        <v>820</v>
      </c>
      <c r="B783" s="79" t="s">
        <v>1105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1368</v>
      </c>
    </row>
    <row r="784" customFormat="false" ht="15" hidden="false" customHeight="false" outlineLevel="0" collapsed="false">
      <c r="A784" s="79" t="s">
        <v>820</v>
      </c>
      <c r="B784" s="79" t="s">
        <v>1107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1369</v>
      </c>
    </row>
    <row r="785" customFormat="false" ht="15" hidden="false" customHeight="false" outlineLevel="0" collapsed="false">
      <c r="A785" s="79" t="s">
        <v>820</v>
      </c>
      <c r="B785" s="79" t="s">
        <v>1109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1370</v>
      </c>
    </row>
    <row r="786" customFormat="false" ht="15" hidden="false" customHeight="false" outlineLevel="0" collapsed="false">
      <c r="A786" s="79" t="s">
        <v>820</v>
      </c>
      <c r="B786" s="79" t="s">
        <v>1111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1371</v>
      </c>
    </row>
    <row r="787" customFormat="false" ht="15" hidden="false" customHeight="false" outlineLevel="0" collapsed="false">
      <c r="A787" s="79" t="s">
        <v>820</v>
      </c>
      <c r="B787" s="79" t="s">
        <v>1113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1372</v>
      </c>
    </row>
    <row r="788" customFormat="false" ht="15" hidden="false" customHeight="false" outlineLevel="0" collapsed="false">
      <c r="A788" s="79" t="s">
        <v>820</v>
      </c>
      <c r="B788" s="79" t="s">
        <v>1115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1373</v>
      </c>
    </row>
    <row r="789" customFormat="false" ht="15" hidden="false" customHeight="false" outlineLevel="0" collapsed="false">
      <c r="A789" s="79" t="s">
        <v>820</v>
      </c>
      <c r="B789" s="79" t="s">
        <v>1117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1374</v>
      </c>
    </row>
    <row r="790" customFormat="false" ht="15" hidden="false" customHeight="false" outlineLevel="0" collapsed="false">
      <c r="A790" s="79" t="s">
        <v>820</v>
      </c>
      <c r="B790" s="79" t="s">
        <v>1119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1375</v>
      </c>
    </row>
    <row r="791" customFormat="false" ht="15" hidden="false" customHeight="false" outlineLevel="0" collapsed="false">
      <c r="A791" s="79" t="s">
        <v>820</v>
      </c>
      <c r="B791" s="79" t="s">
        <v>1121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1376</v>
      </c>
    </row>
    <row r="792" customFormat="false" ht="15" hidden="false" customHeight="false" outlineLevel="0" collapsed="false">
      <c r="A792" s="79" t="s">
        <v>820</v>
      </c>
      <c r="B792" s="79" t="s">
        <v>1123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1377</v>
      </c>
    </row>
    <row r="793" customFormat="false" ht="15" hidden="false" customHeight="false" outlineLevel="0" collapsed="false">
      <c r="A793" s="79" t="s">
        <v>820</v>
      </c>
      <c r="B793" s="79" t="s">
        <v>1125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1378</v>
      </c>
    </row>
    <row r="794" customFormat="false" ht="15" hidden="false" customHeight="false" outlineLevel="0" collapsed="false">
      <c r="A794" s="79" t="s">
        <v>225</v>
      </c>
      <c r="B794" s="79" t="s">
        <v>1079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225</v>
      </c>
      <c r="B795" s="79" t="s">
        <v>1080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225</v>
      </c>
      <c r="B796" s="79" t="s">
        <v>1081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225</v>
      </c>
      <c r="B797" s="79" t="s">
        <v>1082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225</v>
      </c>
      <c r="B798" s="79" t="s">
        <v>1083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225</v>
      </c>
      <c r="B799" s="79" t="s">
        <v>1084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225</v>
      </c>
      <c r="B800" s="79" t="s">
        <v>1085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225</v>
      </c>
      <c r="B801" s="79" t="s">
        <v>1086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225</v>
      </c>
      <c r="B802" s="79" t="s">
        <v>1087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225</v>
      </c>
      <c r="B803" s="79" t="s">
        <v>1088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225</v>
      </c>
      <c r="B804" s="79" t="s">
        <v>1089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225</v>
      </c>
      <c r="B805" s="79" t="s">
        <v>1090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225</v>
      </c>
      <c r="B806" s="79" t="s">
        <v>1091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225</v>
      </c>
      <c r="B807" s="79" t="s">
        <v>1092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225</v>
      </c>
      <c r="B808" s="79" t="s">
        <v>1093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225</v>
      </c>
      <c r="B809" s="79" t="s">
        <v>1094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225</v>
      </c>
      <c r="B810" s="79" t="s">
        <v>1095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225</v>
      </c>
      <c r="B811" s="79" t="s">
        <v>1096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225</v>
      </c>
      <c r="B812" s="79" t="s">
        <v>1097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225</v>
      </c>
      <c r="B813" s="79" t="s">
        <v>1098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225</v>
      </c>
      <c r="B814" s="79" t="s">
        <v>1099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225</v>
      </c>
      <c r="B815" s="79" t="s">
        <v>1100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225</v>
      </c>
      <c r="B816" s="79" t="s">
        <v>1101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225</v>
      </c>
      <c r="B817" s="79" t="s">
        <v>1102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225</v>
      </c>
      <c r="B818" s="79" t="s">
        <v>1103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1379</v>
      </c>
    </row>
    <row r="819" customFormat="false" ht="15" hidden="false" customHeight="false" outlineLevel="0" collapsed="false">
      <c r="A819" s="79" t="s">
        <v>225</v>
      </c>
      <c r="B819" s="79" t="s">
        <v>1105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1380</v>
      </c>
    </row>
    <row r="820" customFormat="false" ht="15" hidden="false" customHeight="false" outlineLevel="0" collapsed="false">
      <c r="A820" s="79" t="s">
        <v>225</v>
      </c>
      <c r="B820" s="79" t="s">
        <v>1107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1381</v>
      </c>
    </row>
    <row r="821" customFormat="false" ht="15" hidden="false" customHeight="false" outlineLevel="0" collapsed="false">
      <c r="A821" s="79" t="s">
        <v>225</v>
      </c>
      <c r="B821" s="79" t="s">
        <v>1109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1382</v>
      </c>
    </row>
    <row r="822" customFormat="false" ht="15" hidden="false" customHeight="false" outlineLevel="0" collapsed="false">
      <c r="A822" s="79" t="s">
        <v>225</v>
      </c>
      <c r="B822" s="79" t="s">
        <v>1111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1383</v>
      </c>
    </row>
    <row r="823" customFormat="false" ht="15" hidden="false" customHeight="false" outlineLevel="0" collapsed="false">
      <c r="A823" s="79" t="s">
        <v>225</v>
      </c>
      <c r="B823" s="79" t="s">
        <v>1113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1384</v>
      </c>
    </row>
    <row r="824" customFormat="false" ht="15" hidden="false" customHeight="false" outlineLevel="0" collapsed="false">
      <c r="A824" s="79" t="s">
        <v>225</v>
      </c>
      <c r="B824" s="79" t="s">
        <v>1115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1385</v>
      </c>
    </row>
    <row r="825" customFormat="false" ht="15" hidden="false" customHeight="false" outlineLevel="0" collapsed="false">
      <c r="A825" s="79" t="s">
        <v>225</v>
      </c>
      <c r="B825" s="79" t="s">
        <v>1117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1386</v>
      </c>
    </row>
    <row r="826" customFormat="false" ht="15" hidden="false" customHeight="false" outlineLevel="0" collapsed="false">
      <c r="A826" s="79" t="s">
        <v>225</v>
      </c>
      <c r="B826" s="79" t="s">
        <v>1119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1387</v>
      </c>
    </row>
    <row r="827" customFormat="false" ht="15" hidden="false" customHeight="false" outlineLevel="0" collapsed="false">
      <c r="A827" s="79" t="s">
        <v>225</v>
      </c>
      <c r="B827" s="79" t="s">
        <v>1121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1388</v>
      </c>
    </row>
    <row r="828" customFormat="false" ht="15" hidden="false" customHeight="false" outlineLevel="0" collapsed="false">
      <c r="A828" s="79" t="s">
        <v>225</v>
      </c>
      <c r="B828" s="79" t="s">
        <v>1123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1389</v>
      </c>
    </row>
    <row r="829" customFormat="false" ht="15" hidden="false" customHeight="false" outlineLevel="0" collapsed="false">
      <c r="A829" s="79" t="s">
        <v>225</v>
      </c>
      <c r="B829" s="79" t="s">
        <v>1125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1390</v>
      </c>
    </row>
    <row r="830" customFormat="false" ht="15" hidden="false" customHeight="false" outlineLevel="0" collapsed="false">
      <c r="A830" s="79" t="s">
        <v>231</v>
      </c>
      <c r="B830" s="79" t="s">
        <v>1079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231</v>
      </c>
      <c r="B831" s="79" t="s">
        <v>1080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231</v>
      </c>
      <c r="B832" s="79" t="s">
        <v>1081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231</v>
      </c>
      <c r="B833" s="79" t="s">
        <v>1082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231</v>
      </c>
      <c r="B834" s="79" t="s">
        <v>1083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231</v>
      </c>
      <c r="B835" s="79" t="s">
        <v>1084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231</v>
      </c>
      <c r="B836" s="79" t="s">
        <v>1085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231</v>
      </c>
      <c r="B837" s="79" t="s">
        <v>1086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231</v>
      </c>
      <c r="B838" s="79" t="s">
        <v>1087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231</v>
      </c>
      <c r="B839" s="79" t="s">
        <v>1088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231</v>
      </c>
      <c r="B840" s="79" t="s">
        <v>1089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231</v>
      </c>
      <c r="B841" s="79" t="s">
        <v>1090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231</v>
      </c>
      <c r="B842" s="79" t="s">
        <v>1091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231</v>
      </c>
      <c r="B843" s="79" t="s">
        <v>1092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231</v>
      </c>
      <c r="B844" s="79" t="s">
        <v>1093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231</v>
      </c>
      <c r="B845" s="79" t="s">
        <v>1094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231</v>
      </c>
      <c r="B846" s="79" t="s">
        <v>1095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231</v>
      </c>
      <c r="B847" s="79" t="s">
        <v>1096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231</v>
      </c>
      <c r="B848" s="79" t="s">
        <v>1097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231</v>
      </c>
      <c r="B849" s="79" t="s">
        <v>1098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231</v>
      </c>
      <c r="B850" s="79" t="s">
        <v>1099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231</v>
      </c>
      <c r="B851" s="79" t="s">
        <v>1100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231</v>
      </c>
      <c r="B852" s="79" t="s">
        <v>1101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231</v>
      </c>
      <c r="B853" s="79" t="s">
        <v>1102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231</v>
      </c>
      <c r="B854" s="79" t="s">
        <v>1103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1391</v>
      </c>
    </row>
    <row r="855" customFormat="false" ht="15" hidden="false" customHeight="false" outlineLevel="0" collapsed="false">
      <c r="A855" s="79" t="s">
        <v>231</v>
      </c>
      <c r="B855" s="79" t="s">
        <v>1105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1392</v>
      </c>
    </row>
    <row r="856" customFormat="false" ht="15" hidden="false" customHeight="false" outlineLevel="0" collapsed="false">
      <c r="A856" s="79" t="s">
        <v>231</v>
      </c>
      <c r="B856" s="79" t="s">
        <v>1107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1393</v>
      </c>
    </row>
    <row r="857" customFormat="false" ht="15" hidden="false" customHeight="false" outlineLevel="0" collapsed="false">
      <c r="A857" s="79" t="s">
        <v>231</v>
      </c>
      <c r="B857" s="79" t="s">
        <v>1109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1394</v>
      </c>
    </row>
    <row r="858" customFormat="false" ht="15" hidden="false" customHeight="false" outlineLevel="0" collapsed="false">
      <c r="A858" s="79" t="s">
        <v>231</v>
      </c>
      <c r="B858" s="79" t="s">
        <v>1111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1395</v>
      </c>
    </row>
    <row r="859" customFormat="false" ht="15" hidden="false" customHeight="false" outlineLevel="0" collapsed="false">
      <c r="A859" s="79" t="s">
        <v>231</v>
      </c>
      <c r="B859" s="79" t="s">
        <v>1113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1396</v>
      </c>
    </row>
    <row r="860" customFormat="false" ht="15" hidden="false" customHeight="false" outlineLevel="0" collapsed="false">
      <c r="A860" s="79" t="s">
        <v>231</v>
      </c>
      <c r="B860" s="79" t="s">
        <v>1115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1397</v>
      </c>
    </row>
    <row r="861" customFormat="false" ht="15" hidden="false" customHeight="false" outlineLevel="0" collapsed="false">
      <c r="A861" s="79" t="s">
        <v>231</v>
      </c>
      <c r="B861" s="79" t="s">
        <v>1117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1398</v>
      </c>
    </row>
    <row r="862" customFormat="false" ht="15" hidden="false" customHeight="false" outlineLevel="0" collapsed="false">
      <c r="A862" s="79" t="s">
        <v>231</v>
      </c>
      <c r="B862" s="79" t="s">
        <v>1119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1399</v>
      </c>
    </row>
    <row r="863" customFormat="false" ht="15" hidden="false" customHeight="false" outlineLevel="0" collapsed="false">
      <c r="A863" s="79" t="s">
        <v>231</v>
      </c>
      <c r="B863" s="79" t="s">
        <v>1121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1400</v>
      </c>
    </row>
    <row r="864" customFormat="false" ht="15" hidden="false" customHeight="false" outlineLevel="0" collapsed="false">
      <c r="A864" s="79" t="s">
        <v>231</v>
      </c>
      <c r="B864" s="79" t="s">
        <v>1123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1401</v>
      </c>
    </row>
    <row r="865" customFormat="false" ht="15" hidden="false" customHeight="false" outlineLevel="0" collapsed="false">
      <c r="A865" s="79" t="s">
        <v>231</v>
      </c>
      <c r="B865" s="79" t="s">
        <v>1125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1402</v>
      </c>
    </row>
    <row r="866" customFormat="false" ht="15" hidden="false" customHeight="false" outlineLevel="0" collapsed="false">
      <c r="A866" s="79" t="s">
        <v>896</v>
      </c>
      <c r="B866" s="79" t="s">
        <v>1079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1080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1081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1082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1083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1084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1085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1086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1087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1088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1089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1090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1091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1092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1093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1094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1095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1096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1097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1098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1099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1100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1101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1102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1103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1403</v>
      </c>
    </row>
    <row r="891" customFormat="false" ht="15" hidden="false" customHeight="false" outlineLevel="0" collapsed="false">
      <c r="A891" s="79" t="s">
        <v>896</v>
      </c>
      <c r="B891" s="79" t="s">
        <v>1105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1404</v>
      </c>
    </row>
    <row r="892" customFormat="false" ht="15" hidden="false" customHeight="false" outlineLevel="0" collapsed="false">
      <c r="A892" s="79" t="s">
        <v>896</v>
      </c>
      <c r="B892" s="79" t="s">
        <v>1107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1405</v>
      </c>
    </row>
    <row r="893" customFormat="false" ht="15" hidden="false" customHeight="false" outlineLevel="0" collapsed="false">
      <c r="A893" s="79" t="s">
        <v>896</v>
      </c>
      <c r="B893" s="79" t="s">
        <v>1109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1406</v>
      </c>
    </row>
    <row r="894" customFormat="false" ht="15" hidden="false" customHeight="false" outlineLevel="0" collapsed="false">
      <c r="A894" s="79" t="s">
        <v>896</v>
      </c>
      <c r="B894" s="79" t="s">
        <v>1111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1407</v>
      </c>
    </row>
    <row r="895" customFormat="false" ht="15" hidden="false" customHeight="false" outlineLevel="0" collapsed="false">
      <c r="A895" s="79" t="s">
        <v>896</v>
      </c>
      <c r="B895" s="79" t="s">
        <v>1113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1408</v>
      </c>
    </row>
    <row r="896" customFormat="false" ht="15" hidden="false" customHeight="false" outlineLevel="0" collapsed="false">
      <c r="A896" s="79" t="s">
        <v>896</v>
      </c>
      <c r="B896" s="79" t="s">
        <v>1115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1409</v>
      </c>
    </row>
    <row r="897" customFormat="false" ht="15" hidden="false" customHeight="false" outlineLevel="0" collapsed="false">
      <c r="A897" s="79" t="s">
        <v>896</v>
      </c>
      <c r="B897" s="79" t="s">
        <v>1117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1410</v>
      </c>
    </row>
    <row r="898" customFormat="false" ht="15" hidden="false" customHeight="false" outlineLevel="0" collapsed="false">
      <c r="A898" s="79" t="s">
        <v>896</v>
      </c>
      <c r="B898" s="79" t="s">
        <v>1119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1411</v>
      </c>
    </row>
    <row r="899" customFormat="false" ht="15" hidden="false" customHeight="false" outlineLevel="0" collapsed="false">
      <c r="A899" s="79" t="s">
        <v>896</v>
      </c>
      <c r="B899" s="79" t="s">
        <v>1121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1412</v>
      </c>
    </row>
    <row r="900" customFormat="false" ht="15" hidden="false" customHeight="false" outlineLevel="0" collapsed="false">
      <c r="A900" s="79" t="s">
        <v>896</v>
      </c>
      <c r="B900" s="79" t="s">
        <v>1123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1413</v>
      </c>
    </row>
    <row r="901" customFormat="false" ht="15" hidden="false" customHeight="false" outlineLevel="0" collapsed="false">
      <c r="A901" s="79" t="s">
        <v>896</v>
      </c>
      <c r="B901" s="79" t="s">
        <v>1125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1414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1415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1416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1417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1418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1419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1420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1421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1422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1423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1424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1425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1426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1427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1428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1429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1430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1431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1432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1433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1434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1435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1436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1437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1438</v>
      </c>
    </row>
    <row r="974" customFormat="false" ht="15" hidden="false" customHeight="false" outlineLevel="0" collapsed="false">
      <c r="A974" s="79" t="s">
        <v>217</v>
      </c>
      <c r="B974" s="79" t="s">
        <v>1079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217</v>
      </c>
      <c r="B975" s="79" t="s">
        <v>1080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217</v>
      </c>
      <c r="B976" s="79" t="s">
        <v>1081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217</v>
      </c>
      <c r="B977" s="79" t="s">
        <v>1082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217</v>
      </c>
      <c r="B978" s="79" t="s">
        <v>1083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217</v>
      </c>
      <c r="B979" s="79" t="s">
        <v>1084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217</v>
      </c>
      <c r="B980" s="79" t="s">
        <v>1085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217</v>
      </c>
      <c r="B981" s="79" t="s">
        <v>1086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217</v>
      </c>
      <c r="B982" s="79" t="s">
        <v>1087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217</v>
      </c>
      <c r="B983" s="79" t="s">
        <v>1088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217</v>
      </c>
      <c r="B984" s="79" t="s">
        <v>1089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217</v>
      </c>
      <c r="B985" s="79" t="s">
        <v>1090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217</v>
      </c>
      <c r="B986" s="79" t="s">
        <v>1091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217</v>
      </c>
      <c r="B987" s="79" t="s">
        <v>1092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217</v>
      </c>
      <c r="B988" s="79" t="s">
        <v>1093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217</v>
      </c>
      <c r="B989" s="79" t="s">
        <v>1094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217</v>
      </c>
      <c r="B990" s="79" t="s">
        <v>1095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217</v>
      </c>
      <c r="B991" s="79" t="s">
        <v>1096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217</v>
      </c>
      <c r="B992" s="79" t="s">
        <v>1097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217</v>
      </c>
      <c r="B993" s="79" t="s">
        <v>1098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217</v>
      </c>
      <c r="B994" s="79" t="s">
        <v>1099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217</v>
      </c>
      <c r="B995" s="79" t="s">
        <v>1100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217</v>
      </c>
      <c r="B996" s="79" t="s">
        <v>1101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217</v>
      </c>
      <c r="B997" s="79" t="s">
        <v>1102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217</v>
      </c>
      <c r="B998" s="79" t="s">
        <v>1103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1439</v>
      </c>
    </row>
    <row r="999" customFormat="false" ht="15" hidden="false" customHeight="false" outlineLevel="0" collapsed="false">
      <c r="A999" s="79" t="s">
        <v>217</v>
      </c>
      <c r="B999" s="79" t="s">
        <v>1105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1440</v>
      </c>
    </row>
    <row r="1000" customFormat="false" ht="15" hidden="false" customHeight="false" outlineLevel="0" collapsed="false">
      <c r="A1000" s="79" t="s">
        <v>217</v>
      </c>
      <c r="B1000" s="79" t="s">
        <v>1107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1441</v>
      </c>
    </row>
    <row r="1001" customFormat="false" ht="15" hidden="false" customHeight="false" outlineLevel="0" collapsed="false">
      <c r="A1001" s="79" t="s">
        <v>217</v>
      </c>
      <c r="B1001" s="79" t="s">
        <v>1109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1442</v>
      </c>
    </row>
    <row r="1002" customFormat="false" ht="15" hidden="false" customHeight="false" outlineLevel="0" collapsed="false">
      <c r="A1002" s="79" t="s">
        <v>217</v>
      </c>
      <c r="B1002" s="79" t="s">
        <v>1111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1443</v>
      </c>
    </row>
    <row r="1003" customFormat="false" ht="15" hidden="false" customHeight="false" outlineLevel="0" collapsed="false">
      <c r="A1003" s="79" t="s">
        <v>217</v>
      </c>
      <c r="B1003" s="79" t="s">
        <v>1113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1444</v>
      </c>
    </row>
    <row r="1004" customFormat="false" ht="15" hidden="false" customHeight="false" outlineLevel="0" collapsed="false">
      <c r="A1004" s="79" t="s">
        <v>217</v>
      </c>
      <c r="B1004" s="79" t="s">
        <v>1115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1445</v>
      </c>
    </row>
    <row r="1005" customFormat="false" ht="15" hidden="false" customHeight="false" outlineLevel="0" collapsed="false">
      <c r="A1005" s="79" t="s">
        <v>217</v>
      </c>
      <c r="B1005" s="79" t="s">
        <v>1117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1446</v>
      </c>
    </row>
    <row r="1006" customFormat="false" ht="15" hidden="false" customHeight="false" outlineLevel="0" collapsed="false">
      <c r="A1006" s="79" t="s">
        <v>217</v>
      </c>
      <c r="B1006" s="79" t="s">
        <v>1119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1447</v>
      </c>
    </row>
    <row r="1007" customFormat="false" ht="15" hidden="false" customHeight="false" outlineLevel="0" collapsed="false">
      <c r="A1007" s="79" t="s">
        <v>217</v>
      </c>
      <c r="B1007" s="79" t="s">
        <v>1121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1448</v>
      </c>
    </row>
    <row r="1008" customFormat="false" ht="15" hidden="false" customHeight="false" outlineLevel="0" collapsed="false">
      <c r="A1008" s="79" t="s">
        <v>217</v>
      </c>
      <c r="B1008" s="79" t="s">
        <v>1123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1449</v>
      </c>
    </row>
    <row r="1009" customFormat="false" ht="15" hidden="false" customHeight="false" outlineLevel="0" collapsed="false">
      <c r="A1009" s="79" t="s">
        <v>217</v>
      </c>
      <c r="B1009" s="79" t="s">
        <v>1125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1450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202609</v>
      </c>
      <c r="D1010" s="81" t="n">
        <v>46266</v>
      </c>
      <c r="E1010" s="82" t="n">
        <v>254.051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202608</v>
      </c>
      <c r="D1011" s="81" t="n">
        <v>46235</v>
      </c>
      <c r="E1011" s="82" t="n">
        <v>240.751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202607</v>
      </c>
      <c r="D1012" s="81" t="n">
        <v>46204</v>
      </c>
      <c r="E1012" s="82" t="n">
        <v>206.268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202606</v>
      </c>
      <c r="D1013" s="81" t="n">
        <v>46174</v>
      </c>
      <c r="E1013" s="82" t="n">
        <v>217.107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202605</v>
      </c>
      <c r="D1014" s="81" t="n">
        <v>46143</v>
      </c>
      <c r="E1014" s="82" t="n">
        <v>211.78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202604</v>
      </c>
      <c r="D1015" s="81" t="n">
        <v>46113</v>
      </c>
      <c r="E1015" s="82" t="n">
        <v>224.233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202603</v>
      </c>
      <c r="D1016" s="81" t="n">
        <v>46082</v>
      </c>
      <c r="E1016" s="82" t="n">
        <v>152.439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202602</v>
      </c>
      <c r="D1017" s="81" t="n">
        <v>46054</v>
      </c>
      <c r="E1017" s="82" t="n">
        <v>202.054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202601</v>
      </c>
      <c r="D1018" s="81" t="n">
        <v>46023</v>
      </c>
      <c r="E1018" s="82" t="n">
        <v>213.484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202512</v>
      </c>
      <c r="D1019" s="81" t="n">
        <v>45992</v>
      </c>
      <c r="E1019" s="82" t="n">
        <v>207.144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202511</v>
      </c>
      <c r="D1020" s="81" t="n">
        <v>45962</v>
      </c>
      <c r="E1020" s="82" t="n">
        <v>171.566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202510</v>
      </c>
      <c r="D1021" s="81" t="n">
        <v>45931</v>
      </c>
      <c r="E1021" s="82" t="n">
        <v>193.543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202509</v>
      </c>
      <c r="D1022" s="81" t="n">
        <v>45901</v>
      </c>
      <c r="E1022" s="82" t="n">
        <v>192.532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202508</v>
      </c>
      <c r="D1023" s="81" t="n">
        <v>45870</v>
      </c>
      <c r="E1023" s="82" t="n">
        <v>190.849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202507</v>
      </c>
      <c r="D1024" s="81" t="n">
        <v>45839</v>
      </c>
      <c r="E1024" s="82" t="n">
        <v>186.903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202506</v>
      </c>
      <c r="D1025" s="81" t="n">
        <v>45809</v>
      </c>
      <c r="E1025" s="82" t="n">
        <v>181.797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202505</v>
      </c>
      <c r="D1026" s="81" t="n">
        <v>45778</v>
      </c>
      <c r="E1026" s="82" t="n">
        <v>176.136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202504</v>
      </c>
      <c r="D1027" s="81" t="n">
        <v>45748</v>
      </c>
      <c r="E1027" s="82" t="n">
        <v>182.487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202503</v>
      </c>
      <c r="D1028" s="81" t="n">
        <v>45717</v>
      </c>
      <c r="E1028" s="82" t="n">
        <v>121.2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202502</v>
      </c>
      <c r="D1029" s="81" t="n">
        <v>45689</v>
      </c>
      <c r="E1029" s="82" t="n">
        <v>161.006</v>
      </c>
      <c r="F1029" s="80" t="n">
        <v>20</v>
      </c>
      <c r="G1029" s="79" t="s">
        <v>1451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202501</v>
      </c>
      <c r="D1030" s="81" t="n">
        <v>45658</v>
      </c>
      <c r="E1030" s="82" t="n">
        <v>174.821</v>
      </c>
      <c r="F1030" s="80" t="n">
        <v>21</v>
      </c>
      <c r="G1030" s="79" t="s">
        <v>1452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202412</v>
      </c>
      <c r="D1031" s="81" t="n">
        <v>45627</v>
      </c>
      <c r="E1031" s="82" t="n">
        <v>168.464</v>
      </c>
      <c r="F1031" s="80" t="n">
        <v>22</v>
      </c>
      <c r="G1031" s="79" t="s">
        <v>1453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202411</v>
      </c>
      <c r="D1032" s="81" t="n">
        <v>45597</v>
      </c>
      <c r="E1032" s="82" t="n">
        <v>160.73</v>
      </c>
      <c r="F1032" s="80" t="n">
        <v>23</v>
      </c>
      <c r="G1032" s="79" t="s">
        <v>1454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202410</v>
      </c>
      <c r="D1033" s="81" t="n">
        <v>45566</v>
      </c>
      <c r="E1033" s="82" t="n">
        <v>166.502</v>
      </c>
      <c r="F1033" s="80" t="n">
        <v>24</v>
      </c>
      <c r="G1033" s="79" t="s">
        <v>1455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202409</v>
      </c>
      <c r="D1034" s="81" t="n">
        <v>45536</v>
      </c>
      <c r="E1034" s="82" t="n">
        <v>170.87</v>
      </c>
      <c r="F1034" s="80" t="n">
        <v>25</v>
      </c>
      <c r="G1034" s="79" t="s">
        <v>1456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202408</v>
      </c>
      <c r="D1035" s="81" t="n">
        <v>45505</v>
      </c>
      <c r="E1035" s="82" t="n">
        <v>181.14</v>
      </c>
      <c r="F1035" s="80" t="n">
        <v>26</v>
      </c>
      <c r="G1035" s="79" t="s">
        <v>1457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202407</v>
      </c>
      <c r="D1036" s="81" t="n">
        <v>45474</v>
      </c>
      <c r="E1036" s="82" t="n">
        <v>174.683</v>
      </c>
      <c r="F1036" s="80" t="n">
        <v>27</v>
      </c>
      <c r="G1036" s="79" t="s">
        <v>1458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202406</v>
      </c>
      <c r="D1037" s="81" t="n">
        <v>45444</v>
      </c>
      <c r="E1037" s="82" t="n">
        <v>181.012</v>
      </c>
      <c r="F1037" s="80" t="n">
        <v>28</v>
      </c>
      <c r="G1037" s="79" t="s">
        <v>1459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202405</v>
      </c>
      <c r="D1038" s="81" t="n">
        <v>45413</v>
      </c>
      <c r="E1038" s="82" t="n">
        <v>153.596</v>
      </c>
      <c r="F1038" s="80" t="n">
        <v>29</v>
      </c>
      <c r="G1038" s="79" t="s">
        <v>1460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202404</v>
      </c>
      <c r="D1039" s="81" t="n">
        <v>45383</v>
      </c>
      <c r="E1039" s="82" t="n">
        <v>152.794</v>
      </c>
      <c r="F1039" s="80" t="n">
        <v>30</v>
      </c>
      <c r="G1039" s="79" t="s">
        <v>1461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202403</v>
      </c>
      <c r="D1040" s="81" t="n">
        <v>45352</v>
      </c>
      <c r="E1040" s="82" t="n">
        <v>123.583</v>
      </c>
      <c r="F1040" s="80" t="n">
        <v>31</v>
      </c>
      <c r="G1040" s="79" t="s">
        <v>1462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202402</v>
      </c>
      <c r="D1041" s="81" t="n">
        <v>45323</v>
      </c>
      <c r="E1041" s="82" t="n">
        <v>158.474</v>
      </c>
      <c r="F1041" s="80" t="n">
        <v>32</v>
      </c>
      <c r="G1041" s="79" t="s">
        <v>1463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202401</v>
      </c>
      <c r="D1042" s="81" t="n">
        <v>45292</v>
      </c>
      <c r="E1042" s="82" t="n">
        <v>161.516</v>
      </c>
      <c r="F1042" s="80" t="n">
        <v>33</v>
      </c>
      <c r="G1042" s="79" t="s">
        <v>1464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202312</v>
      </c>
      <c r="D1043" s="81" t="n">
        <v>45261</v>
      </c>
      <c r="E1043" s="82" t="n">
        <v>164.562</v>
      </c>
      <c r="F1043" s="80" t="n">
        <v>34</v>
      </c>
      <c r="G1043" s="79" t="s">
        <v>1465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202311</v>
      </c>
      <c r="D1044" s="81" t="n">
        <v>45231</v>
      </c>
      <c r="E1044" s="82" t="n">
        <v>143.023</v>
      </c>
      <c r="F1044" s="80" t="n">
        <v>35</v>
      </c>
      <c r="G1044" s="79" t="s">
        <v>1466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202310</v>
      </c>
      <c r="D1045" s="81" t="n">
        <v>45200</v>
      </c>
      <c r="E1045" s="82" t="n">
        <v>165.018</v>
      </c>
      <c r="F1045" s="80" t="n">
        <v>36</v>
      </c>
      <c r="G1045" s="79" t="s">
        <v>1467</v>
      </c>
    </row>
    <row r="1046" customFormat="false" ht="15" hidden="false" customHeight="false" outlineLevel="0" collapsed="false">
      <c r="A1046" s="79" t="s">
        <v>227</v>
      </c>
      <c r="B1046" s="79" t="s">
        <v>1079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227</v>
      </c>
      <c r="B1047" s="79" t="s">
        <v>1080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227</v>
      </c>
      <c r="B1048" s="79" t="s">
        <v>1081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227</v>
      </c>
      <c r="B1049" s="79" t="s">
        <v>1082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227</v>
      </c>
      <c r="B1050" s="79" t="s">
        <v>1083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227</v>
      </c>
      <c r="B1051" s="79" t="s">
        <v>1084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227</v>
      </c>
      <c r="B1052" s="79" t="s">
        <v>1085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227</v>
      </c>
      <c r="B1053" s="79" t="s">
        <v>1086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227</v>
      </c>
      <c r="B1054" s="79" t="s">
        <v>1087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227</v>
      </c>
      <c r="B1055" s="79" t="s">
        <v>1088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227</v>
      </c>
      <c r="B1056" s="79" t="s">
        <v>1089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227</v>
      </c>
      <c r="B1057" s="79" t="s">
        <v>1090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227</v>
      </c>
      <c r="B1058" s="79" t="s">
        <v>1091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227</v>
      </c>
      <c r="B1059" s="79" t="s">
        <v>1092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227</v>
      </c>
      <c r="B1060" s="79" t="s">
        <v>1093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227</v>
      </c>
      <c r="B1061" s="79" t="s">
        <v>1094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227</v>
      </c>
      <c r="B1062" s="79" t="s">
        <v>1095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227</v>
      </c>
      <c r="B1063" s="79" t="s">
        <v>1096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227</v>
      </c>
      <c r="B1064" s="79" t="s">
        <v>1097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227</v>
      </c>
      <c r="B1065" s="79" t="s">
        <v>1098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227</v>
      </c>
      <c r="B1066" s="79" t="s">
        <v>1099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227</v>
      </c>
      <c r="B1067" s="79" t="s">
        <v>1100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227</v>
      </c>
      <c r="B1068" s="79" t="s">
        <v>1101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227</v>
      </c>
      <c r="B1069" s="79" t="s">
        <v>1102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227</v>
      </c>
      <c r="B1070" s="79" t="s">
        <v>1103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1468</v>
      </c>
    </row>
    <row r="1071" customFormat="false" ht="15" hidden="false" customHeight="false" outlineLevel="0" collapsed="false">
      <c r="A1071" s="79" t="s">
        <v>227</v>
      </c>
      <c r="B1071" s="79" t="s">
        <v>1105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1469</v>
      </c>
    </row>
    <row r="1072" customFormat="false" ht="15" hidden="false" customHeight="false" outlineLevel="0" collapsed="false">
      <c r="A1072" s="79" t="s">
        <v>227</v>
      </c>
      <c r="B1072" s="79" t="s">
        <v>1107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1470</v>
      </c>
    </row>
    <row r="1073" customFormat="false" ht="15" hidden="false" customHeight="false" outlineLevel="0" collapsed="false">
      <c r="A1073" s="79" t="s">
        <v>227</v>
      </c>
      <c r="B1073" s="79" t="s">
        <v>1109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1471</v>
      </c>
    </row>
    <row r="1074" customFormat="false" ht="15" hidden="false" customHeight="false" outlineLevel="0" collapsed="false">
      <c r="A1074" s="79" t="s">
        <v>227</v>
      </c>
      <c r="B1074" s="79" t="s">
        <v>1111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1472</v>
      </c>
    </row>
    <row r="1075" customFormat="false" ht="15" hidden="false" customHeight="false" outlineLevel="0" collapsed="false">
      <c r="A1075" s="79" t="s">
        <v>227</v>
      </c>
      <c r="B1075" s="79" t="s">
        <v>1113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1473</v>
      </c>
    </row>
    <row r="1076" customFormat="false" ht="15" hidden="false" customHeight="false" outlineLevel="0" collapsed="false">
      <c r="A1076" s="79" t="s">
        <v>227</v>
      </c>
      <c r="B1076" s="79" t="s">
        <v>1115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1474</v>
      </c>
    </row>
    <row r="1077" customFormat="false" ht="15" hidden="false" customHeight="false" outlineLevel="0" collapsed="false">
      <c r="A1077" s="79" t="s">
        <v>227</v>
      </c>
      <c r="B1077" s="79" t="s">
        <v>1117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1475</v>
      </c>
    </row>
    <row r="1078" customFormat="false" ht="15" hidden="false" customHeight="false" outlineLevel="0" collapsed="false">
      <c r="A1078" s="79" t="s">
        <v>227</v>
      </c>
      <c r="B1078" s="79" t="s">
        <v>1119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1476</v>
      </c>
    </row>
    <row r="1079" customFormat="false" ht="15" hidden="false" customHeight="false" outlineLevel="0" collapsed="false">
      <c r="A1079" s="79" t="s">
        <v>227</v>
      </c>
      <c r="B1079" s="79" t="s">
        <v>1121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1477</v>
      </c>
    </row>
    <row r="1080" customFormat="false" ht="15" hidden="false" customHeight="false" outlineLevel="0" collapsed="false">
      <c r="A1080" s="79" t="s">
        <v>227</v>
      </c>
      <c r="B1080" s="79" t="s">
        <v>1123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1478</v>
      </c>
    </row>
    <row r="1081" customFormat="false" ht="15" hidden="false" customHeight="false" outlineLevel="0" collapsed="false">
      <c r="A1081" s="79" t="s">
        <v>227</v>
      </c>
      <c r="B1081" s="79" t="s">
        <v>1125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1480</v>
      </c>
      <c r="C1" s="15" t="s">
        <v>1481</v>
      </c>
      <c r="D1" s="15" t="s">
        <v>1482</v>
      </c>
      <c r="E1" s="15" t="s">
        <v>1483</v>
      </c>
      <c r="F1" s="15" t="s">
        <v>1484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46288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46288</v>
      </c>
    </row>
    <row r="4" customFormat="false" ht="15" hidden="false" customHeight="false" outlineLevel="0" collapsed="false">
      <c r="A4" s="79" t="s">
        <v>345</v>
      </c>
      <c r="B4" s="83" t="n">
        <v>19.725</v>
      </c>
      <c r="C4" s="83" t="n">
        <v>31.32791</v>
      </c>
      <c r="D4" s="81" t="n">
        <v>46387</v>
      </c>
      <c r="E4" s="80" t="n">
        <v>2</v>
      </c>
      <c r="F4" s="81" t="n">
        <v>46288</v>
      </c>
    </row>
    <row r="5" customFormat="false" ht="15" hidden="false" customHeight="false" outlineLevel="0" collapsed="false">
      <c r="A5" s="79" t="s">
        <v>79</v>
      </c>
      <c r="B5" s="83" t="n">
        <v>107.85</v>
      </c>
      <c r="C5" s="83" t="n">
        <v>142.96153</v>
      </c>
      <c r="D5" s="81" t="n">
        <v>46387</v>
      </c>
      <c r="E5" s="80" t="n">
        <v>23</v>
      </c>
      <c r="F5" s="81" t="n">
        <v>46288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46288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46288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46288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46288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46288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46288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46288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46288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46288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46288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46288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46288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46288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46288</v>
      </c>
    </row>
    <row r="22" customFormat="false" ht="15" hidden="false" customHeight="false" outlineLevel="0" collapsed="false">
      <c r="A22" s="79" t="s">
        <v>197</v>
      </c>
      <c r="B22" s="83" t="n">
        <v>66.32239</v>
      </c>
      <c r="C22" s="83" t="n">
        <v>114.78879</v>
      </c>
      <c r="D22" s="81" t="n">
        <v>46387</v>
      </c>
      <c r="E22" s="80" t="n">
        <v>2</v>
      </c>
      <c r="F22" s="81" t="n">
        <v>46288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225</v>
      </c>
      <c r="B24" s="83" t="n">
        <v>5.65238</v>
      </c>
      <c r="C24" s="83" t="n">
        <v>7.22044</v>
      </c>
      <c r="D24" s="81" t="n">
        <v>46387</v>
      </c>
      <c r="E24" s="80" t="n">
        <v>6</v>
      </c>
      <c r="F24" s="81" t="n">
        <v>46288</v>
      </c>
    </row>
    <row r="25" customFormat="false" ht="15" hidden="false" customHeight="false" outlineLevel="0" collapsed="false">
      <c r="A25" s="79" t="s">
        <v>231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46288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46288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46288</v>
      </c>
    </row>
    <row r="28" customFormat="false" ht="15" hidden="false" customHeight="false" outlineLevel="0" collapsed="false">
      <c r="A28" s="79" t="s">
        <v>217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46288</v>
      </c>
    </row>
    <row r="29" customFormat="false" ht="15" hidden="false" customHeight="false" outlineLevel="0" collapsed="false">
      <c r="A29" s="79" t="s">
        <v>243</v>
      </c>
      <c r="B29" s="83" t="n">
        <v>5.13</v>
      </c>
      <c r="C29" s="83" t="n">
        <v>14.65</v>
      </c>
      <c r="D29" s="81" t="n">
        <v>46387</v>
      </c>
      <c r="E29" s="80" t="n">
        <v>1</v>
      </c>
      <c r="F29" s="81" t="n">
        <v>46288</v>
      </c>
    </row>
    <row r="30" customFormat="false" ht="15" hidden="false" customHeight="false" outlineLevel="0" collapsed="false">
      <c r="A30" s="79" t="s">
        <v>227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46288</v>
      </c>
    </row>
    <row r="32" customFormat="false" ht="15" hidden="false" customHeight="false" outlineLevel="0" collapsed="false">
      <c r="A32" s="25" t="s">
        <v>1485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1486</v>
      </c>
      <c r="C1" s="15" t="s">
        <v>1487</v>
      </c>
      <c r="D1" s="15" t="s">
        <v>1488</v>
      </c>
      <c r="E1" s="15" t="s">
        <v>1484</v>
      </c>
    </row>
    <row r="2" customFormat="false" ht="15" hidden="false" customHeight="false" outlineLevel="0" collapsed="false">
      <c r="A2" s="79" t="s">
        <v>207</v>
      </c>
      <c r="B2" s="83" t="n">
        <v>12670</v>
      </c>
      <c r="C2" s="81" t="n">
        <v>46288</v>
      </c>
      <c r="D2" s="81"/>
      <c r="E2" s="81" t="n">
        <v>46288</v>
      </c>
    </row>
    <row r="3" customFormat="false" ht="15" hidden="false" customHeight="false" outlineLevel="0" collapsed="false">
      <c r="A3" s="79" t="s">
        <v>219</v>
      </c>
      <c r="B3" s="83" t="n">
        <v>160</v>
      </c>
      <c r="C3" s="81" t="n">
        <v>46288</v>
      </c>
      <c r="D3" s="81"/>
      <c r="E3" s="81" t="n">
        <v>46288</v>
      </c>
    </row>
    <row r="4" customFormat="false" ht="15" hidden="false" customHeight="false" outlineLevel="0" collapsed="false">
      <c r="A4" s="79" t="s">
        <v>345</v>
      </c>
      <c r="B4" s="83" t="n">
        <v>571</v>
      </c>
      <c r="C4" s="81" t="n">
        <v>46288</v>
      </c>
      <c r="D4" s="81"/>
      <c r="E4" s="81" t="n">
        <v>46288</v>
      </c>
    </row>
    <row r="5" customFormat="false" ht="15" hidden="false" customHeight="false" outlineLevel="0" collapsed="false">
      <c r="A5" s="79" t="s">
        <v>79</v>
      </c>
      <c r="B5" s="83" t="n">
        <v>2460</v>
      </c>
      <c r="C5" s="81" t="n">
        <v>46288</v>
      </c>
      <c r="D5" s="81"/>
      <c r="E5" s="81" t="n">
        <v>46288</v>
      </c>
    </row>
    <row r="6" customFormat="false" ht="15" hidden="false" customHeight="false" outlineLevel="0" collapsed="false">
      <c r="A6" s="79" t="s">
        <v>236</v>
      </c>
      <c r="B6" s="83" t="n">
        <v>171</v>
      </c>
      <c r="C6" s="81" t="n">
        <v>46288</v>
      </c>
      <c r="D6" s="81"/>
      <c r="E6" s="81" t="n">
        <v>46288</v>
      </c>
    </row>
    <row r="7" customFormat="false" ht="15" hidden="false" customHeight="false" outlineLevel="0" collapsed="false">
      <c r="A7" s="79" t="s">
        <v>204</v>
      </c>
      <c r="B7" s="83" t="n">
        <v>366.5</v>
      </c>
      <c r="C7" s="81" t="n">
        <v>46288</v>
      </c>
      <c r="D7" s="81"/>
      <c r="E7" s="81" t="n">
        <v>46288</v>
      </c>
    </row>
    <row r="8" customFormat="false" ht="15" hidden="false" customHeight="false" outlineLevel="0" collapsed="false">
      <c r="A8" s="79" t="s">
        <v>182</v>
      </c>
      <c r="B8" s="83" t="n">
        <v>497</v>
      </c>
      <c r="C8" s="81" t="n">
        <v>46288</v>
      </c>
      <c r="D8" s="81"/>
      <c r="E8" s="81" t="n">
        <v>46288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5180</v>
      </c>
      <c r="C10" s="81" t="n">
        <v>46288</v>
      </c>
      <c r="D10" s="81"/>
      <c r="E10" s="81" t="n">
        <v>46288</v>
      </c>
    </row>
    <row r="11" customFormat="false" ht="15" hidden="false" customHeight="false" outlineLevel="0" collapsed="false">
      <c r="A11" s="79" t="s">
        <v>190</v>
      </c>
      <c r="B11" s="83" t="n">
        <v>547</v>
      </c>
      <c r="C11" s="81" t="n">
        <v>46288</v>
      </c>
      <c r="D11" s="81"/>
      <c r="E11" s="81" t="n">
        <v>46288</v>
      </c>
    </row>
    <row r="12" customFormat="false" ht="15" hidden="false" customHeight="false" outlineLevel="0" collapsed="false">
      <c r="A12" s="79" t="s">
        <v>223</v>
      </c>
      <c r="B12" s="83" t="n">
        <v>91.1</v>
      </c>
      <c r="C12" s="81" t="n">
        <v>46288</v>
      </c>
      <c r="D12" s="81"/>
      <c r="E12" s="81" t="n">
        <v>46288</v>
      </c>
    </row>
    <row r="13" customFormat="false" ht="15" hidden="false" customHeight="false" outlineLevel="0" collapsed="false">
      <c r="A13" s="79" t="s">
        <v>195</v>
      </c>
      <c r="B13" s="83" t="n">
        <v>557</v>
      </c>
      <c r="C13" s="81" t="n">
        <v>46288</v>
      </c>
      <c r="D13" s="81"/>
      <c r="E13" s="81" t="n">
        <v>46288</v>
      </c>
    </row>
    <row r="14" customFormat="false" ht="15" hidden="false" customHeight="false" outlineLevel="0" collapsed="false">
      <c r="A14" s="79" t="s">
        <v>209</v>
      </c>
      <c r="B14" s="83" t="n">
        <v>2825</v>
      </c>
      <c r="C14" s="81" t="n">
        <v>46288</v>
      </c>
      <c r="D14" s="81"/>
      <c r="E14" s="81" t="n">
        <v>46288</v>
      </c>
    </row>
    <row r="15" customFormat="false" ht="15" hidden="false" customHeight="false" outlineLevel="0" collapsed="false">
      <c r="A15" s="79" t="s">
        <v>229</v>
      </c>
      <c r="B15" s="83" t="n">
        <v>501</v>
      </c>
      <c r="C15" s="81" t="n">
        <v>46288</v>
      </c>
      <c r="D15" s="81"/>
      <c r="E15" s="81" t="n">
        <v>46288</v>
      </c>
    </row>
    <row r="16" customFormat="false" ht="15" hidden="false" customHeight="false" outlineLevel="0" collapsed="false">
      <c r="A16" s="79" t="s">
        <v>211</v>
      </c>
      <c r="B16" s="83" t="n">
        <v>667</v>
      </c>
      <c r="C16" s="81" t="n">
        <v>46288</v>
      </c>
      <c r="D16" s="81"/>
      <c r="E16" s="81" t="n">
        <v>46288</v>
      </c>
    </row>
    <row r="17" customFormat="false" ht="15" hidden="false" customHeight="false" outlineLevel="0" collapsed="false">
      <c r="A17" s="79" t="s">
        <v>215</v>
      </c>
      <c r="B17" s="83" t="n">
        <v>909</v>
      </c>
      <c r="C17" s="81" t="n">
        <v>46288</v>
      </c>
      <c r="D17" s="81"/>
      <c r="E17" s="81" t="n">
        <v>46288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660</v>
      </c>
      <c r="C19" s="81" t="n">
        <v>46288</v>
      </c>
      <c r="D19" s="81"/>
      <c r="E19" s="81" t="n">
        <v>46288</v>
      </c>
    </row>
    <row r="20" customFormat="false" ht="15" hidden="false" customHeight="false" outlineLevel="0" collapsed="false">
      <c r="A20" s="79" t="s">
        <v>245</v>
      </c>
      <c r="B20" s="83" t="n">
        <v>8375</v>
      </c>
      <c r="C20" s="81" t="n">
        <v>46288</v>
      </c>
      <c r="D20" s="81"/>
      <c r="E20" s="81" t="n">
        <v>46288</v>
      </c>
    </row>
    <row r="21" customFormat="false" ht="15" hidden="false" customHeight="false" outlineLevel="0" collapsed="false">
      <c r="A21" s="79" t="s">
        <v>241</v>
      </c>
      <c r="B21" s="83" t="n">
        <v>526</v>
      </c>
      <c r="C21" s="81" t="n">
        <v>46288</v>
      </c>
      <c r="D21" s="81"/>
      <c r="E21" s="81" t="n">
        <v>46288</v>
      </c>
    </row>
    <row r="22" customFormat="false" ht="15" hidden="false" customHeight="false" outlineLevel="0" collapsed="false">
      <c r="A22" s="79" t="s">
        <v>197</v>
      </c>
      <c r="B22" s="83" t="n">
        <v>2245</v>
      </c>
      <c r="C22" s="81" t="n">
        <v>46288</v>
      </c>
      <c r="D22" s="81"/>
      <c r="E22" s="81" t="n">
        <v>46288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225</v>
      </c>
      <c r="B24" s="83" t="n">
        <v>90</v>
      </c>
      <c r="C24" s="81" t="n">
        <v>46288</v>
      </c>
      <c r="D24" s="81"/>
      <c r="E24" s="81" t="n">
        <v>46288</v>
      </c>
    </row>
    <row r="25" customFormat="false" ht="15" hidden="false" customHeight="false" outlineLevel="0" collapsed="false">
      <c r="A25" s="79" t="s">
        <v>231</v>
      </c>
      <c r="B25" s="83" t="n">
        <v>605</v>
      </c>
      <c r="C25" s="81" t="n">
        <v>46288</v>
      </c>
      <c r="D25" s="81"/>
      <c r="E25" s="81" t="n">
        <v>46288</v>
      </c>
    </row>
    <row r="26" customFormat="false" ht="15" hidden="false" customHeight="false" outlineLevel="0" collapsed="false">
      <c r="A26" s="79" t="s">
        <v>186</v>
      </c>
      <c r="B26" s="83" t="n">
        <v>1295</v>
      </c>
      <c r="C26" s="81" t="n">
        <v>46288</v>
      </c>
      <c r="D26" s="81"/>
      <c r="E26" s="81" t="n">
        <v>46288</v>
      </c>
    </row>
    <row r="27" customFormat="false" ht="15" hidden="false" customHeight="false" outlineLevel="0" collapsed="false">
      <c r="A27" s="79" t="s">
        <v>201</v>
      </c>
      <c r="B27" s="83" t="n">
        <v>534</v>
      </c>
      <c r="C27" s="81" t="n">
        <v>46288</v>
      </c>
      <c r="D27" s="81"/>
      <c r="E27" s="81" t="n">
        <v>46288</v>
      </c>
    </row>
    <row r="28" customFormat="false" ht="15" hidden="false" customHeight="false" outlineLevel="0" collapsed="false">
      <c r="A28" s="79" t="s">
        <v>217</v>
      </c>
      <c r="B28" s="83" t="n">
        <v>1510</v>
      </c>
      <c r="C28" s="81" t="n">
        <v>46288</v>
      </c>
      <c r="D28" s="81"/>
      <c r="E28" s="81" t="n">
        <v>46288</v>
      </c>
    </row>
    <row r="29" customFormat="false" ht="15" hidden="false" customHeight="false" outlineLevel="0" collapsed="false">
      <c r="A29" s="79" t="s">
        <v>243</v>
      </c>
      <c r="B29" s="83" t="n">
        <v>547</v>
      </c>
      <c r="C29" s="81" t="n">
        <v>46288</v>
      </c>
      <c r="D29" s="81"/>
      <c r="E29" s="81" t="n">
        <v>46288</v>
      </c>
    </row>
    <row r="30" customFormat="false" ht="15" hidden="false" customHeight="false" outlineLevel="0" collapsed="false">
      <c r="A30" s="79" t="s">
        <v>227</v>
      </c>
      <c r="B30" s="83" t="n">
        <v>2185</v>
      </c>
      <c r="C30" s="81" t="n">
        <v>46288</v>
      </c>
      <c r="D30" s="81"/>
      <c r="E30" s="81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1489</v>
      </c>
      <c r="F1" s="15" t="s">
        <v>1490</v>
      </c>
      <c r="G1" s="15" t="s">
        <v>1491</v>
      </c>
      <c r="H1" s="15" t="s">
        <v>1492</v>
      </c>
      <c r="I1" s="15" t="s">
        <v>1493</v>
      </c>
      <c r="J1" s="15" t="s">
        <v>66</v>
      </c>
      <c r="K1" s="15" t="s">
        <v>1494</v>
      </c>
      <c r="L1" s="15" t="s">
        <v>1495</v>
      </c>
      <c r="M1" s="15" t="s">
        <v>1496</v>
      </c>
      <c r="N1" s="15" t="s">
        <v>68</v>
      </c>
      <c r="O1" s="15" t="s">
        <v>69</v>
      </c>
      <c r="P1" s="15" t="s">
        <v>1497</v>
      </c>
      <c r="Q1" s="16" t="s">
        <v>51</v>
      </c>
      <c r="R1" s="16" t="s">
        <v>70</v>
      </c>
      <c r="S1" s="16" t="s">
        <v>1498</v>
      </c>
      <c r="T1" s="16" t="s">
        <v>1499</v>
      </c>
      <c r="U1" s="16" t="s">
        <v>1500</v>
      </c>
      <c r="V1" s="16" t="s">
        <v>1501</v>
      </c>
      <c r="W1" s="16" t="s">
        <v>1502</v>
      </c>
      <c r="X1" s="16" t="s">
        <v>63</v>
      </c>
      <c r="Y1" s="16" t="s">
        <v>64</v>
      </c>
      <c r="Z1" s="15" t="s">
        <v>1503</v>
      </c>
      <c r="AA1" s="16" t="s">
        <v>1504</v>
      </c>
      <c r="AB1" s="16" t="s">
        <v>1505</v>
      </c>
      <c r="AC1" s="15" t="s">
        <v>1506</v>
      </c>
      <c r="AD1" s="15" t="s">
        <v>139</v>
      </c>
      <c r="AE1" s="16" t="s">
        <v>101</v>
      </c>
      <c r="AF1" s="16" t="s">
        <v>1507</v>
      </c>
      <c r="AG1" s="15" t="s">
        <v>58</v>
      </c>
      <c r="AH1" s="15" t="s">
        <v>59</v>
      </c>
      <c r="AI1" s="15" t="s">
        <v>1508</v>
      </c>
      <c r="AJ1" s="16" t="s">
        <v>65</v>
      </c>
      <c r="AK1" s="16" t="s">
        <v>71</v>
      </c>
      <c r="AL1" s="16" t="s">
        <v>1509</v>
      </c>
      <c r="AM1" s="16" t="s">
        <v>81</v>
      </c>
      <c r="AN1" s="16" t="s">
        <v>82</v>
      </c>
      <c r="AO1" s="16" t="s">
        <v>83</v>
      </c>
      <c r="AP1" s="15" t="s">
        <v>1510</v>
      </c>
      <c r="AQ1" s="15" t="s">
        <v>1511</v>
      </c>
      <c r="AR1" s="15" t="s">
        <v>1512</v>
      </c>
      <c r="AS1" s="15" t="s">
        <v>1513</v>
      </c>
      <c r="AT1" s="15" t="s">
        <v>1514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133.438128712329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28.5118219749652</v>
      </c>
      <c r="K2" s="52" t="n">
        <f aca="false">IF($A2="","",IFERROR(IF(G2&lt;=0,"N/M",D2/G2),"N/M"))</f>
        <v>25.3525995226085</v>
      </c>
      <c r="L2" s="52" t="n">
        <f aca="false">IF($A2="","",IFERROR(IF(H2&lt;=0,"N/M",D2/H2),"N/M"))</f>
        <v>18.4355103278117</v>
      </c>
      <c r="M2" s="49" t="n">
        <f aca="false">IF($A2="","",IFERROR(INDEX(Raw_Est!$C$2:$C$100,MATCH($A2,Raw_Est!$A$2:$A$100,0))/INDEX(Raw_Est!$B$2:$B$100,MATCH($A2,Raw_Est!$A$2:$A$100,0))-1,""))</f>
        <v>0.325558924432082</v>
      </c>
      <c r="N2" s="51" t="n">
        <f aca="false">IF($A2="","",IFERROR(IF(OR(NOT(ISNUMBER(J2)),I2&lt;Config!$B$6),"N/M",J2/(I2*100)),"N/M"))</f>
        <v>0.535702601071169</v>
      </c>
      <c r="O2" s="51" t="n">
        <f aca="false">IF($A2="","",IFERROR(IF(OR(NOT(ISNUMBER(L2)),M2&lt;Config!$B$6),"N/M",L2/(M2*100)),"N/M"))</f>
        <v>0.566272614396037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0.00894313015447155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0.434791782947913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46288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93.210036739726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18.3057090239411</v>
      </c>
      <c r="K3" s="52" t="n">
        <f aca="false">IF($A3="","",IFERROR(IF(G3&lt;=0,"N/M",D3/G3),"N/M"))</f>
        <v>10.4636315117421</v>
      </c>
      <c r="L3" s="52" t="n">
        <f aca="false">IF($A3="","",IFERROR(IF(H3&lt;=0,"N/M",D3/H3),"N/M"))</f>
        <v>5.33204381613744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0.113668746957888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46288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237.784970465753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5.4460969398674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46288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8.26963452054795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132.766990291262</v>
      </c>
      <c r="K5" s="52" t="n">
        <f aca="false">IF($A5="","",IFERROR(IF(G5&lt;=0,"N/M",D5/G5),"N/M"))</f>
        <v>116.524543647708</v>
      </c>
      <c r="L5" s="52" t="n">
        <f aca="false">IF($A5="","",IFERROR(IF(H5&lt;=0,"N/M",D5/H5),"N/M"))</f>
        <v>66.1456076010184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2.1564065302084</v>
      </c>
      <c r="O5" s="51" t="n">
        <f aca="false">IF($A5="","",IFERROR(IF(OR(NOT(ISNUMBER(L5)),M5&lt;Config!$B$6),"N/M",L5/(M5*100)),"N/M"))</f>
        <v>0.978137817641284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0.00479077976234004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46288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34.8848276712329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19.4279734914545</v>
      </c>
      <c r="K6" s="52" t="n">
        <f aca="false">IF($A6="","",IFERROR(IF(G6&lt;=0,"N/M",D6/G6),"N/M"))</f>
        <v>17.2805716425509</v>
      </c>
      <c r="L6" s="52" t="n">
        <f aca="false">IF($A6="","",IFERROR(IF(H6&lt;=0,"N/M",D6/H6),"N/M"))</f>
        <v>15.9668267606011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0.0502692998204668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46288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2245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101.64310890411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41.1699981661471</v>
      </c>
      <c r="K7" s="52" t="n">
        <f aca="false">IF($A7="","",IFERROR(IF(G7&lt;=0,"N/M",D7/G7),"N/M"))</f>
        <v>37.5645771893497</v>
      </c>
      <c r="L7" s="52" t="n">
        <f aca="false">IF($A7="","",IFERROR(IF(H7&lt;=0,"N/M",D7/H7),"N/M"))</f>
        <v>22.0870851374483</v>
      </c>
      <c r="M7" s="49" t="n">
        <f aca="false">IF($A7="","",IFERROR(INDEX(Raw_Est!$C$2:$C$100,MATCH($A7,Raw_Est!$A$2:$A$100,0))/INDEX(Raw_Est!$B$2:$B$100,MATCH($A7,Raw_Est!$A$2:$A$100,0))-1,""))</f>
        <v>0.730769804887912</v>
      </c>
      <c r="N7" s="51" t="n">
        <f aca="false">IF($A7="","",IFERROR(IF(OR(NOT(ISNUMBER(J7)),I7&lt;Config!$B$6),"N/M",J7/(I7*100)),"N/M"))</f>
        <v>0.716440721856117</v>
      </c>
      <c r="O7" s="51" t="n">
        <f aca="false">IF($A7="","",IFERROR(IF(OR(NOT(ISNUMBER(L7)),M7&lt;Config!$B$6),"N/M",L7/(M7*100)),"N/M"))</f>
        <v>0.302244085479642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0.00467950222271715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0.261043871679733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46288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534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33.3630410958904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16.0057351626071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1.2667751534136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46288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366.5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36.3325144109589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13.7214526394609</v>
      </c>
      <c r="K9" s="52" t="n">
        <f aca="false">IF($A9="","",IFERROR(IF(G9&lt;=0,"N/M",D9/G9),"N/M"))</f>
        <v>12.0691574246229</v>
      </c>
      <c r="L9" s="52" t="n">
        <f aca="false">IF($A9="","",IFERROR(IF(H9&lt;=0,"N/M",D9/H9),"N/M"))</f>
        <v>10.0873833243276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0.218956513449901</v>
      </c>
      <c r="O9" s="51" t="n">
        <f aca="false">IF($A9="","",IFERROR(IF(OR(NOT(ISNUMBER(L9)),M9&lt;Config!$B$6),"N/M",L9/(M9*100)),"N/M"))</f>
        <v>1.0050430549032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0.0272851296043656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46288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12670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458.301708164384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69.8494955620486</v>
      </c>
      <c r="K10" s="52" t="n">
        <f aca="false">IF($A10="","",IFERROR(IF(G10&lt;=0,"N/M",D10/G10),"N/M"))</f>
        <v>47.5885077697535</v>
      </c>
      <c r="L10" s="52" t="n">
        <f aca="false">IF($A10="","",IFERROR(IF(H10&lt;=0,"N/M",D10/H10),"N/M"))</f>
        <v>27.6455439163572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0.414470610085768</v>
      </c>
      <c r="O10" s="51" t="n">
        <f aca="false">IF($A10="","",IFERROR(IF(OR(NOT(ISNUMBER(L10)),M10&lt;Config!$B$6),"N/M",L10/(M10*100)),"N/M"))</f>
        <v>0.669300908511162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0.0025414364640884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46288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34.0322504657534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252.007136485281</v>
      </c>
      <c r="K11" s="52" t="n">
        <f aca="false">IF($A11="","",IFERROR(IF(G11&lt;=0,"N/M",D11/G11),"N/M"))</f>
        <v>177.449748743719</v>
      </c>
      <c r="L11" s="52" t="n">
        <f aca="false">IF($A11="","",IFERROR(IF(H11&lt;=0,"N/M",D11/H11),"N/M"))</f>
        <v>83.0094972074442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0.447365609937106</v>
      </c>
      <c r="O11" s="51" t="n">
        <f aca="false">IF($A11="","",IFERROR(IF(OR(NOT(ISNUMBER(L11)),M11&lt;Config!$B$6),"N/M",L11/(M11*100)),"N/M"))</f>
        <v>0.837350476501355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0.000176998991150443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46288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667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69.1908713692946</v>
      </c>
      <c r="K12" s="52" t="n">
        <f aca="false">IF($A12="","",IFERROR(IF(G12&lt;=0,"N/M",D12/G12),"N/M"))</f>
        <v>97.2303206997085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0.259589146506769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46288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909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22.1140370958904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154.06779661017</v>
      </c>
      <c r="K13" s="52" t="n">
        <f aca="false">IF($A13="","",IFERROR(IF(G13&lt;=0,"N/M",D13/G13),"N/M"))</f>
        <v>109.068002519723</v>
      </c>
      <c r="L13" s="52" t="n">
        <f aca="false">IF($A13="","",IFERROR(IF(H13&lt;=0,"N/M",D13/H13),"N/M"))</f>
        <v>41.1051132843096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0.397488345198945</v>
      </c>
      <c r="O13" s="51" t="n">
        <f aca="false">IF($A13="","",IFERROR(IF(OR(NOT(ISNUMBER(L13)),M13&lt;Config!$B$6),"N/M",L13/(M13*100)),"N/M"))</f>
        <v>0.26681082103127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0.00110029915291529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46288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111.558876712329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13.535453605308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0.12344954817843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46288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160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7.14614479452055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23.9520958083832</v>
      </c>
      <c r="K15" s="52" t="n">
        <f aca="false">IF($A15="","",IFERROR(IF(G15&lt;=0,"N/M",D15/G15),"N/M"))</f>
        <v>23.2173433554866</v>
      </c>
      <c r="L15" s="52" t="n">
        <f aca="false">IF($A15="","",IFERROR(IF(H15&lt;=0,"N/M",D15/H15),"N/M"))</f>
        <v>22.3896946676316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0.216319497756624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46288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5180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124.512786849315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85.3517877739331</v>
      </c>
      <c r="K16" s="52" t="n">
        <f aca="false">IF($A16="","",IFERROR(IF(G16&lt;=0,"N/M",D16/G16),"N/M"))</f>
        <v>85.9261294060779</v>
      </c>
      <c r="L16" s="52" t="n">
        <f aca="false">IF($A16="","",IFERROR(IF(H16&lt;=0,"N/M",D16/H16),"N/M"))</f>
        <v>41.6021529280267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0.365181861098063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0.0104247524073359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46288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33.7407407407407</v>
      </c>
      <c r="K17" s="52" t="n">
        <f aca="false">IF($A17="","",IFERROR(IF(G17&lt;=0,"N/M",D17/G17),"N/M"))</f>
        <v>29.1054313099042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46288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6.79513057534247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15.2027027027027</v>
      </c>
      <c r="K18" s="52" t="n">
        <f aca="false">IF($A18="","",IFERROR(IF(G18&lt;=0,"N/M",D18/G18),"N/M"))</f>
        <v>15.7878948947211</v>
      </c>
      <c r="L18" s="52" t="n">
        <f aca="false">IF($A18="","",IFERROR(IF(H18&lt;=0,"N/M",D18/H18),"N/M"))</f>
        <v>13.2447785958056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0.617203742203742</v>
      </c>
      <c r="O18" s="51" t="n">
        <f aca="false">IF($A18="","",IFERROR(IF(OR(NOT(ISNUMBER(L18)),M18&lt;Config!$B$6),"N/M",L18/(M18*100)),"N/M"))</f>
        <v>0.477434037213879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0.0445492982222222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46288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2185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292.795979342466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7.46253416767154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46288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9.32352964383562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58.8719153936545</v>
      </c>
      <c r="K20" s="52" t="n">
        <f aca="false">IF($A20="","",IFERROR(IF(G20&lt;=0,"N/M",D20/G20),"N/M"))</f>
        <v>61.7928053933649</v>
      </c>
      <c r="L20" s="52" t="n">
        <f aca="false">IF($A20="","",IFERROR(IF(H20&lt;=0,"N/M",D20/H20),"N/M"))</f>
        <v>53.7350144353585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1.83628145800326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0.00399201596806387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46288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605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12.3018904109589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98.3739837398374</v>
      </c>
      <c r="K21" s="52" t="n">
        <f aca="false">IF($A21="","",IFERROR(IF(G21&lt;=0,"N/M",D21/G21),"N/M"))</f>
        <v>89.1016200294551</v>
      </c>
      <c r="L21" s="52" t="n">
        <f aca="false">IF($A21="","",IFERROR(IF(H21&lt;=0,"N/M",D21/H21),"N/M"))</f>
        <v>49.1794333870059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2.20047068891741</v>
      </c>
      <c r="O21" s="51" t="n">
        <f aca="false">IF($A21="","",IFERROR(IF(OR(NOT(ISNUMBER(L21)),M21&lt;Config!$B$6),"N/M",L21/(M21*100)),"N/M"))</f>
        <v>0.539222570815985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0.00255311211570248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46288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660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12.3899863013699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53.268824028242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0.00653116562547225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46288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171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44.006004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18.8741721854305</v>
      </c>
      <c r="K23" s="52" t="n">
        <f aca="false">IF($A23="","",IFERROR(IF(G23&lt;=0,"N/M",D23/G23),"N/M"))</f>
        <v>10.3579677303876</v>
      </c>
      <c r="L23" s="52" t="n">
        <f aca="false">IF($A23="","",IFERROR(IF(H23&lt;=0,"N/M",D23/H23),"N/M"))</f>
        <v>3.88583339673377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0.0389993613117848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0.00292397660818713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46288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526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106.910569105691</v>
      </c>
      <c r="K25" s="52" t="n">
        <f aca="false">IF($A25="","",IFERROR(IF(G25&lt;=0,"N/M",D25/G25),"N/M"))</f>
        <v>122.041763341067</v>
      </c>
      <c r="L25" s="52" t="n">
        <f aca="false">IF($A25="","",IFERROR(IF(H25&lt;=0,"N/M",D25/H25),"N/M"))</f>
        <v>43.9431913116124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0.00190114068441065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46288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547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12.0678630136986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45.3269977774095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0.244251574157679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46288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8375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101.048651041096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214.688541399641</v>
      </c>
      <c r="K27" s="52" t="n">
        <f aca="false">IF($A27="","",IFERROR(IF(G27&lt;=0,"N/M",D27/G27),"N/M"))</f>
        <v>186.566291402958</v>
      </c>
      <c r="L27" s="52" t="n">
        <f aca="false">IF($A27="","",IFERROR(IF(H27&lt;=0,"N/M",D27/H27),"N/M"))</f>
        <v>82.8808689053547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4.84977289845138</v>
      </c>
      <c r="O27" s="51" t="n">
        <f aca="false">IF($A27="","",IFERROR(IF(OR(NOT(ISNUMBER(L27)),M27&lt;Config!$B$6),"N/M",L27/(M27*100)),"N/M"))</f>
        <v>0.655343006873046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0.00238805970149254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46288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1516</v>
      </c>
    </row>
    <row r="3" customFormat="false" ht="31.5" hidden="false" customHeight="true" outlineLevel="0" collapsed="false">
      <c r="A3" s="16" t="s">
        <v>1517</v>
      </c>
      <c r="B3" s="16" t="s">
        <v>1518</v>
      </c>
      <c r="C3" s="16" t="s">
        <v>1519</v>
      </c>
    </row>
    <row r="4" customFormat="false" ht="15" hidden="false" customHeight="false" outlineLevel="0" collapsed="false">
      <c r="A4" s="5" t="s">
        <v>1520</v>
      </c>
      <c r="B4" s="86" t="n">
        <v>24</v>
      </c>
      <c r="C4" s="25" t="s">
        <v>1521</v>
      </c>
    </row>
    <row r="5" customFormat="false" ht="15" hidden="false" customHeight="false" outlineLevel="0" collapsed="false">
      <c r="A5" s="5" t="s">
        <v>1522</v>
      </c>
      <c r="B5" s="86" t="n">
        <v>20</v>
      </c>
      <c r="C5" s="25" t="s">
        <v>1523</v>
      </c>
    </row>
    <row r="6" customFormat="false" ht="15" hidden="false" customHeight="false" outlineLevel="0" collapsed="false">
      <c r="A6" s="2" t="s">
        <v>1524</v>
      </c>
      <c r="B6" s="87" t="n">
        <v>0.05</v>
      </c>
      <c r="C6" s="24" t="s">
        <v>1525</v>
      </c>
    </row>
    <row r="7" customFormat="false" ht="15" hidden="false" customHeight="false" outlineLevel="0" collapsed="false">
      <c r="A7" s="5" t="s">
        <v>1526</v>
      </c>
      <c r="B7" s="86" t="n">
        <v>5</v>
      </c>
      <c r="C7" s="24" t="s">
        <v>1527</v>
      </c>
    </row>
    <row r="8" customFormat="false" ht="15" hidden="false" customHeight="false" outlineLevel="0" collapsed="false">
      <c r="A8" s="2" t="s">
        <v>1528</v>
      </c>
      <c r="B8" s="86" t="n">
        <v>365</v>
      </c>
      <c r="C8" s="25" t="s">
        <v>1529</v>
      </c>
    </row>
    <row r="9" customFormat="false" ht="15" hidden="false" customHeight="false" outlineLevel="0" collapsed="false">
      <c r="A9" s="5" t="s">
        <v>1530</v>
      </c>
      <c r="B9" s="87" t="n">
        <v>0.02</v>
      </c>
      <c r="C9" s="24" t="s">
        <v>1531</v>
      </c>
    </row>
    <row r="11" customFormat="false" ht="15" hidden="false" customHeight="false" outlineLevel="0" collapsed="false">
      <c r="A11" s="24" t="s">
        <v>1532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2026-09-23T03:49:19Z</dcterms:created>
  <dc:creator>openpyxl</dc:creator>
  <dc:description/>
  <dc:language>en-US</dc:language>
  <cp:lastModifiedBy/>
  <dcterms:modified xsi:type="dcterms:W3CDTF">2026-09-23T03:49:20Z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