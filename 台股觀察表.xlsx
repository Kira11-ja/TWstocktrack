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Dashboard!$A$2:$W$31</definedName>
    <definedName function="false" hidden="true" localSheetId="8" name="_xlnm._FilterDatabase" vbProcedure="false">Raw_Q!$A$1:$S$698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<sst xmlns="http://schemas.openxmlformats.org/spreadsheetml/2006/main" count="7721" uniqueCount="1455">
  <si>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</si>
  <si>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</si>
  <si>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</si>
  <si>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</si>
  <si>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</si>
  <si>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</si>
  <si>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</si>
  <si>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</si>
  <si>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</si>
  <si>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</si>
  <si>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</si>
  <si>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</si>
  <si>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</si>
  <si>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</si>
  <si>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</si>
  <si>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</si>
  <si>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</si>
  <si>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</si>
  <si>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</si>
  <si>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</si>
  <si>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</si>
  <si>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</si>
  <si>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</si>
  <si>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</si>
  <si>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</si>
  <si>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</si>
  <si>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</si>
  <si>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</si>
  <si>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</si>
  <si>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</si>
  <si>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</si>
  <si>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</si>
  <si>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</si>
  <si>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</si>
  <si>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</si>
  <si>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</si>
  <si>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</si>
  <si>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</si>
  <si>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</si>
  <si>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</si>
  <si>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</si>
  <si>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</si>
  <si>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</si>
  <si>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</si>
  <si>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</si>
  <si>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</si>
  <si>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</si>
  <si>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</si>
  <si>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</si>
  <si>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</si>
  <si>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</si>
  <si>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</si>
  <si>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</si>
  <si>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</si>
  <si>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</si>
  <si>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</si>
  <si>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</si>
  <si>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</si>
  <si>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</si>
  <si>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</si>
  <si>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</si>
  <si>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</si>
  <si>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</si>
  <si>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</si>
  <si>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</si>
  <si>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</si>
  <si>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</si>
  <si>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</si>
  <si>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</si>
  <si>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</si>
  <si>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</si>
  <si>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</si>
  <si>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</si>
  <si>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</si>
  <si>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</si>
  <si>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</si>
  <si>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</si>
  <si>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</si>
  <si>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</si>
  <si>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</si>
  <si>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</si>
  <si>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</si>
  <si>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</si>
  <si>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</si>
  <si>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</si>
  <si>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</si>
  <si>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</si>
  <si>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</si>
  <si>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</si>
  <si>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</si>
  <si>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</si>
  <si>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</si>
  <si>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</si>
  <si>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</si>
  <si>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</si>
  <si>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</si>
  <si>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</si>
  <si>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</si>
  <si>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</si>
  <si>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</si>
  <si>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</si>
  <si>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</si>
  <si>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</si>
  <si>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</si>
  <si>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</si>
  <si>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</si>
  <si>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</si>
  <si>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</si>
  <si>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</si>
  <si>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</si>
  <si>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</si>
  <si>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</si>
  <si>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</si>
  <si>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</si>
  <si>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</si>
  <si>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</si>
  <si>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</si>
  <si>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</si>
  <si>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</si>
  <si>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</si>
  <si>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</si>
  <si>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</si>
  <si>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</si>
  <si>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</si>
  <si>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</si>
  <si>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</si>
  <si>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</si>
  <si>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</si>
  <si>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</si>
  <si>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</si>
  <si>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</si>
  <si>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</si>
  <si>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</si>
  <si>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</si>
  <si>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</si>
  <si>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</si>
  <si>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</si>
  <si>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</si>
  <si>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</si>
  <si>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</si>
  <si>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</si>
  <si>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</si>
  <si>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</si>
  <si>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</si>
  <si>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</si>
  <si>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</si>
  <si>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</si>
  <si>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</si>
  <si>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</si>
  <si>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</si>
  <si>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</si>
  <si>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</si>
  <si>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</si>
  <si>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</si>
  <si>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</si>
  <si>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</si>
  <si>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</si>
  <si>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</si>
  <si>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</si>
  <si>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</si>
  <si>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</si>
  <si>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</si>
  <si>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</si>
  <si>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</si>
  <si>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</si>
  <si>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</si>
  <si>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</si>
  <si>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</si>
  <si>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</si>
  <si>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</si>
  <si>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</si>
  <si>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</si>
  <si>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</si>
  <si>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</si>
  <si>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</si>
  <si>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</si>
  <si>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</si>
  <si>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</si>
  <si>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</si>
  <si>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</si>
  <si>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</si>
  <si>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</si>
  <si>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</si>
  <si>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</si>
  <si>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</si>
  <si>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</si>
  <si>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</si>
  <si>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</si>
  <si>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</si>
  <si>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</si>
  <si>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</si>
  <si>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</si>
  <si>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</si>
  <si>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</si>
  <si>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</si>
  <si>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</si>
  <si>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</si>
  <si>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</si>
  <si>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</si>
  <si>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</si>
  <si>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</si>
  <si>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</si>
  <si>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</si>
  <si>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</si>
  <si>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</si>
  <si>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</si>
  <si>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</si>
  <si>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</si>
  <si>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</si>
  <si>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</si>
  <si>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</si>
  <si>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</si>
  <si>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</si>
  <si>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</si>
  <si>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</si>
  <si>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</si>
  <si>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</si>
  <si>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</si>
  <si>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</si>
  <si>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</si>
  <si>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</si>
  <si>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</si>
  <si>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</si>
  <si>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</si>
  <si>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</si>
  <si>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</si>
  <si>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</si>
  <si>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</si>
  <si>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</si>
  <si>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</si>
  <si>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</si>
  <si>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</si>
  <si>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</si>
  <si>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</si>
  <si>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</si>
  <si>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r>
      <rPr>
        <sz val="11"/>
        <color theme="1"/>
        <rFont val="DejaVu Sans"/>
        <family val="2"/>
      </rPr>
      <t xml:space="preserve">基本面</t>
    </r>
    <r>
      <rPr>
        <sz val="11"/>
        <color theme="1"/>
        <rFont val="Calibri"/>
        <family val="2"/>
        <charset val="1"/>
      </rPr>
      <t xml:space="preserve">NOTGOOD</t>
    </r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</si>
  <si>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</si>
  <si>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</si>
  <si>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</si>
  <si>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</si>
  <si>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</si>
  <si>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</si>
  <si>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</si>
  <si>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</si>
  <si>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</si>
  <si>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</si>
  <si>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</si>
  <si>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</si>
  <si>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</si>
  <si>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</si>
  <si>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</si>
  <si>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</si>
  <si>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</si>
  <si>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</si>
  <si>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</si>
  <si>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</si>
  <si>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</si>
  <si>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</si>
  <si>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</si>
  <si>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</si>
  <si>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</si>
  <si>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</si>
  <si>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</si>
  <si>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</si>
  <si>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</si>
  <si>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</si>
  <si>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</si>
  <si>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</si>
  <si>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</si>
  <si>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</si>
  <si>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</si>
  <si>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</si>
  <si>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</si>
  <si>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</si>
  <si>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</si>
  <si>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</si>
  <si>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</si>
  <si>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</si>
  <si>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</si>
  <si>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</si>
  <si>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</si>
  <si>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</si>
  <si>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</si>
  <si>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</si>
  <si>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</si>
  <si>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</si>
  <si>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</si>
  <si>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</si>
  <si>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</si>
  <si>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</si>
  <si>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</si>
  <si>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</si>
  <si>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</si>
  <si>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</si>
  <si>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</si>
  <si>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</si>
  <si>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</si>
  <si>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</si>
  <si>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</si>
  <si>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</si>
  <si>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</si>
  <si>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</si>
  <si>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</si>
  <si>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</si>
  <si>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</si>
  <si>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</si>
  <si>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</si>
  <si>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</si>
  <si>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</si>
  <si>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</si>
  <si>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</si>
  <si>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</si>
  <si>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</si>
  <si>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</si>
  <si>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</si>
  <si>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</si>
  <si>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</si>
  <si>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</si>
  <si>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</si>
  <si>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</si>
  <si>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</si>
  <si>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</si>
  <si>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</si>
  <si>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</si>
  <si>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</si>
  <si>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</si>
  <si>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</si>
  <si>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</si>
  <si>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</si>
  <si>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</si>
  <si>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</si>
  <si>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</si>
  <si>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</si>
  <si>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</si>
  <si>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</si>
  <si>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</si>
  <si>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</si>
  <si>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</si>
  <si>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</si>
  <si>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</si>
  <si>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</si>
  <si>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</si>
  <si>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</si>
  <si>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</si>
  <si>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</si>
  <si>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</si>
  <si>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</si>
  <si>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</si>
  <si>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</si>
  <si>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</si>
  <si>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</si>
  <si>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</si>
  <si>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</si>
  <si>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</si>
  <si>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</si>
  <si>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</si>
  <si>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</si>
  <si>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</si>
  <si>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</si>
  <si>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</si>
  <si>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</si>
  <si>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</si>
  <si>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</si>
  <si>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</si>
  <si>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</si>
  <si>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</si>
  <si>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</si>
  <si>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</si>
  <si>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</si>
  <si>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</si>
  <si>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</si>
  <si>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</si>
  <si>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</si>
  <si>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</si>
  <si>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</si>
  <si>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</si>
  <si>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</si>
  <si>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</si>
  <si>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</si>
  <si>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</si>
  <si>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</si>
  <si>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</si>
  <si>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</si>
  <si>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</si>
  <si>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</si>
  <si>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</si>
  <si>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</si>
  <si>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</si>
  <si>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</si>
  <si>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</si>
  <si>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</si>
  <si>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</si>
  <si>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</si>
  <si>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</si>
  <si>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</si>
  <si>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</si>
  <si>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</si>
  <si>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</si>
  <si>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</si>
  <si>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</si>
  <si>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</si>
  <si>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</si>
  <si>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</si>
  <si>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</si>
  <si>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</si>
  <si>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</si>
  <si>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</si>
  <si>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</si>
  <si>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</si>
  <si>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</si>
  <si>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</si>
  <si>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</si>
  <si>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</si>
  <si>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</si>
  <si>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</si>
  <si>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</si>
  <si>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</si>
  <si>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</si>
  <si>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</si>
  <si>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</si>
  <si>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</si>
  <si>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</si>
  <si>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</si>
  <si>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</si>
  <si>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</si>
  <si>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</si>
  <si>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</si>
  <si>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</si>
  <si>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</si>
  <si>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</si>
  <si>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</si>
  <si>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</si>
  <si>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</si>
  <si>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</si>
  <si>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</si>
  <si>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</si>
  <si>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</si>
  <si>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</si>
  <si>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</si>
  <si>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</si>
  <si>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</si>
  <si>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</si>
  <si>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</si>
  <si>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</si>
  <si>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</si>
  <si>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</si>
  <si>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</si>
  <si>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</si>
  <si>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</si>
  <si>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</si>
  <si>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</si>
  <si>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</si>
  <si>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</si>
  <si>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</si>
  <si>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</si>
  <si>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</si>
  <si>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</si>
  <si>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</si>
  <si>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</si>
  <si>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</si>
  <si>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</si>
  <si>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</si>
  <si>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</si>
  <si>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</si>
  <si>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</si>
  <si>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</si>
  <si>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</si>
  <si>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</si>
  <si>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</si>
  <si>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</si>
  <si>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</si>
  <si>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</si>
  <si>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</si>
  <si>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</si>
  <si>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</si>
  <si>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</si>
  <si>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</si>
  <si>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</si>
  <si>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</si>
  <si>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</si>
  <si>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</si>
  <si>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</si>
  <si>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</si>
  <si>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</si>
  <si>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</si>
  <si>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</si>
  <si>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</si>
  <si>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</si>
  <si>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</si>
  <si>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</si>
  <si>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</si>
  <si>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</si>
  <si>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</si>
  <si>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</si>
  <si>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</si>
  <si>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</si>
  <si>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</si>
  <si>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</si>
  <si>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</si>
  <si>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</si>
  <si>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</si>
  <si>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</si>
  <si>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</si>
  <si>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</si>
  <si>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</si>
  <si>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</si>
  <si>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</si>
  <si>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</si>
  <si>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</si>
  <si>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</si>
  <si>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</si>
  <si>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</si>
  <si>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</si>
  <si>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</si>
  <si>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</si>
  <si>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</si>
  <si>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</si>
  <si>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</si>
  <si>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</si>
  <si>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</si>
  <si>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</si>
  <si>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</si>
  <si>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</si>
  <si>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</si>
  <si>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</si>
  <si>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</si>
  <si>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</si>
  <si>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</si>
  <si>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</si>
  <si>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</si>
  <si>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</si>
  <si>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</si>
  <si>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</si>
  <si>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</si>
  <si>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</si>
  <si>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</si>
  <si>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</si>
  <si>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</si>
  <si>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</si>
  <si>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</si>
  <si>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</si>
  <si>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</si>
  <si>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</si>
  <si>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</si>
  <si>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</si>
  <si>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</si>
  <si>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</si>
  <si>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</si>
  <si>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</si>
  <si>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</si>
  <si>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</si>
  <si>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</si>
  <si>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</si>
  <si>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</si>
  <si>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</si>
  <si>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</si>
  <si>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</si>
  <si>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</si>
  <si>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</si>
  <si>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</si>
  <si>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</si>
  <si>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</si>
  <si>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</si>
  <si>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</si>
  <si>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</si>
  <si>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</si>
  <si>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</si>
  <si>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</si>
  <si>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</si>
  <si>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</si>
  <si>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</si>
  <si>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</si>
  <si>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</si>
  <si>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</si>
  <si>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</si>
  <si>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</si>
  <si>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</si>
  <si>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</si>
  <si>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</si>
  <si>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</si>
  <si>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</si>
  <si>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</si>
  <si>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</si>
  <si>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</si>
  <si>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</si>
  <si>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</si>
  <si>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</si>
  <si>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</si>
  <si>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</si>
  <si>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</si>
  <si>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</si>
  <si>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</si>
  <si>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</si>
  <si>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</si>
  <si>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</si>
  <si>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</si>
  <si>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</si>
  <si>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</si>
  <si>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</si>
  <si>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</si>
  <si>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</si>
  <si>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</si>
  <si>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</si>
  <si>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</si>
  <si>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</si>
  <si>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</si>
  <si>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</si>
  <si>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</si>
  <si>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</si>
  <si>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</si>
  <si>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</si>
  <si>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</si>
  <si>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</si>
  <si>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</si>
  <si>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</si>
  <si>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</si>
  <si>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</si>
  <si>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</si>
  <si>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</si>
  <si>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</si>
  <si>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</si>
  <si>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</si>
  <si>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</si>
  <si>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</si>
  <si>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</si>
  <si>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</si>
  <si>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</si>
  <si>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</si>
  <si>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</si>
  <si>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</si>
  <si>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</si>
  <si>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</si>
  <si>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</si>
  <si>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</si>
  <si>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</si>
  <si>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</si>
  <si>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</si>
  <si>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</si>
  <si>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</si>
  <si>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</si>
  <si>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</si>
  <si>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</si>
  <si>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</si>
  <si>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</si>
  <si>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</si>
  <si>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</si>
  <si>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</si>
  <si>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</si>
  <si>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</si>
  <si>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</si>
  <si>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</si>
  <si>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</si>
  <si>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</si>
  <si>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</si>
  <si>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</si>
  <si>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</si>
  <si>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</si>
  <si>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</si>
  <si>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</si>
  <si>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</si>
  <si>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</si>
  <si>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</si>
  <si>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</si>
  <si>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</si>
  <si>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</si>
  <si>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</si>
  <si>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</si>
  <si>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</si>
  <si>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</si>
  <si>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</si>
  <si>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</si>
  <si>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</si>
  <si>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</si>
  <si>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</si>
  <si>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</si>
  <si>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</si>
  <si>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</si>
  <si>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</si>
  <si>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</si>
  <si>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</si>
  <si>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</si>
  <si>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</si>
  <si>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</si>
  <si>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</si>
  <si>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</si>
  <si>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</si>
  <si>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</si>
  <si>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</si>
  <si>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</si>
  <si>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</si>
  <si>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</si>
  <si>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</si>
  <si>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</si>
  <si>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</si>
  <si>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</si>
  <si>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</si>
  <si>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</si>
  <si>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</si>
  <si>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</si>
  <si>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</si>
  <si>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</si>
  <si>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</si>
  <si>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</si>
  <si>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</si>
  <si>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</si>
  <si>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</si>
  <si>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</si>
  <si>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</si>
  <si>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</si>
  <si>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</si>
  <si>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</si>
  <si>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</si>
  <si>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</si>
  <si>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</si>
  <si>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</si>
  <si>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</si>
  <si>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</si>
  <si>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</si>
  <si>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</si>
  <si>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</si>
  <si>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</si>
  <si>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</si>
  <si>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</si>
  <si>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</si>
  <si>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</si>
  <si>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</si>
  <si>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</si>
  <si>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</si>
  <si>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</si>
  <si>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</si>
  <si>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</si>
  <si>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</si>
  <si>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</si>
  <si>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</si>
  <si>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</si>
  <si>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</si>
  <si>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</si>
  <si>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</si>
  <si>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</si>
  <si>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</si>
  <si>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</si>
  <si>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</si>
  <si>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</si>
  <si>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</si>
  <si>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</si>
  <si>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</si>
  <si>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</si>
  <si>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</si>
  <si>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</si>
  <si>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</si>
  <si>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</si>
  <si>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</si>
  <si>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</si>
  <si>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</si>
  <si>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</si>
  <si>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</si>
  <si>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</si>
  <si>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</si>
  <si>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</si>
  <si>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</si>
  <si>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</si>
  <si>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</si>
  <si>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</si>
  <si>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</si>
  <si>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</si>
  <si>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</si>
  <si>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</si>
  <si>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</si>
  <si>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</si>
  <si>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</si>
  <si>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</si>
  <si>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</si>
  <si>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</si>
  <si>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</si>
  <si>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</si>
  <si>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</si>
  <si>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</si>
  <si>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</si>
  <si>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</si>
  <si>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</si>
  <si>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</si>
  <si>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</si>
  <si>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</si>
  <si>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</si>
  <si>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</si>
  <si>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</si>
  <si>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</si>
  <si>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</si>
  <si>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</si>
  <si>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</si>
  <si>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</si>
  <si>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</si>
  <si>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</si>
  <si>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</si>
  <si>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</si>
  <si>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</si>
  <si>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</si>
  <si>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</si>
  <si>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</si>
  <si>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</si>
  <si>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</si>
  <si>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</si>
  <si>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</si>
  <si>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</si>
  <si>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</si>
  <si>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</si>
  <si>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</si>
  <si>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</si>
  <si>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</si>
  <si>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</si>
  <si>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</si>
  <si>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</si>
  <si>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</si>
  <si>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</si>
  <si>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</si>
  <si>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</si>
  <si>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</si>
  <si>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</si>
  <si>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</si>
  <si>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</si>
  <si>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</si>
  <si>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</si>
  <si>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</si>
  <si>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</si>
  <si>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</si>
  <si>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</si>
  <si>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</si>
  <si>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</si>
  <si>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</si>
  <si>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</si>
  <si>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</si>
  <si>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</si>
  <si>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</si>
  <si>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</si>
  <si>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</si>
  <si>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</si>
  <si>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</si>
  <si>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</si>
  <si>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</si>
  <si>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</si>
  <si>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</si>
  <si>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</si>
  <si>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</si>
  <si>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</si>
  <si>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</si>
  <si>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</si>
  <si>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</si>
  <si>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</si>
  <si>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</si>
  <si>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</si>
  <si>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</si>
  <si>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</si>
  <si>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</si>
  <si>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</si>
  <si>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</si>
  <si>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</si>
  <si>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</si>
  <si>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</si>
  <si>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</si>
  <si>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</si>
  <si>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</si>
  <si>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</si>
  <si>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</si>
  <si>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</si>
  <si>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</si>
  <si>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</si>
  <si>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</si>
  <si>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</si>
  <si>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</si>
  <si>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</si>
  <si>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</si>
  <si>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</si>
  <si>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</si>
  <si>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</si>
  <si>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</si>
  <si>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</si>
  <si>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</si>
  <si>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</si>
  <si>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</si>
  <si>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</si>
  <si>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</si>
  <si>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</si>
  <si>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</si>
  <si>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</si>
  <si>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</si>
  <si>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</si>
  <si>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</si>
  <si>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</si>
  <si>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</si>
  <si>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</si>
  <si>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</si>
  <si>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</si>
  <si>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</si>
  <si>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</si>
  <si>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</si>
  <si>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</si>
  <si>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</si>
  <si>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</si>
  <si>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</si>
  <si>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</si>
  <si>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</si>
  <si>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</si>
  <si>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</si>
  <si>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</si>
  <si>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</si>
  <si>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</si>
  <si>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</si>
  <si>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</si>
  <si>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</si>
  <si>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</si>
  <si>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</si>
  <si>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</si>
  <si>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</si>
  <si>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</si>
  <si>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</si>
  <si>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</si>
  <si>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</si>
  <si>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</si>
  <si>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</si>
  <si>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</si>
  <si>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</si>
  <si>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</si>
  <si>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</si>
  <si>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</si>
  <si>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</si>
  <si>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</si>
  <si>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</si>
  <si>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</si>
  <si>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</si>
  <si>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</si>
  <si>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</si>
  <si>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</si>
  <si>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</si>
  <si>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</si>
  <si>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</si>
  <si>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</si>
  <si>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</si>
  <si>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</si>
  <si>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</si>
  <si>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</si>
  <si>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</si>
  <si>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</si>
  <si>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</si>
  <si>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</si>
  <si>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</si>
  <si>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</si>
  <si>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</si>
  <si>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</si>
  <si>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</si>
  <si>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</si>
  <si>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</si>
  <si>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</si>
  <si>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</si>
  <si>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</si>
  <si>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</si>
  <si>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</si>
  <si>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</si>
  <si>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</si>
  <si>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</si>
  <si>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</si>
  <si>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</si>
  <si>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</si>
  <si>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</si>
  <si>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</si>
  <si>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</si>
  <si>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</si>
  <si>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</si>
  <si>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</si>
  <si>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</si>
  <si>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</si>
  <si>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</si>
  <si>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</si>
  <si>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</si>
  <si>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</si>
  <si>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</si>
  <si>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</si>
  <si>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</si>
  <si>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</si>
  <si>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</si>
  <si>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</si>
  <si>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</si>
  <si>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</si>
  <si>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</si>
  <si>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</si>
  <si>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</si>
  <si>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</si>
  <si>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</si>
  <si>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</si>
  <si>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</si>
  <si>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</si>
  <si>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</si>
  <si>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</si>
  <si>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</si>
  <si>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</si>
  <si>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</si>
  <si>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</si>
  <si>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</si>
  <si>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</si>
  <si>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</si>
  <si>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</si>
  <si>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</si>
  <si>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</si>
  <si>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</si>
  <si>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</si>
  <si>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</si>
  <si>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</si>
  <si>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</si>
  <si>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</si>
  <si>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</si>
  <si>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</si>
  <si>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</si>
  <si>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</si>
  <si>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</si>
  <si>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</si>
  <si>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</si>
  <si>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</si>
  <si>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</si>
  <si>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</si>
  <si>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</si>
  <si>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</si>
  <si>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</si>
  <si>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</si>
  <si>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</si>
  <si>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</si>
  <si>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</si>
  <si>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</si>
  <si>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</si>
  <si>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</si>
  <si>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</si>
  <si>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</si>
  <si>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</si>
  <si>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</si>
  <si>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</si>
  <si>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</si>
  <si>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</si>
  <si>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</si>
  <si>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</si>
  <si>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</si>
  <si>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</si>
  <si>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</si>
  <si>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</si>
  <si>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</si>
  <si>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</si>
  <si>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</si>
  <si>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</si>
  <si>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</si>
  <si>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</si>
  <si>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</si>
  <si>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</si>
  <si>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</si>
  <si>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</si>
  <si>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</si>
  <si>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</si>
  <si>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</si>
  <si>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2024-09</t>
  </si>
  <si>
    <t xml:space="preserve">2059|25</t>
  </si>
  <si>
    <t xml:space="preserve">2024-08</t>
  </si>
  <si>
    <t xml:space="preserve">2059|26</t>
  </si>
  <si>
    <t xml:space="preserve">2024-07</t>
  </si>
  <si>
    <t xml:space="preserve">2059|27</t>
  </si>
  <si>
    <t xml:space="preserve">2024-06</t>
  </si>
  <si>
    <t xml:space="preserve">2059|28</t>
  </si>
  <si>
    <t xml:space="preserve">2024-05</t>
  </si>
  <si>
    <t xml:space="preserve">2059|29</t>
  </si>
  <si>
    <t xml:space="preserve">2024-04</t>
  </si>
  <si>
    <t xml:space="preserve">2059|30</t>
  </si>
  <si>
    <t xml:space="preserve">2024-03</t>
  </si>
  <si>
    <t xml:space="preserve">2059|31</t>
  </si>
  <si>
    <t xml:space="preserve">2024-02</t>
  </si>
  <si>
    <t xml:space="preserve">2059|32</t>
  </si>
  <si>
    <t xml:space="preserve">2024-01</t>
  </si>
  <si>
    <t xml:space="preserve">2059|33</t>
  </si>
  <si>
    <t xml:space="preserve">2023-12</t>
  </si>
  <si>
    <t xml:space="preserve">2059|34</t>
  </si>
  <si>
    <t xml:space="preserve">2023-11</t>
  </si>
  <si>
    <t xml:space="preserve">2059|35</t>
  </si>
  <si>
    <t xml:space="preserve">2023-10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</si>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</sst>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CDD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76C68B"/>
          <bgColor rgb="FF000000"/>
        </patternFill>
      </fill>
    </dxf>
    <dxf>
      <fill>
        <patternFill patternType="solid">
          <fgColor rgb="FFA9DBB6"/>
          <bgColor rgb="FF000000"/>
        </patternFill>
      </fill>
    </dxf>
    <dxf>
      <fill>
        <patternFill patternType="solid">
          <fgColor rgb="FFDCF1E1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0F9F3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7FCF9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2380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0.434003392766427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27.5846082522021</v>
      </c>
      <c r="P3" s="22" t="n">
        <f aca="false">IF(Calc!$A$2="","",Calc!L$2)</f>
        <v>18.0155166435798</v>
      </c>
      <c r="Q3" s="18" t="n">
        <f aca="false">IF(Calc!$A$2="","",Calc!N$2)</f>
        <v>0.518281378272106</v>
      </c>
      <c r="R3" s="18" t="n">
        <f aca="false">IF(Calc!$A$2="","",Calc!O$2)</f>
        <v>0.562778416489107</v>
      </c>
      <c r="S3" s="19" t="n">
        <f aca="false">IF(Calc!$A$2="","",Calc!Q$2)</f>
        <v>0.00924373957142857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492.5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0.723465622533518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18.1399631675875</v>
      </c>
      <c r="P4" s="22" t="n">
        <f aca="false">IF(Calc!$A$3="","",Calc!L$3)</f>
        <v>5.41664274846572</v>
      </c>
      <c r="Q4" s="18" t="str">
        <f aca="false">IF(Calc!$A$3="","",Calc!N$3)</f>
        <v>N/M</v>
      </c>
      <c r="R4" s="18" t="n">
        <f aca="false">IF(Calc!$A$3="","",Calc!O$3)</f>
        <v>0.111639301860847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1295</v>
      </c>
      <c r="E5" s="19" t="n">
        <f aca="false">IF(Calc!$A$4="","",Calc!AA$4)</f>
        <v>0.650062149643831</v>
      </c>
      <c r="F5" s="19" t="n">
        <f aca="false">IF(Calc!$A$4="","",Calc!AB$4)</f>
        <v>0.650062149643831</v>
      </c>
      <c r="G5" s="19" t="str">
        <f aca="false">IF(Calc!$A$4="","",Calc!AG$4)</f>
        <v>N/M</v>
      </c>
      <c r="H5" s="19" t="str">
        <f aca="false">IF(Calc!$A$4="","",Calc!AH$4)</f>
        <v/>
      </c>
      <c r="I5" s="19" t="n">
        <f aca="false">IF(Calc!$A$4="","",Calc!AI$4)</f>
        <v>1.46159230182731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99.01</v>
      </c>
      <c r="O5" s="22" t="n">
        <f aca="false">IF(Calc!$A$4="","",Calc!J$4)</f>
        <v>11.8883686771321</v>
      </c>
      <c r="P5" s="22" t="n">
        <f aca="false">IF(Calc!$A$4="","",Calc!L$4)</f>
        <v>5.37740222398318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>FY2026Q3E</v>
      </c>
      <c r="V5" s="17" t="str">
        <f aca="false">IF(Calc!$A$4="","",Calc!AL$4)</f>
        <v>consensus</v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515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0.277355670693716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125</v>
      </c>
      <c r="P6" s="22" t="n">
        <f aca="false">IF(Calc!$A$5="","",Calc!L$5)</f>
        <v>62.8217977451261</v>
      </c>
      <c r="Q6" s="18" t="n">
        <f aca="false">IF(Calc!$A$5="","",Calc!N$5)</f>
        <v>2.03025477707006</v>
      </c>
      <c r="R6" s="18" t="n">
        <f aca="false">IF(Calc!$A$5="","",Calc!O$5)</f>
        <v>0.928986494724915</v>
      </c>
      <c r="S6" s="19" t="n">
        <f aca="false">IF(Calc!$A$5="","",Calc!Q$5)</f>
        <v>0.0050884592815534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548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0.297407894854284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19.1140565050576</v>
      </c>
      <c r="P7" s="22" t="n">
        <f aca="false">IF(Calc!$A$6="","",Calc!L$6)</f>
        <v>15.7228347066727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0.0510948905109489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1995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0.258245623152622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36.5853658536585</v>
      </c>
      <c r="P8" s="22" t="n">
        <f aca="false">IF(Calc!$A$7="","",Calc!L$7)</f>
        <v>19.8493099756712</v>
      </c>
      <c r="Q8" s="18" t="n">
        <f aca="false">IF(Calc!$A$7="","",Calc!N$7)</f>
        <v>0.636658904277485</v>
      </c>
      <c r="R8" s="18" t="n">
        <f aca="false">IF(Calc!$A$7="","",Calc!O$7)</f>
        <v>0.264824715404105</v>
      </c>
      <c r="S8" s="19" t="n">
        <f aca="false">IF(Calc!$A$7="","",Calc!Q$7)</f>
        <v>0.00526590601002506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537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16.1314481967394</v>
      </c>
      <c r="Q9" s="18" t="str">
        <f aca="false">IF(Calc!$A$8="","",Calc!N$8)</f>
        <v>N/M</v>
      </c>
      <c r="R9" s="18" t="n">
        <f aca="false">IF(Calc!$A$8="","",Calc!O$8)</f>
        <v>1.27672472127044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350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0.340944215103232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13.1037064769749</v>
      </c>
      <c r="P10" s="22" t="n">
        <f aca="false">IF(Calc!$A$9="","",Calc!L$9)</f>
        <v>9.65055448716888</v>
      </c>
      <c r="Q10" s="18" t="n">
        <f aca="false">IF(Calc!$A$9="","",Calc!N$9)</f>
        <v>0.20909898965202</v>
      </c>
      <c r="R10" s="18" t="n">
        <f aca="false">IF(Calc!$A$9="","",Calc!O$9)</f>
        <v>0.961520193240048</v>
      </c>
      <c r="S10" s="19" t="n">
        <f aca="false">IF(Calc!$A$9="","",Calc!Q$9)</f>
        <v>0.0285714285714286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12045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0.994545568733013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66.4038811400849</v>
      </c>
      <c r="P11" s="22" t="n">
        <f aca="false">IF(Calc!$A$10="","",Calc!L$10)</f>
        <v>26.4428162048231</v>
      </c>
      <c r="Q11" s="18" t="n">
        <f aca="false">IF(Calc!$A$10="","",Calc!N$10)</f>
        <v>0.394025138001821</v>
      </c>
      <c r="R11" s="18" t="n">
        <f aca="false">IF(Calc!$A$10="","",Calc!O$10)</f>
        <v>0.640182770974898</v>
      </c>
      <c r="S11" s="19" t="n">
        <f aca="false">IF(Calc!$A$10="","",Calc!Q$10)</f>
        <v>0.00267330842673308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2805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0.387369162205392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250.223015165031</v>
      </c>
      <c r="P12" s="22" t="n">
        <f aca="false">IF(Calc!$A$11="","",Calc!L$11)</f>
        <v>83.3417199419822</v>
      </c>
      <c r="Q12" s="18" t="n">
        <f aca="false">IF(Calc!$A$11="","",Calc!N$11)</f>
        <v>0.444198419778259</v>
      </c>
      <c r="R12" s="18" t="n">
        <f aca="false">IF(Calc!$A$11="","",Calc!O$11)</f>
        <v>0.840701742012273</v>
      </c>
      <c r="S12" s="19" t="n">
        <f aca="false">IF(Calc!$A$11="","",Calc!Q$11)</f>
        <v>0.000178261016042781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663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68.7759336099585</v>
      </c>
      <c r="P13" s="22" t="str">
        <f aca="false">IF(Calc!$A$12="","",Calc!L$12)</f>
        <v>N/M</v>
      </c>
      <c r="Q13" s="18" t="n">
        <f aca="false">IF(Calc!$A$12="","",Calc!N$12)</f>
        <v>0.258032390005978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820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0.123444603227395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138.983050847458</v>
      </c>
      <c r="P14" s="22" t="n">
        <f aca="false">IF(Calc!$A$13="","",Calc!L$13)</f>
        <v>37.6039191782043</v>
      </c>
      <c r="Q14" s="18" t="n">
        <f aca="false">IF(Calc!$A$13="","",Calc!N$13)</f>
        <v>0.358570344403889</v>
      </c>
      <c r="R14" s="18" t="n">
        <f aca="false">IF(Calc!$A$13="","",Calc!O$13)</f>
        <v>0.244084780414898</v>
      </c>
      <c r="S14" s="19" t="n">
        <f aca="false">IF(Calc!$A$13="","",Calc!Q$13)</f>
        <v>0.00121972186585366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1575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14.2850717614416</v>
      </c>
      <c r="Q15" s="18" t="str">
        <f aca="false">IF(Calc!$A$14="","",Calc!N$14)</f>
        <v>N/M</v>
      </c>
      <c r="R15" s="18" t="n">
        <f aca="false">IF(Calc!$A$14="","",Calc!O$14)</f>
        <v>0.130286409755404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142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0.19788652979825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21.2574850299401</v>
      </c>
      <c r="P16" s="22" t="n">
        <f aca="false">IF(Calc!$A$15="","",Calc!L$15)</f>
        <v>19.8826783874346</v>
      </c>
      <c r="Q16" s="18" t="n">
        <f aca="false">IF(Calc!$A$15="","",Calc!N$15)</f>
        <v>0.191983554259003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4530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0.25723202565977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74.6416213544241</v>
      </c>
      <c r="P17" s="22" t="n">
        <f aca="false">IF(Calc!$A$16="","",Calc!L$16)</f>
        <v>36.8213545105319</v>
      </c>
      <c r="Q17" s="18" t="str">
        <f aca="false">IF(Calc!$A$16="","",Calc!N$16)</f>
        <v>N/M</v>
      </c>
      <c r="R17" s="18" t="n">
        <f aca="false">IF(Calc!$A$16="","",Calc!O$16)</f>
        <v>0.323216223726943</v>
      </c>
      <c r="S17" s="19" t="n">
        <f aca="false">IF(Calc!$A$16="","",Calc!Q$16)</f>
        <v>0.011920577807947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90.4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33.4814814814815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89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0.0730949320957707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15.0337837837838</v>
      </c>
      <c r="P19" s="22" t="n">
        <f aca="false">IF(Calc!$A$18="","",Calc!L$18)</f>
        <v>13.1558365762663</v>
      </c>
      <c r="Q19" s="18" t="n">
        <f aca="false">IF(Calc!$A$18="","",Calc!N$18)</f>
        <v>0.610345922845923</v>
      </c>
      <c r="R19" s="18" t="n">
        <f aca="false">IF(Calc!$A$18="","",Calc!O$18)</f>
        <v>0.474227947571879</v>
      </c>
      <c r="S19" s="19" t="n">
        <f aca="false">IF(Calc!$A$18="","",Calc!Q$18)</f>
        <v>0.0450498521348315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1985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6.94706651465965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472.5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0.0743625487824542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55.5229142185664</v>
      </c>
      <c r="P21" s="22" t="n">
        <f aca="false">IF(Calc!$A$20="","",Calc!L$20)</f>
        <v>50.9137397390825</v>
      </c>
      <c r="Q21" s="18" t="str">
        <f aca="false">IF(Calc!$A$20="","",Calc!N$20)</f>
        <v>N/M</v>
      </c>
      <c r="R21" s="18" t="n">
        <f aca="false">IF(Calc!$A$20="","",Calc!O$20)</f>
        <v>1.73987031031598</v>
      </c>
      <c r="S21" s="19" t="n">
        <f aca="false">IF(Calc!$A$20="","",Calc!Q$20)</f>
        <v>0.00423280423280423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547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88.9430894308943</v>
      </c>
      <c r="P22" s="22" t="n">
        <f aca="false">IF(Calc!$A$21="","",Calc!L$21)</f>
        <v>44.9368783774963</v>
      </c>
      <c r="Q22" s="18" t="n">
        <f aca="false">IF(Calc!$A$21="","",Calc!N$21)</f>
        <v>1.98951647411211</v>
      </c>
      <c r="R22" s="18" t="n">
        <f aca="false">IF(Calc!$A$21="","",Calc!O$21)</f>
        <v>0.492705535919433</v>
      </c>
      <c r="S22" s="19" t="n">
        <f aca="false">IF(Calc!$A$21="","",Calc!Q$21)</f>
        <v>0.00282382601462523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684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0.00407481259900034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56.6725799916237</v>
      </c>
      <c r="Q23" s="18" t="str">
        <f aca="false">IF(Calc!$A$22="","",Calc!N$22)</f>
        <v>N/M</v>
      </c>
      <c r="R23" s="18" t="n">
        <f aca="false">IF(Calc!$A$22="","",Calc!O$22)</f>
        <v>0.00694849216404478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169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0.692891417714729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18.6534216335541</v>
      </c>
      <c r="P24" s="22" t="n">
        <f aca="false">IF(Calc!$A$23="","",Calc!L$23)</f>
        <v>3.80001169924328</v>
      </c>
      <c r="Q24" s="18" t="str">
        <f aca="false">IF(Calc!$A$23="","",Calc!N$23)</f>
        <v>N/M</v>
      </c>
      <c r="R24" s="18" t="n">
        <f aca="false">IF(Calc!$A$23="","",Calc!O$23)</f>
        <v>0.0359329689184409</v>
      </c>
      <c r="S24" s="19" t="n">
        <f aca="false">IF(Calc!$A$23="","",Calc!Q$23)</f>
        <v>0.0029585798816568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541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109.959349593496</v>
      </c>
      <c r="P26" s="22" t="n">
        <f aca="false">IF(Calc!$A$25="","",Calc!L$25)</f>
        <v>45.1963241436926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0.00184842883548983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/>
      </c>
      <c r="B27" s="17" t="str">
        <f aca="false">IF(Calc!$A$26="","",Calc!B$26)</f>
        <v/>
      </c>
      <c r="C27" s="17" t="str">
        <f aca="false">IF(Calc!$A$26="","",Calc!C$26)</f>
        <v/>
      </c>
      <c r="D27" s="18" t="str">
        <f aca="false">IF(Calc!$A$26="","",Calc!D$26)</f>
        <v/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/>
      </c>
      <c r="H27" s="19" t="str">
        <f aca="false">IF(Calc!$A$26="","",Calc!AH$26)</f>
        <v/>
      </c>
      <c r="I27" s="19" t="str">
        <f aca="false">IF(Calc!$A$26="","",Calc!AI$26)</f>
        <v/>
      </c>
      <c r="J27" s="19" t="str">
        <f aca="false">IF(Calc!$A$26="","",Calc!T$26)</f>
        <v/>
      </c>
      <c r="K27" s="19" t="str">
        <f aca="false">IF(Calc!$A$26="","",Calc!W$26)</f>
        <v/>
      </c>
      <c r="L27" s="20" t="str">
        <f aca="false">IF(Calc!$A$26="","",Calc!X$26)</f>
        <v/>
      </c>
      <c r="M27" s="21" t="str">
        <f aca="false">IF(Calc!$A$26="","",Calc!Y$26)</f>
        <v/>
      </c>
      <c r="N27" s="18" t="str">
        <f aca="false">IF(Calc!$A$26="","",Calc!AJ$26)</f>
        <v/>
      </c>
      <c r="O27" s="22" t="str">
        <f aca="false">IF(Calc!$A$26="","",Calc!J$26)</f>
        <v/>
      </c>
      <c r="P27" s="22" t="str">
        <f aca="false">IF(Calc!$A$26="","",Calc!L$26)</f>
        <v/>
      </c>
      <c r="Q27" s="18" t="str">
        <f aca="false">IF(Calc!$A$26="","",Calc!N$26)</f>
        <v/>
      </c>
      <c r="R27" s="18" t="str">
        <f aca="false">IF(Calc!$A$26="","",Calc!O$26)</f>
        <v/>
      </c>
      <c r="S27" s="19" t="str">
        <f aca="false">IF(Calc!$A$26="","",Calc!Q$26)</f>
        <v/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str">
        <f aca="false">IF(Calc!$A$26="","",Calc!AN$26)</f>
        <v/>
      </c>
    </row>
    <row r="28" customFormat="false" ht="15" hidden="false" customHeight="false" outlineLevel="0" collapsed="false">
      <c r="A28" s="17" t="str">
        <f aca="false">IF(Calc!$A$27="","",Calc!A$27)</f>
        <v/>
      </c>
      <c r="B28" s="17" t="str">
        <f aca="false">IF(Calc!$A$27="","",Calc!B$27)</f>
        <v/>
      </c>
      <c r="C28" s="17" t="str">
        <f aca="false">IF(Calc!$A$27="","",Calc!C$27)</f>
        <v/>
      </c>
      <c r="D28" s="18" t="str">
        <f aca="false">IF(Calc!$A$27="","",Calc!D$27)</f>
        <v/>
      </c>
      <c r="E28" s="19" t="str">
        <f aca="false">IF(Calc!$A$27="","",Calc!AA$27)</f>
        <v/>
      </c>
      <c r="F28" s="19" t="str">
        <f aca="false">IF(Calc!$A$27="","",Calc!AB$27)</f>
        <v/>
      </c>
      <c r="G28" s="19" t="str">
        <f aca="false">IF(Calc!$A$27="","",Calc!AG$27)</f>
        <v/>
      </c>
      <c r="H28" s="19" t="str">
        <f aca="false">IF(Calc!$A$27="","",Calc!AH$27)</f>
        <v/>
      </c>
      <c r="I28" s="19" t="str">
        <f aca="false">IF(Calc!$A$27="","",Calc!AI$27)</f>
        <v/>
      </c>
      <c r="J28" s="19" t="str">
        <f aca="false">IF(Calc!$A$27="","",Calc!T$27)</f>
        <v/>
      </c>
      <c r="K28" s="19" t="str">
        <f aca="false">IF(Calc!$A$27="","",Calc!W$27)</f>
        <v/>
      </c>
      <c r="L28" s="20" t="str">
        <f aca="false">IF(Calc!$A$27="","",Calc!X$27)</f>
        <v/>
      </c>
      <c r="M28" s="21" t="str">
        <f aca="false">IF(Calc!$A$27="","",Calc!Y$27)</f>
        <v/>
      </c>
      <c r="N28" s="18" t="str">
        <f aca="false">IF(Calc!$A$27="","",Calc!AJ$27)</f>
        <v/>
      </c>
      <c r="O28" s="22" t="str">
        <f aca="false">IF(Calc!$A$27="","",Calc!J$27)</f>
        <v/>
      </c>
      <c r="P28" s="22" t="str">
        <f aca="false">IF(Calc!$A$27="","",Calc!L$27)</f>
        <v/>
      </c>
      <c r="Q28" s="18" t="str">
        <f aca="false">IF(Calc!$A$27="","",Calc!N$27)</f>
        <v/>
      </c>
      <c r="R28" s="18" t="str">
        <f aca="false">IF(Calc!$A$27="","",Calc!O$27)</f>
        <v/>
      </c>
      <c r="S28" s="19" t="str">
        <f aca="false">IF(Calc!$A$27="","",Calc!Q$27)</f>
        <v/>
      </c>
      <c r="T28" s="19" t="str">
        <f aca="false">IF(Calc!$A$27="","",Calc!R$27)</f>
        <v/>
      </c>
      <c r="U28" s="17" t="str">
        <f aca="false">IF(Calc!$A$27="","",Calc!AK$27)</f>
        <v/>
      </c>
      <c r="V28" s="17" t="str">
        <f aca="false">IF(Calc!$A$27="","",Calc!AL$27)</f>
        <v/>
      </c>
      <c r="W28" s="23" t="str">
        <f aca="false">IF(Calc!$A$27="","",Calc!AN$27)</f>
        <v/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3" customFormat="false" ht="15" hidden="false" customHeight="false" outlineLevel="0" collapsed="false">
      <c r="A33" s="24" t="s">
        <v>74</v>
      </c>
    </row>
    <row r="34" customFormat="false" ht="15" hidden="false" customHeight="false" outlineLevel="0" collapsed="false">
      <c r="A34" s="25" t="s">
        <v>75</v>
      </c>
    </row>
    <row r="35" customFormat="false" ht="15" hidden="false" customHeight="false" outlineLevel="0" collapsed="false">
      <c r="A35" s="24" t="s">
        <v>76</v>
      </c>
    </row>
  </sheetData>
  <autoFilter ref="A2:W31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1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1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1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1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1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2">
      <formula>"N/M"</formula>
    </cfRule>
  </conditionalFormatting>
  <conditionalFormatting sqref="Q3:Q31">
    <cfRule type="cellIs" priority="8" operator="lessThan" aboveAverage="0" equalAverage="0" bottom="0" percent="0" rank="0" text="" dxfId="63">
      <formula>1.5</formula>
    </cfRule>
  </conditionalFormatting>
  <conditionalFormatting sqref="R3:R31">
    <cfRule type="cellIs" priority="9" operator="lessThan" aboveAverage="0" equalAverage="0" bottom="0" percent="0" rank="0" text="" dxfId="63">
      <formula>1.5</formula>
    </cfRule>
  </conditionalFormatting>
  <conditionalFormatting sqref="L3:L31">
    <cfRule type="cellIs" priority="10" operator="equal" aboveAverage="0" equalAverage="0" bottom="0" percent="0" rank="0" text="" dxfId="63">
      <formula>"成長且加速"</formula>
    </cfRule>
    <cfRule type="cellIs" priority="11" operator="equal" aboveAverage="0" equalAverage="0" bottom="0" percent="0" rank="0" text="" dxfId="64">
      <formula>"成長但減速"</formula>
    </cfRule>
    <cfRule type="cellIs" priority="12" operator="equal" aboveAverage="0" equalAverage="0" bottom="0" percent="0" rank="0" text="" dxfId="64">
      <formula>"衰退但收斂"</formula>
    </cfRule>
    <cfRule type="cellIs" priority="13" operator="equal" aboveAverage="0" equalAverage="0" bottom="0" percent="0" rank="0" text="" dxfId="65">
      <formula>"衰退且惡化"</formula>
    </cfRule>
  </conditionalFormatting>
  <conditionalFormatting sqref="A3:W31">
    <cfRule type="expression" priority="14" aboveAverage="0" equalAverage="0" bottom="0" percent="0" rank="0" text="" dxfId="66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2380</v>
      </c>
      <c r="D4" s="30" t="s">
        <v>81</v>
      </c>
      <c r="E4" s="32" t="n">
        <f aca="false">IF($B$2="","",IFERROR(INDEX(Calc!$AM$2:$AM$100,MATCH($B$2,Calc!$A$2:$A$100,0)),""))</f>
        <v>23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46281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27.5846082522021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18.0155166435798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0.518281378272106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0.562778416489107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132.108340109589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0.00924373957142857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0.434003392766427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0.320117405283052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2380</v>
      </c>
      <c r="L12" s="55" t="n">
        <f aca="false">IF(Stock_Card!$B$2="","",IFERROR(INDEX(Calc!$Q$2:$Q$100,MATCH(Stock_Card!$B$2,Calc!$A$2:$A$100,0)),""))</f>
        <v>0.00924373957142857</v>
      </c>
      <c r="M12" s="58" t="n">
        <f aca="false">IF(Stock_Card!$B$2="","",IFERROR(INDEX(Calc!$J$2:$J$100,MATCH(Stock_Card!$B$2,Calc!$A$2:$A$100,0)),""))</f>
        <v>27.5846082522021</v>
      </c>
      <c r="N12" s="57" t="n">
        <f aca="false">IF(Stock_Card!$B$2="","",IFERROR(INDEX(Calc!$N$2:$N$100,MATCH(Stock_Card!$B$2,Calc!$A$2:$A$100,0)),""))</f>
        <v>0.518281378272106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132.108340109589</v>
      </c>
      <c r="H13" s="55" t="n">
        <f aca="false">IF(Stock_Card!$B$2="","",IFERROR(INDEX(Calc!$M$2:$M$100,MATCH(Stock_Card!$B$2,Calc!$A$2:$A$100,0)),""))</f>
        <v>0.320117405283052</v>
      </c>
      <c r="I13" s="55" t="n">
        <f aca="false">IF(Stock_Card!$B$2="","",IFERROR(INDEX(Calc!$AI$2:$AI$100,MATCH(Stock_Card!$B$2,Calc!$A$2:$A$100,0)),""))</f>
        <v>0.434003392766427</v>
      </c>
      <c r="J13" s="59"/>
      <c r="K13" s="59"/>
      <c r="L13" s="59"/>
      <c r="M13" s="58" t="n">
        <f aca="false">IF(Stock_Card!$B$2="","",IFERROR(INDEX(Calc!$L$2:$L$100,MATCH(Stock_Card!$B$2,Calc!$A$2:$A$100,0)),""))</f>
        <v>18.0155166435798</v>
      </c>
      <c r="N13" s="57" t="n">
        <f aca="false">IF(Stock_Card!$B$2="","",IFERROR(INDEX(Calc!$O$2:$O$100,MATCH(Stock_Card!$B$2,Calc!$A$2:$A$100,0)),""))</f>
        <v>0.562778416489107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{4BC6B449-D0B2-45A0-82BB-3F7967FE219D}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3">
      <formula>"成長且加速"</formula>
    </cfRule>
    <cfRule type="cellIs" priority="5" operator="equal" aboveAverage="0" equalAverage="0" bottom="0" percent="0" rank="0" text="" dxfId="64">
      <formula>"成長但減速"</formula>
    </cfRule>
    <cfRule type="cellIs" priority="6" operator="equal" aboveAverage="0" equalAverage="0" bottom="0" percent="0" rank="0" text="" dxfId="64">
      <formula>"衰退但收斂"</formula>
    </cfRule>
    <cfRule type="cellIs" priority="7" operator="equal" aboveAverage="0" equalAverage="0" bottom="0" percent="0" rank="0" text="" dxfId="65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7">
      <formula>$O5="預估"</formula>
    </cfRule>
  </conditionalFormatting>
  <conditionalFormatting sqref="B24:B28">
    <cfRule type="expression" priority="12" aboveAverage="0" equalAverage="0" bottom="0" percent="0" rank="0" text="" dxfId="67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7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7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7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7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7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7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7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BC6B449-D0B2-45A0-82BB-3F7967FE219D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2026-09</v>
      </c>
      <c r="B5" s="48" t="n">
        <f aca="false">IF(Stock_Card!$B$2="","",IFERROR(SUMIFS(Raw_M!$E$2:$E$2000,Raw_M!$A$2:$A$2000,Stock_Card!$B$2,Raw_M!$F$2:$F$2000,1),""))</f>
        <v>514805.337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0.100998189941811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4.47485722863077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0.795535581421498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0.53320053714713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8.63250244554317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0.193174658274435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3721873.143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0.373310917867224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2026-08</v>
      </c>
      <c r="B6" s="48" t="n">
        <f aca="false">IF(Stock_Card!$B$2="","",IFERROR(SUMIFS(Raw_M!$E$2:$E$2000,Raw_M!$A$2:$A$2000,Stock_Card!$B$2,Raw_M!$F$2:$F$2000,2),""))</f>
        <v>467580.548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0.0562496176555032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-0.539627466830406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-0.0875366462368499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0.446875512691698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-23.1793042157428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-0.341540860411542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成長但減速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3207067.806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0.350700158149915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2026-07</v>
      </c>
      <c r="B7" s="48" t="n">
        <f aca="false">IF(Stock_Card!$B$2="","",IFERROR(SUMIFS(Raw_M!$E$2:$E$2000,Raw_M!$A$2:$A$2000,Stock_Card!$B$2,Raw_M!$F$2:$F$2000,3),""))</f>
        <v>442679.969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0.0616458923238072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4.64287927939948</v>
      </c>
      <c r="E7" s="49" t="str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N/M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0.678668554849126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37.7718752821956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1.25508888950143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成長且加速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2739487.258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0.335547834860914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2026-06</v>
      </c>
      <c r="B8" s="48" t="n">
        <f aca="false">IF(Stock_Card!$B$2="","",IFERROR(SUMIFS(Raw_M!$E$2:$E$2000,Raw_M!$A$2:$A$2000,Stock_Card!$B$2,Raw_M!$F$2:$F$2000,4),""))</f>
        <v>416975.163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0.0152170995298124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2.59749759776264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0.30094980202717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12.5995677360804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0.720164086448807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2296807.289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0.284927397653404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2026-05</v>
      </c>
      <c r="B9" s="48" t="n">
        <f aca="false">IF(Stock_Card!$B$2="","",IFERROR(SUMIFS(Raw_M!$E$2:$E$2000,Raw_M!$A$2:$A$2000,Stock_Card!$B$2,Raw_M!$F$2:$F$2000,5),""))</f>
        <v>410725.118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-0.010757876447814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-31.7803541510043</v>
      </c>
      <c r="E9" s="49" t="n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-1.03503673124854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0.174954124666366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-27.6984264075739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-0.612880584998939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成長但減速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1879832.126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0.28142672062703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2026-04</v>
      </c>
      <c r="B10" s="48" t="n">
        <f aca="false">IF(Stock_Card!$B$2="","",IFERROR(SUMIFS(Raw_M!$E$2:$E$2000,Raw_M!$A$2:$A$2000,Stock_Card!$B$2,Raw_M!$F$2:$F$2000,6),""))</f>
        <v>415191.699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0.307045665062229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51.538821115425</v>
      </c>
      <c r="E10" s="49" t="str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N/M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0.451938388742105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23.0223516449861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1.03837651515954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成長且加速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1469107.008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0.314735062268007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2026-03</v>
      </c>
      <c r="B11" s="48" t="n">
        <f aca="false">IF(Stock_Card!$B$2="","",IFERROR(SUMIFS(Raw_M!$E$2:$E$2000,Raw_M!$A$2:$A$2000,Stock_Card!$B$2,Raw_M!$F$2:$F$2000,7),""))</f>
        <v>317656.613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-0.208342546092022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-40.6106290506827</v>
      </c>
      <c r="E11" s="49" t="n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-2.05349211863135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0.221714872292244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-14.6411597291218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-0.397720917642472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成長但減速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1053915.309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0.267547908240116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2026-02</v>
      </c>
      <c r="B12" s="48" t="n">
        <f aca="false">IF(Stock_Card!$B$2="","",IFERROR(SUMIFS(Raw_M!$E$2:$E$2000,Raw_M!$A$2:$A$2000,Stock_Card!$B$2,Raw_M!$F$2:$F$2000,8),""))</f>
        <v>401255.128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0.197763744414806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22.2821626111886</v>
      </c>
      <c r="E12" s="49" t="str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N/M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0.368126469583461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16.3784270457824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0.801519564527749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成長且加速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736258.696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0.288401821296552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2026-01</v>
      </c>
      <c r="B13" s="48" t="n">
        <f aca="false">IF(Stock_Card!$B$2="","",IFERROR(SUMIFS(Raw_M!$E$2:$E$2000,Raw_M!$A$2:$A$2000,Stock_Card!$B$2,Raw_M!$F$2:$F$2000,9),""))</f>
        <v>335003.568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-0.0250578816970803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3.9870006035291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0.204342199125638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-4.03721594231443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-0.16497666774668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成長但減速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335003.568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0.204342199125638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2025-12</v>
      </c>
      <c r="B14" s="48" t="n">
        <f aca="false">IF(Stock_Card!$B$2="","",IFERROR(SUMIFS(Raw_M!$E$2:$E$2000,Raw_M!$A$2:$A$2000,Stock_Card!$B$2,Raw_M!$F$2:$F$2000,10),""))</f>
        <v>343613.802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-0.0649278877323714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-17.5182373096664</v>
      </c>
      <c r="E14" s="49" t="n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-1.58889112327578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0.244714358548782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7.53107606018859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0.444564115016578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成長且加速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3752213.811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0.343702217693312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2025-11</v>
      </c>
      <c r="B15" s="48" t="n">
        <f aca="false">IF(Stock_Card!$B$2="","",IFERROR(SUMIFS(Raw_M!$E$2:$E$2000,Raw_M!$A$2:$A$2000,Stock_Card!$B$2,Raw_M!$F$2:$F$2000,11),""))</f>
        <v>367473.051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0.110254485364292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12.4522427327273</v>
      </c>
      <c r="E15" s="49" t="str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N/M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0.169403597946896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-14.4676481635523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-0.460635650079672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成長但減速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3408600.009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0.354561610795736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2025-10</v>
      </c>
      <c r="B16" s="48" t="n">
        <f aca="false">IF(Stock_Card!$B$2="","",IFERROR(SUMIFS(Raw_M!$E$2:$E$2000,Raw_M!$A$2:$A$2000,Stock_Card!$B$2,Raw_M!$F$2:$F$2000,12),""))</f>
        <v>330980.92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-0.0142679419629811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-5.32757442357638</v>
      </c>
      <c r="E16" s="49" t="n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-1.36577149010357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0.314080079582419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-2.43683289344219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-0.0720001285903797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3041126.958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0.380983106278847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2025-09</v>
      </c>
      <c r="B17" s="48" t="n">
        <f aca="false">IF(Stock_Card!$B$2="","",IFERROR(SUMIFS(Raw_M!$E$2:$E$2000,Raw_M!$A$2:$A$2000,Stock_Card!$B$2,Raw_M!$F$2:$F$2000,13),""))</f>
        <v>335771.691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0.0390078022727827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-18.6455621274367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-0.826988335140643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0.33844840851684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8.07645750751695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0.313425075979597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成長且加速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2710146.038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0.389623456281395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2025-08</v>
      </c>
      <c r="B18" s="48" t="n">
        <f aca="false">IF(Stock_Card!$B$2="","",IFERROR(SUMIFS(Raw_M!$E$2:$E$2000,Raw_M!$A$2:$A$2000,Stock_Card!$B$2,Raw_M!$F$2:$F$2000,14),""))</f>
        <v>323165.707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0.22546342354715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40.2699448221628</v>
      </c>
      <c r="E18" s="49" t="str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N/M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0.257683833441671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-1.09486585132383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-0.0407570150340418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成長但減速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2374374.347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0.397177912679111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2025-07</v>
      </c>
      <c r="B19" s="48" t="n">
        <f aca="false">IF(Stock_Card!$B$2="","",IFERROR(SUMIFS(Raw_M!$E$2:$E$2000,Raw_M!$A$2:$A$2000,Stock_Card!$B$2,Raw_M!$F$2:$F$2000,15),""))</f>
        <v>263708.978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-0.177236024674479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-9.41303711478608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0.268632491954909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-12.7219052959407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-0.321380716063503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2051208.64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0.422026832762399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2025-06</v>
      </c>
      <c r="B20" s="48" t="n">
        <f aca="false">IF(Stock_Card!$B$2="","",IFERROR(SUMIFS(Raw_M!$E$2:$E$2000,Raw_M!$A$2:$A$2000,Stock_Card!$B$2,Raw_M!$F$2:$F$2000,16),""))</f>
        <v>320515.951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-0.0831056535266178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-30.5552202538928</v>
      </c>
      <c r="E20" s="49" t="n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-1.37359830438196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0.395851544914316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-8.52318083409638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-0.177166405289723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1787499.662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0.447854027249992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2025-05</v>
      </c>
      <c r="B21" s="48" t="n">
        <f aca="false">IF(Stock_Card!$B$2="","",IFERROR(SUMIFS(Raw_M!$E$2:$E$2000,Raw_M!$A$2:$A$2000,Stock_Card!$B$2,Raw_M!$F$2:$F$2000,17),""))</f>
        <v>349566.94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0.222446549012311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12.2649794444054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1.22899582230569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0.48108335325528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1.62216543095597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0.0348956568079269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成長且加速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1466983.711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0.459735861156638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2025-04</v>
      </c>
      <c r="B22" s="48" t="n">
        <f aca="false">IF(Stock_Card!$B$2="","",IFERROR(SUMIFS(Raw_M!$E$2:$E$2000,Raw_M!$A$2:$A$2000,Stock_Card!$B$2,Raw_M!$F$2:$F$2000,18),""))</f>
        <v>285956.83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0.099796754568257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21.3266237425243</v>
      </c>
      <c r="E22" s="49" t="str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N/M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0.46486169894572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3.34756692301605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0.0776002626979672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1117416.771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0.453183422507635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-46281</v>
      </c>
      <c r="I4" s="67" t="n">
        <f aca="false">IF($A4="","",IFERROR(INDEX(Raw_Price!$E$2:$E$100,MATCH($A4,Raw_Price!$A$2:$A$100,0)),""))</f>
        <v>46281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-46281</v>
      </c>
      <c r="I5" s="67" t="n">
        <f aca="false">IF($A5="","",IFERROR(INDEX(Raw_Price!$E$2:$E$100,MATCH($A5,Raw_Price!$A$2:$A$100,0)),""))</f>
        <v>46281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1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46203</v>
      </c>
      <c r="E6" s="67" t="n">
        <f aca="false">IF($A6="","",IFERROR(SUMIFS(Raw_Q!$E$2:$E$600,Raw_Q!$A$2:$A$600,$A6,Raw_Q!$R$2:$R$600,1),""))</f>
        <v>46203</v>
      </c>
      <c r="F6" s="69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-46281</v>
      </c>
      <c r="I6" s="67" t="n">
        <f aca="false">IF($A6="","",IFERROR(INDEX(Raw_Price!$E$2:$E$100,MATCH($A6,Raw_Price!$A$2:$A$100,0)),""))</f>
        <v>46281</v>
      </c>
      <c r="J6" s="69" t="str">
        <f aca="true">IF($A6="","",IF($B6=0,"未抓取",IF($B6&lt;$C6,"需補歷史 ("&amp;($C6-$B6)&amp;" 季)",IF(TODAY()&gt;$G6,"待更新財報","OK"))))</f>
        <v>需補歷史 (23 季)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-46281</v>
      </c>
      <c r="I7" s="67" t="n">
        <f aca="false">IF($A7="","",IFERROR(INDEX(Raw_Price!$E$2:$E$100,MATCH($A7,Raw_Price!$A$2:$A$100,0)),""))</f>
        <v>46281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-46281</v>
      </c>
      <c r="I8" s="67" t="n">
        <f aca="false">IF($A8="","",IFERROR(INDEX(Raw_Price!$E$2:$E$100,MATCH($A8,Raw_Price!$A$2:$A$100,0)),""))</f>
        <v>46281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-46281</v>
      </c>
      <c r="I9" s="67" t="n">
        <f aca="false">IF($A9="","",IFERROR(INDEX(Raw_Price!$E$2:$E$100,MATCH($A9,Raw_Price!$A$2:$A$100,0)),""))</f>
        <v>46281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-46281</v>
      </c>
      <c r="I10" s="67" t="n">
        <f aca="false">IF($A10="","",IFERROR(INDEX(Raw_Price!$E$2:$E$100,MATCH($A10,Raw_Price!$A$2:$A$100,0)),""))</f>
        <v>46281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-46281</v>
      </c>
      <c r="I11" s="67" t="n">
        <f aca="false">IF($A11="","",IFERROR(INDEX(Raw_Price!$E$2:$E$100,MATCH($A11,Raw_Price!$A$2:$A$100,0)),""))</f>
        <v>46281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-46281</v>
      </c>
      <c r="I12" s="67" t="n">
        <f aca="false">IF($A12="","",IFERROR(INDEX(Raw_Price!$E$2:$E$100,MATCH($A12,Raw_Price!$A$2:$A$100,0)),""))</f>
        <v>46281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-46281</v>
      </c>
      <c r="I13" s="67" t="n">
        <f aca="false">IF($A13="","",IFERROR(INDEX(Raw_Price!$E$2:$E$100,MATCH($A13,Raw_Price!$A$2:$A$100,0)),""))</f>
        <v>46281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-46281</v>
      </c>
      <c r="I14" s="67" t="n">
        <f aca="false">IF($A14="","",IFERROR(INDEX(Raw_Price!$E$2:$E$100,MATCH($A14,Raw_Price!$A$2:$A$100,0)),""))</f>
        <v>46281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-46281</v>
      </c>
      <c r="I15" s="67" t="n">
        <f aca="false">IF($A15="","",IFERROR(INDEX(Raw_Price!$E$2:$E$100,MATCH($A15,Raw_Price!$A$2:$A$100,0)),""))</f>
        <v>46281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-46281</v>
      </c>
      <c r="I16" s="67" t="n">
        <f aca="false">IF($A16="","",IFERROR(INDEX(Raw_Price!$E$2:$E$100,MATCH($A16,Raw_Price!$A$2:$A$100,0)),""))</f>
        <v>46281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-46281</v>
      </c>
      <c r="I17" s="67" t="n">
        <f aca="false">IF($A17="","",IFERROR(INDEX(Raw_Price!$E$2:$E$100,MATCH($A17,Raw_Price!$A$2:$A$100,0)),""))</f>
        <v>46281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-46281</v>
      </c>
      <c r="I18" s="67" t="n">
        <f aca="false">IF($A18="","",IFERROR(INDEX(Raw_Price!$E$2:$E$100,MATCH($A18,Raw_Price!$A$2:$A$100,0)),""))</f>
        <v>46281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-46281</v>
      </c>
      <c r="I19" s="67" t="n">
        <f aca="false">IF($A19="","",IFERROR(INDEX(Raw_Price!$E$2:$E$100,MATCH($A19,Raw_Price!$A$2:$A$100,0)),""))</f>
        <v>46281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-46281</v>
      </c>
      <c r="I20" s="67" t="n">
        <f aca="false">IF($A20="","",IFERROR(INDEX(Raw_Price!$E$2:$E$100,MATCH($A20,Raw_Price!$A$2:$A$100,0)),""))</f>
        <v>46281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-46281</v>
      </c>
      <c r="I21" s="67" t="n">
        <f aca="false">IF($A21="","",IFERROR(INDEX(Raw_Price!$E$2:$E$100,MATCH($A21,Raw_Price!$A$2:$A$100,0)),""))</f>
        <v>46281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-46281</v>
      </c>
      <c r="I22" s="67" t="n">
        <f aca="false">IF($A22="","",IFERROR(INDEX(Raw_Price!$E$2:$E$100,MATCH($A22,Raw_Price!$A$2:$A$100,0)),""))</f>
        <v>46281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-46281</v>
      </c>
      <c r="I23" s="67" t="n">
        <f aca="false">IF($A23="","",IFERROR(INDEX(Raw_Price!$E$2:$E$100,MATCH($A23,Raw_Price!$A$2:$A$100,0)),""))</f>
        <v>46281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-46281</v>
      </c>
      <c r="I24" s="67" t="n">
        <f aca="false">IF($A24="","",IFERROR(INDEX(Raw_Price!$E$2:$E$100,MATCH($A24,Raw_Price!$A$2:$A$100,0)),""))</f>
        <v>46281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-46281</v>
      </c>
      <c r="I25" s="67" t="n">
        <f aca="false">IF($A25="","",IFERROR(INDEX(Raw_Price!$E$2:$E$100,MATCH($A25,Raw_Price!$A$2:$A$100,0)),""))</f>
        <v>46281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-46281</v>
      </c>
      <c r="I27" s="67" t="n">
        <f aca="false">IF($A27="","",IFERROR(INDEX(Raw_Price!$E$2:$E$100,MATCH($A27,Raw_Price!$A$2:$A$100,0)),""))</f>
        <v>46281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/>
      </c>
      <c r="B28" s="47" t="str">
        <f aca="false">IF($A28="","",COUNTIFS(Raw_Q!$A$2:$A$600,$A28,Raw_Q!$F$2:$F$600,"N"))</f>
        <v/>
      </c>
      <c r="C28" s="47" t="str">
        <f aca="false">IF($A28="","",Config!$B$4)</f>
        <v/>
      </c>
      <c r="D28" s="67" t="str">
        <f aca="false">IF($A28="","",IFERROR(SUMIFS(Raw_Q!$E$2:$E$600,Raw_Q!$A$2:$A$600,$A28,Raw_Q!$R$2:$R$600,$B28),""))</f>
        <v/>
      </c>
      <c r="E28" s="67" t="str">
        <f aca="false">IF($A28="","",IFERROR(SUMIFS(Raw_Q!$E$2:$E$600,Raw_Q!$A$2:$A$600,$A28,Raw_Q!$R$2:$R$600,1),""))</f>
        <v/>
      </c>
      <c r="F28" s="69" t="str">
        <f aca="false">IF($A28="","",IFERROR(INDEX(Raw_Q!$B$2:$B$600,MATCH($A28&amp;"|"&amp;0,Raw_Q!$S$2:$S$600,0)),""))</f>
        <v/>
      </c>
      <c r="G28" s="67" t="str">
        <f aca="false">IF($A28="","",IFERROR(INDEX(Raw_Price!$D$2:$D$100,MATCH($A28,Raw_Price!$A$2:$A$100,0)),""))</f>
        <v/>
      </c>
      <c r="H28" s="47" t="str">
        <f aca="true">IF($A28="","",IFERROR(INDEX(Raw_Price!$D$2:$D$100,MATCH($A28,Raw_Price!$A$2:$A$100,0))-TODAY(),""))</f>
        <v/>
      </c>
      <c r="I28" s="67" t="str">
        <f aca="false">IF($A28="","",IFERROR(INDEX(Raw_Price!$E$2:$E$100,MATCH($A28,Raw_Price!$A$2:$A$100,0)),""))</f>
        <v/>
      </c>
      <c r="J28" s="69" t="str">
        <f aca="true">IF($A28="","",IF($B28=0,"未抓取",IF($B28&lt;$C28,"需補歷史 ("&amp;($C28-$B28)&amp;" 季)",IF(TODAY()&gt;$G28,"待更新財報","OK"))))</f>
        <v/>
      </c>
    </row>
    <row r="29" customFormat="false" ht="15" hidden="false" customHeight="false" outlineLevel="0" collapsed="false">
      <c r="A29" s="17" t="str">
        <f aca="false">IF(Calc!$A$27="","",Calc!$A$27)</f>
        <v/>
      </c>
      <c r="B29" s="47" t="str">
        <f aca="false">IF($A29="","",COUNTIFS(Raw_Q!$A$2:$A$600,$A29,Raw_Q!$F$2:$F$600,"N"))</f>
        <v/>
      </c>
      <c r="C29" s="47" t="str">
        <f aca="false">IF($A29="","",Config!$B$4)</f>
        <v/>
      </c>
      <c r="D29" s="67" t="str">
        <f aca="false">IF($A29="","",IFERROR(SUMIFS(Raw_Q!$E$2:$E$600,Raw_Q!$A$2:$A$600,$A29,Raw_Q!$R$2:$R$600,$B29),""))</f>
        <v/>
      </c>
      <c r="E29" s="67" t="str">
        <f aca="false">IF($A29="","",IFERROR(SUMIFS(Raw_Q!$E$2:$E$600,Raw_Q!$A$2:$A$600,$A29,Raw_Q!$R$2:$R$600,1),""))</f>
        <v/>
      </c>
      <c r="F29" s="69" t="str">
        <f aca="false">IF($A29="","",IFERROR(INDEX(Raw_Q!$B$2:$B$600,MATCH($A29&amp;"|"&amp;0,Raw_Q!$S$2:$S$600,0)),""))</f>
        <v/>
      </c>
      <c r="G29" s="67" t="str">
        <f aca="false">IF($A29="","",IFERROR(INDEX(Raw_Price!$D$2:$D$100,MATCH($A29,Raw_Price!$A$2:$A$100,0)),""))</f>
        <v/>
      </c>
      <c r="H29" s="47" t="str">
        <f aca="true">IF($A29="","",IFERROR(INDEX(Raw_Price!$D$2:$D$100,MATCH($A29,Raw_Price!$A$2:$A$100,0))-TODAY(),""))</f>
        <v/>
      </c>
      <c r="I29" s="67" t="str">
        <f aca="false">IF($A29="","",IFERROR(INDEX(Raw_Price!$E$2:$E$100,MATCH($A29,Raw_Price!$A$2:$A$100,0)),""))</f>
        <v/>
      </c>
      <c r="J29" s="69" t="str">
        <f aca="true">IF($A29="","",IF($B29=0,"未抓取",IF($B29&lt;$C29,"需補歷史 ("&amp;($C29-$B29)&amp;" 季)",IF(TODAY()&gt;$G29,"待更新財報","OK"))))</f>
        <v/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4" customFormat="false" ht="15" hidden="false" customHeight="false" outlineLevel="0" collapsed="false">
      <c r="A34" s="24" t="s">
        <v>173</v>
      </c>
    </row>
  </sheetData>
  <conditionalFormatting sqref="J4:J32">
    <cfRule type="cellIs" priority="2" operator="equal" aboveAverage="0" equalAverage="0" bottom="0" percent="0" rank="0" text="" dxfId="68">
      <formula>"OK"</formula>
    </cfRule>
    <cfRule type="cellIs" priority="3" operator="equal" aboveAverage="0" equalAverage="0" bottom="0" percent="0" rank="0" text="" dxfId="69">
      <formula>"待更新財報"</formula>
    </cfRule>
    <cfRule type="expression" priority="4" aboveAverage="0" equalAverage="0" bottom="0" percent="0" rank="0" text="" dxfId="70">
      <formula>ISNUMBER(SEARCH("補歷史",$J4))</formula>
    </cfRule>
  </conditionalFormatting>
  <conditionalFormatting sqref="H4:H32">
    <cfRule type="cellIs" priority="5" operator="lessThan" aboveAverage="0" equalAverage="0" bottom="0" percent="0" rank="0" text="" dxfId="71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4"/>
      <c r="F8" s="76" t="n">
        <v>46272</v>
      </c>
      <c r="G8" s="74"/>
    </row>
    <row r="9" customFormat="false" ht="15" hidden="false" customHeight="false" outlineLevel="0" collapsed="false">
      <c r="A9" s="74" t="s">
        <v>204</v>
      </c>
      <c r="B9" s="75" t="s">
        <v>205</v>
      </c>
      <c r="C9" s="75" t="s">
        <v>206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207</v>
      </c>
      <c r="B10" s="75" t="s">
        <v>208</v>
      </c>
      <c r="C10" s="75" t="s">
        <v>206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209</v>
      </c>
      <c r="B11" s="75" t="s">
        <v>210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211</v>
      </c>
      <c r="B12" s="75" t="s">
        <v>212</v>
      </c>
      <c r="C12" s="75" t="s">
        <v>192</v>
      </c>
      <c r="D12" s="75" t="s">
        <v>213</v>
      </c>
      <c r="E12" s="74"/>
      <c r="F12" s="76" t="n">
        <v>46274</v>
      </c>
      <c r="G12" s="75" t="s">
        <v>214</v>
      </c>
    </row>
    <row r="13" customFormat="false" ht="15" hidden="false" customHeight="false" outlineLevel="0" collapsed="false">
      <c r="A13" s="74" t="s">
        <v>215</v>
      </c>
      <c r="B13" s="75" t="s">
        <v>216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217</v>
      </c>
      <c r="B14" s="75" t="s">
        <v>218</v>
      </c>
      <c r="C14" s="75" t="s">
        <v>206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219</v>
      </c>
      <c r="B15" s="75" t="s">
        <v>220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221</v>
      </c>
      <c r="B16" s="75" t="s">
        <v>222</v>
      </c>
      <c r="C16" s="75" t="s">
        <v>206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223</v>
      </c>
      <c r="B17" s="75" t="s">
        <v>224</v>
      </c>
      <c r="C17" s="75" t="s">
        <v>206</v>
      </c>
      <c r="D17" s="75" t="s">
        <v>193</v>
      </c>
      <c r="E17" s="74"/>
      <c r="F17" s="76" t="n">
        <v>46275</v>
      </c>
      <c r="G17" s="74"/>
    </row>
    <row r="18" customFormat="false" ht="15" hidden="false" customHeight="false" outlineLevel="0" collapsed="false">
      <c r="A18" s="74" t="s">
        <v>225</v>
      </c>
      <c r="B18" s="75" t="s">
        <v>226</v>
      </c>
      <c r="C18" s="75" t="s">
        <v>206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227</v>
      </c>
      <c r="B19" s="75" t="s">
        <v>228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229</v>
      </c>
      <c r="B20" s="75" t="s">
        <v>230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231</v>
      </c>
      <c r="B21" s="75" t="s">
        <v>232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233</v>
      </c>
      <c r="B22" s="77" t="s">
        <v>234</v>
      </c>
      <c r="C22" s="77" t="s">
        <v>192</v>
      </c>
      <c r="D22" s="77" t="s">
        <v>193</v>
      </c>
      <c r="E22" s="77" t="s">
        <v>235</v>
      </c>
      <c r="F22" s="78" t="n">
        <v>46279</v>
      </c>
    </row>
    <row r="23" customFormat="false" ht="15" hidden="false" customHeight="false" outlineLevel="0" collapsed="false">
      <c r="A23" s="0" t="s">
        <v>236</v>
      </c>
      <c r="B23" s="77" t="s">
        <v>237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238</v>
      </c>
      <c r="B24" s="77" t="s">
        <v>239</v>
      </c>
      <c r="C24" s="77" t="s">
        <v>240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241</v>
      </c>
      <c r="B25" s="77" t="s">
        <v>242</v>
      </c>
      <c r="C25" s="77" t="s">
        <v>199</v>
      </c>
      <c r="D25" s="77" t="s">
        <v>193</v>
      </c>
      <c r="F25" s="78" t="n">
        <v>46280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243</v>
      </c>
      <c r="C1" s="15" t="s">
        <v>244</v>
      </c>
      <c r="D1" s="15" t="s">
        <v>245</v>
      </c>
      <c r="E1" s="15" t="s">
        <v>246</v>
      </c>
      <c r="F1" s="15" t="s">
        <v>247</v>
      </c>
      <c r="G1" s="15" t="s">
        <v>248</v>
      </c>
      <c r="H1" s="15" t="s">
        <v>249</v>
      </c>
      <c r="I1" s="15" t="s">
        <v>250</v>
      </c>
      <c r="J1" s="15" t="s">
        <v>251</v>
      </c>
      <c r="K1" s="15" t="s">
        <v>252</v>
      </c>
      <c r="L1" s="15" t="s">
        <v>253</v>
      </c>
      <c r="M1" s="15" t="s">
        <v>254</v>
      </c>
      <c r="N1" s="15" t="s">
        <v>255</v>
      </c>
      <c r="O1" s="15" t="s">
        <v>256</v>
      </c>
      <c r="P1" s="15" t="s">
        <v>257</v>
      </c>
      <c r="Q1" s="15" t="s">
        <v>258</v>
      </c>
      <c r="R1" s="15" t="s">
        <v>259</v>
      </c>
      <c r="S1" s="15" t="s">
        <v>260</v>
      </c>
    </row>
    <row r="2" customFormat="false" ht="15" hidden="false" customHeight="false" outlineLevel="0" collapsed="false">
      <c r="A2" s="79" t="s">
        <v>207</v>
      </c>
      <c r="B2" s="79" t="s">
        <v>261</v>
      </c>
      <c r="C2" s="80" t="n">
        <v>2026</v>
      </c>
      <c r="D2" s="80" t="n">
        <v>3</v>
      </c>
      <c r="E2" s="81" t="n">
        <v>46295</v>
      </c>
      <c r="F2" s="79" t="s">
        <v>262</v>
      </c>
      <c r="G2" s="79" t="s">
        <v>263</v>
      </c>
      <c r="H2" s="79" t="s">
        <v>264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265</v>
      </c>
    </row>
    <row r="3" customFormat="false" ht="15" hidden="false" customHeight="false" outlineLevel="0" collapsed="false">
      <c r="A3" s="79" t="s">
        <v>207</v>
      </c>
      <c r="B3" s="79" t="s">
        <v>266</v>
      </c>
      <c r="C3" s="80" t="n">
        <v>2026</v>
      </c>
      <c r="D3" s="80" t="n">
        <v>2</v>
      </c>
      <c r="E3" s="81" t="n">
        <v>46203</v>
      </c>
      <c r="F3" s="79" t="s">
        <v>267</v>
      </c>
      <c r="G3" s="79" t="s">
        <v>268</v>
      </c>
      <c r="H3" s="79" t="s">
        <v>264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269</v>
      </c>
    </row>
    <row r="4" customFormat="false" ht="15" hidden="false" customHeight="false" outlineLevel="0" collapsed="false">
      <c r="A4" s="79" t="s">
        <v>207</v>
      </c>
      <c r="B4" s="79" t="s">
        <v>270</v>
      </c>
      <c r="C4" s="80" t="n">
        <v>2026</v>
      </c>
      <c r="D4" s="80" t="n">
        <v>1</v>
      </c>
      <c r="E4" s="81" t="n">
        <v>46112</v>
      </c>
      <c r="F4" s="79" t="s">
        <v>267</v>
      </c>
      <c r="G4" s="79" t="s">
        <v>268</v>
      </c>
      <c r="H4" s="79" t="s">
        <v>264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271</v>
      </c>
    </row>
    <row r="5" customFormat="false" ht="15" hidden="false" customHeight="false" outlineLevel="0" collapsed="false">
      <c r="A5" s="79" t="s">
        <v>207</v>
      </c>
      <c r="B5" s="79" t="s">
        <v>272</v>
      </c>
      <c r="C5" s="80" t="n">
        <v>2025</v>
      </c>
      <c r="D5" s="80" t="n">
        <v>4</v>
      </c>
      <c r="E5" s="81" t="n">
        <v>46022</v>
      </c>
      <c r="F5" s="79" t="s">
        <v>267</v>
      </c>
      <c r="G5" s="79" t="s">
        <v>268</v>
      </c>
      <c r="H5" s="79" t="s">
        <v>264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273</v>
      </c>
    </row>
    <row r="6" customFormat="false" ht="15" hidden="false" customHeight="false" outlineLevel="0" collapsed="false">
      <c r="A6" s="79" t="s">
        <v>207</v>
      </c>
      <c r="B6" s="79" t="s">
        <v>274</v>
      </c>
      <c r="C6" s="80" t="n">
        <v>2025</v>
      </c>
      <c r="D6" s="80" t="n">
        <v>3</v>
      </c>
      <c r="E6" s="81" t="n">
        <v>45930</v>
      </c>
      <c r="F6" s="79" t="s">
        <v>267</v>
      </c>
      <c r="G6" s="79" t="s">
        <v>268</v>
      </c>
      <c r="H6" s="79" t="s">
        <v>264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275</v>
      </c>
    </row>
    <row r="7" customFormat="false" ht="15" hidden="false" customHeight="false" outlineLevel="0" collapsed="false">
      <c r="A7" s="79" t="s">
        <v>207</v>
      </c>
      <c r="B7" s="79" t="s">
        <v>276</v>
      </c>
      <c r="C7" s="80" t="n">
        <v>2025</v>
      </c>
      <c r="D7" s="80" t="n">
        <v>2</v>
      </c>
      <c r="E7" s="81" t="n">
        <v>45838</v>
      </c>
      <c r="F7" s="79" t="s">
        <v>267</v>
      </c>
      <c r="G7" s="79" t="s">
        <v>268</v>
      </c>
      <c r="H7" s="79" t="s">
        <v>264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277</v>
      </c>
    </row>
    <row r="8" customFormat="false" ht="15" hidden="false" customHeight="false" outlineLevel="0" collapsed="false">
      <c r="A8" s="79" t="s">
        <v>207</v>
      </c>
      <c r="B8" s="79" t="s">
        <v>278</v>
      </c>
      <c r="C8" s="80" t="n">
        <v>2025</v>
      </c>
      <c r="D8" s="80" t="n">
        <v>1</v>
      </c>
      <c r="E8" s="81" t="n">
        <v>45747</v>
      </c>
      <c r="F8" s="79" t="s">
        <v>267</v>
      </c>
      <c r="G8" s="79" t="s">
        <v>268</v>
      </c>
      <c r="H8" s="79" t="s">
        <v>264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279</v>
      </c>
    </row>
    <row r="9" customFormat="false" ht="15" hidden="false" customHeight="false" outlineLevel="0" collapsed="false">
      <c r="A9" s="79" t="s">
        <v>207</v>
      </c>
      <c r="B9" s="79" t="s">
        <v>280</v>
      </c>
      <c r="C9" s="80" t="n">
        <v>2024</v>
      </c>
      <c r="D9" s="80" t="n">
        <v>4</v>
      </c>
      <c r="E9" s="81" t="n">
        <v>45657</v>
      </c>
      <c r="F9" s="79" t="s">
        <v>267</v>
      </c>
      <c r="G9" s="79" t="s">
        <v>268</v>
      </c>
      <c r="H9" s="79" t="s">
        <v>264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281</v>
      </c>
    </row>
    <row r="10" customFormat="false" ht="15" hidden="false" customHeight="false" outlineLevel="0" collapsed="false">
      <c r="A10" s="79" t="s">
        <v>207</v>
      </c>
      <c r="B10" s="79" t="s">
        <v>282</v>
      </c>
      <c r="C10" s="80" t="n">
        <v>2024</v>
      </c>
      <c r="D10" s="80" t="n">
        <v>3</v>
      </c>
      <c r="E10" s="81" t="n">
        <v>45565</v>
      </c>
      <c r="F10" s="79" t="s">
        <v>267</v>
      </c>
      <c r="G10" s="79" t="s">
        <v>268</v>
      </c>
      <c r="H10" s="79" t="s">
        <v>264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283</v>
      </c>
    </row>
    <row r="11" customFormat="false" ht="15" hidden="false" customHeight="false" outlineLevel="0" collapsed="false">
      <c r="A11" s="79" t="s">
        <v>207</v>
      </c>
      <c r="B11" s="79" t="s">
        <v>284</v>
      </c>
      <c r="C11" s="80" t="n">
        <v>2024</v>
      </c>
      <c r="D11" s="80" t="n">
        <v>2</v>
      </c>
      <c r="E11" s="81" t="n">
        <v>45473</v>
      </c>
      <c r="F11" s="79" t="s">
        <v>267</v>
      </c>
      <c r="G11" s="79" t="s">
        <v>268</v>
      </c>
      <c r="H11" s="79" t="s">
        <v>264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285</v>
      </c>
    </row>
    <row r="12" customFormat="false" ht="15" hidden="false" customHeight="false" outlineLevel="0" collapsed="false">
      <c r="A12" s="79" t="s">
        <v>207</v>
      </c>
      <c r="B12" s="79" t="s">
        <v>286</v>
      </c>
      <c r="C12" s="80" t="n">
        <v>2024</v>
      </c>
      <c r="D12" s="80" t="n">
        <v>1</v>
      </c>
      <c r="E12" s="81" t="n">
        <v>45382</v>
      </c>
      <c r="F12" s="79" t="s">
        <v>267</v>
      </c>
      <c r="G12" s="79" t="s">
        <v>268</v>
      </c>
      <c r="H12" s="79" t="s">
        <v>264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287</v>
      </c>
    </row>
    <row r="13" customFormat="false" ht="15" hidden="false" customHeight="false" outlineLevel="0" collapsed="false">
      <c r="A13" s="79" t="s">
        <v>207</v>
      </c>
      <c r="B13" s="79" t="s">
        <v>288</v>
      </c>
      <c r="C13" s="80" t="n">
        <v>2023</v>
      </c>
      <c r="D13" s="80" t="n">
        <v>4</v>
      </c>
      <c r="E13" s="81" t="n">
        <v>45291</v>
      </c>
      <c r="F13" s="79" t="s">
        <v>267</v>
      </c>
      <c r="G13" s="79" t="s">
        <v>268</v>
      </c>
      <c r="H13" s="79" t="s">
        <v>264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289</v>
      </c>
    </row>
    <row r="14" customFormat="false" ht="15" hidden="false" customHeight="false" outlineLevel="0" collapsed="false">
      <c r="A14" s="79" t="s">
        <v>207</v>
      </c>
      <c r="B14" s="79" t="s">
        <v>290</v>
      </c>
      <c r="C14" s="80" t="n">
        <v>2023</v>
      </c>
      <c r="D14" s="80" t="n">
        <v>3</v>
      </c>
      <c r="E14" s="81" t="n">
        <v>45199</v>
      </c>
      <c r="F14" s="79" t="s">
        <v>267</v>
      </c>
      <c r="G14" s="79" t="s">
        <v>268</v>
      </c>
      <c r="H14" s="79" t="s">
        <v>264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291</v>
      </c>
    </row>
    <row r="15" customFormat="false" ht="15" hidden="false" customHeight="false" outlineLevel="0" collapsed="false">
      <c r="A15" s="79" t="s">
        <v>207</v>
      </c>
      <c r="B15" s="79" t="s">
        <v>292</v>
      </c>
      <c r="C15" s="80" t="n">
        <v>2023</v>
      </c>
      <c r="D15" s="80" t="n">
        <v>2</v>
      </c>
      <c r="E15" s="81" t="n">
        <v>45107</v>
      </c>
      <c r="F15" s="79" t="s">
        <v>267</v>
      </c>
      <c r="G15" s="79" t="s">
        <v>268</v>
      </c>
      <c r="H15" s="79" t="s">
        <v>264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293</v>
      </c>
    </row>
    <row r="16" customFormat="false" ht="15" hidden="false" customHeight="false" outlineLevel="0" collapsed="false">
      <c r="A16" s="79" t="s">
        <v>207</v>
      </c>
      <c r="B16" s="79" t="s">
        <v>294</v>
      </c>
      <c r="C16" s="80" t="n">
        <v>2023</v>
      </c>
      <c r="D16" s="80" t="n">
        <v>1</v>
      </c>
      <c r="E16" s="81" t="n">
        <v>45016</v>
      </c>
      <c r="F16" s="79" t="s">
        <v>267</v>
      </c>
      <c r="G16" s="79" t="s">
        <v>268</v>
      </c>
      <c r="H16" s="79" t="s">
        <v>264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295</v>
      </c>
    </row>
    <row r="17" customFormat="false" ht="15" hidden="false" customHeight="false" outlineLevel="0" collapsed="false">
      <c r="A17" s="79" t="s">
        <v>207</v>
      </c>
      <c r="B17" s="79" t="s">
        <v>296</v>
      </c>
      <c r="C17" s="80" t="n">
        <v>2022</v>
      </c>
      <c r="D17" s="80" t="n">
        <v>4</v>
      </c>
      <c r="E17" s="81" t="n">
        <v>44926</v>
      </c>
      <c r="F17" s="79" t="s">
        <v>267</v>
      </c>
      <c r="G17" s="79" t="s">
        <v>268</v>
      </c>
      <c r="H17" s="79" t="s">
        <v>264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297</v>
      </c>
    </row>
    <row r="18" customFormat="false" ht="15" hidden="false" customHeight="false" outlineLevel="0" collapsed="false">
      <c r="A18" s="79" t="s">
        <v>207</v>
      </c>
      <c r="B18" s="79" t="s">
        <v>298</v>
      </c>
      <c r="C18" s="80" t="n">
        <v>2022</v>
      </c>
      <c r="D18" s="80" t="n">
        <v>3</v>
      </c>
      <c r="E18" s="81" t="n">
        <v>44834</v>
      </c>
      <c r="F18" s="79" t="s">
        <v>267</v>
      </c>
      <c r="G18" s="79" t="s">
        <v>268</v>
      </c>
      <c r="H18" s="79" t="s">
        <v>264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299</v>
      </c>
    </row>
    <row r="19" customFormat="false" ht="15" hidden="false" customHeight="false" outlineLevel="0" collapsed="false">
      <c r="A19" s="79" t="s">
        <v>207</v>
      </c>
      <c r="B19" s="79" t="s">
        <v>300</v>
      </c>
      <c r="C19" s="80" t="n">
        <v>2022</v>
      </c>
      <c r="D19" s="80" t="n">
        <v>2</v>
      </c>
      <c r="E19" s="81" t="n">
        <v>44742</v>
      </c>
      <c r="F19" s="79" t="s">
        <v>267</v>
      </c>
      <c r="G19" s="79" t="s">
        <v>268</v>
      </c>
      <c r="H19" s="79" t="s">
        <v>264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301</v>
      </c>
    </row>
    <row r="20" customFormat="false" ht="15" hidden="false" customHeight="false" outlineLevel="0" collapsed="false">
      <c r="A20" s="79" t="s">
        <v>207</v>
      </c>
      <c r="B20" s="79" t="s">
        <v>302</v>
      </c>
      <c r="C20" s="80" t="n">
        <v>2022</v>
      </c>
      <c r="D20" s="80" t="n">
        <v>1</v>
      </c>
      <c r="E20" s="81" t="n">
        <v>44651</v>
      </c>
      <c r="F20" s="79" t="s">
        <v>267</v>
      </c>
      <c r="G20" s="79" t="s">
        <v>268</v>
      </c>
      <c r="H20" s="79" t="s">
        <v>264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303</v>
      </c>
    </row>
    <row r="21" customFormat="false" ht="15" hidden="false" customHeight="false" outlineLevel="0" collapsed="false">
      <c r="A21" s="79" t="s">
        <v>207</v>
      </c>
      <c r="B21" s="79" t="s">
        <v>304</v>
      </c>
      <c r="C21" s="80" t="n">
        <v>2021</v>
      </c>
      <c r="D21" s="80" t="n">
        <v>4</v>
      </c>
      <c r="E21" s="81" t="n">
        <v>44561</v>
      </c>
      <c r="F21" s="79" t="s">
        <v>267</v>
      </c>
      <c r="G21" s="79" t="s">
        <v>268</v>
      </c>
      <c r="H21" s="79" t="s">
        <v>264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305</v>
      </c>
    </row>
    <row r="22" customFormat="false" ht="15" hidden="false" customHeight="false" outlineLevel="0" collapsed="false">
      <c r="A22" s="79" t="s">
        <v>207</v>
      </c>
      <c r="B22" s="79" t="s">
        <v>306</v>
      </c>
      <c r="C22" s="80" t="n">
        <v>2021</v>
      </c>
      <c r="D22" s="80" t="n">
        <v>3</v>
      </c>
      <c r="E22" s="81" t="n">
        <v>44469</v>
      </c>
      <c r="F22" s="79" t="s">
        <v>267</v>
      </c>
      <c r="G22" s="79" t="s">
        <v>268</v>
      </c>
      <c r="H22" s="79" t="s">
        <v>264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307</v>
      </c>
    </row>
    <row r="23" customFormat="false" ht="15" hidden="false" customHeight="false" outlineLevel="0" collapsed="false">
      <c r="A23" s="79" t="s">
        <v>207</v>
      </c>
      <c r="B23" s="79" t="s">
        <v>308</v>
      </c>
      <c r="C23" s="80" t="n">
        <v>2021</v>
      </c>
      <c r="D23" s="80" t="n">
        <v>2</v>
      </c>
      <c r="E23" s="81" t="n">
        <v>44377</v>
      </c>
      <c r="F23" s="79" t="s">
        <v>267</v>
      </c>
      <c r="G23" s="79" t="s">
        <v>268</v>
      </c>
      <c r="H23" s="79" t="s">
        <v>264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309</v>
      </c>
    </row>
    <row r="24" customFormat="false" ht="15" hidden="false" customHeight="false" outlineLevel="0" collapsed="false">
      <c r="A24" s="79" t="s">
        <v>207</v>
      </c>
      <c r="B24" s="79" t="s">
        <v>310</v>
      </c>
      <c r="C24" s="80" t="n">
        <v>2021</v>
      </c>
      <c r="D24" s="80" t="n">
        <v>1</v>
      </c>
      <c r="E24" s="81" t="n">
        <v>44286</v>
      </c>
      <c r="F24" s="79" t="s">
        <v>267</v>
      </c>
      <c r="G24" s="79" t="s">
        <v>268</v>
      </c>
      <c r="H24" s="79" t="s">
        <v>264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311</v>
      </c>
    </row>
    <row r="25" customFormat="false" ht="15" hidden="false" customHeight="false" outlineLevel="0" collapsed="false">
      <c r="A25" s="79" t="s">
        <v>207</v>
      </c>
      <c r="B25" s="79" t="s">
        <v>312</v>
      </c>
      <c r="C25" s="80" t="n">
        <v>2020</v>
      </c>
      <c r="D25" s="80" t="n">
        <v>4</v>
      </c>
      <c r="E25" s="81" t="n">
        <v>44196</v>
      </c>
      <c r="F25" s="79" t="s">
        <v>267</v>
      </c>
      <c r="G25" s="79" t="s">
        <v>268</v>
      </c>
      <c r="H25" s="79" t="s">
        <v>264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313</v>
      </c>
    </row>
    <row r="26" customFormat="false" ht="15" hidden="false" customHeight="false" outlineLevel="0" collapsed="false">
      <c r="A26" s="79" t="s">
        <v>207</v>
      </c>
      <c r="B26" s="79" t="s">
        <v>314</v>
      </c>
      <c r="C26" s="80" t="n">
        <v>2020</v>
      </c>
      <c r="D26" s="80" t="n">
        <v>3</v>
      </c>
      <c r="E26" s="81" t="n">
        <v>44104</v>
      </c>
      <c r="F26" s="79" t="s">
        <v>267</v>
      </c>
      <c r="G26" s="79" t="s">
        <v>268</v>
      </c>
      <c r="H26" s="79" t="s">
        <v>264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315</v>
      </c>
    </row>
    <row r="27" customFormat="false" ht="15" hidden="false" customHeight="false" outlineLevel="0" collapsed="false">
      <c r="A27" s="79" t="s">
        <v>219</v>
      </c>
      <c r="B27" s="79" t="s">
        <v>261</v>
      </c>
      <c r="C27" s="80" t="n">
        <v>2026</v>
      </c>
      <c r="D27" s="80" t="n">
        <v>3</v>
      </c>
      <c r="E27" s="81" t="n">
        <v>46295</v>
      </c>
      <c r="F27" s="79" t="s">
        <v>262</v>
      </c>
      <c r="G27" s="79" t="s">
        <v>263</v>
      </c>
      <c r="H27" s="79" t="s">
        <v>264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316</v>
      </c>
    </row>
    <row r="28" customFormat="false" ht="15" hidden="false" customHeight="false" outlineLevel="0" collapsed="false">
      <c r="A28" s="79" t="s">
        <v>219</v>
      </c>
      <c r="B28" s="79" t="s">
        <v>266</v>
      </c>
      <c r="C28" s="80" t="n">
        <v>2026</v>
      </c>
      <c r="D28" s="80" t="n">
        <v>2</v>
      </c>
      <c r="E28" s="81" t="n">
        <v>46203</v>
      </c>
      <c r="F28" s="79" t="s">
        <v>267</v>
      </c>
      <c r="G28" s="79" t="s">
        <v>268</v>
      </c>
      <c r="H28" s="79" t="s">
        <v>264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317</v>
      </c>
    </row>
    <row r="29" customFormat="false" ht="15" hidden="false" customHeight="false" outlineLevel="0" collapsed="false">
      <c r="A29" s="79" t="s">
        <v>219</v>
      </c>
      <c r="B29" s="79" t="s">
        <v>270</v>
      </c>
      <c r="C29" s="80" t="n">
        <v>2026</v>
      </c>
      <c r="D29" s="80" t="n">
        <v>1</v>
      </c>
      <c r="E29" s="81" t="n">
        <v>46112</v>
      </c>
      <c r="F29" s="79" t="s">
        <v>267</v>
      </c>
      <c r="G29" s="79" t="s">
        <v>268</v>
      </c>
      <c r="H29" s="79" t="s">
        <v>264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318</v>
      </c>
    </row>
    <row r="30" customFormat="false" ht="15" hidden="false" customHeight="false" outlineLevel="0" collapsed="false">
      <c r="A30" s="79" t="s">
        <v>219</v>
      </c>
      <c r="B30" s="79" t="s">
        <v>272</v>
      </c>
      <c r="C30" s="80" t="n">
        <v>2025</v>
      </c>
      <c r="D30" s="80" t="n">
        <v>4</v>
      </c>
      <c r="E30" s="81" t="n">
        <v>46022</v>
      </c>
      <c r="F30" s="79" t="s">
        <v>267</v>
      </c>
      <c r="G30" s="79" t="s">
        <v>268</v>
      </c>
      <c r="H30" s="79" t="s">
        <v>264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319</v>
      </c>
    </row>
    <row r="31" customFormat="false" ht="15" hidden="false" customHeight="false" outlineLevel="0" collapsed="false">
      <c r="A31" s="79" t="s">
        <v>219</v>
      </c>
      <c r="B31" s="79" t="s">
        <v>274</v>
      </c>
      <c r="C31" s="80" t="n">
        <v>2025</v>
      </c>
      <c r="D31" s="80" t="n">
        <v>3</v>
      </c>
      <c r="E31" s="81" t="n">
        <v>45930</v>
      </c>
      <c r="F31" s="79" t="s">
        <v>267</v>
      </c>
      <c r="G31" s="79" t="s">
        <v>268</v>
      </c>
      <c r="H31" s="79" t="s">
        <v>264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320</v>
      </c>
    </row>
    <row r="32" customFormat="false" ht="15" hidden="false" customHeight="false" outlineLevel="0" collapsed="false">
      <c r="A32" s="79" t="s">
        <v>219</v>
      </c>
      <c r="B32" s="79" t="s">
        <v>276</v>
      </c>
      <c r="C32" s="80" t="n">
        <v>2025</v>
      </c>
      <c r="D32" s="80" t="n">
        <v>2</v>
      </c>
      <c r="E32" s="81" t="n">
        <v>45838</v>
      </c>
      <c r="F32" s="79" t="s">
        <v>267</v>
      </c>
      <c r="G32" s="79" t="s">
        <v>268</v>
      </c>
      <c r="H32" s="79" t="s">
        <v>264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321</v>
      </c>
    </row>
    <row r="33" customFormat="false" ht="15" hidden="false" customHeight="false" outlineLevel="0" collapsed="false">
      <c r="A33" s="79" t="s">
        <v>219</v>
      </c>
      <c r="B33" s="79" t="s">
        <v>278</v>
      </c>
      <c r="C33" s="80" t="n">
        <v>2025</v>
      </c>
      <c r="D33" s="80" t="n">
        <v>1</v>
      </c>
      <c r="E33" s="81" t="n">
        <v>45747</v>
      </c>
      <c r="F33" s="79" t="s">
        <v>267</v>
      </c>
      <c r="G33" s="79" t="s">
        <v>268</v>
      </c>
      <c r="H33" s="79" t="s">
        <v>264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322</v>
      </c>
    </row>
    <row r="34" customFormat="false" ht="15" hidden="false" customHeight="false" outlineLevel="0" collapsed="false">
      <c r="A34" s="79" t="s">
        <v>219</v>
      </c>
      <c r="B34" s="79" t="s">
        <v>280</v>
      </c>
      <c r="C34" s="80" t="n">
        <v>2024</v>
      </c>
      <c r="D34" s="80" t="n">
        <v>4</v>
      </c>
      <c r="E34" s="81" t="n">
        <v>45657</v>
      </c>
      <c r="F34" s="79" t="s">
        <v>267</v>
      </c>
      <c r="G34" s="79" t="s">
        <v>268</v>
      </c>
      <c r="H34" s="79" t="s">
        <v>264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323</v>
      </c>
    </row>
    <row r="35" customFormat="false" ht="15" hidden="false" customHeight="false" outlineLevel="0" collapsed="false">
      <c r="A35" s="79" t="s">
        <v>219</v>
      </c>
      <c r="B35" s="79" t="s">
        <v>282</v>
      </c>
      <c r="C35" s="80" t="n">
        <v>2024</v>
      </c>
      <c r="D35" s="80" t="n">
        <v>3</v>
      </c>
      <c r="E35" s="81" t="n">
        <v>45565</v>
      </c>
      <c r="F35" s="79" t="s">
        <v>267</v>
      </c>
      <c r="G35" s="79" t="s">
        <v>268</v>
      </c>
      <c r="H35" s="79" t="s">
        <v>264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324</v>
      </c>
    </row>
    <row r="36" customFormat="false" ht="15" hidden="false" customHeight="false" outlineLevel="0" collapsed="false">
      <c r="A36" s="79" t="s">
        <v>219</v>
      </c>
      <c r="B36" s="79" t="s">
        <v>284</v>
      </c>
      <c r="C36" s="80" t="n">
        <v>2024</v>
      </c>
      <c r="D36" s="80" t="n">
        <v>2</v>
      </c>
      <c r="E36" s="81" t="n">
        <v>45473</v>
      </c>
      <c r="F36" s="79" t="s">
        <v>267</v>
      </c>
      <c r="G36" s="79" t="s">
        <v>268</v>
      </c>
      <c r="H36" s="79" t="s">
        <v>264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325</v>
      </c>
    </row>
    <row r="37" customFormat="false" ht="15" hidden="false" customHeight="false" outlineLevel="0" collapsed="false">
      <c r="A37" s="79" t="s">
        <v>219</v>
      </c>
      <c r="B37" s="79" t="s">
        <v>286</v>
      </c>
      <c r="C37" s="80" t="n">
        <v>2024</v>
      </c>
      <c r="D37" s="80" t="n">
        <v>1</v>
      </c>
      <c r="E37" s="81" t="n">
        <v>45382</v>
      </c>
      <c r="F37" s="79" t="s">
        <v>267</v>
      </c>
      <c r="G37" s="79" t="s">
        <v>268</v>
      </c>
      <c r="H37" s="79" t="s">
        <v>264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326</v>
      </c>
    </row>
    <row r="38" customFormat="false" ht="15" hidden="false" customHeight="false" outlineLevel="0" collapsed="false">
      <c r="A38" s="79" t="s">
        <v>219</v>
      </c>
      <c r="B38" s="79" t="s">
        <v>288</v>
      </c>
      <c r="C38" s="80" t="n">
        <v>2023</v>
      </c>
      <c r="D38" s="80" t="n">
        <v>4</v>
      </c>
      <c r="E38" s="81" t="n">
        <v>45291</v>
      </c>
      <c r="F38" s="79" t="s">
        <v>267</v>
      </c>
      <c r="G38" s="79" t="s">
        <v>268</v>
      </c>
      <c r="H38" s="79" t="s">
        <v>264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327</v>
      </c>
    </row>
    <row r="39" customFormat="false" ht="15" hidden="false" customHeight="false" outlineLevel="0" collapsed="false">
      <c r="A39" s="79" t="s">
        <v>219</v>
      </c>
      <c r="B39" s="79" t="s">
        <v>290</v>
      </c>
      <c r="C39" s="80" t="n">
        <v>2023</v>
      </c>
      <c r="D39" s="80" t="n">
        <v>3</v>
      </c>
      <c r="E39" s="81" t="n">
        <v>45199</v>
      </c>
      <c r="F39" s="79" t="s">
        <v>267</v>
      </c>
      <c r="G39" s="79" t="s">
        <v>268</v>
      </c>
      <c r="H39" s="79" t="s">
        <v>264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328</v>
      </c>
    </row>
    <row r="40" customFormat="false" ht="15" hidden="false" customHeight="false" outlineLevel="0" collapsed="false">
      <c r="A40" s="79" t="s">
        <v>219</v>
      </c>
      <c r="B40" s="79" t="s">
        <v>292</v>
      </c>
      <c r="C40" s="80" t="n">
        <v>2023</v>
      </c>
      <c r="D40" s="80" t="n">
        <v>2</v>
      </c>
      <c r="E40" s="81" t="n">
        <v>45107</v>
      </c>
      <c r="F40" s="79" t="s">
        <v>267</v>
      </c>
      <c r="G40" s="79" t="s">
        <v>268</v>
      </c>
      <c r="H40" s="79" t="s">
        <v>264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329</v>
      </c>
    </row>
    <row r="41" customFormat="false" ht="15" hidden="false" customHeight="false" outlineLevel="0" collapsed="false">
      <c r="A41" s="79" t="s">
        <v>219</v>
      </c>
      <c r="B41" s="79" t="s">
        <v>294</v>
      </c>
      <c r="C41" s="80" t="n">
        <v>2023</v>
      </c>
      <c r="D41" s="80" t="n">
        <v>1</v>
      </c>
      <c r="E41" s="81" t="n">
        <v>45016</v>
      </c>
      <c r="F41" s="79" t="s">
        <v>267</v>
      </c>
      <c r="G41" s="79" t="s">
        <v>268</v>
      </c>
      <c r="H41" s="79" t="s">
        <v>264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330</v>
      </c>
    </row>
    <row r="42" customFormat="false" ht="15" hidden="false" customHeight="false" outlineLevel="0" collapsed="false">
      <c r="A42" s="79" t="s">
        <v>219</v>
      </c>
      <c r="B42" s="79" t="s">
        <v>296</v>
      </c>
      <c r="C42" s="80" t="n">
        <v>2022</v>
      </c>
      <c r="D42" s="80" t="n">
        <v>4</v>
      </c>
      <c r="E42" s="81" t="n">
        <v>44926</v>
      </c>
      <c r="F42" s="79" t="s">
        <v>267</v>
      </c>
      <c r="G42" s="79" t="s">
        <v>268</v>
      </c>
      <c r="H42" s="79" t="s">
        <v>264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331</v>
      </c>
    </row>
    <row r="43" customFormat="false" ht="15" hidden="false" customHeight="false" outlineLevel="0" collapsed="false">
      <c r="A43" s="79" t="s">
        <v>219</v>
      </c>
      <c r="B43" s="79" t="s">
        <v>298</v>
      </c>
      <c r="C43" s="80" t="n">
        <v>2022</v>
      </c>
      <c r="D43" s="80" t="n">
        <v>3</v>
      </c>
      <c r="E43" s="81" t="n">
        <v>44834</v>
      </c>
      <c r="F43" s="79" t="s">
        <v>267</v>
      </c>
      <c r="G43" s="79" t="s">
        <v>268</v>
      </c>
      <c r="H43" s="79" t="s">
        <v>264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332</v>
      </c>
    </row>
    <row r="44" customFormat="false" ht="15" hidden="false" customHeight="false" outlineLevel="0" collapsed="false">
      <c r="A44" s="79" t="s">
        <v>219</v>
      </c>
      <c r="B44" s="79" t="s">
        <v>300</v>
      </c>
      <c r="C44" s="80" t="n">
        <v>2022</v>
      </c>
      <c r="D44" s="80" t="n">
        <v>2</v>
      </c>
      <c r="E44" s="81" t="n">
        <v>44742</v>
      </c>
      <c r="F44" s="79" t="s">
        <v>267</v>
      </c>
      <c r="G44" s="79" t="s">
        <v>268</v>
      </c>
      <c r="H44" s="79" t="s">
        <v>264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333</v>
      </c>
    </row>
    <row r="45" customFormat="false" ht="15" hidden="false" customHeight="false" outlineLevel="0" collapsed="false">
      <c r="A45" s="79" t="s">
        <v>219</v>
      </c>
      <c r="B45" s="79" t="s">
        <v>302</v>
      </c>
      <c r="C45" s="80" t="n">
        <v>2022</v>
      </c>
      <c r="D45" s="80" t="n">
        <v>1</v>
      </c>
      <c r="E45" s="81" t="n">
        <v>44651</v>
      </c>
      <c r="F45" s="79" t="s">
        <v>267</v>
      </c>
      <c r="G45" s="79" t="s">
        <v>268</v>
      </c>
      <c r="H45" s="79" t="s">
        <v>264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334</v>
      </c>
    </row>
    <row r="46" customFormat="false" ht="15" hidden="false" customHeight="false" outlineLevel="0" collapsed="false">
      <c r="A46" s="79" t="s">
        <v>219</v>
      </c>
      <c r="B46" s="79" t="s">
        <v>304</v>
      </c>
      <c r="C46" s="80" t="n">
        <v>2021</v>
      </c>
      <c r="D46" s="80" t="n">
        <v>4</v>
      </c>
      <c r="E46" s="81" t="n">
        <v>44561</v>
      </c>
      <c r="F46" s="79" t="s">
        <v>267</v>
      </c>
      <c r="G46" s="79" t="s">
        <v>268</v>
      </c>
      <c r="H46" s="79" t="s">
        <v>264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335</v>
      </c>
    </row>
    <row r="47" customFormat="false" ht="15" hidden="false" customHeight="false" outlineLevel="0" collapsed="false">
      <c r="A47" s="79" t="s">
        <v>219</v>
      </c>
      <c r="B47" s="79" t="s">
        <v>306</v>
      </c>
      <c r="C47" s="80" t="n">
        <v>2021</v>
      </c>
      <c r="D47" s="80" t="n">
        <v>3</v>
      </c>
      <c r="E47" s="81" t="n">
        <v>44469</v>
      </c>
      <c r="F47" s="79" t="s">
        <v>267</v>
      </c>
      <c r="G47" s="79" t="s">
        <v>268</v>
      </c>
      <c r="H47" s="79" t="s">
        <v>264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336</v>
      </c>
    </row>
    <row r="48" customFormat="false" ht="15" hidden="false" customHeight="false" outlineLevel="0" collapsed="false">
      <c r="A48" s="79" t="s">
        <v>219</v>
      </c>
      <c r="B48" s="79" t="s">
        <v>308</v>
      </c>
      <c r="C48" s="80" t="n">
        <v>2021</v>
      </c>
      <c r="D48" s="80" t="n">
        <v>2</v>
      </c>
      <c r="E48" s="81" t="n">
        <v>44377</v>
      </c>
      <c r="F48" s="79" t="s">
        <v>267</v>
      </c>
      <c r="G48" s="79" t="s">
        <v>268</v>
      </c>
      <c r="H48" s="79" t="s">
        <v>264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337</v>
      </c>
    </row>
    <row r="49" customFormat="false" ht="15" hidden="false" customHeight="false" outlineLevel="0" collapsed="false">
      <c r="A49" s="79" t="s">
        <v>219</v>
      </c>
      <c r="B49" s="79" t="s">
        <v>310</v>
      </c>
      <c r="C49" s="80" t="n">
        <v>2021</v>
      </c>
      <c r="D49" s="80" t="n">
        <v>1</v>
      </c>
      <c r="E49" s="81" t="n">
        <v>44286</v>
      </c>
      <c r="F49" s="79" t="s">
        <v>267</v>
      </c>
      <c r="G49" s="79" t="s">
        <v>268</v>
      </c>
      <c r="H49" s="79" t="s">
        <v>264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338</v>
      </c>
    </row>
    <row r="50" customFormat="false" ht="15" hidden="false" customHeight="false" outlineLevel="0" collapsed="false">
      <c r="A50" s="79" t="s">
        <v>219</v>
      </c>
      <c r="B50" s="79" t="s">
        <v>312</v>
      </c>
      <c r="C50" s="80" t="n">
        <v>2020</v>
      </c>
      <c r="D50" s="80" t="n">
        <v>4</v>
      </c>
      <c r="E50" s="81" t="n">
        <v>44196</v>
      </c>
      <c r="F50" s="79" t="s">
        <v>267</v>
      </c>
      <c r="G50" s="79" t="s">
        <v>268</v>
      </c>
      <c r="H50" s="79" t="s">
        <v>264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339</v>
      </c>
    </row>
    <row r="51" customFormat="false" ht="15" hidden="false" customHeight="false" outlineLevel="0" collapsed="false">
      <c r="A51" s="79" t="s">
        <v>219</v>
      </c>
      <c r="B51" s="79" t="s">
        <v>314</v>
      </c>
      <c r="C51" s="80" t="n">
        <v>2020</v>
      </c>
      <c r="D51" s="80" t="n">
        <v>3</v>
      </c>
      <c r="E51" s="81" t="n">
        <v>44104</v>
      </c>
      <c r="F51" s="79" t="s">
        <v>267</v>
      </c>
      <c r="G51" s="79" t="s">
        <v>268</v>
      </c>
      <c r="H51" s="79" t="s">
        <v>264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340</v>
      </c>
    </row>
    <row r="52" customFormat="false" ht="15" hidden="false" customHeight="false" outlineLevel="0" collapsed="false">
      <c r="A52" s="79" t="s">
        <v>341</v>
      </c>
      <c r="B52" s="79" t="s">
        <v>261</v>
      </c>
      <c r="C52" s="80" t="n">
        <v>2026</v>
      </c>
      <c r="D52" s="80" t="n">
        <v>3</v>
      </c>
      <c r="E52" s="81" t="n">
        <v>46295</v>
      </c>
      <c r="F52" s="79" t="s">
        <v>262</v>
      </c>
      <c r="G52" s="79" t="s">
        <v>263</v>
      </c>
      <c r="H52" s="79" t="s">
        <v>264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342</v>
      </c>
    </row>
    <row r="53" customFormat="false" ht="15" hidden="false" customHeight="false" outlineLevel="0" collapsed="false">
      <c r="A53" s="79" t="s">
        <v>341</v>
      </c>
      <c r="B53" s="79" t="s">
        <v>266</v>
      </c>
      <c r="C53" s="80" t="n">
        <v>2026</v>
      </c>
      <c r="D53" s="80" t="n">
        <v>2</v>
      </c>
      <c r="E53" s="81" t="n">
        <v>46203</v>
      </c>
      <c r="F53" s="79" t="s">
        <v>267</v>
      </c>
      <c r="G53" s="79" t="s">
        <v>268</v>
      </c>
      <c r="H53" s="79" t="s">
        <v>264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343</v>
      </c>
    </row>
    <row r="54" customFormat="false" ht="15" hidden="false" customHeight="false" outlineLevel="0" collapsed="false">
      <c r="A54" s="79" t="s">
        <v>341</v>
      </c>
      <c r="B54" s="79" t="s">
        <v>270</v>
      </c>
      <c r="C54" s="80" t="n">
        <v>2026</v>
      </c>
      <c r="D54" s="80" t="n">
        <v>1</v>
      </c>
      <c r="E54" s="81" t="n">
        <v>46112</v>
      </c>
      <c r="F54" s="79" t="s">
        <v>267</v>
      </c>
      <c r="G54" s="79" t="s">
        <v>268</v>
      </c>
      <c r="H54" s="79" t="s">
        <v>264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344</v>
      </c>
    </row>
    <row r="55" customFormat="false" ht="15" hidden="false" customHeight="false" outlineLevel="0" collapsed="false">
      <c r="A55" s="79" t="s">
        <v>341</v>
      </c>
      <c r="B55" s="79" t="s">
        <v>272</v>
      </c>
      <c r="C55" s="80" t="n">
        <v>2025</v>
      </c>
      <c r="D55" s="80" t="n">
        <v>4</v>
      </c>
      <c r="E55" s="81" t="n">
        <v>46022</v>
      </c>
      <c r="F55" s="79" t="s">
        <v>267</v>
      </c>
      <c r="G55" s="79" t="s">
        <v>268</v>
      </c>
      <c r="H55" s="79" t="s">
        <v>264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345</v>
      </c>
    </row>
    <row r="56" customFormat="false" ht="15" hidden="false" customHeight="false" outlineLevel="0" collapsed="false">
      <c r="A56" s="79" t="s">
        <v>341</v>
      </c>
      <c r="B56" s="79" t="s">
        <v>274</v>
      </c>
      <c r="C56" s="80" t="n">
        <v>2025</v>
      </c>
      <c r="D56" s="80" t="n">
        <v>3</v>
      </c>
      <c r="E56" s="81" t="n">
        <v>45930</v>
      </c>
      <c r="F56" s="79" t="s">
        <v>267</v>
      </c>
      <c r="G56" s="79" t="s">
        <v>268</v>
      </c>
      <c r="H56" s="79" t="s">
        <v>264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346</v>
      </c>
    </row>
    <row r="57" customFormat="false" ht="15" hidden="false" customHeight="false" outlineLevel="0" collapsed="false">
      <c r="A57" s="79" t="s">
        <v>341</v>
      </c>
      <c r="B57" s="79" t="s">
        <v>276</v>
      </c>
      <c r="C57" s="80" t="n">
        <v>2025</v>
      </c>
      <c r="D57" s="80" t="n">
        <v>2</v>
      </c>
      <c r="E57" s="81" t="n">
        <v>45838</v>
      </c>
      <c r="F57" s="79" t="s">
        <v>267</v>
      </c>
      <c r="G57" s="79" t="s">
        <v>268</v>
      </c>
      <c r="H57" s="79" t="s">
        <v>264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347</v>
      </c>
    </row>
    <row r="58" customFormat="false" ht="15" hidden="false" customHeight="false" outlineLevel="0" collapsed="false">
      <c r="A58" s="79" t="s">
        <v>341</v>
      </c>
      <c r="B58" s="79" t="s">
        <v>278</v>
      </c>
      <c r="C58" s="80" t="n">
        <v>2025</v>
      </c>
      <c r="D58" s="80" t="n">
        <v>1</v>
      </c>
      <c r="E58" s="81" t="n">
        <v>45747</v>
      </c>
      <c r="F58" s="79" t="s">
        <v>267</v>
      </c>
      <c r="G58" s="79" t="s">
        <v>268</v>
      </c>
      <c r="H58" s="79" t="s">
        <v>264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348</v>
      </c>
    </row>
    <row r="59" customFormat="false" ht="15" hidden="false" customHeight="false" outlineLevel="0" collapsed="false">
      <c r="A59" s="79" t="s">
        <v>341</v>
      </c>
      <c r="B59" s="79" t="s">
        <v>280</v>
      </c>
      <c r="C59" s="80" t="n">
        <v>2024</v>
      </c>
      <c r="D59" s="80" t="n">
        <v>4</v>
      </c>
      <c r="E59" s="81" t="n">
        <v>45657</v>
      </c>
      <c r="F59" s="79" t="s">
        <v>267</v>
      </c>
      <c r="G59" s="79" t="s">
        <v>268</v>
      </c>
      <c r="H59" s="79" t="s">
        <v>264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349</v>
      </c>
    </row>
    <row r="60" customFormat="false" ht="15" hidden="false" customHeight="false" outlineLevel="0" collapsed="false">
      <c r="A60" s="79" t="s">
        <v>341</v>
      </c>
      <c r="B60" s="79" t="s">
        <v>282</v>
      </c>
      <c r="C60" s="80" t="n">
        <v>2024</v>
      </c>
      <c r="D60" s="80" t="n">
        <v>3</v>
      </c>
      <c r="E60" s="81" t="n">
        <v>45565</v>
      </c>
      <c r="F60" s="79" t="s">
        <v>267</v>
      </c>
      <c r="G60" s="79" t="s">
        <v>268</v>
      </c>
      <c r="H60" s="79" t="s">
        <v>264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350</v>
      </c>
    </row>
    <row r="61" customFormat="false" ht="15" hidden="false" customHeight="false" outlineLevel="0" collapsed="false">
      <c r="A61" s="79" t="s">
        <v>341</v>
      </c>
      <c r="B61" s="79" t="s">
        <v>284</v>
      </c>
      <c r="C61" s="80" t="n">
        <v>2024</v>
      </c>
      <c r="D61" s="80" t="n">
        <v>2</v>
      </c>
      <c r="E61" s="81" t="n">
        <v>45473</v>
      </c>
      <c r="F61" s="79" t="s">
        <v>267</v>
      </c>
      <c r="G61" s="79" t="s">
        <v>268</v>
      </c>
      <c r="H61" s="79" t="s">
        <v>264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351</v>
      </c>
    </row>
    <row r="62" customFormat="false" ht="15" hidden="false" customHeight="false" outlineLevel="0" collapsed="false">
      <c r="A62" s="79" t="s">
        <v>341</v>
      </c>
      <c r="B62" s="79" t="s">
        <v>286</v>
      </c>
      <c r="C62" s="80" t="n">
        <v>2024</v>
      </c>
      <c r="D62" s="80" t="n">
        <v>1</v>
      </c>
      <c r="E62" s="81" t="n">
        <v>45382</v>
      </c>
      <c r="F62" s="79" t="s">
        <v>267</v>
      </c>
      <c r="G62" s="79" t="s">
        <v>268</v>
      </c>
      <c r="H62" s="79" t="s">
        <v>264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352</v>
      </c>
    </row>
    <row r="63" customFormat="false" ht="15" hidden="false" customHeight="false" outlineLevel="0" collapsed="false">
      <c r="A63" s="79" t="s">
        <v>341</v>
      </c>
      <c r="B63" s="79" t="s">
        <v>288</v>
      </c>
      <c r="C63" s="80" t="n">
        <v>2023</v>
      </c>
      <c r="D63" s="80" t="n">
        <v>4</v>
      </c>
      <c r="E63" s="81" t="n">
        <v>45291</v>
      </c>
      <c r="F63" s="79" t="s">
        <v>267</v>
      </c>
      <c r="G63" s="79" t="s">
        <v>268</v>
      </c>
      <c r="H63" s="79" t="s">
        <v>264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353</v>
      </c>
    </row>
    <row r="64" customFormat="false" ht="15" hidden="false" customHeight="false" outlineLevel="0" collapsed="false">
      <c r="A64" s="79" t="s">
        <v>341</v>
      </c>
      <c r="B64" s="79" t="s">
        <v>290</v>
      </c>
      <c r="C64" s="80" t="n">
        <v>2023</v>
      </c>
      <c r="D64" s="80" t="n">
        <v>3</v>
      </c>
      <c r="E64" s="81" t="n">
        <v>45199</v>
      </c>
      <c r="F64" s="79" t="s">
        <v>267</v>
      </c>
      <c r="G64" s="79" t="s">
        <v>268</v>
      </c>
      <c r="H64" s="79" t="s">
        <v>264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354</v>
      </c>
    </row>
    <row r="65" customFormat="false" ht="15" hidden="false" customHeight="false" outlineLevel="0" collapsed="false">
      <c r="A65" s="79" t="s">
        <v>341</v>
      </c>
      <c r="B65" s="79" t="s">
        <v>292</v>
      </c>
      <c r="C65" s="80" t="n">
        <v>2023</v>
      </c>
      <c r="D65" s="80" t="n">
        <v>2</v>
      </c>
      <c r="E65" s="81" t="n">
        <v>45107</v>
      </c>
      <c r="F65" s="79" t="s">
        <v>267</v>
      </c>
      <c r="G65" s="79" t="s">
        <v>268</v>
      </c>
      <c r="H65" s="79" t="s">
        <v>264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355</v>
      </c>
    </row>
    <row r="66" customFormat="false" ht="15" hidden="false" customHeight="false" outlineLevel="0" collapsed="false">
      <c r="A66" s="79" t="s">
        <v>341</v>
      </c>
      <c r="B66" s="79" t="s">
        <v>294</v>
      </c>
      <c r="C66" s="80" t="n">
        <v>2023</v>
      </c>
      <c r="D66" s="80" t="n">
        <v>1</v>
      </c>
      <c r="E66" s="81" t="n">
        <v>45016</v>
      </c>
      <c r="F66" s="79" t="s">
        <v>267</v>
      </c>
      <c r="G66" s="79" t="s">
        <v>268</v>
      </c>
      <c r="H66" s="79" t="s">
        <v>264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356</v>
      </c>
    </row>
    <row r="67" customFormat="false" ht="15" hidden="false" customHeight="false" outlineLevel="0" collapsed="false">
      <c r="A67" s="79" t="s">
        <v>341</v>
      </c>
      <c r="B67" s="79" t="s">
        <v>296</v>
      </c>
      <c r="C67" s="80" t="n">
        <v>2022</v>
      </c>
      <c r="D67" s="80" t="n">
        <v>4</v>
      </c>
      <c r="E67" s="81" t="n">
        <v>44926</v>
      </c>
      <c r="F67" s="79" t="s">
        <v>267</v>
      </c>
      <c r="G67" s="79" t="s">
        <v>268</v>
      </c>
      <c r="H67" s="79" t="s">
        <v>264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357</v>
      </c>
    </row>
    <row r="68" customFormat="false" ht="15" hidden="false" customHeight="false" outlineLevel="0" collapsed="false">
      <c r="A68" s="79" t="s">
        <v>341</v>
      </c>
      <c r="B68" s="79" t="s">
        <v>298</v>
      </c>
      <c r="C68" s="80" t="n">
        <v>2022</v>
      </c>
      <c r="D68" s="80" t="n">
        <v>3</v>
      </c>
      <c r="E68" s="81" t="n">
        <v>44834</v>
      </c>
      <c r="F68" s="79" t="s">
        <v>267</v>
      </c>
      <c r="G68" s="79" t="s">
        <v>268</v>
      </c>
      <c r="H68" s="79" t="s">
        <v>264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358</v>
      </c>
    </row>
    <row r="69" customFormat="false" ht="15" hidden="false" customHeight="false" outlineLevel="0" collapsed="false">
      <c r="A69" s="79" t="s">
        <v>341</v>
      </c>
      <c r="B69" s="79" t="s">
        <v>300</v>
      </c>
      <c r="C69" s="80" t="n">
        <v>2022</v>
      </c>
      <c r="D69" s="80" t="n">
        <v>2</v>
      </c>
      <c r="E69" s="81" t="n">
        <v>44742</v>
      </c>
      <c r="F69" s="79" t="s">
        <v>267</v>
      </c>
      <c r="G69" s="79" t="s">
        <v>268</v>
      </c>
      <c r="H69" s="79" t="s">
        <v>264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359</v>
      </c>
    </row>
    <row r="70" customFormat="false" ht="15" hidden="false" customHeight="false" outlineLevel="0" collapsed="false">
      <c r="A70" s="79" t="s">
        <v>341</v>
      </c>
      <c r="B70" s="79" t="s">
        <v>302</v>
      </c>
      <c r="C70" s="80" t="n">
        <v>2022</v>
      </c>
      <c r="D70" s="80" t="n">
        <v>1</v>
      </c>
      <c r="E70" s="81" t="n">
        <v>44651</v>
      </c>
      <c r="F70" s="79" t="s">
        <v>267</v>
      </c>
      <c r="G70" s="79" t="s">
        <v>268</v>
      </c>
      <c r="H70" s="79" t="s">
        <v>264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360</v>
      </c>
    </row>
    <row r="71" customFormat="false" ht="15" hidden="false" customHeight="false" outlineLevel="0" collapsed="false">
      <c r="A71" s="79" t="s">
        <v>341</v>
      </c>
      <c r="B71" s="79" t="s">
        <v>304</v>
      </c>
      <c r="C71" s="80" t="n">
        <v>2021</v>
      </c>
      <c r="D71" s="80" t="n">
        <v>4</v>
      </c>
      <c r="E71" s="81" t="n">
        <v>44561</v>
      </c>
      <c r="F71" s="79" t="s">
        <v>267</v>
      </c>
      <c r="G71" s="79" t="s">
        <v>268</v>
      </c>
      <c r="H71" s="79" t="s">
        <v>264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361</v>
      </c>
    </row>
    <row r="72" customFormat="false" ht="15" hidden="false" customHeight="false" outlineLevel="0" collapsed="false">
      <c r="A72" s="79" t="s">
        <v>341</v>
      </c>
      <c r="B72" s="79" t="s">
        <v>306</v>
      </c>
      <c r="C72" s="80" t="n">
        <v>2021</v>
      </c>
      <c r="D72" s="80" t="n">
        <v>3</v>
      </c>
      <c r="E72" s="81" t="n">
        <v>44469</v>
      </c>
      <c r="F72" s="79" t="s">
        <v>267</v>
      </c>
      <c r="G72" s="79" t="s">
        <v>268</v>
      </c>
      <c r="H72" s="79" t="s">
        <v>264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362</v>
      </c>
    </row>
    <row r="73" customFormat="false" ht="15" hidden="false" customHeight="false" outlineLevel="0" collapsed="false">
      <c r="A73" s="79" t="s">
        <v>341</v>
      </c>
      <c r="B73" s="79" t="s">
        <v>308</v>
      </c>
      <c r="C73" s="80" t="n">
        <v>2021</v>
      </c>
      <c r="D73" s="80" t="n">
        <v>2</v>
      </c>
      <c r="E73" s="81" t="n">
        <v>44377</v>
      </c>
      <c r="F73" s="79" t="s">
        <v>267</v>
      </c>
      <c r="G73" s="79" t="s">
        <v>268</v>
      </c>
      <c r="H73" s="79" t="s">
        <v>264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363</v>
      </c>
    </row>
    <row r="74" customFormat="false" ht="15" hidden="false" customHeight="false" outlineLevel="0" collapsed="false">
      <c r="A74" s="79" t="s">
        <v>341</v>
      </c>
      <c r="B74" s="79" t="s">
        <v>310</v>
      </c>
      <c r="C74" s="80" t="n">
        <v>2021</v>
      </c>
      <c r="D74" s="80" t="n">
        <v>1</v>
      </c>
      <c r="E74" s="81" t="n">
        <v>44286</v>
      </c>
      <c r="F74" s="79" t="s">
        <v>267</v>
      </c>
      <c r="G74" s="79" t="s">
        <v>268</v>
      </c>
      <c r="H74" s="79" t="s">
        <v>264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364</v>
      </c>
    </row>
    <row r="75" customFormat="false" ht="15" hidden="false" customHeight="false" outlineLevel="0" collapsed="false">
      <c r="A75" s="79" t="s">
        <v>341</v>
      </c>
      <c r="B75" s="79" t="s">
        <v>312</v>
      </c>
      <c r="C75" s="80" t="n">
        <v>2020</v>
      </c>
      <c r="D75" s="80" t="n">
        <v>4</v>
      </c>
      <c r="E75" s="81" t="n">
        <v>44196</v>
      </c>
      <c r="F75" s="79" t="s">
        <v>267</v>
      </c>
      <c r="G75" s="79" t="s">
        <v>268</v>
      </c>
      <c r="H75" s="79" t="s">
        <v>264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365</v>
      </c>
    </row>
    <row r="76" customFormat="false" ht="15" hidden="false" customHeight="false" outlineLevel="0" collapsed="false">
      <c r="A76" s="79" t="s">
        <v>341</v>
      </c>
      <c r="B76" s="79" t="s">
        <v>314</v>
      </c>
      <c r="C76" s="80" t="n">
        <v>2020</v>
      </c>
      <c r="D76" s="80" t="n">
        <v>3</v>
      </c>
      <c r="E76" s="81" t="n">
        <v>44104</v>
      </c>
      <c r="F76" s="79" t="s">
        <v>267</v>
      </c>
      <c r="G76" s="79" t="s">
        <v>268</v>
      </c>
      <c r="H76" s="79" t="s">
        <v>264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366</v>
      </c>
    </row>
    <row r="77" customFormat="false" ht="15" hidden="false" customHeight="false" outlineLevel="0" collapsed="false">
      <c r="A77" s="79" t="s">
        <v>79</v>
      </c>
      <c r="B77" s="79" t="s">
        <v>261</v>
      </c>
      <c r="C77" s="80" t="n">
        <v>2026</v>
      </c>
      <c r="D77" s="80" t="n">
        <v>3</v>
      </c>
      <c r="E77" s="81" t="n">
        <v>46295</v>
      </c>
      <c r="F77" s="79" t="s">
        <v>262</v>
      </c>
      <c r="G77" s="79" t="s">
        <v>263</v>
      </c>
      <c r="H77" s="79" t="s">
        <v>264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367</v>
      </c>
    </row>
    <row r="78" customFormat="false" ht="15" hidden="false" customHeight="false" outlineLevel="0" collapsed="false">
      <c r="A78" s="79" t="s">
        <v>79</v>
      </c>
      <c r="B78" s="79" t="s">
        <v>266</v>
      </c>
      <c r="C78" s="80" t="n">
        <v>2026</v>
      </c>
      <c r="D78" s="80" t="n">
        <v>2</v>
      </c>
      <c r="E78" s="81" t="n">
        <v>46203</v>
      </c>
      <c r="F78" s="79" t="s">
        <v>267</v>
      </c>
      <c r="G78" s="79" t="s">
        <v>268</v>
      </c>
      <c r="H78" s="79" t="s">
        <v>264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368</v>
      </c>
    </row>
    <row r="79" customFormat="false" ht="15" hidden="false" customHeight="false" outlineLevel="0" collapsed="false">
      <c r="A79" s="79" t="s">
        <v>79</v>
      </c>
      <c r="B79" s="79" t="s">
        <v>270</v>
      </c>
      <c r="C79" s="80" t="n">
        <v>2026</v>
      </c>
      <c r="D79" s="80" t="n">
        <v>1</v>
      </c>
      <c r="E79" s="81" t="n">
        <v>46112</v>
      </c>
      <c r="F79" s="79" t="s">
        <v>267</v>
      </c>
      <c r="G79" s="79" t="s">
        <v>268</v>
      </c>
      <c r="H79" s="79" t="s">
        <v>264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369</v>
      </c>
    </row>
    <row r="80" customFormat="false" ht="15" hidden="false" customHeight="false" outlineLevel="0" collapsed="false">
      <c r="A80" s="79" t="s">
        <v>79</v>
      </c>
      <c r="B80" s="79" t="s">
        <v>272</v>
      </c>
      <c r="C80" s="80" t="n">
        <v>2025</v>
      </c>
      <c r="D80" s="80" t="n">
        <v>4</v>
      </c>
      <c r="E80" s="81" t="n">
        <v>46022</v>
      </c>
      <c r="F80" s="79" t="s">
        <v>267</v>
      </c>
      <c r="G80" s="79" t="s">
        <v>268</v>
      </c>
      <c r="H80" s="79" t="s">
        <v>264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370</v>
      </c>
    </row>
    <row r="81" customFormat="false" ht="15" hidden="false" customHeight="false" outlineLevel="0" collapsed="false">
      <c r="A81" s="79" t="s">
        <v>79</v>
      </c>
      <c r="B81" s="79" t="s">
        <v>274</v>
      </c>
      <c r="C81" s="80" t="n">
        <v>2025</v>
      </c>
      <c r="D81" s="80" t="n">
        <v>3</v>
      </c>
      <c r="E81" s="81" t="n">
        <v>45930</v>
      </c>
      <c r="F81" s="79" t="s">
        <v>267</v>
      </c>
      <c r="G81" s="79" t="s">
        <v>268</v>
      </c>
      <c r="H81" s="79" t="s">
        <v>264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371</v>
      </c>
    </row>
    <row r="82" customFormat="false" ht="15" hidden="false" customHeight="false" outlineLevel="0" collapsed="false">
      <c r="A82" s="79" t="s">
        <v>79</v>
      </c>
      <c r="B82" s="79" t="s">
        <v>276</v>
      </c>
      <c r="C82" s="80" t="n">
        <v>2025</v>
      </c>
      <c r="D82" s="80" t="n">
        <v>2</v>
      </c>
      <c r="E82" s="81" t="n">
        <v>45838</v>
      </c>
      <c r="F82" s="79" t="s">
        <v>267</v>
      </c>
      <c r="G82" s="79" t="s">
        <v>268</v>
      </c>
      <c r="H82" s="79" t="s">
        <v>264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372</v>
      </c>
    </row>
    <row r="83" customFormat="false" ht="15" hidden="false" customHeight="false" outlineLevel="0" collapsed="false">
      <c r="A83" s="79" t="s">
        <v>79</v>
      </c>
      <c r="B83" s="79" t="s">
        <v>278</v>
      </c>
      <c r="C83" s="80" t="n">
        <v>2025</v>
      </c>
      <c r="D83" s="80" t="n">
        <v>1</v>
      </c>
      <c r="E83" s="81" t="n">
        <v>45747</v>
      </c>
      <c r="F83" s="79" t="s">
        <v>267</v>
      </c>
      <c r="G83" s="79" t="s">
        <v>268</v>
      </c>
      <c r="H83" s="79" t="s">
        <v>264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373</v>
      </c>
    </row>
    <row r="84" customFormat="false" ht="15" hidden="false" customHeight="false" outlineLevel="0" collapsed="false">
      <c r="A84" s="79" t="s">
        <v>79</v>
      </c>
      <c r="B84" s="79" t="s">
        <v>280</v>
      </c>
      <c r="C84" s="80" t="n">
        <v>2024</v>
      </c>
      <c r="D84" s="80" t="n">
        <v>4</v>
      </c>
      <c r="E84" s="81" t="n">
        <v>45657</v>
      </c>
      <c r="F84" s="79" t="s">
        <v>267</v>
      </c>
      <c r="G84" s="79" t="s">
        <v>268</v>
      </c>
      <c r="H84" s="79" t="s">
        <v>264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374</v>
      </c>
    </row>
    <row r="85" customFormat="false" ht="15" hidden="false" customHeight="false" outlineLevel="0" collapsed="false">
      <c r="A85" s="79" t="s">
        <v>79</v>
      </c>
      <c r="B85" s="79" t="s">
        <v>282</v>
      </c>
      <c r="C85" s="80" t="n">
        <v>2024</v>
      </c>
      <c r="D85" s="80" t="n">
        <v>3</v>
      </c>
      <c r="E85" s="81" t="n">
        <v>45565</v>
      </c>
      <c r="F85" s="79" t="s">
        <v>267</v>
      </c>
      <c r="G85" s="79" t="s">
        <v>268</v>
      </c>
      <c r="H85" s="79" t="s">
        <v>264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375</v>
      </c>
    </row>
    <row r="86" customFormat="false" ht="15" hidden="false" customHeight="false" outlineLevel="0" collapsed="false">
      <c r="A86" s="79" t="s">
        <v>79</v>
      </c>
      <c r="B86" s="79" t="s">
        <v>284</v>
      </c>
      <c r="C86" s="80" t="n">
        <v>2024</v>
      </c>
      <c r="D86" s="80" t="n">
        <v>2</v>
      </c>
      <c r="E86" s="81" t="n">
        <v>45473</v>
      </c>
      <c r="F86" s="79" t="s">
        <v>267</v>
      </c>
      <c r="G86" s="79" t="s">
        <v>268</v>
      </c>
      <c r="H86" s="79" t="s">
        <v>264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376</v>
      </c>
    </row>
    <row r="87" customFormat="false" ht="15" hidden="false" customHeight="false" outlineLevel="0" collapsed="false">
      <c r="A87" s="79" t="s">
        <v>79</v>
      </c>
      <c r="B87" s="79" t="s">
        <v>286</v>
      </c>
      <c r="C87" s="80" t="n">
        <v>2024</v>
      </c>
      <c r="D87" s="80" t="n">
        <v>1</v>
      </c>
      <c r="E87" s="81" t="n">
        <v>45382</v>
      </c>
      <c r="F87" s="79" t="s">
        <v>267</v>
      </c>
      <c r="G87" s="79" t="s">
        <v>268</v>
      </c>
      <c r="H87" s="79" t="s">
        <v>264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377</v>
      </c>
    </row>
    <row r="88" customFormat="false" ht="15" hidden="false" customHeight="false" outlineLevel="0" collapsed="false">
      <c r="A88" s="79" t="s">
        <v>79</v>
      </c>
      <c r="B88" s="79" t="s">
        <v>288</v>
      </c>
      <c r="C88" s="80" t="n">
        <v>2023</v>
      </c>
      <c r="D88" s="80" t="n">
        <v>4</v>
      </c>
      <c r="E88" s="81" t="n">
        <v>45291</v>
      </c>
      <c r="F88" s="79" t="s">
        <v>267</v>
      </c>
      <c r="G88" s="79" t="s">
        <v>268</v>
      </c>
      <c r="H88" s="79" t="s">
        <v>264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378</v>
      </c>
    </row>
    <row r="89" customFormat="false" ht="15" hidden="false" customHeight="false" outlineLevel="0" collapsed="false">
      <c r="A89" s="79" t="s">
        <v>79</v>
      </c>
      <c r="B89" s="79" t="s">
        <v>290</v>
      </c>
      <c r="C89" s="80" t="n">
        <v>2023</v>
      </c>
      <c r="D89" s="80" t="n">
        <v>3</v>
      </c>
      <c r="E89" s="81" t="n">
        <v>45199</v>
      </c>
      <c r="F89" s="79" t="s">
        <v>267</v>
      </c>
      <c r="G89" s="79" t="s">
        <v>268</v>
      </c>
      <c r="H89" s="79" t="s">
        <v>264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379</v>
      </c>
    </row>
    <row r="90" customFormat="false" ht="15" hidden="false" customHeight="false" outlineLevel="0" collapsed="false">
      <c r="A90" s="79" t="s">
        <v>79</v>
      </c>
      <c r="B90" s="79" t="s">
        <v>292</v>
      </c>
      <c r="C90" s="80" t="n">
        <v>2023</v>
      </c>
      <c r="D90" s="80" t="n">
        <v>2</v>
      </c>
      <c r="E90" s="81" t="n">
        <v>45107</v>
      </c>
      <c r="F90" s="79" t="s">
        <v>267</v>
      </c>
      <c r="G90" s="79" t="s">
        <v>268</v>
      </c>
      <c r="H90" s="79" t="s">
        <v>264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380</v>
      </c>
    </row>
    <row r="91" customFormat="false" ht="15" hidden="false" customHeight="false" outlineLevel="0" collapsed="false">
      <c r="A91" s="79" t="s">
        <v>79</v>
      </c>
      <c r="B91" s="79" t="s">
        <v>294</v>
      </c>
      <c r="C91" s="80" t="n">
        <v>2023</v>
      </c>
      <c r="D91" s="80" t="n">
        <v>1</v>
      </c>
      <c r="E91" s="81" t="n">
        <v>45016</v>
      </c>
      <c r="F91" s="79" t="s">
        <v>267</v>
      </c>
      <c r="G91" s="79" t="s">
        <v>268</v>
      </c>
      <c r="H91" s="79" t="s">
        <v>264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381</v>
      </c>
    </row>
    <row r="92" customFormat="false" ht="15" hidden="false" customHeight="false" outlineLevel="0" collapsed="false">
      <c r="A92" s="79" t="s">
        <v>79</v>
      </c>
      <c r="B92" s="79" t="s">
        <v>296</v>
      </c>
      <c r="C92" s="80" t="n">
        <v>2022</v>
      </c>
      <c r="D92" s="80" t="n">
        <v>4</v>
      </c>
      <c r="E92" s="81" t="n">
        <v>44926</v>
      </c>
      <c r="F92" s="79" t="s">
        <v>267</v>
      </c>
      <c r="G92" s="79" t="s">
        <v>268</v>
      </c>
      <c r="H92" s="79" t="s">
        <v>264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382</v>
      </c>
    </row>
    <row r="93" customFormat="false" ht="15" hidden="false" customHeight="false" outlineLevel="0" collapsed="false">
      <c r="A93" s="79" t="s">
        <v>79</v>
      </c>
      <c r="B93" s="79" t="s">
        <v>298</v>
      </c>
      <c r="C93" s="80" t="n">
        <v>2022</v>
      </c>
      <c r="D93" s="80" t="n">
        <v>3</v>
      </c>
      <c r="E93" s="81" t="n">
        <v>44834</v>
      </c>
      <c r="F93" s="79" t="s">
        <v>267</v>
      </c>
      <c r="G93" s="79" t="s">
        <v>268</v>
      </c>
      <c r="H93" s="79" t="s">
        <v>264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383</v>
      </c>
    </row>
    <row r="94" customFormat="false" ht="15" hidden="false" customHeight="false" outlineLevel="0" collapsed="false">
      <c r="A94" s="79" t="s">
        <v>79</v>
      </c>
      <c r="B94" s="79" t="s">
        <v>300</v>
      </c>
      <c r="C94" s="80" t="n">
        <v>2022</v>
      </c>
      <c r="D94" s="80" t="n">
        <v>2</v>
      </c>
      <c r="E94" s="81" t="n">
        <v>44742</v>
      </c>
      <c r="F94" s="79" t="s">
        <v>267</v>
      </c>
      <c r="G94" s="79" t="s">
        <v>268</v>
      </c>
      <c r="H94" s="79" t="s">
        <v>264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384</v>
      </c>
    </row>
    <row r="95" customFormat="false" ht="15" hidden="false" customHeight="false" outlineLevel="0" collapsed="false">
      <c r="A95" s="79" t="s">
        <v>79</v>
      </c>
      <c r="B95" s="79" t="s">
        <v>302</v>
      </c>
      <c r="C95" s="80" t="n">
        <v>2022</v>
      </c>
      <c r="D95" s="80" t="n">
        <v>1</v>
      </c>
      <c r="E95" s="81" t="n">
        <v>44651</v>
      </c>
      <c r="F95" s="79" t="s">
        <v>267</v>
      </c>
      <c r="G95" s="79" t="s">
        <v>268</v>
      </c>
      <c r="H95" s="79" t="s">
        <v>264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385</v>
      </c>
    </row>
    <row r="96" customFormat="false" ht="15" hidden="false" customHeight="false" outlineLevel="0" collapsed="false">
      <c r="A96" s="79" t="s">
        <v>79</v>
      </c>
      <c r="B96" s="79" t="s">
        <v>304</v>
      </c>
      <c r="C96" s="80" t="n">
        <v>2021</v>
      </c>
      <c r="D96" s="80" t="n">
        <v>4</v>
      </c>
      <c r="E96" s="81" t="n">
        <v>44561</v>
      </c>
      <c r="F96" s="79" t="s">
        <v>267</v>
      </c>
      <c r="G96" s="79" t="s">
        <v>268</v>
      </c>
      <c r="H96" s="79" t="s">
        <v>264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386</v>
      </c>
    </row>
    <row r="97" customFormat="false" ht="15" hidden="false" customHeight="false" outlineLevel="0" collapsed="false">
      <c r="A97" s="79" t="s">
        <v>79</v>
      </c>
      <c r="B97" s="79" t="s">
        <v>306</v>
      </c>
      <c r="C97" s="80" t="n">
        <v>2021</v>
      </c>
      <c r="D97" s="80" t="n">
        <v>3</v>
      </c>
      <c r="E97" s="81" t="n">
        <v>44469</v>
      </c>
      <c r="F97" s="79" t="s">
        <v>267</v>
      </c>
      <c r="G97" s="79" t="s">
        <v>268</v>
      </c>
      <c r="H97" s="79" t="s">
        <v>264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387</v>
      </c>
    </row>
    <row r="98" customFormat="false" ht="15" hidden="false" customHeight="false" outlineLevel="0" collapsed="false">
      <c r="A98" s="79" t="s">
        <v>79</v>
      </c>
      <c r="B98" s="79" t="s">
        <v>308</v>
      </c>
      <c r="C98" s="80" t="n">
        <v>2021</v>
      </c>
      <c r="D98" s="80" t="n">
        <v>2</v>
      </c>
      <c r="E98" s="81" t="n">
        <v>44377</v>
      </c>
      <c r="F98" s="79" t="s">
        <v>267</v>
      </c>
      <c r="G98" s="79" t="s">
        <v>268</v>
      </c>
      <c r="H98" s="79" t="s">
        <v>264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388</v>
      </c>
    </row>
    <row r="99" customFormat="false" ht="15" hidden="false" customHeight="false" outlineLevel="0" collapsed="false">
      <c r="A99" s="79" t="s">
        <v>79</v>
      </c>
      <c r="B99" s="79" t="s">
        <v>310</v>
      </c>
      <c r="C99" s="80" t="n">
        <v>2021</v>
      </c>
      <c r="D99" s="80" t="n">
        <v>1</v>
      </c>
      <c r="E99" s="81" t="n">
        <v>44286</v>
      </c>
      <c r="F99" s="79" t="s">
        <v>267</v>
      </c>
      <c r="G99" s="79" t="s">
        <v>268</v>
      </c>
      <c r="H99" s="79" t="s">
        <v>264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389</v>
      </c>
    </row>
    <row r="100" customFormat="false" ht="15" hidden="false" customHeight="false" outlineLevel="0" collapsed="false">
      <c r="A100" s="79" t="s">
        <v>79</v>
      </c>
      <c r="B100" s="79" t="s">
        <v>312</v>
      </c>
      <c r="C100" s="80" t="n">
        <v>2020</v>
      </c>
      <c r="D100" s="80" t="n">
        <v>4</v>
      </c>
      <c r="E100" s="81" t="n">
        <v>44196</v>
      </c>
      <c r="F100" s="79" t="s">
        <v>267</v>
      </c>
      <c r="G100" s="79" t="s">
        <v>268</v>
      </c>
      <c r="H100" s="79" t="s">
        <v>264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390</v>
      </c>
    </row>
    <row r="101" customFormat="false" ht="15" hidden="false" customHeight="false" outlineLevel="0" collapsed="false">
      <c r="A101" s="79" t="s">
        <v>79</v>
      </c>
      <c r="B101" s="79" t="s">
        <v>314</v>
      </c>
      <c r="C101" s="80" t="n">
        <v>2020</v>
      </c>
      <c r="D101" s="80" t="n">
        <v>3</v>
      </c>
      <c r="E101" s="81" t="n">
        <v>44104</v>
      </c>
      <c r="F101" s="79" t="s">
        <v>267</v>
      </c>
      <c r="G101" s="79" t="s">
        <v>268</v>
      </c>
      <c r="H101" s="79" t="s">
        <v>264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391</v>
      </c>
    </row>
    <row r="102" customFormat="false" ht="15" hidden="false" customHeight="false" outlineLevel="0" collapsed="false">
      <c r="A102" s="79" t="s">
        <v>236</v>
      </c>
      <c r="B102" s="79" t="s">
        <v>261</v>
      </c>
      <c r="C102" s="80" t="n">
        <v>2026</v>
      </c>
      <c r="D102" s="80" t="n">
        <v>3</v>
      </c>
      <c r="E102" s="81" t="n">
        <v>46295</v>
      </c>
      <c r="F102" s="79" t="s">
        <v>262</v>
      </c>
      <c r="G102" s="79" t="s">
        <v>263</v>
      </c>
      <c r="H102" s="79" t="s">
        <v>264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392</v>
      </c>
    </row>
    <row r="103" customFormat="false" ht="15" hidden="false" customHeight="false" outlineLevel="0" collapsed="false">
      <c r="A103" s="79" t="s">
        <v>236</v>
      </c>
      <c r="B103" s="79" t="s">
        <v>266</v>
      </c>
      <c r="C103" s="80" t="n">
        <v>2026</v>
      </c>
      <c r="D103" s="80" t="n">
        <v>2</v>
      </c>
      <c r="E103" s="81" t="n">
        <v>46203</v>
      </c>
      <c r="F103" s="79" t="s">
        <v>267</v>
      </c>
      <c r="G103" s="79" t="s">
        <v>268</v>
      </c>
      <c r="H103" s="79" t="s">
        <v>264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393</v>
      </c>
    </row>
    <row r="104" customFormat="false" ht="15" hidden="false" customHeight="false" outlineLevel="0" collapsed="false">
      <c r="A104" s="79" t="s">
        <v>236</v>
      </c>
      <c r="B104" s="79" t="s">
        <v>270</v>
      </c>
      <c r="C104" s="80" t="n">
        <v>2026</v>
      </c>
      <c r="D104" s="80" t="n">
        <v>1</v>
      </c>
      <c r="E104" s="81" t="n">
        <v>46112</v>
      </c>
      <c r="F104" s="79" t="s">
        <v>267</v>
      </c>
      <c r="G104" s="79" t="s">
        <v>268</v>
      </c>
      <c r="H104" s="79" t="s">
        <v>264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394</v>
      </c>
    </row>
    <row r="105" customFormat="false" ht="15" hidden="false" customHeight="false" outlineLevel="0" collapsed="false">
      <c r="A105" s="79" t="s">
        <v>236</v>
      </c>
      <c r="B105" s="79" t="s">
        <v>272</v>
      </c>
      <c r="C105" s="80" t="n">
        <v>2025</v>
      </c>
      <c r="D105" s="80" t="n">
        <v>4</v>
      </c>
      <c r="E105" s="81" t="n">
        <v>46022</v>
      </c>
      <c r="F105" s="79" t="s">
        <v>267</v>
      </c>
      <c r="G105" s="79" t="s">
        <v>268</v>
      </c>
      <c r="H105" s="79" t="s">
        <v>264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395</v>
      </c>
    </row>
    <row r="106" customFormat="false" ht="15" hidden="false" customHeight="false" outlineLevel="0" collapsed="false">
      <c r="A106" s="79" t="s">
        <v>236</v>
      </c>
      <c r="B106" s="79" t="s">
        <v>274</v>
      </c>
      <c r="C106" s="80" t="n">
        <v>2025</v>
      </c>
      <c r="D106" s="80" t="n">
        <v>3</v>
      </c>
      <c r="E106" s="81" t="n">
        <v>45930</v>
      </c>
      <c r="F106" s="79" t="s">
        <v>267</v>
      </c>
      <c r="G106" s="79" t="s">
        <v>268</v>
      </c>
      <c r="H106" s="79" t="s">
        <v>264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396</v>
      </c>
    </row>
    <row r="107" customFormat="false" ht="15" hidden="false" customHeight="false" outlineLevel="0" collapsed="false">
      <c r="A107" s="79" t="s">
        <v>236</v>
      </c>
      <c r="B107" s="79" t="s">
        <v>276</v>
      </c>
      <c r="C107" s="80" t="n">
        <v>2025</v>
      </c>
      <c r="D107" s="80" t="n">
        <v>2</v>
      </c>
      <c r="E107" s="81" t="n">
        <v>45838</v>
      </c>
      <c r="F107" s="79" t="s">
        <v>267</v>
      </c>
      <c r="G107" s="79" t="s">
        <v>268</v>
      </c>
      <c r="H107" s="79" t="s">
        <v>264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397</v>
      </c>
    </row>
    <row r="108" customFormat="false" ht="15" hidden="false" customHeight="false" outlineLevel="0" collapsed="false">
      <c r="A108" s="79" t="s">
        <v>236</v>
      </c>
      <c r="B108" s="79" t="s">
        <v>278</v>
      </c>
      <c r="C108" s="80" t="n">
        <v>2025</v>
      </c>
      <c r="D108" s="80" t="n">
        <v>1</v>
      </c>
      <c r="E108" s="81" t="n">
        <v>45747</v>
      </c>
      <c r="F108" s="79" t="s">
        <v>267</v>
      </c>
      <c r="G108" s="79" t="s">
        <v>268</v>
      </c>
      <c r="H108" s="79" t="s">
        <v>264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398</v>
      </c>
    </row>
    <row r="109" customFormat="false" ht="15" hidden="false" customHeight="false" outlineLevel="0" collapsed="false">
      <c r="A109" s="79" t="s">
        <v>236</v>
      </c>
      <c r="B109" s="79" t="s">
        <v>280</v>
      </c>
      <c r="C109" s="80" t="n">
        <v>2024</v>
      </c>
      <c r="D109" s="80" t="n">
        <v>4</v>
      </c>
      <c r="E109" s="81" t="n">
        <v>45657</v>
      </c>
      <c r="F109" s="79" t="s">
        <v>267</v>
      </c>
      <c r="G109" s="79" t="s">
        <v>268</v>
      </c>
      <c r="H109" s="79" t="s">
        <v>264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399</v>
      </c>
    </row>
    <row r="110" customFormat="false" ht="15" hidden="false" customHeight="false" outlineLevel="0" collapsed="false">
      <c r="A110" s="79" t="s">
        <v>236</v>
      </c>
      <c r="B110" s="79" t="s">
        <v>282</v>
      </c>
      <c r="C110" s="80" t="n">
        <v>2024</v>
      </c>
      <c r="D110" s="80" t="n">
        <v>3</v>
      </c>
      <c r="E110" s="81" t="n">
        <v>45565</v>
      </c>
      <c r="F110" s="79" t="s">
        <v>267</v>
      </c>
      <c r="G110" s="79" t="s">
        <v>268</v>
      </c>
      <c r="H110" s="79" t="s">
        <v>264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400</v>
      </c>
    </row>
    <row r="111" customFormat="false" ht="15" hidden="false" customHeight="false" outlineLevel="0" collapsed="false">
      <c r="A111" s="79" t="s">
        <v>236</v>
      </c>
      <c r="B111" s="79" t="s">
        <v>284</v>
      </c>
      <c r="C111" s="80" t="n">
        <v>2024</v>
      </c>
      <c r="D111" s="80" t="n">
        <v>2</v>
      </c>
      <c r="E111" s="81" t="n">
        <v>45473</v>
      </c>
      <c r="F111" s="79" t="s">
        <v>267</v>
      </c>
      <c r="G111" s="79" t="s">
        <v>268</v>
      </c>
      <c r="H111" s="79" t="s">
        <v>264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401</v>
      </c>
    </row>
    <row r="112" customFormat="false" ht="15" hidden="false" customHeight="false" outlineLevel="0" collapsed="false">
      <c r="A112" s="79" t="s">
        <v>236</v>
      </c>
      <c r="B112" s="79" t="s">
        <v>286</v>
      </c>
      <c r="C112" s="80" t="n">
        <v>2024</v>
      </c>
      <c r="D112" s="80" t="n">
        <v>1</v>
      </c>
      <c r="E112" s="81" t="n">
        <v>45382</v>
      </c>
      <c r="F112" s="79" t="s">
        <v>267</v>
      </c>
      <c r="G112" s="79" t="s">
        <v>268</v>
      </c>
      <c r="H112" s="79" t="s">
        <v>264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402</v>
      </c>
    </row>
    <row r="113" customFormat="false" ht="15" hidden="false" customHeight="false" outlineLevel="0" collapsed="false">
      <c r="A113" s="79" t="s">
        <v>236</v>
      </c>
      <c r="B113" s="79" t="s">
        <v>288</v>
      </c>
      <c r="C113" s="80" t="n">
        <v>2023</v>
      </c>
      <c r="D113" s="80" t="n">
        <v>4</v>
      </c>
      <c r="E113" s="81" t="n">
        <v>45291</v>
      </c>
      <c r="F113" s="79" t="s">
        <v>267</v>
      </c>
      <c r="G113" s="79" t="s">
        <v>268</v>
      </c>
      <c r="H113" s="79" t="s">
        <v>264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403</v>
      </c>
    </row>
    <row r="114" customFormat="false" ht="15" hidden="false" customHeight="false" outlineLevel="0" collapsed="false">
      <c r="A114" s="79" t="s">
        <v>236</v>
      </c>
      <c r="B114" s="79" t="s">
        <v>290</v>
      </c>
      <c r="C114" s="80" t="n">
        <v>2023</v>
      </c>
      <c r="D114" s="80" t="n">
        <v>3</v>
      </c>
      <c r="E114" s="81" t="n">
        <v>45199</v>
      </c>
      <c r="F114" s="79" t="s">
        <v>267</v>
      </c>
      <c r="G114" s="79" t="s">
        <v>268</v>
      </c>
      <c r="H114" s="79" t="s">
        <v>264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404</v>
      </c>
    </row>
    <row r="115" customFormat="false" ht="15" hidden="false" customHeight="false" outlineLevel="0" collapsed="false">
      <c r="A115" s="79" t="s">
        <v>236</v>
      </c>
      <c r="B115" s="79" t="s">
        <v>292</v>
      </c>
      <c r="C115" s="80" t="n">
        <v>2023</v>
      </c>
      <c r="D115" s="80" t="n">
        <v>2</v>
      </c>
      <c r="E115" s="81" t="n">
        <v>45107</v>
      </c>
      <c r="F115" s="79" t="s">
        <v>267</v>
      </c>
      <c r="G115" s="79" t="s">
        <v>268</v>
      </c>
      <c r="H115" s="79" t="s">
        <v>264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405</v>
      </c>
    </row>
    <row r="116" customFormat="false" ht="15" hidden="false" customHeight="false" outlineLevel="0" collapsed="false">
      <c r="A116" s="79" t="s">
        <v>236</v>
      </c>
      <c r="B116" s="79" t="s">
        <v>294</v>
      </c>
      <c r="C116" s="80" t="n">
        <v>2023</v>
      </c>
      <c r="D116" s="80" t="n">
        <v>1</v>
      </c>
      <c r="E116" s="81" t="n">
        <v>45016</v>
      </c>
      <c r="F116" s="79" t="s">
        <v>267</v>
      </c>
      <c r="G116" s="79" t="s">
        <v>268</v>
      </c>
      <c r="H116" s="79" t="s">
        <v>264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406</v>
      </c>
    </row>
    <row r="117" customFormat="false" ht="15" hidden="false" customHeight="false" outlineLevel="0" collapsed="false">
      <c r="A117" s="79" t="s">
        <v>236</v>
      </c>
      <c r="B117" s="79" t="s">
        <v>296</v>
      </c>
      <c r="C117" s="80" t="n">
        <v>2022</v>
      </c>
      <c r="D117" s="80" t="n">
        <v>4</v>
      </c>
      <c r="E117" s="81" t="n">
        <v>44926</v>
      </c>
      <c r="F117" s="79" t="s">
        <v>267</v>
      </c>
      <c r="G117" s="79" t="s">
        <v>268</v>
      </c>
      <c r="H117" s="79" t="s">
        <v>264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407</v>
      </c>
    </row>
    <row r="118" customFormat="false" ht="15" hidden="false" customHeight="false" outlineLevel="0" collapsed="false">
      <c r="A118" s="79" t="s">
        <v>236</v>
      </c>
      <c r="B118" s="79" t="s">
        <v>298</v>
      </c>
      <c r="C118" s="80" t="n">
        <v>2022</v>
      </c>
      <c r="D118" s="80" t="n">
        <v>3</v>
      </c>
      <c r="E118" s="81" t="n">
        <v>44834</v>
      </c>
      <c r="F118" s="79" t="s">
        <v>267</v>
      </c>
      <c r="G118" s="79" t="s">
        <v>268</v>
      </c>
      <c r="H118" s="79" t="s">
        <v>264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408</v>
      </c>
    </row>
    <row r="119" customFormat="false" ht="15" hidden="false" customHeight="false" outlineLevel="0" collapsed="false">
      <c r="A119" s="79" t="s">
        <v>236</v>
      </c>
      <c r="B119" s="79" t="s">
        <v>300</v>
      </c>
      <c r="C119" s="80" t="n">
        <v>2022</v>
      </c>
      <c r="D119" s="80" t="n">
        <v>2</v>
      </c>
      <c r="E119" s="81" t="n">
        <v>44742</v>
      </c>
      <c r="F119" s="79" t="s">
        <v>267</v>
      </c>
      <c r="G119" s="79" t="s">
        <v>268</v>
      </c>
      <c r="H119" s="79" t="s">
        <v>264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409</v>
      </c>
    </row>
    <row r="120" customFormat="false" ht="15" hidden="false" customHeight="false" outlineLevel="0" collapsed="false">
      <c r="A120" s="79" t="s">
        <v>236</v>
      </c>
      <c r="B120" s="79" t="s">
        <v>302</v>
      </c>
      <c r="C120" s="80" t="n">
        <v>2022</v>
      </c>
      <c r="D120" s="80" t="n">
        <v>1</v>
      </c>
      <c r="E120" s="81" t="n">
        <v>44651</v>
      </c>
      <c r="F120" s="79" t="s">
        <v>267</v>
      </c>
      <c r="G120" s="79" t="s">
        <v>268</v>
      </c>
      <c r="H120" s="79" t="s">
        <v>264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410</v>
      </c>
    </row>
    <row r="121" customFormat="false" ht="15" hidden="false" customHeight="false" outlineLevel="0" collapsed="false">
      <c r="A121" s="79" t="s">
        <v>236</v>
      </c>
      <c r="B121" s="79" t="s">
        <v>304</v>
      </c>
      <c r="C121" s="80" t="n">
        <v>2021</v>
      </c>
      <c r="D121" s="80" t="n">
        <v>4</v>
      </c>
      <c r="E121" s="81" t="n">
        <v>44561</v>
      </c>
      <c r="F121" s="79" t="s">
        <v>267</v>
      </c>
      <c r="G121" s="79" t="s">
        <v>268</v>
      </c>
      <c r="H121" s="79" t="s">
        <v>264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411</v>
      </c>
    </row>
    <row r="122" customFormat="false" ht="15" hidden="false" customHeight="false" outlineLevel="0" collapsed="false">
      <c r="A122" s="79" t="s">
        <v>236</v>
      </c>
      <c r="B122" s="79" t="s">
        <v>306</v>
      </c>
      <c r="C122" s="80" t="n">
        <v>2021</v>
      </c>
      <c r="D122" s="80" t="n">
        <v>3</v>
      </c>
      <c r="E122" s="81" t="n">
        <v>44469</v>
      </c>
      <c r="F122" s="79" t="s">
        <v>267</v>
      </c>
      <c r="G122" s="79" t="s">
        <v>268</v>
      </c>
      <c r="H122" s="79" t="s">
        <v>264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412</v>
      </c>
    </row>
    <row r="123" customFormat="false" ht="15" hidden="false" customHeight="false" outlineLevel="0" collapsed="false">
      <c r="A123" s="79" t="s">
        <v>236</v>
      </c>
      <c r="B123" s="79" t="s">
        <v>308</v>
      </c>
      <c r="C123" s="80" t="n">
        <v>2021</v>
      </c>
      <c r="D123" s="80" t="n">
        <v>2</v>
      </c>
      <c r="E123" s="81" t="n">
        <v>44377</v>
      </c>
      <c r="F123" s="79" t="s">
        <v>267</v>
      </c>
      <c r="G123" s="79" t="s">
        <v>268</v>
      </c>
      <c r="H123" s="79" t="s">
        <v>264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413</v>
      </c>
    </row>
    <row r="124" customFormat="false" ht="15" hidden="false" customHeight="false" outlineLevel="0" collapsed="false">
      <c r="A124" s="79" t="s">
        <v>236</v>
      </c>
      <c r="B124" s="79" t="s">
        <v>310</v>
      </c>
      <c r="C124" s="80" t="n">
        <v>2021</v>
      </c>
      <c r="D124" s="80" t="n">
        <v>1</v>
      </c>
      <c r="E124" s="81" t="n">
        <v>44286</v>
      </c>
      <c r="F124" s="79" t="s">
        <v>267</v>
      </c>
      <c r="G124" s="79" t="s">
        <v>268</v>
      </c>
      <c r="H124" s="79" t="s">
        <v>264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414</v>
      </c>
    </row>
    <row r="125" customFormat="false" ht="15" hidden="false" customHeight="false" outlineLevel="0" collapsed="false">
      <c r="A125" s="79" t="s">
        <v>236</v>
      </c>
      <c r="B125" s="79" t="s">
        <v>312</v>
      </c>
      <c r="C125" s="80" t="n">
        <v>2020</v>
      </c>
      <c r="D125" s="80" t="n">
        <v>4</v>
      </c>
      <c r="E125" s="81" t="n">
        <v>44196</v>
      </c>
      <c r="F125" s="79" t="s">
        <v>267</v>
      </c>
      <c r="G125" s="79" t="s">
        <v>268</v>
      </c>
      <c r="H125" s="79" t="s">
        <v>264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415</v>
      </c>
    </row>
    <row r="126" customFormat="false" ht="15" hidden="false" customHeight="false" outlineLevel="0" collapsed="false">
      <c r="A126" s="79" t="s">
        <v>236</v>
      </c>
      <c r="B126" s="79" t="s">
        <v>314</v>
      </c>
      <c r="C126" s="80" t="n">
        <v>2020</v>
      </c>
      <c r="D126" s="80" t="n">
        <v>3</v>
      </c>
      <c r="E126" s="81" t="n">
        <v>44104</v>
      </c>
      <c r="F126" s="79" t="s">
        <v>267</v>
      </c>
      <c r="G126" s="79" t="s">
        <v>268</v>
      </c>
      <c r="H126" s="79" t="s">
        <v>264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416</v>
      </c>
    </row>
    <row r="127" customFormat="false" ht="15" hidden="false" customHeight="false" outlineLevel="0" collapsed="false">
      <c r="A127" s="79" t="s">
        <v>204</v>
      </c>
      <c r="B127" s="79" t="s">
        <v>261</v>
      </c>
      <c r="C127" s="80" t="n">
        <v>2026</v>
      </c>
      <c r="D127" s="80" t="n">
        <v>3</v>
      </c>
      <c r="E127" s="81" t="n">
        <v>46295</v>
      </c>
      <c r="F127" s="79" t="s">
        <v>262</v>
      </c>
      <c r="G127" s="79" t="s">
        <v>263</v>
      </c>
      <c r="H127" s="79" t="s">
        <v>264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417</v>
      </c>
    </row>
    <row r="128" customFormat="false" ht="15" hidden="false" customHeight="false" outlineLevel="0" collapsed="false">
      <c r="A128" s="79" t="s">
        <v>204</v>
      </c>
      <c r="B128" s="79" t="s">
        <v>266</v>
      </c>
      <c r="C128" s="80" t="n">
        <v>2026</v>
      </c>
      <c r="D128" s="80" t="n">
        <v>2</v>
      </c>
      <c r="E128" s="81" t="n">
        <v>46203</v>
      </c>
      <c r="F128" s="79" t="s">
        <v>267</v>
      </c>
      <c r="G128" s="79" t="s">
        <v>268</v>
      </c>
      <c r="H128" s="79" t="s">
        <v>264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418</v>
      </c>
    </row>
    <row r="129" customFormat="false" ht="15" hidden="false" customHeight="false" outlineLevel="0" collapsed="false">
      <c r="A129" s="79" t="s">
        <v>204</v>
      </c>
      <c r="B129" s="79" t="s">
        <v>270</v>
      </c>
      <c r="C129" s="80" t="n">
        <v>2026</v>
      </c>
      <c r="D129" s="80" t="n">
        <v>1</v>
      </c>
      <c r="E129" s="81" t="n">
        <v>46112</v>
      </c>
      <c r="F129" s="79" t="s">
        <v>267</v>
      </c>
      <c r="G129" s="79" t="s">
        <v>268</v>
      </c>
      <c r="H129" s="79" t="s">
        <v>264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419</v>
      </c>
    </row>
    <row r="130" customFormat="false" ht="15" hidden="false" customHeight="false" outlineLevel="0" collapsed="false">
      <c r="A130" s="79" t="s">
        <v>204</v>
      </c>
      <c r="B130" s="79" t="s">
        <v>272</v>
      </c>
      <c r="C130" s="80" t="n">
        <v>2025</v>
      </c>
      <c r="D130" s="80" t="n">
        <v>4</v>
      </c>
      <c r="E130" s="81" t="n">
        <v>46022</v>
      </c>
      <c r="F130" s="79" t="s">
        <v>267</v>
      </c>
      <c r="G130" s="79" t="s">
        <v>268</v>
      </c>
      <c r="H130" s="79" t="s">
        <v>264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420</v>
      </c>
    </row>
    <row r="131" customFormat="false" ht="15" hidden="false" customHeight="false" outlineLevel="0" collapsed="false">
      <c r="A131" s="79" t="s">
        <v>204</v>
      </c>
      <c r="B131" s="79" t="s">
        <v>274</v>
      </c>
      <c r="C131" s="80" t="n">
        <v>2025</v>
      </c>
      <c r="D131" s="80" t="n">
        <v>3</v>
      </c>
      <c r="E131" s="81" t="n">
        <v>45930</v>
      </c>
      <c r="F131" s="79" t="s">
        <v>267</v>
      </c>
      <c r="G131" s="79" t="s">
        <v>268</v>
      </c>
      <c r="H131" s="79" t="s">
        <v>264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421</v>
      </c>
    </row>
    <row r="132" customFormat="false" ht="15" hidden="false" customHeight="false" outlineLevel="0" collapsed="false">
      <c r="A132" s="79" t="s">
        <v>204</v>
      </c>
      <c r="B132" s="79" t="s">
        <v>276</v>
      </c>
      <c r="C132" s="80" t="n">
        <v>2025</v>
      </c>
      <c r="D132" s="80" t="n">
        <v>2</v>
      </c>
      <c r="E132" s="81" t="n">
        <v>45838</v>
      </c>
      <c r="F132" s="79" t="s">
        <v>267</v>
      </c>
      <c r="G132" s="79" t="s">
        <v>268</v>
      </c>
      <c r="H132" s="79" t="s">
        <v>264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422</v>
      </c>
    </row>
    <row r="133" customFormat="false" ht="15" hidden="false" customHeight="false" outlineLevel="0" collapsed="false">
      <c r="A133" s="79" t="s">
        <v>204</v>
      </c>
      <c r="B133" s="79" t="s">
        <v>278</v>
      </c>
      <c r="C133" s="80" t="n">
        <v>2025</v>
      </c>
      <c r="D133" s="80" t="n">
        <v>1</v>
      </c>
      <c r="E133" s="81" t="n">
        <v>45747</v>
      </c>
      <c r="F133" s="79" t="s">
        <v>267</v>
      </c>
      <c r="G133" s="79" t="s">
        <v>268</v>
      </c>
      <c r="H133" s="79" t="s">
        <v>264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423</v>
      </c>
    </row>
    <row r="134" customFormat="false" ht="15" hidden="false" customHeight="false" outlineLevel="0" collapsed="false">
      <c r="A134" s="79" t="s">
        <v>204</v>
      </c>
      <c r="B134" s="79" t="s">
        <v>280</v>
      </c>
      <c r="C134" s="80" t="n">
        <v>2024</v>
      </c>
      <c r="D134" s="80" t="n">
        <v>4</v>
      </c>
      <c r="E134" s="81" t="n">
        <v>45657</v>
      </c>
      <c r="F134" s="79" t="s">
        <v>267</v>
      </c>
      <c r="G134" s="79" t="s">
        <v>268</v>
      </c>
      <c r="H134" s="79" t="s">
        <v>264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424</v>
      </c>
    </row>
    <row r="135" customFormat="false" ht="15" hidden="false" customHeight="false" outlineLevel="0" collapsed="false">
      <c r="A135" s="79" t="s">
        <v>204</v>
      </c>
      <c r="B135" s="79" t="s">
        <v>282</v>
      </c>
      <c r="C135" s="80" t="n">
        <v>2024</v>
      </c>
      <c r="D135" s="80" t="n">
        <v>3</v>
      </c>
      <c r="E135" s="81" t="n">
        <v>45565</v>
      </c>
      <c r="F135" s="79" t="s">
        <v>267</v>
      </c>
      <c r="G135" s="79" t="s">
        <v>268</v>
      </c>
      <c r="H135" s="79" t="s">
        <v>264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425</v>
      </c>
    </row>
    <row r="136" customFormat="false" ht="15" hidden="false" customHeight="false" outlineLevel="0" collapsed="false">
      <c r="A136" s="79" t="s">
        <v>204</v>
      </c>
      <c r="B136" s="79" t="s">
        <v>284</v>
      </c>
      <c r="C136" s="80" t="n">
        <v>2024</v>
      </c>
      <c r="D136" s="80" t="n">
        <v>2</v>
      </c>
      <c r="E136" s="81" t="n">
        <v>45473</v>
      </c>
      <c r="F136" s="79" t="s">
        <v>267</v>
      </c>
      <c r="G136" s="79" t="s">
        <v>268</v>
      </c>
      <c r="H136" s="79" t="s">
        <v>264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426</v>
      </c>
    </row>
    <row r="137" customFormat="false" ht="15" hidden="false" customHeight="false" outlineLevel="0" collapsed="false">
      <c r="A137" s="79" t="s">
        <v>204</v>
      </c>
      <c r="B137" s="79" t="s">
        <v>286</v>
      </c>
      <c r="C137" s="80" t="n">
        <v>2024</v>
      </c>
      <c r="D137" s="80" t="n">
        <v>1</v>
      </c>
      <c r="E137" s="81" t="n">
        <v>45382</v>
      </c>
      <c r="F137" s="79" t="s">
        <v>267</v>
      </c>
      <c r="G137" s="79" t="s">
        <v>268</v>
      </c>
      <c r="H137" s="79" t="s">
        <v>264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427</v>
      </c>
    </row>
    <row r="138" customFormat="false" ht="15" hidden="false" customHeight="false" outlineLevel="0" collapsed="false">
      <c r="A138" s="79" t="s">
        <v>204</v>
      </c>
      <c r="B138" s="79" t="s">
        <v>288</v>
      </c>
      <c r="C138" s="80" t="n">
        <v>2023</v>
      </c>
      <c r="D138" s="80" t="n">
        <v>4</v>
      </c>
      <c r="E138" s="81" t="n">
        <v>45291</v>
      </c>
      <c r="F138" s="79" t="s">
        <v>267</v>
      </c>
      <c r="G138" s="79" t="s">
        <v>268</v>
      </c>
      <c r="H138" s="79" t="s">
        <v>264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428</v>
      </c>
    </row>
    <row r="139" customFormat="false" ht="15" hidden="false" customHeight="false" outlineLevel="0" collapsed="false">
      <c r="A139" s="79" t="s">
        <v>204</v>
      </c>
      <c r="B139" s="79" t="s">
        <v>290</v>
      </c>
      <c r="C139" s="80" t="n">
        <v>2023</v>
      </c>
      <c r="D139" s="80" t="n">
        <v>3</v>
      </c>
      <c r="E139" s="81" t="n">
        <v>45199</v>
      </c>
      <c r="F139" s="79" t="s">
        <v>267</v>
      </c>
      <c r="G139" s="79" t="s">
        <v>268</v>
      </c>
      <c r="H139" s="79" t="s">
        <v>264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429</v>
      </c>
    </row>
    <row r="140" customFormat="false" ht="15" hidden="false" customHeight="false" outlineLevel="0" collapsed="false">
      <c r="A140" s="79" t="s">
        <v>204</v>
      </c>
      <c r="B140" s="79" t="s">
        <v>292</v>
      </c>
      <c r="C140" s="80" t="n">
        <v>2023</v>
      </c>
      <c r="D140" s="80" t="n">
        <v>2</v>
      </c>
      <c r="E140" s="81" t="n">
        <v>45107</v>
      </c>
      <c r="F140" s="79" t="s">
        <v>267</v>
      </c>
      <c r="G140" s="79" t="s">
        <v>268</v>
      </c>
      <c r="H140" s="79" t="s">
        <v>264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430</v>
      </c>
    </row>
    <row r="141" customFormat="false" ht="15" hidden="false" customHeight="false" outlineLevel="0" collapsed="false">
      <c r="A141" s="79" t="s">
        <v>204</v>
      </c>
      <c r="B141" s="79" t="s">
        <v>294</v>
      </c>
      <c r="C141" s="80" t="n">
        <v>2023</v>
      </c>
      <c r="D141" s="80" t="n">
        <v>1</v>
      </c>
      <c r="E141" s="81" t="n">
        <v>45016</v>
      </c>
      <c r="F141" s="79" t="s">
        <v>267</v>
      </c>
      <c r="G141" s="79" t="s">
        <v>268</v>
      </c>
      <c r="H141" s="79" t="s">
        <v>264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431</v>
      </c>
    </row>
    <row r="142" customFormat="false" ht="15" hidden="false" customHeight="false" outlineLevel="0" collapsed="false">
      <c r="A142" s="79" t="s">
        <v>204</v>
      </c>
      <c r="B142" s="79" t="s">
        <v>296</v>
      </c>
      <c r="C142" s="80" t="n">
        <v>2022</v>
      </c>
      <c r="D142" s="80" t="n">
        <v>4</v>
      </c>
      <c r="E142" s="81" t="n">
        <v>44926</v>
      </c>
      <c r="F142" s="79" t="s">
        <v>267</v>
      </c>
      <c r="G142" s="79" t="s">
        <v>268</v>
      </c>
      <c r="H142" s="79" t="s">
        <v>264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432</v>
      </c>
    </row>
    <row r="143" customFormat="false" ht="15" hidden="false" customHeight="false" outlineLevel="0" collapsed="false">
      <c r="A143" s="79" t="s">
        <v>204</v>
      </c>
      <c r="B143" s="79" t="s">
        <v>298</v>
      </c>
      <c r="C143" s="80" t="n">
        <v>2022</v>
      </c>
      <c r="D143" s="80" t="n">
        <v>3</v>
      </c>
      <c r="E143" s="81" t="n">
        <v>44834</v>
      </c>
      <c r="F143" s="79" t="s">
        <v>267</v>
      </c>
      <c r="G143" s="79" t="s">
        <v>268</v>
      </c>
      <c r="H143" s="79" t="s">
        <v>264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433</v>
      </c>
    </row>
    <row r="144" customFormat="false" ht="15" hidden="false" customHeight="false" outlineLevel="0" collapsed="false">
      <c r="A144" s="79" t="s">
        <v>204</v>
      </c>
      <c r="B144" s="79" t="s">
        <v>300</v>
      </c>
      <c r="C144" s="80" t="n">
        <v>2022</v>
      </c>
      <c r="D144" s="80" t="n">
        <v>2</v>
      </c>
      <c r="E144" s="81" t="n">
        <v>44742</v>
      </c>
      <c r="F144" s="79" t="s">
        <v>267</v>
      </c>
      <c r="G144" s="79" t="s">
        <v>268</v>
      </c>
      <c r="H144" s="79" t="s">
        <v>264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434</v>
      </c>
    </row>
    <row r="145" customFormat="false" ht="15" hidden="false" customHeight="false" outlineLevel="0" collapsed="false">
      <c r="A145" s="79" t="s">
        <v>204</v>
      </c>
      <c r="B145" s="79" t="s">
        <v>302</v>
      </c>
      <c r="C145" s="80" t="n">
        <v>2022</v>
      </c>
      <c r="D145" s="80" t="n">
        <v>1</v>
      </c>
      <c r="E145" s="81" t="n">
        <v>44651</v>
      </c>
      <c r="F145" s="79" t="s">
        <v>267</v>
      </c>
      <c r="G145" s="79" t="s">
        <v>268</v>
      </c>
      <c r="H145" s="79" t="s">
        <v>264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435</v>
      </c>
    </row>
    <row r="146" customFormat="false" ht="15" hidden="false" customHeight="false" outlineLevel="0" collapsed="false">
      <c r="A146" s="79" t="s">
        <v>204</v>
      </c>
      <c r="B146" s="79" t="s">
        <v>304</v>
      </c>
      <c r="C146" s="80" t="n">
        <v>2021</v>
      </c>
      <c r="D146" s="80" t="n">
        <v>4</v>
      </c>
      <c r="E146" s="81" t="n">
        <v>44561</v>
      </c>
      <c r="F146" s="79" t="s">
        <v>267</v>
      </c>
      <c r="G146" s="79" t="s">
        <v>268</v>
      </c>
      <c r="H146" s="79" t="s">
        <v>264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436</v>
      </c>
    </row>
    <row r="147" customFormat="false" ht="15" hidden="false" customHeight="false" outlineLevel="0" collapsed="false">
      <c r="A147" s="79" t="s">
        <v>204</v>
      </c>
      <c r="B147" s="79" t="s">
        <v>306</v>
      </c>
      <c r="C147" s="80" t="n">
        <v>2021</v>
      </c>
      <c r="D147" s="80" t="n">
        <v>3</v>
      </c>
      <c r="E147" s="81" t="n">
        <v>44469</v>
      </c>
      <c r="F147" s="79" t="s">
        <v>267</v>
      </c>
      <c r="G147" s="79" t="s">
        <v>268</v>
      </c>
      <c r="H147" s="79" t="s">
        <v>264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437</v>
      </c>
    </row>
    <row r="148" customFormat="false" ht="15" hidden="false" customHeight="false" outlineLevel="0" collapsed="false">
      <c r="A148" s="79" t="s">
        <v>204</v>
      </c>
      <c r="B148" s="79" t="s">
        <v>308</v>
      </c>
      <c r="C148" s="80" t="n">
        <v>2021</v>
      </c>
      <c r="D148" s="80" t="n">
        <v>2</v>
      </c>
      <c r="E148" s="81" t="n">
        <v>44377</v>
      </c>
      <c r="F148" s="79" t="s">
        <v>267</v>
      </c>
      <c r="G148" s="79" t="s">
        <v>268</v>
      </c>
      <c r="H148" s="79" t="s">
        <v>264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438</v>
      </c>
    </row>
    <row r="149" customFormat="false" ht="15" hidden="false" customHeight="false" outlineLevel="0" collapsed="false">
      <c r="A149" s="79" t="s">
        <v>204</v>
      </c>
      <c r="B149" s="79" t="s">
        <v>310</v>
      </c>
      <c r="C149" s="80" t="n">
        <v>2021</v>
      </c>
      <c r="D149" s="80" t="n">
        <v>1</v>
      </c>
      <c r="E149" s="81" t="n">
        <v>44286</v>
      </c>
      <c r="F149" s="79" t="s">
        <v>267</v>
      </c>
      <c r="G149" s="79" t="s">
        <v>268</v>
      </c>
      <c r="H149" s="79" t="s">
        <v>264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439</v>
      </c>
    </row>
    <row r="150" customFormat="false" ht="15" hidden="false" customHeight="false" outlineLevel="0" collapsed="false">
      <c r="A150" s="79" t="s">
        <v>204</v>
      </c>
      <c r="B150" s="79" t="s">
        <v>312</v>
      </c>
      <c r="C150" s="80" t="n">
        <v>2020</v>
      </c>
      <c r="D150" s="80" t="n">
        <v>4</v>
      </c>
      <c r="E150" s="81" t="n">
        <v>44196</v>
      </c>
      <c r="F150" s="79" t="s">
        <v>267</v>
      </c>
      <c r="G150" s="79" t="s">
        <v>268</v>
      </c>
      <c r="H150" s="79" t="s">
        <v>264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440</v>
      </c>
    </row>
    <row r="151" customFormat="false" ht="15" hidden="false" customHeight="false" outlineLevel="0" collapsed="false">
      <c r="A151" s="79" t="s">
        <v>204</v>
      </c>
      <c r="B151" s="79" t="s">
        <v>314</v>
      </c>
      <c r="C151" s="80" t="n">
        <v>2020</v>
      </c>
      <c r="D151" s="80" t="n">
        <v>3</v>
      </c>
      <c r="E151" s="81" t="n">
        <v>44104</v>
      </c>
      <c r="F151" s="79" t="s">
        <v>267</v>
      </c>
      <c r="G151" s="79" t="s">
        <v>268</v>
      </c>
      <c r="H151" s="79" t="s">
        <v>264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441</v>
      </c>
    </row>
    <row r="152" customFormat="false" ht="15" hidden="false" customHeight="false" outlineLevel="0" collapsed="false">
      <c r="A152" s="79" t="s">
        <v>182</v>
      </c>
      <c r="B152" s="79" t="s">
        <v>261</v>
      </c>
      <c r="C152" s="80" t="n">
        <v>2026</v>
      </c>
      <c r="D152" s="80" t="n">
        <v>3</v>
      </c>
      <c r="E152" s="81" t="n">
        <v>46295</v>
      </c>
      <c r="F152" s="79" t="s">
        <v>262</v>
      </c>
      <c r="G152" s="79" t="s">
        <v>263</v>
      </c>
      <c r="H152" s="79" t="s">
        <v>264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442</v>
      </c>
    </row>
    <row r="153" customFormat="false" ht="15" hidden="false" customHeight="false" outlineLevel="0" collapsed="false">
      <c r="A153" s="79" t="s">
        <v>182</v>
      </c>
      <c r="B153" s="79" t="s">
        <v>266</v>
      </c>
      <c r="C153" s="80" t="n">
        <v>2026</v>
      </c>
      <c r="D153" s="80" t="n">
        <v>2</v>
      </c>
      <c r="E153" s="81" t="n">
        <v>46203</v>
      </c>
      <c r="F153" s="79" t="s">
        <v>267</v>
      </c>
      <c r="G153" s="79" t="s">
        <v>268</v>
      </c>
      <c r="H153" s="79" t="s">
        <v>264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443</v>
      </c>
    </row>
    <row r="154" customFormat="false" ht="15" hidden="false" customHeight="false" outlineLevel="0" collapsed="false">
      <c r="A154" s="79" t="s">
        <v>182</v>
      </c>
      <c r="B154" s="79" t="s">
        <v>270</v>
      </c>
      <c r="C154" s="80" t="n">
        <v>2026</v>
      </c>
      <c r="D154" s="80" t="n">
        <v>1</v>
      </c>
      <c r="E154" s="81" t="n">
        <v>46112</v>
      </c>
      <c r="F154" s="79" t="s">
        <v>267</v>
      </c>
      <c r="G154" s="79" t="s">
        <v>268</v>
      </c>
      <c r="H154" s="79" t="s">
        <v>264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444</v>
      </c>
    </row>
    <row r="155" customFormat="false" ht="15" hidden="false" customHeight="false" outlineLevel="0" collapsed="false">
      <c r="A155" s="79" t="s">
        <v>182</v>
      </c>
      <c r="B155" s="79" t="s">
        <v>272</v>
      </c>
      <c r="C155" s="80" t="n">
        <v>2025</v>
      </c>
      <c r="D155" s="80" t="n">
        <v>4</v>
      </c>
      <c r="E155" s="81" t="n">
        <v>46022</v>
      </c>
      <c r="F155" s="79" t="s">
        <v>267</v>
      </c>
      <c r="G155" s="79" t="s">
        <v>268</v>
      </c>
      <c r="H155" s="79" t="s">
        <v>264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445</v>
      </c>
    </row>
    <row r="156" customFormat="false" ht="15" hidden="false" customHeight="false" outlineLevel="0" collapsed="false">
      <c r="A156" s="79" t="s">
        <v>182</v>
      </c>
      <c r="B156" s="79" t="s">
        <v>274</v>
      </c>
      <c r="C156" s="80" t="n">
        <v>2025</v>
      </c>
      <c r="D156" s="80" t="n">
        <v>3</v>
      </c>
      <c r="E156" s="81" t="n">
        <v>45930</v>
      </c>
      <c r="F156" s="79" t="s">
        <v>267</v>
      </c>
      <c r="G156" s="79" t="s">
        <v>268</v>
      </c>
      <c r="H156" s="79" t="s">
        <v>264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446</v>
      </c>
    </row>
    <row r="157" customFormat="false" ht="15" hidden="false" customHeight="false" outlineLevel="0" collapsed="false">
      <c r="A157" s="79" t="s">
        <v>182</v>
      </c>
      <c r="B157" s="79" t="s">
        <v>276</v>
      </c>
      <c r="C157" s="80" t="n">
        <v>2025</v>
      </c>
      <c r="D157" s="80" t="n">
        <v>2</v>
      </c>
      <c r="E157" s="81" t="n">
        <v>45838</v>
      </c>
      <c r="F157" s="79" t="s">
        <v>267</v>
      </c>
      <c r="G157" s="79" t="s">
        <v>268</v>
      </c>
      <c r="H157" s="79" t="s">
        <v>264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447</v>
      </c>
    </row>
    <row r="158" customFormat="false" ht="15" hidden="false" customHeight="false" outlineLevel="0" collapsed="false">
      <c r="A158" s="79" t="s">
        <v>182</v>
      </c>
      <c r="B158" s="79" t="s">
        <v>278</v>
      </c>
      <c r="C158" s="80" t="n">
        <v>2025</v>
      </c>
      <c r="D158" s="80" t="n">
        <v>1</v>
      </c>
      <c r="E158" s="81" t="n">
        <v>45747</v>
      </c>
      <c r="F158" s="79" t="s">
        <v>267</v>
      </c>
      <c r="G158" s="79" t="s">
        <v>268</v>
      </c>
      <c r="H158" s="79" t="s">
        <v>264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448</v>
      </c>
    </row>
    <row r="159" customFormat="false" ht="15" hidden="false" customHeight="false" outlineLevel="0" collapsed="false">
      <c r="A159" s="79" t="s">
        <v>182</v>
      </c>
      <c r="B159" s="79" t="s">
        <v>280</v>
      </c>
      <c r="C159" s="80" t="n">
        <v>2024</v>
      </c>
      <c r="D159" s="80" t="n">
        <v>4</v>
      </c>
      <c r="E159" s="81" t="n">
        <v>45657</v>
      </c>
      <c r="F159" s="79" t="s">
        <v>267</v>
      </c>
      <c r="G159" s="79" t="s">
        <v>268</v>
      </c>
      <c r="H159" s="79" t="s">
        <v>264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449</v>
      </c>
    </row>
    <row r="160" customFormat="false" ht="15" hidden="false" customHeight="false" outlineLevel="0" collapsed="false">
      <c r="A160" s="79" t="s">
        <v>182</v>
      </c>
      <c r="B160" s="79" t="s">
        <v>282</v>
      </c>
      <c r="C160" s="80" t="n">
        <v>2024</v>
      </c>
      <c r="D160" s="80" t="n">
        <v>3</v>
      </c>
      <c r="E160" s="81" t="n">
        <v>45565</v>
      </c>
      <c r="F160" s="79" t="s">
        <v>267</v>
      </c>
      <c r="G160" s="79" t="s">
        <v>268</v>
      </c>
      <c r="H160" s="79" t="s">
        <v>264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450</v>
      </c>
    </row>
    <row r="161" customFormat="false" ht="15" hidden="false" customHeight="false" outlineLevel="0" collapsed="false">
      <c r="A161" s="79" t="s">
        <v>182</v>
      </c>
      <c r="B161" s="79" t="s">
        <v>284</v>
      </c>
      <c r="C161" s="80" t="n">
        <v>2024</v>
      </c>
      <c r="D161" s="80" t="n">
        <v>2</v>
      </c>
      <c r="E161" s="81" t="n">
        <v>45473</v>
      </c>
      <c r="F161" s="79" t="s">
        <v>267</v>
      </c>
      <c r="G161" s="79" t="s">
        <v>268</v>
      </c>
      <c r="H161" s="79" t="s">
        <v>264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451</v>
      </c>
    </row>
    <row r="162" customFormat="false" ht="15" hidden="false" customHeight="false" outlineLevel="0" collapsed="false">
      <c r="A162" s="79" t="s">
        <v>182</v>
      </c>
      <c r="B162" s="79" t="s">
        <v>286</v>
      </c>
      <c r="C162" s="80" t="n">
        <v>2024</v>
      </c>
      <c r="D162" s="80" t="n">
        <v>1</v>
      </c>
      <c r="E162" s="81" t="n">
        <v>45382</v>
      </c>
      <c r="F162" s="79" t="s">
        <v>267</v>
      </c>
      <c r="G162" s="79" t="s">
        <v>268</v>
      </c>
      <c r="H162" s="79" t="s">
        <v>264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452</v>
      </c>
    </row>
    <row r="163" customFormat="false" ht="15" hidden="false" customHeight="false" outlineLevel="0" collapsed="false">
      <c r="A163" s="79" t="s">
        <v>182</v>
      </c>
      <c r="B163" s="79" t="s">
        <v>288</v>
      </c>
      <c r="C163" s="80" t="n">
        <v>2023</v>
      </c>
      <c r="D163" s="80" t="n">
        <v>4</v>
      </c>
      <c r="E163" s="81" t="n">
        <v>45291</v>
      </c>
      <c r="F163" s="79" t="s">
        <v>267</v>
      </c>
      <c r="G163" s="79" t="s">
        <v>268</v>
      </c>
      <c r="H163" s="79" t="s">
        <v>264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453</v>
      </c>
    </row>
    <row r="164" customFormat="false" ht="15" hidden="false" customHeight="false" outlineLevel="0" collapsed="false">
      <c r="A164" s="79" t="s">
        <v>182</v>
      </c>
      <c r="B164" s="79" t="s">
        <v>290</v>
      </c>
      <c r="C164" s="80" t="n">
        <v>2023</v>
      </c>
      <c r="D164" s="80" t="n">
        <v>3</v>
      </c>
      <c r="E164" s="81" t="n">
        <v>45199</v>
      </c>
      <c r="F164" s="79" t="s">
        <v>267</v>
      </c>
      <c r="G164" s="79" t="s">
        <v>268</v>
      </c>
      <c r="H164" s="79" t="s">
        <v>264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454</v>
      </c>
    </row>
    <row r="165" customFormat="false" ht="15" hidden="false" customHeight="false" outlineLevel="0" collapsed="false">
      <c r="A165" s="79" t="s">
        <v>182</v>
      </c>
      <c r="B165" s="79" t="s">
        <v>292</v>
      </c>
      <c r="C165" s="80" t="n">
        <v>2023</v>
      </c>
      <c r="D165" s="80" t="n">
        <v>2</v>
      </c>
      <c r="E165" s="81" t="n">
        <v>45107</v>
      </c>
      <c r="F165" s="79" t="s">
        <v>267</v>
      </c>
      <c r="G165" s="79" t="s">
        <v>268</v>
      </c>
      <c r="H165" s="79" t="s">
        <v>264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455</v>
      </c>
    </row>
    <row r="166" customFormat="false" ht="15" hidden="false" customHeight="false" outlineLevel="0" collapsed="false">
      <c r="A166" s="79" t="s">
        <v>182</v>
      </c>
      <c r="B166" s="79" t="s">
        <v>294</v>
      </c>
      <c r="C166" s="80" t="n">
        <v>2023</v>
      </c>
      <c r="D166" s="80" t="n">
        <v>1</v>
      </c>
      <c r="E166" s="81" t="n">
        <v>45016</v>
      </c>
      <c r="F166" s="79" t="s">
        <v>267</v>
      </c>
      <c r="G166" s="79" t="s">
        <v>268</v>
      </c>
      <c r="H166" s="79" t="s">
        <v>264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456</v>
      </c>
    </row>
    <row r="167" customFormat="false" ht="15" hidden="false" customHeight="false" outlineLevel="0" collapsed="false">
      <c r="A167" s="79" t="s">
        <v>182</v>
      </c>
      <c r="B167" s="79" t="s">
        <v>296</v>
      </c>
      <c r="C167" s="80" t="n">
        <v>2022</v>
      </c>
      <c r="D167" s="80" t="n">
        <v>4</v>
      </c>
      <c r="E167" s="81" t="n">
        <v>44926</v>
      </c>
      <c r="F167" s="79" t="s">
        <v>267</v>
      </c>
      <c r="G167" s="79" t="s">
        <v>268</v>
      </c>
      <c r="H167" s="79" t="s">
        <v>264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457</v>
      </c>
    </row>
    <row r="168" customFormat="false" ht="15" hidden="false" customHeight="false" outlineLevel="0" collapsed="false">
      <c r="A168" s="79" t="s">
        <v>182</v>
      </c>
      <c r="B168" s="79" t="s">
        <v>298</v>
      </c>
      <c r="C168" s="80" t="n">
        <v>2022</v>
      </c>
      <c r="D168" s="80" t="n">
        <v>3</v>
      </c>
      <c r="E168" s="81" t="n">
        <v>44834</v>
      </c>
      <c r="F168" s="79" t="s">
        <v>267</v>
      </c>
      <c r="G168" s="79" t="s">
        <v>268</v>
      </c>
      <c r="H168" s="79" t="s">
        <v>264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458</v>
      </c>
    </row>
    <row r="169" customFormat="false" ht="15" hidden="false" customHeight="false" outlineLevel="0" collapsed="false">
      <c r="A169" s="79" t="s">
        <v>182</v>
      </c>
      <c r="B169" s="79" t="s">
        <v>300</v>
      </c>
      <c r="C169" s="80" t="n">
        <v>2022</v>
      </c>
      <c r="D169" s="80" t="n">
        <v>2</v>
      </c>
      <c r="E169" s="81" t="n">
        <v>44742</v>
      </c>
      <c r="F169" s="79" t="s">
        <v>267</v>
      </c>
      <c r="G169" s="79" t="s">
        <v>268</v>
      </c>
      <c r="H169" s="79" t="s">
        <v>264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459</v>
      </c>
    </row>
    <row r="170" customFormat="false" ht="15" hidden="false" customHeight="false" outlineLevel="0" collapsed="false">
      <c r="A170" s="79" t="s">
        <v>182</v>
      </c>
      <c r="B170" s="79" t="s">
        <v>302</v>
      </c>
      <c r="C170" s="80" t="n">
        <v>2022</v>
      </c>
      <c r="D170" s="80" t="n">
        <v>1</v>
      </c>
      <c r="E170" s="81" t="n">
        <v>44651</v>
      </c>
      <c r="F170" s="79" t="s">
        <v>267</v>
      </c>
      <c r="G170" s="79" t="s">
        <v>268</v>
      </c>
      <c r="H170" s="79" t="s">
        <v>264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460</v>
      </c>
    </row>
    <row r="171" customFormat="false" ht="15" hidden="false" customHeight="false" outlineLevel="0" collapsed="false">
      <c r="A171" s="79" t="s">
        <v>182</v>
      </c>
      <c r="B171" s="79" t="s">
        <v>304</v>
      </c>
      <c r="C171" s="80" t="n">
        <v>2021</v>
      </c>
      <c r="D171" s="80" t="n">
        <v>4</v>
      </c>
      <c r="E171" s="81" t="n">
        <v>44561</v>
      </c>
      <c r="F171" s="79" t="s">
        <v>267</v>
      </c>
      <c r="G171" s="79" t="s">
        <v>268</v>
      </c>
      <c r="H171" s="79" t="s">
        <v>264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461</v>
      </c>
    </row>
    <row r="172" customFormat="false" ht="15" hidden="false" customHeight="false" outlineLevel="0" collapsed="false">
      <c r="A172" s="79" t="s">
        <v>182</v>
      </c>
      <c r="B172" s="79" t="s">
        <v>306</v>
      </c>
      <c r="C172" s="80" t="n">
        <v>2021</v>
      </c>
      <c r="D172" s="80" t="n">
        <v>3</v>
      </c>
      <c r="E172" s="81" t="n">
        <v>44469</v>
      </c>
      <c r="F172" s="79" t="s">
        <v>267</v>
      </c>
      <c r="G172" s="79" t="s">
        <v>268</v>
      </c>
      <c r="H172" s="79" t="s">
        <v>264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462</v>
      </c>
    </row>
    <row r="173" customFormat="false" ht="15" hidden="false" customHeight="false" outlineLevel="0" collapsed="false">
      <c r="A173" s="79" t="s">
        <v>182</v>
      </c>
      <c r="B173" s="79" t="s">
        <v>308</v>
      </c>
      <c r="C173" s="80" t="n">
        <v>2021</v>
      </c>
      <c r="D173" s="80" t="n">
        <v>2</v>
      </c>
      <c r="E173" s="81" t="n">
        <v>44377</v>
      </c>
      <c r="F173" s="79" t="s">
        <v>267</v>
      </c>
      <c r="G173" s="79" t="s">
        <v>268</v>
      </c>
      <c r="H173" s="79" t="s">
        <v>264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463</v>
      </c>
    </row>
    <row r="174" customFormat="false" ht="15" hidden="false" customHeight="false" outlineLevel="0" collapsed="false">
      <c r="A174" s="79" t="s">
        <v>182</v>
      </c>
      <c r="B174" s="79" t="s">
        <v>310</v>
      </c>
      <c r="C174" s="80" t="n">
        <v>2021</v>
      </c>
      <c r="D174" s="80" t="n">
        <v>1</v>
      </c>
      <c r="E174" s="81" t="n">
        <v>44286</v>
      </c>
      <c r="F174" s="79" t="s">
        <v>267</v>
      </c>
      <c r="G174" s="79" t="s">
        <v>268</v>
      </c>
      <c r="H174" s="79" t="s">
        <v>264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464</v>
      </c>
    </row>
    <row r="175" customFormat="false" ht="15" hidden="false" customHeight="false" outlineLevel="0" collapsed="false">
      <c r="A175" s="79" t="s">
        <v>182</v>
      </c>
      <c r="B175" s="79" t="s">
        <v>312</v>
      </c>
      <c r="C175" s="80" t="n">
        <v>2020</v>
      </c>
      <c r="D175" s="80" t="n">
        <v>4</v>
      </c>
      <c r="E175" s="81" t="n">
        <v>44196</v>
      </c>
      <c r="F175" s="79" t="s">
        <v>267</v>
      </c>
      <c r="G175" s="79" t="s">
        <v>268</v>
      </c>
      <c r="H175" s="79" t="s">
        <v>264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465</v>
      </c>
    </row>
    <row r="176" customFormat="false" ht="15" hidden="false" customHeight="false" outlineLevel="0" collapsed="false">
      <c r="A176" s="79" t="s">
        <v>182</v>
      </c>
      <c r="B176" s="79" t="s">
        <v>314</v>
      </c>
      <c r="C176" s="80" t="n">
        <v>2020</v>
      </c>
      <c r="D176" s="80" t="n">
        <v>3</v>
      </c>
      <c r="E176" s="81" t="n">
        <v>44104</v>
      </c>
      <c r="F176" s="79" t="s">
        <v>267</v>
      </c>
      <c r="G176" s="79" t="s">
        <v>268</v>
      </c>
      <c r="H176" s="79" t="s">
        <v>264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466</v>
      </c>
    </row>
    <row r="177" customFormat="false" ht="15" hidden="false" customHeight="false" outlineLevel="0" collapsed="false">
      <c r="A177" s="79" t="s">
        <v>467</v>
      </c>
      <c r="B177" s="79" t="s">
        <v>261</v>
      </c>
      <c r="C177" s="80" t="n">
        <v>2026</v>
      </c>
      <c r="D177" s="80" t="n">
        <v>3</v>
      </c>
      <c r="E177" s="81" t="n">
        <v>46295</v>
      </c>
      <c r="F177" s="79" t="s">
        <v>262</v>
      </c>
      <c r="G177" s="79" t="s">
        <v>263</v>
      </c>
      <c r="H177" s="79" t="s">
        <v>264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468</v>
      </c>
    </row>
    <row r="178" customFormat="false" ht="15" hidden="false" customHeight="false" outlineLevel="0" collapsed="false">
      <c r="A178" s="79" t="s">
        <v>467</v>
      </c>
      <c r="B178" s="79" t="s">
        <v>266</v>
      </c>
      <c r="C178" s="80" t="n">
        <v>2026</v>
      </c>
      <c r="D178" s="80" t="n">
        <v>2</v>
      </c>
      <c r="E178" s="81" t="n">
        <v>46203</v>
      </c>
      <c r="F178" s="79" t="s">
        <v>267</v>
      </c>
      <c r="G178" s="79" t="s">
        <v>268</v>
      </c>
      <c r="H178" s="79" t="s">
        <v>264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469</v>
      </c>
    </row>
    <row r="179" customFormat="false" ht="15" hidden="false" customHeight="false" outlineLevel="0" collapsed="false">
      <c r="A179" s="79" t="s">
        <v>467</v>
      </c>
      <c r="B179" s="79" t="s">
        <v>270</v>
      </c>
      <c r="C179" s="80" t="n">
        <v>2026</v>
      </c>
      <c r="D179" s="80" t="n">
        <v>1</v>
      </c>
      <c r="E179" s="81" t="n">
        <v>46112</v>
      </c>
      <c r="F179" s="79" t="s">
        <v>267</v>
      </c>
      <c r="G179" s="79" t="s">
        <v>268</v>
      </c>
      <c r="H179" s="79" t="s">
        <v>264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470</v>
      </c>
    </row>
    <row r="180" customFormat="false" ht="15" hidden="false" customHeight="false" outlineLevel="0" collapsed="false">
      <c r="A180" s="79" t="s">
        <v>467</v>
      </c>
      <c r="B180" s="79" t="s">
        <v>272</v>
      </c>
      <c r="C180" s="80" t="n">
        <v>2025</v>
      </c>
      <c r="D180" s="80" t="n">
        <v>4</v>
      </c>
      <c r="E180" s="81" t="n">
        <v>46022</v>
      </c>
      <c r="F180" s="79" t="s">
        <v>267</v>
      </c>
      <c r="G180" s="79" t="s">
        <v>268</v>
      </c>
      <c r="H180" s="79" t="s">
        <v>264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471</v>
      </c>
    </row>
    <row r="181" customFormat="false" ht="15" hidden="false" customHeight="false" outlineLevel="0" collapsed="false">
      <c r="A181" s="79" t="s">
        <v>467</v>
      </c>
      <c r="B181" s="79" t="s">
        <v>274</v>
      </c>
      <c r="C181" s="80" t="n">
        <v>2025</v>
      </c>
      <c r="D181" s="80" t="n">
        <v>3</v>
      </c>
      <c r="E181" s="81" t="n">
        <v>45930</v>
      </c>
      <c r="F181" s="79" t="s">
        <v>267</v>
      </c>
      <c r="G181" s="79" t="s">
        <v>268</v>
      </c>
      <c r="H181" s="79" t="s">
        <v>264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472</v>
      </c>
    </row>
    <row r="182" customFormat="false" ht="15" hidden="false" customHeight="false" outlineLevel="0" collapsed="false">
      <c r="A182" s="79" t="s">
        <v>467</v>
      </c>
      <c r="B182" s="79" t="s">
        <v>276</v>
      </c>
      <c r="C182" s="80" t="n">
        <v>2025</v>
      </c>
      <c r="D182" s="80" t="n">
        <v>2</v>
      </c>
      <c r="E182" s="81" t="n">
        <v>45838</v>
      </c>
      <c r="F182" s="79" t="s">
        <v>267</v>
      </c>
      <c r="G182" s="79" t="s">
        <v>268</v>
      </c>
      <c r="H182" s="79" t="s">
        <v>264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473</v>
      </c>
    </row>
    <row r="183" customFormat="false" ht="15" hidden="false" customHeight="false" outlineLevel="0" collapsed="false">
      <c r="A183" s="79" t="s">
        <v>467</v>
      </c>
      <c r="B183" s="79" t="s">
        <v>278</v>
      </c>
      <c r="C183" s="80" t="n">
        <v>2025</v>
      </c>
      <c r="D183" s="80" t="n">
        <v>1</v>
      </c>
      <c r="E183" s="81" t="n">
        <v>45747</v>
      </c>
      <c r="F183" s="79" t="s">
        <v>267</v>
      </c>
      <c r="G183" s="79" t="s">
        <v>268</v>
      </c>
      <c r="H183" s="79" t="s">
        <v>264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474</v>
      </c>
    </row>
    <row r="184" customFormat="false" ht="15" hidden="false" customHeight="false" outlineLevel="0" collapsed="false">
      <c r="A184" s="79" t="s">
        <v>467</v>
      </c>
      <c r="B184" s="79" t="s">
        <v>280</v>
      </c>
      <c r="C184" s="80" t="n">
        <v>2024</v>
      </c>
      <c r="D184" s="80" t="n">
        <v>4</v>
      </c>
      <c r="E184" s="81" t="n">
        <v>45657</v>
      </c>
      <c r="F184" s="79" t="s">
        <v>267</v>
      </c>
      <c r="G184" s="79" t="s">
        <v>268</v>
      </c>
      <c r="H184" s="79" t="s">
        <v>264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475</v>
      </c>
    </row>
    <row r="185" customFormat="false" ht="15" hidden="false" customHeight="false" outlineLevel="0" collapsed="false">
      <c r="A185" s="79" t="s">
        <v>467</v>
      </c>
      <c r="B185" s="79" t="s">
        <v>282</v>
      </c>
      <c r="C185" s="80" t="n">
        <v>2024</v>
      </c>
      <c r="D185" s="80" t="n">
        <v>3</v>
      </c>
      <c r="E185" s="81" t="n">
        <v>45565</v>
      </c>
      <c r="F185" s="79" t="s">
        <v>267</v>
      </c>
      <c r="G185" s="79" t="s">
        <v>268</v>
      </c>
      <c r="H185" s="79" t="s">
        <v>264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476</v>
      </c>
    </row>
    <row r="186" customFormat="false" ht="15" hidden="false" customHeight="false" outlineLevel="0" collapsed="false">
      <c r="A186" s="79" t="s">
        <v>467</v>
      </c>
      <c r="B186" s="79" t="s">
        <v>284</v>
      </c>
      <c r="C186" s="80" t="n">
        <v>2024</v>
      </c>
      <c r="D186" s="80" t="n">
        <v>2</v>
      </c>
      <c r="E186" s="81" t="n">
        <v>45473</v>
      </c>
      <c r="F186" s="79" t="s">
        <v>267</v>
      </c>
      <c r="G186" s="79" t="s">
        <v>268</v>
      </c>
      <c r="H186" s="79" t="s">
        <v>264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477</v>
      </c>
    </row>
    <row r="187" customFormat="false" ht="15" hidden="false" customHeight="false" outlineLevel="0" collapsed="false">
      <c r="A187" s="79" t="s">
        <v>467</v>
      </c>
      <c r="B187" s="79" t="s">
        <v>286</v>
      </c>
      <c r="C187" s="80" t="n">
        <v>2024</v>
      </c>
      <c r="D187" s="80" t="n">
        <v>1</v>
      </c>
      <c r="E187" s="81" t="n">
        <v>45382</v>
      </c>
      <c r="F187" s="79" t="s">
        <v>267</v>
      </c>
      <c r="G187" s="79" t="s">
        <v>268</v>
      </c>
      <c r="H187" s="79" t="s">
        <v>264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478</v>
      </c>
    </row>
    <row r="188" customFormat="false" ht="15" hidden="false" customHeight="false" outlineLevel="0" collapsed="false">
      <c r="A188" s="79" t="s">
        <v>467</v>
      </c>
      <c r="B188" s="79" t="s">
        <v>288</v>
      </c>
      <c r="C188" s="80" t="n">
        <v>2023</v>
      </c>
      <c r="D188" s="80" t="n">
        <v>4</v>
      </c>
      <c r="E188" s="81" t="n">
        <v>45291</v>
      </c>
      <c r="F188" s="79" t="s">
        <v>267</v>
      </c>
      <c r="G188" s="79" t="s">
        <v>268</v>
      </c>
      <c r="H188" s="79" t="s">
        <v>264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479</v>
      </c>
    </row>
    <row r="189" customFormat="false" ht="15" hidden="false" customHeight="false" outlineLevel="0" collapsed="false">
      <c r="A189" s="79" t="s">
        <v>467</v>
      </c>
      <c r="B189" s="79" t="s">
        <v>290</v>
      </c>
      <c r="C189" s="80" t="n">
        <v>2023</v>
      </c>
      <c r="D189" s="80" t="n">
        <v>3</v>
      </c>
      <c r="E189" s="81" t="n">
        <v>45199</v>
      </c>
      <c r="F189" s="79" t="s">
        <v>267</v>
      </c>
      <c r="G189" s="79" t="s">
        <v>268</v>
      </c>
      <c r="H189" s="79" t="s">
        <v>264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480</v>
      </c>
    </row>
    <row r="190" customFormat="false" ht="15" hidden="false" customHeight="false" outlineLevel="0" collapsed="false">
      <c r="A190" s="79" t="s">
        <v>467</v>
      </c>
      <c r="B190" s="79" t="s">
        <v>292</v>
      </c>
      <c r="C190" s="80" t="n">
        <v>2023</v>
      </c>
      <c r="D190" s="80" t="n">
        <v>2</v>
      </c>
      <c r="E190" s="81" t="n">
        <v>45107</v>
      </c>
      <c r="F190" s="79" t="s">
        <v>267</v>
      </c>
      <c r="G190" s="79" t="s">
        <v>268</v>
      </c>
      <c r="H190" s="79" t="s">
        <v>264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481</v>
      </c>
    </row>
    <row r="191" customFormat="false" ht="15" hidden="false" customHeight="false" outlineLevel="0" collapsed="false">
      <c r="A191" s="79" t="s">
        <v>467</v>
      </c>
      <c r="B191" s="79" t="s">
        <v>294</v>
      </c>
      <c r="C191" s="80" t="n">
        <v>2023</v>
      </c>
      <c r="D191" s="80" t="n">
        <v>1</v>
      </c>
      <c r="E191" s="81" t="n">
        <v>45016</v>
      </c>
      <c r="F191" s="79" t="s">
        <v>267</v>
      </c>
      <c r="G191" s="79" t="s">
        <v>268</v>
      </c>
      <c r="H191" s="79" t="s">
        <v>264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482</v>
      </c>
    </row>
    <row r="192" customFormat="false" ht="15" hidden="false" customHeight="false" outlineLevel="0" collapsed="false">
      <c r="A192" s="79" t="s">
        <v>467</v>
      </c>
      <c r="B192" s="79" t="s">
        <v>296</v>
      </c>
      <c r="C192" s="80" t="n">
        <v>2022</v>
      </c>
      <c r="D192" s="80" t="n">
        <v>4</v>
      </c>
      <c r="E192" s="81" t="n">
        <v>44926</v>
      </c>
      <c r="F192" s="79" t="s">
        <v>267</v>
      </c>
      <c r="G192" s="79" t="s">
        <v>268</v>
      </c>
      <c r="H192" s="79" t="s">
        <v>264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483</v>
      </c>
    </row>
    <row r="193" customFormat="false" ht="15" hidden="false" customHeight="false" outlineLevel="0" collapsed="false">
      <c r="A193" s="79" t="s">
        <v>467</v>
      </c>
      <c r="B193" s="79" t="s">
        <v>298</v>
      </c>
      <c r="C193" s="80" t="n">
        <v>2022</v>
      </c>
      <c r="D193" s="80" t="n">
        <v>3</v>
      </c>
      <c r="E193" s="81" t="n">
        <v>44834</v>
      </c>
      <c r="F193" s="79" t="s">
        <v>267</v>
      </c>
      <c r="G193" s="79" t="s">
        <v>268</v>
      </c>
      <c r="H193" s="79" t="s">
        <v>264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484</v>
      </c>
    </row>
    <row r="194" customFormat="false" ht="15" hidden="false" customHeight="false" outlineLevel="0" collapsed="false">
      <c r="A194" s="79" t="s">
        <v>467</v>
      </c>
      <c r="B194" s="79" t="s">
        <v>300</v>
      </c>
      <c r="C194" s="80" t="n">
        <v>2022</v>
      </c>
      <c r="D194" s="80" t="n">
        <v>2</v>
      </c>
      <c r="E194" s="81" t="n">
        <v>44742</v>
      </c>
      <c r="F194" s="79" t="s">
        <v>267</v>
      </c>
      <c r="G194" s="79" t="s">
        <v>268</v>
      </c>
      <c r="H194" s="79" t="s">
        <v>264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485</v>
      </c>
    </row>
    <row r="195" customFormat="false" ht="15" hidden="false" customHeight="false" outlineLevel="0" collapsed="false">
      <c r="A195" s="79" t="s">
        <v>467</v>
      </c>
      <c r="B195" s="79" t="s">
        <v>302</v>
      </c>
      <c r="C195" s="80" t="n">
        <v>2022</v>
      </c>
      <c r="D195" s="80" t="n">
        <v>1</v>
      </c>
      <c r="E195" s="81" t="n">
        <v>44651</v>
      </c>
      <c r="F195" s="79" t="s">
        <v>267</v>
      </c>
      <c r="G195" s="79" t="s">
        <v>268</v>
      </c>
      <c r="H195" s="79" t="s">
        <v>264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486</v>
      </c>
    </row>
    <row r="196" customFormat="false" ht="15" hidden="false" customHeight="false" outlineLevel="0" collapsed="false">
      <c r="A196" s="79" t="s">
        <v>467</v>
      </c>
      <c r="B196" s="79" t="s">
        <v>304</v>
      </c>
      <c r="C196" s="80" t="n">
        <v>2021</v>
      </c>
      <c r="D196" s="80" t="n">
        <v>4</v>
      </c>
      <c r="E196" s="81" t="n">
        <v>44561</v>
      </c>
      <c r="F196" s="79" t="s">
        <v>267</v>
      </c>
      <c r="G196" s="79" t="s">
        <v>268</v>
      </c>
      <c r="H196" s="79" t="s">
        <v>264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487</v>
      </c>
    </row>
    <row r="197" customFormat="false" ht="15" hidden="false" customHeight="false" outlineLevel="0" collapsed="false">
      <c r="A197" s="79" t="s">
        <v>467</v>
      </c>
      <c r="B197" s="79" t="s">
        <v>306</v>
      </c>
      <c r="C197" s="80" t="n">
        <v>2021</v>
      </c>
      <c r="D197" s="80" t="n">
        <v>3</v>
      </c>
      <c r="E197" s="81" t="n">
        <v>44469</v>
      </c>
      <c r="F197" s="79" t="s">
        <v>267</v>
      </c>
      <c r="G197" s="79" t="s">
        <v>268</v>
      </c>
      <c r="H197" s="79" t="s">
        <v>264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488</v>
      </c>
    </row>
    <row r="198" customFormat="false" ht="15" hidden="false" customHeight="false" outlineLevel="0" collapsed="false">
      <c r="A198" s="79" t="s">
        <v>467</v>
      </c>
      <c r="B198" s="79" t="s">
        <v>308</v>
      </c>
      <c r="C198" s="80" t="n">
        <v>2021</v>
      </c>
      <c r="D198" s="80" t="n">
        <v>2</v>
      </c>
      <c r="E198" s="81" t="n">
        <v>44377</v>
      </c>
      <c r="F198" s="79" t="s">
        <v>267</v>
      </c>
      <c r="G198" s="79" t="s">
        <v>268</v>
      </c>
      <c r="H198" s="79" t="s">
        <v>264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489</v>
      </c>
    </row>
    <row r="199" customFormat="false" ht="15" hidden="false" customHeight="false" outlineLevel="0" collapsed="false">
      <c r="A199" s="79" t="s">
        <v>467</v>
      </c>
      <c r="B199" s="79" t="s">
        <v>310</v>
      </c>
      <c r="C199" s="80" t="n">
        <v>2021</v>
      </c>
      <c r="D199" s="80" t="n">
        <v>1</v>
      </c>
      <c r="E199" s="81" t="n">
        <v>44286</v>
      </c>
      <c r="F199" s="79" t="s">
        <v>267</v>
      </c>
      <c r="G199" s="79" t="s">
        <v>268</v>
      </c>
      <c r="H199" s="79" t="s">
        <v>264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490</v>
      </c>
    </row>
    <row r="200" customFormat="false" ht="15" hidden="false" customHeight="false" outlineLevel="0" collapsed="false">
      <c r="A200" s="79" t="s">
        <v>467</v>
      </c>
      <c r="B200" s="79" t="s">
        <v>312</v>
      </c>
      <c r="C200" s="80" t="n">
        <v>2020</v>
      </c>
      <c r="D200" s="80" t="n">
        <v>4</v>
      </c>
      <c r="E200" s="81" t="n">
        <v>44196</v>
      </c>
      <c r="F200" s="79" t="s">
        <v>267</v>
      </c>
      <c r="G200" s="79" t="s">
        <v>268</v>
      </c>
      <c r="H200" s="79" t="s">
        <v>264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491</v>
      </c>
    </row>
    <row r="201" customFormat="false" ht="15" hidden="false" customHeight="false" outlineLevel="0" collapsed="false">
      <c r="A201" s="79" t="s">
        <v>467</v>
      </c>
      <c r="B201" s="79" t="s">
        <v>314</v>
      </c>
      <c r="C201" s="80" t="n">
        <v>2020</v>
      </c>
      <c r="D201" s="80" t="n">
        <v>3</v>
      </c>
      <c r="E201" s="81" t="n">
        <v>44104</v>
      </c>
      <c r="F201" s="79" t="s">
        <v>267</v>
      </c>
      <c r="G201" s="79" t="s">
        <v>268</v>
      </c>
      <c r="H201" s="79" t="s">
        <v>264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492</v>
      </c>
    </row>
    <row r="202" customFormat="false" ht="15" hidden="false" customHeight="false" outlineLevel="0" collapsed="false">
      <c r="A202" s="79" t="s">
        <v>221</v>
      </c>
      <c r="B202" s="79" t="s">
        <v>261</v>
      </c>
      <c r="C202" s="80" t="n">
        <v>2026</v>
      </c>
      <c r="D202" s="80" t="n">
        <v>3</v>
      </c>
      <c r="E202" s="81" t="n">
        <v>46295</v>
      </c>
      <c r="F202" s="79" t="s">
        <v>262</v>
      </c>
      <c r="G202" s="79" t="s">
        <v>263</v>
      </c>
      <c r="H202" s="79" t="s">
        <v>264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493</v>
      </c>
    </row>
    <row r="203" customFormat="false" ht="15" hidden="false" customHeight="false" outlineLevel="0" collapsed="false">
      <c r="A203" s="79" t="s">
        <v>221</v>
      </c>
      <c r="B203" s="79" t="s">
        <v>266</v>
      </c>
      <c r="C203" s="80" t="n">
        <v>2026</v>
      </c>
      <c r="D203" s="80" t="n">
        <v>2</v>
      </c>
      <c r="E203" s="81" t="n">
        <v>46203</v>
      </c>
      <c r="F203" s="79" t="s">
        <v>267</v>
      </c>
      <c r="G203" s="79" t="s">
        <v>268</v>
      </c>
      <c r="H203" s="79" t="s">
        <v>264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494</v>
      </c>
    </row>
    <row r="204" customFormat="false" ht="15" hidden="false" customHeight="false" outlineLevel="0" collapsed="false">
      <c r="A204" s="79" t="s">
        <v>221</v>
      </c>
      <c r="B204" s="79" t="s">
        <v>270</v>
      </c>
      <c r="C204" s="80" t="n">
        <v>2026</v>
      </c>
      <c r="D204" s="80" t="n">
        <v>1</v>
      </c>
      <c r="E204" s="81" t="n">
        <v>46112</v>
      </c>
      <c r="F204" s="79" t="s">
        <v>267</v>
      </c>
      <c r="G204" s="79" t="s">
        <v>268</v>
      </c>
      <c r="H204" s="79" t="s">
        <v>264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495</v>
      </c>
    </row>
    <row r="205" customFormat="false" ht="15" hidden="false" customHeight="false" outlineLevel="0" collapsed="false">
      <c r="A205" s="79" t="s">
        <v>221</v>
      </c>
      <c r="B205" s="79" t="s">
        <v>272</v>
      </c>
      <c r="C205" s="80" t="n">
        <v>2025</v>
      </c>
      <c r="D205" s="80" t="n">
        <v>4</v>
      </c>
      <c r="E205" s="81" t="n">
        <v>46022</v>
      </c>
      <c r="F205" s="79" t="s">
        <v>267</v>
      </c>
      <c r="G205" s="79" t="s">
        <v>268</v>
      </c>
      <c r="H205" s="79" t="s">
        <v>264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496</v>
      </c>
    </row>
    <row r="206" customFormat="false" ht="15" hidden="false" customHeight="false" outlineLevel="0" collapsed="false">
      <c r="A206" s="79" t="s">
        <v>221</v>
      </c>
      <c r="B206" s="79" t="s">
        <v>274</v>
      </c>
      <c r="C206" s="80" t="n">
        <v>2025</v>
      </c>
      <c r="D206" s="80" t="n">
        <v>3</v>
      </c>
      <c r="E206" s="81" t="n">
        <v>45930</v>
      </c>
      <c r="F206" s="79" t="s">
        <v>267</v>
      </c>
      <c r="G206" s="79" t="s">
        <v>268</v>
      </c>
      <c r="H206" s="79" t="s">
        <v>264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497</v>
      </c>
    </row>
    <row r="207" customFormat="false" ht="15" hidden="false" customHeight="false" outlineLevel="0" collapsed="false">
      <c r="A207" s="79" t="s">
        <v>221</v>
      </c>
      <c r="B207" s="79" t="s">
        <v>276</v>
      </c>
      <c r="C207" s="80" t="n">
        <v>2025</v>
      </c>
      <c r="D207" s="80" t="n">
        <v>2</v>
      </c>
      <c r="E207" s="81" t="n">
        <v>45838</v>
      </c>
      <c r="F207" s="79" t="s">
        <v>267</v>
      </c>
      <c r="G207" s="79" t="s">
        <v>268</v>
      </c>
      <c r="H207" s="79" t="s">
        <v>264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498</v>
      </c>
    </row>
    <row r="208" customFormat="false" ht="15" hidden="false" customHeight="false" outlineLevel="0" collapsed="false">
      <c r="A208" s="79" t="s">
        <v>221</v>
      </c>
      <c r="B208" s="79" t="s">
        <v>278</v>
      </c>
      <c r="C208" s="80" t="n">
        <v>2025</v>
      </c>
      <c r="D208" s="80" t="n">
        <v>1</v>
      </c>
      <c r="E208" s="81" t="n">
        <v>45747</v>
      </c>
      <c r="F208" s="79" t="s">
        <v>267</v>
      </c>
      <c r="G208" s="79" t="s">
        <v>268</v>
      </c>
      <c r="H208" s="79" t="s">
        <v>264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499</v>
      </c>
    </row>
    <row r="209" customFormat="false" ht="15" hidden="false" customHeight="false" outlineLevel="0" collapsed="false">
      <c r="A209" s="79" t="s">
        <v>221</v>
      </c>
      <c r="B209" s="79" t="s">
        <v>280</v>
      </c>
      <c r="C209" s="80" t="n">
        <v>2024</v>
      </c>
      <c r="D209" s="80" t="n">
        <v>4</v>
      </c>
      <c r="E209" s="81" t="n">
        <v>45657</v>
      </c>
      <c r="F209" s="79" t="s">
        <v>267</v>
      </c>
      <c r="G209" s="79" t="s">
        <v>268</v>
      </c>
      <c r="H209" s="79" t="s">
        <v>264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500</v>
      </c>
    </row>
    <row r="210" customFormat="false" ht="15" hidden="false" customHeight="false" outlineLevel="0" collapsed="false">
      <c r="A210" s="79" t="s">
        <v>221</v>
      </c>
      <c r="B210" s="79" t="s">
        <v>282</v>
      </c>
      <c r="C210" s="80" t="n">
        <v>2024</v>
      </c>
      <c r="D210" s="80" t="n">
        <v>3</v>
      </c>
      <c r="E210" s="81" t="n">
        <v>45565</v>
      </c>
      <c r="F210" s="79" t="s">
        <v>267</v>
      </c>
      <c r="G210" s="79" t="s">
        <v>268</v>
      </c>
      <c r="H210" s="79" t="s">
        <v>264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501</v>
      </c>
    </row>
    <row r="211" customFormat="false" ht="15" hidden="false" customHeight="false" outlineLevel="0" collapsed="false">
      <c r="A211" s="79" t="s">
        <v>221</v>
      </c>
      <c r="B211" s="79" t="s">
        <v>284</v>
      </c>
      <c r="C211" s="80" t="n">
        <v>2024</v>
      </c>
      <c r="D211" s="80" t="n">
        <v>2</v>
      </c>
      <c r="E211" s="81" t="n">
        <v>45473</v>
      </c>
      <c r="F211" s="79" t="s">
        <v>267</v>
      </c>
      <c r="G211" s="79" t="s">
        <v>268</v>
      </c>
      <c r="H211" s="79" t="s">
        <v>264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502</v>
      </c>
    </row>
    <row r="212" customFormat="false" ht="15" hidden="false" customHeight="false" outlineLevel="0" collapsed="false">
      <c r="A212" s="79" t="s">
        <v>221</v>
      </c>
      <c r="B212" s="79" t="s">
        <v>286</v>
      </c>
      <c r="C212" s="80" t="n">
        <v>2024</v>
      </c>
      <c r="D212" s="80" t="n">
        <v>1</v>
      </c>
      <c r="E212" s="81" t="n">
        <v>45382</v>
      </c>
      <c r="F212" s="79" t="s">
        <v>267</v>
      </c>
      <c r="G212" s="79" t="s">
        <v>268</v>
      </c>
      <c r="H212" s="79" t="s">
        <v>264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503</v>
      </c>
    </row>
    <row r="213" customFormat="false" ht="15" hidden="false" customHeight="false" outlineLevel="0" collapsed="false">
      <c r="A213" s="79" t="s">
        <v>221</v>
      </c>
      <c r="B213" s="79" t="s">
        <v>288</v>
      </c>
      <c r="C213" s="80" t="n">
        <v>2023</v>
      </c>
      <c r="D213" s="80" t="n">
        <v>4</v>
      </c>
      <c r="E213" s="81" t="n">
        <v>45291</v>
      </c>
      <c r="F213" s="79" t="s">
        <v>267</v>
      </c>
      <c r="G213" s="79" t="s">
        <v>268</v>
      </c>
      <c r="H213" s="79" t="s">
        <v>264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504</v>
      </c>
    </row>
    <row r="214" customFormat="false" ht="15" hidden="false" customHeight="false" outlineLevel="0" collapsed="false">
      <c r="A214" s="79" t="s">
        <v>221</v>
      </c>
      <c r="B214" s="79" t="s">
        <v>290</v>
      </c>
      <c r="C214" s="80" t="n">
        <v>2023</v>
      </c>
      <c r="D214" s="80" t="n">
        <v>3</v>
      </c>
      <c r="E214" s="81" t="n">
        <v>45199</v>
      </c>
      <c r="F214" s="79" t="s">
        <v>267</v>
      </c>
      <c r="G214" s="79" t="s">
        <v>268</v>
      </c>
      <c r="H214" s="79" t="s">
        <v>264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505</v>
      </c>
    </row>
    <row r="215" customFormat="false" ht="15" hidden="false" customHeight="false" outlineLevel="0" collapsed="false">
      <c r="A215" s="79" t="s">
        <v>221</v>
      </c>
      <c r="B215" s="79" t="s">
        <v>292</v>
      </c>
      <c r="C215" s="80" t="n">
        <v>2023</v>
      </c>
      <c r="D215" s="80" t="n">
        <v>2</v>
      </c>
      <c r="E215" s="81" t="n">
        <v>45107</v>
      </c>
      <c r="F215" s="79" t="s">
        <v>267</v>
      </c>
      <c r="G215" s="79" t="s">
        <v>268</v>
      </c>
      <c r="H215" s="79" t="s">
        <v>264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506</v>
      </c>
    </row>
    <row r="216" customFormat="false" ht="15" hidden="false" customHeight="false" outlineLevel="0" collapsed="false">
      <c r="A216" s="79" t="s">
        <v>221</v>
      </c>
      <c r="B216" s="79" t="s">
        <v>294</v>
      </c>
      <c r="C216" s="80" t="n">
        <v>2023</v>
      </c>
      <c r="D216" s="80" t="n">
        <v>1</v>
      </c>
      <c r="E216" s="81" t="n">
        <v>45016</v>
      </c>
      <c r="F216" s="79" t="s">
        <v>267</v>
      </c>
      <c r="G216" s="79" t="s">
        <v>268</v>
      </c>
      <c r="H216" s="79" t="s">
        <v>264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507</v>
      </c>
    </row>
    <row r="217" customFormat="false" ht="15" hidden="false" customHeight="false" outlineLevel="0" collapsed="false">
      <c r="A217" s="79" t="s">
        <v>221</v>
      </c>
      <c r="B217" s="79" t="s">
        <v>296</v>
      </c>
      <c r="C217" s="80" t="n">
        <v>2022</v>
      </c>
      <c r="D217" s="80" t="n">
        <v>4</v>
      </c>
      <c r="E217" s="81" t="n">
        <v>44926</v>
      </c>
      <c r="F217" s="79" t="s">
        <v>267</v>
      </c>
      <c r="G217" s="79" t="s">
        <v>268</v>
      </c>
      <c r="H217" s="79" t="s">
        <v>264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508</v>
      </c>
    </row>
    <row r="218" customFormat="false" ht="15" hidden="false" customHeight="false" outlineLevel="0" collapsed="false">
      <c r="A218" s="79" t="s">
        <v>221</v>
      </c>
      <c r="B218" s="79" t="s">
        <v>298</v>
      </c>
      <c r="C218" s="80" t="n">
        <v>2022</v>
      </c>
      <c r="D218" s="80" t="n">
        <v>3</v>
      </c>
      <c r="E218" s="81" t="n">
        <v>44834</v>
      </c>
      <c r="F218" s="79" t="s">
        <v>267</v>
      </c>
      <c r="G218" s="79" t="s">
        <v>268</v>
      </c>
      <c r="H218" s="79" t="s">
        <v>264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509</v>
      </c>
    </row>
    <row r="219" customFormat="false" ht="15" hidden="false" customHeight="false" outlineLevel="0" collapsed="false">
      <c r="A219" s="79" t="s">
        <v>221</v>
      </c>
      <c r="B219" s="79" t="s">
        <v>300</v>
      </c>
      <c r="C219" s="80" t="n">
        <v>2022</v>
      </c>
      <c r="D219" s="80" t="n">
        <v>2</v>
      </c>
      <c r="E219" s="81" t="n">
        <v>44742</v>
      </c>
      <c r="F219" s="79" t="s">
        <v>267</v>
      </c>
      <c r="G219" s="79" t="s">
        <v>268</v>
      </c>
      <c r="H219" s="79" t="s">
        <v>264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510</v>
      </c>
    </row>
    <row r="220" customFormat="false" ht="15" hidden="false" customHeight="false" outlineLevel="0" collapsed="false">
      <c r="A220" s="79" t="s">
        <v>221</v>
      </c>
      <c r="B220" s="79" t="s">
        <v>302</v>
      </c>
      <c r="C220" s="80" t="n">
        <v>2022</v>
      </c>
      <c r="D220" s="80" t="n">
        <v>1</v>
      </c>
      <c r="E220" s="81" t="n">
        <v>44651</v>
      </c>
      <c r="F220" s="79" t="s">
        <v>267</v>
      </c>
      <c r="G220" s="79" t="s">
        <v>268</v>
      </c>
      <c r="H220" s="79" t="s">
        <v>264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511</v>
      </c>
    </row>
    <row r="221" customFormat="false" ht="15" hidden="false" customHeight="false" outlineLevel="0" collapsed="false">
      <c r="A221" s="79" t="s">
        <v>221</v>
      </c>
      <c r="B221" s="79" t="s">
        <v>304</v>
      </c>
      <c r="C221" s="80" t="n">
        <v>2021</v>
      </c>
      <c r="D221" s="80" t="n">
        <v>4</v>
      </c>
      <c r="E221" s="81" t="n">
        <v>44561</v>
      </c>
      <c r="F221" s="79" t="s">
        <v>267</v>
      </c>
      <c r="G221" s="79" t="s">
        <v>268</v>
      </c>
      <c r="H221" s="79" t="s">
        <v>264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512</v>
      </c>
    </row>
    <row r="222" customFormat="false" ht="15" hidden="false" customHeight="false" outlineLevel="0" collapsed="false">
      <c r="A222" s="79" t="s">
        <v>221</v>
      </c>
      <c r="B222" s="79" t="s">
        <v>306</v>
      </c>
      <c r="C222" s="80" t="n">
        <v>2021</v>
      </c>
      <c r="D222" s="80" t="n">
        <v>3</v>
      </c>
      <c r="E222" s="81" t="n">
        <v>44469</v>
      </c>
      <c r="F222" s="79" t="s">
        <v>267</v>
      </c>
      <c r="G222" s="79" t="s">
        <v>268</v>
      </c>
      <c r="H222" s="79" t="s">
        <v>264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513</v>
      </c>
    </row>
    <row r="223" customFormat="false" ht="15" hidden="false" customHeight="false" outlineLevel="0" collapsed="false">
      <c r="A223" s="79" t="s">
        <v>221</v>
      </c>
      <c r="B223" s="79" t="s">
        <v>308</v>
      </c>
      <c r="C223" s="80" t="n">
        <v>2021</v>
      </c>
      <c r="D223" s="80" t="n">
        <v>2</v>
      </c>
      <c r="E223" s="81" t="n">
        <v>44377</v>
      </c>
      <c r="F223" s="79" t="s">
        <v>267</v>
      </c>
      <c r="G223" s="79" t="s">
        <v>268</v>
      </c>
      <c r="H223" s="79" t="s">
        <v>264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514</v>
      </c>
    </row>
    <row r="224" customFormat="false" ht="15" hidden="false" customHeight="false" outlineLevel="0" collapsed="false">
      <c r="A224" s="79" t="s">
        <v>221</v>
      </c>
      <c r="B224" s="79" t="s">
        <v>310</v>
      </c>
      <c r="C224" s="80" t="n">
        <v>2021</v>
      </c>
      <c r="D224" s="80" t="n">
        <v>1</v>
      </c>
      <c r="E224" s="81" t="n">
        <v>44286</v>
      </c>
      <c r="F224" s="79" t="s">
        <v>267</v>
      </c>
      <c r="G224" s="79" t="s">
        <v>268</v>
      </c>
      <c r="H224" s="79" t="s">
        <v>264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515</v>
      </c>
    </row>
    <row r="225" customFormat="false" ht="15" hidden="false" customHeight="false" outlineLevel="0" collapsed="false">
      <c r="A225" s="79" t="s">
        <v>221</v>
      </c>
      <c r="B225" s="79" t="s">
        <v>312</v>
      </c>
      <c r="C225" s="80" t="n">
        <v>2020</v>
      </c>
      <c r="D225" s="80" t="n">
        <v>4</v>
      </c>
      <c r="E225" s="81" t="n">
        <v>44196</v>
      </c>
      <c r="F225" s="79" t="s">
        <v>267</v>
      </c>
      <c r="G225" s="79" t="s">
        <v>268</v>
      </c>
      <c r="H225" s="79" t="s">
        <v>264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516</v>
      </c>
    </row>
    <row r="226" customFormat="false" ht="15" hidden="false" customHeight="false" outlineLevel="0" collapsed="false">
      <c r="A226" s="79" t="s">
        <v>221</v>
      </c>
      <c r="B226" s="79" t="s">
        <v>314</v>
      </c>
      <c r="C226" s="80" t="n">
        <v>2020</v>
      </c>
      <c r="D226" s="80" t="n">
        <v>3</v>
      </c>
      <c r="E226" s="81" t="n">
        <v>44104</v>
      </c>
      <c r="F226" s="79" t="s">
        <v>267</v>
      </c>
      <c r="G226" s="79" t="s">
        <v>268</v>
      </c>
      <c r="H226" s="79" t="s">
        <v>264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517</v>
      </c>
    </row>
    <row r="227" customFormat="false" ht="15" hidden="false" customHeight="false" outlineLevel="0" collapsed="false">
      <c r="A227" s="79" t="s">
        <v>190</v>
      </c>
      <c r="B227" s="79" t="s">
        <v>261</v>
      </c>
      <c r="C227" s="80" t="n">
        <v>2026</v>
      </c>
      <c r="D227" s="80" t="n">
        <v>3</v>
      </c>
      <c r="E227" s="81" t="n">
        <v>46295</v>
      </c>
      <c r="F227" s="79" t="s">
        <v>262</v>
      </c>
      <c r="G227" s="79" t="s">
        <v>263</v>
      </c>
      <c r="H227" s="79" t="s">
        <v>264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518</v>
      </c>
    </row>
    <row r="228" customFormat="false" ht="15" hidden="false" customHeight="false" outlineLevel="0" collapsed="false">
      <c r="A228" s="79" t="s">
        <v>190</v>
      </c>
      <c r="B228" s="79" t="s">
        <v>266</v>
      </c>
      <c r="C228" s="80" t="n">
        <v>2026</v>
      </c>
      <c r="D228" s="80" t="n">
        <v>2</v>
      </c>
      <c r="E228" s="81" t="n">
        <v>46203</v>
      </c>
      <c r="F228" s="79" t="s">
        <v>267</v>
      </c>
      <c r="G228" s="79" t="s">
        <v>268</v>
      </c>
      <c r="H228" s="79" t="s">
        <v>264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519</v>
      </c>
    </row>
    <row r="229" customFormat="false" ht="15" hidden="false" customHeight="false" outlineLevel="0" collapsed="false">
      <c r="A229" s="79" t="s">
        <v>190</v>
      </c>
      <c r="B229" s="79" t="s">
        <v>270</v>
      </c>
      <c r="C229" s="80" t="n">
        <v>2026</v>
      </c>
      <c r="D229" s="80" t="n">
        <v>1</v>
      </c>
      <c r="E229" s="81" t="n">
        <v>46112</v>
      </c>
      <c r="F229" s="79" t="s">
        <v>267</v>
      </c>
      <c r="G229" s="79" t="s">
        <v>268</v>
      </c>
      <c r="H229" s="79" t="s">
        <v>264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520</v>
      </c>
    </row>
    <row r="230" customFormat="false" ht="15" hidden="false" customHeight="false" outlineLevel="0" collapsed="false">
      <c r="A230" s="79" t="s">
        <v>190</v>
      </c>
      <c r="B230" s="79" t="s">
        <v>272</v>
      </c>
      <c r="C230" s="80" t="n">
        <v>2025</v>
      </c>
      <c r="D230" s="80" t="n">
        <v>4</v>
      </c>
      <c r="E230" s="81" t="n">
        <v>46022</v>
      </c>
      <c r="F230" s="79" t="s">
        <v>267</v>
      </c>
      <c r="G230" s="79" t="s">
        <v>268</v>
      </c>
      <c r="H230" s="79" t="s">
        <v>264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521</v>
      </c>
    </row>
    <row r="231" customFormat="false" ht="15" hidden="false" customHeight="false" outlineLevel="0" collapsed="false">
      <c r="A231" s="79" t="s">
        <v>190</v>
      </c>
      <c r="B231" s="79" t="s">
        <v>274</v>
      </c>
      <c r="C231" s="80" t="n">
        <v>2025</v>
      </c>
      <c r="D231" s="80" t="n">
        <v>3</v>
      </c>
      <c r="E231" s="81" t="n">
        <v>45930</v>
      </c>
      <c r="F231" s="79" t="s">
        <v>267</v>
      </c>
      <c r="G231" s="79" t="s">
        <v>268</v>
      </c>
      <c r="H231" s="79" t="s">
        <v>264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522</v>
      </c>
    </row>
    <row r="232" customFormat="false" ht="15" hidden="false" customHeight="false" outlineLevel="0" collapsed="false">
      <c r="A232" s="79" t="s">
        <v>190</v>
      </c>
      <c r="B232" s="79" t="s">
        <v>276</v>
      </c>
      <c r="C232" s="80" t="n">
        <v>2025</v>
      </c>
      <c r="D232" s="80" t="n">
        <v>2</v>
      </c>
      <c r="E232" s="81" t="n">
        <v>45838</v>
      </c>
      <c r="F232" s="79" t="s">
        <v>267</v>
      </c>
      <c r="G232" s="79" t="s">
        <v>268</v>
      </c>
      <c r="H232" s="79" t="s">
        <v>264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523</v>
      </c>
    </row>
    <row r="233" customFormat="false" ht="15" hidden="false" customHeight="false" outlineLevel="0" collapsed="false">
      <c r="A233" s="79" t="s">
        <v>190</v>
      </c>
      <c r="B233" s="79" t="s">
        <v>278</v>
      </c>
      <c r="C233" s="80" t="n">
        <v>2025</v>
      </c>
      <c r="D233" s="80" t="n">
        <v>1</v>
      </c>
      <c r="E233" s="81" t="n">
        <v>45747</v>
      </c>
      <c r="F233" s="79" t="s">
        <v>267</v>
      </c>
      <c r="G233" s="79" t="s">
        <v>268</v>
      </c>
      <c r="H233" s="79" t="s">
        <v>264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524</v>
      </c>
    </row>
    <row r="234" customFormat="false" ht="15" hidden="false" customHeight="false" outlineLevel="0" collapsed="false">
      <c r="A234" s="79" t="s">
        <v>190</v>
      </c>
      <c r="B234" s="79" t="s">
        <v>280</v>
      </c>
      <c r="C234" s="80" t="n">
        <v>2024</v>
      </c>
      <c r="D234" s="80" t="n">
        <v>4</v>
      </c>
      <c r="E234" s="81" t="n">
        <v>45657</v>
      </c>
      <c r="F234" s="79" t="s">
        <v>267</v>
      </c>
      <c r="G234" s="79" t="s">
        <v>268</v>
      </c>
      <c r="H234" s="79" t="s">
        <v>264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525</v>
      </c>
    </row>
    <row r="235" customFormat="false" ht="15" hidden="false" customHeight="false" outlineLevel="0" collapsed="false">
      <c r="A235" s="79" t="s">
        <v>190</v>
      </c>
      <c r="B235" s="79" t="s">
        <v>282</v>
      </c>
      <c r="C235" s="80" t="n">
        <v>2024</v>
      </c>
      <c r="D235" s="80" t="n">
        <v>3</v>
      </c>
      <c r="E235" s="81" t="n">
        <v>45565</v>
      </c>
      <c r="F235" s="79" t="s">
        <v>267</v>
      </c>
      <c r="G235" s="79" t="s">
        <v>268</v>
      </c>
      <c r="H235" s="79" t="s">
        <v>264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526</v>
      </c>
    </row>
    <row r="236" customFormat="false" ht="15" hidden="false" customHeight="false" outlineLevel="0" collapsed="false">
      <c r="A236" s="79" t="s">
        <v>190</v>
      </c>
      <c r="B236" s="79" t="s">
        <v>284</v>
      </c>
      <c r="C236" s="80" t="n">
        <v>2024</v>
      </c>
      <c r="D236" s="80" t="n">
        <v>2</v>
      </c>
      <c r="E236" s="81" t="n">
        <v>45473</v>
      </c>
      <c r="F236" s="79" t="s">
        <v>267</v>
      </c>
      <c r="G236" s="79" t="s">
        <v>268</v>
      </c>
      <c r="H236" s="79" t="s">
        <v>264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527</v>
      </c>
    </row>
    <row r="237" customFormat="false" ht="15" hidden="false" customHeight="false" outlineLevel="0" collapsed="false">
      <c r="A237" s="79" t="s">
        <v>190</v>
      </c>
      <c r="B237" s="79" t="s">
        <v>286</v>
      </c>
      <c r="C237" s="80" t="n">
        <v>2024</v>
      </c>
      <c r="D237" s="80" t="n">
        <v>1</v>
      </c>
      <c r="E237" s="81" t="n">
        <v>45382</v>
      </c>
      <c r="F237" s="79" t="s">
        <v>267</v>
      </c>
      <c r="G237" s="79" t="s">
        <v>268</v>
      </c>
      <c r="H237" s="79" t="s">
        <v>264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528</v>
      </c>
    </row>
    <row r="238" customFormat="false" ht="15" hidden="false" customHeight="false" outlineLevel="0" collapsed="false">
      <c r="A238" s="79" t="s">
        <v>190</v>
      </c>
      <c r="B238" s="79" t="s">
        <v>288</v>
      </c>
      <c r="C238" s="80" t="n">
        <v>2023</v>
      </c>
      <c r="D238" s="80" t="n">
        <v>4</v>
      </c>
      <c r="E238" s="81" t="n">
        <v>45291</v>
      </c>
      <c r="F238" s="79" t="s">
        <v>267</v>
      </c>
      <c r="G238" s="79" t="s">
        <v>268</v>
      </c>
      <c r="H238" s="79" t="s">
        <v>264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529</v>
      </c>
    </row>
    <row r="239" customFormat="false" ht="15" hidden="false" customHeight="false" outlineLevel="0" collapsed="false">
      <c r="A239" s="79" t="s">
        <v>190</v>
      </c>
      <c r="B239" s="79" t="s">
        <v>290</v>
      </c>
      <c r="C239" s="80" t="n">
        <v>2023</v>
      </c>
      <c r="D239" s="80" t="n">
        <v>3</v>
      </c>
      <c r="E239" s="81" t="n">
        <v>45199</v>
      </c>
      <c r="F239" s="79" t="s">
        <v>267</v>
      </c>
      <c r="G239" s="79" t="s">
        <v>268</v>
      </c>
      <c r="H239" s="79" t="s">
        <v>264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530</v>
      </c>
    </row>
    <row r="240" customFormat="false" ht="15" hidden="false" customHeight="false" outlineLevel="0" collapsed="false">
      <c r="A240" s="79" t="s">
        <v>190</v>
      </c>
      <c r="B240" s="79" t="s">
        <v>292</v>
      </c>
      <c r="C240" s="80" t="n">
        <v>2023</v>
      </c>
      <c r="D240" s="80" t="n">
        <v>2</v>
      </c>
      <c r="E240" s="81" t="n">
        <v>45107</v>
      </c>
      <c r="F240" s="79" t="s">
        <v>267</v>
      </c>
      <c r="G240" s="79" t="s">
        <v>268</v>
      </c>
      <c r="H240" s="79" t="s">
        <v>264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531</v>
      </c>
    </row>
    <row r="241" customFormat="false" ht="15" hidden="false" customHeight="false" outlineLevel="0" collapsed="false">
      <c r="A241" s="79" t="s">
        <v>190</v>
      </c>
      <c r="B241" s="79" t="s">
        <v>294</v>
      </c>
      <c r="C241" s="80" t="n">
        <v>2023</v>
      </c>
      <c r="D241" s="80" t="n">
        <v>1</v>
      </c>
      <c r="E241" s="81" t="n">
        <v>45016</v>
      </c>
      <c r="F241" s="79" t="s">
        <v>267</v>
      </c>
      <c r="G241" s="79" t="s">
        <v>268</v>
      </c>
      <c r="H241" s="79" t="s">
        <v>264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532</v>
      </c>
    </row>
    <row r="242" customFormat="false" ht="15" hidden="false" customHeight="false" outlineLevel="0" collapsed="false">
      <c r="A242" s="79" t="s">
        <v>190</v>
      </c>
      <c r="B242" s="79" t="s">
        <v>296</v>
      </c>
      <c r="C242" s="80" t="n">
        <v>2022</v>
      </c>
      <c r="D242" s="80" t="n">
        <v>4</v>
      </c>
      <c r="E242" s="81" t="n">
        <v>44926</v>
      </c>
      <c r="F242" s="79" t="s">
        <v>267</v>
      </c>
      <c r="G242" s="79" t="s">
        <v>268</v>
      </c>
      <c r="H242" s="79" t="s">
        <v>264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533</v>
      </c>
    </row>
    <row r="243" customFormat="false" ht="15" hidden="false" customHeight="false" outlineLevel="0" collapsed="false">
      <c r="A243" s="79" t="s">
        <v>190</v>
      </c>
      <c r="B243" s="79" t="s">
        <v>298</v>
      </c>
      <c r="C243" s="80" t="n">
        <v>2022</v>
      </c>
      <c r="D243" s="80" t="n">
        <v>3</v>
      </c>
      <c r="E243" s="81" t="n">
        <v>44834</v>
      </c>
      <c r="F243" s="79" t="s">
        <v>267</v>
      </c>
      <c r="G243" s="79" t="s">
        <v>268</v>
      </c>
      <c r="H243" s="79" t="s">
        <v>264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534</v>
      </c>
    </row>
    <row r="244" customFormat="false" ht="15" hidden="false" customHeight="false" outlineLevel="0" collapsed="false">
      <c r="A244" s="79" t="s">
        <v>190</v>
      </c>
      <c r="B244" s="79" t="s">
        <v>300</v>
      </c>
      <c r="C244" s="80" t="n">
        <v>2022</v>
      </c>
      <c r="D244" s="80" t="n">
        <v>2</v>
      </c>
      <c r="E244" s="81" t="n">
        <v>44742</v>
      </c>
      <c r="F244" s="79" t="s">
        <v>267</v>
      </c>
      <c r="G244" s="79" t="s">
        <v>268</v>
      </c>
      <c r="H244" s="79" t="s">
        <v>264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535</v>
      </c>
    </row>
    <row r="245" customFormat="false" ht="15" hidden="false" customHeight="false" outlineLevel="0" collapsed="false">
      <c r="A245" s="79" t="s">
        <v>190</v>
      </c>
      <c r="B245" s="79" t="s">
        <v>302</v>
      </c>
      <c r="C245" s="80" t="n">
        <v>2022</v>
      </c>
      <c r="D245" s="80" t="n">
        <v>1</v>
      </c>
      <c r="E245" s="81" t="n">
        <v>44651</v>
      </c>
      <c r="F245" s="79" t="s">
        <v>267</v>
      </c>
      <c r="G245" s="79" t="s">
        <v>268</v>
      </c>
      <c r="H245" s="79" t="s">
        <v>264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536</v>
      </c>
    </row>
    <row r="246" customFormat="false" ht="15" hidden="false" customHeight="false" outlineLevel="0" collapsed="false">
      <c r="A246" s="79" t="s">
        <v>190</v>
      </c>
      <c r="B246" s="79" t="s">
        <v>304</v>
      </c>
      <c r="C246" s="80" t="n">
        <v>2021</v>
      </c>
      <c r="D246" s="80" t="n">
        <v>4</v>
      </c>
      <c r="E246" s="81" t="n">
        <v>44561</v>
      </c>
      <c r="F246" s="79" t="s">
        <v>267</v>
      </c>
      <c r="G246" s="79" t="s">
        <v>268</v>
      </c>
      <c r="H246" s="79" t="s">
        <v>264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537</v>
      </c>
    </row>
    <row r="247" customFormat="false" ht="15" hidden="false" customHeight="false" outlineLevel="0" collapsed="false">
      <c r="A247" s="79" t="s">
        <v>190</v>
      </c>
      <c r="B247" s="79" t="s">
        <v>306</v>
      </c>
      <c r="C247" s="80" t="n">
        <v>2021</v>
      </c>
      <c r="D247" s="80" t="n">
        <v>3</v>
      </c>
      <c r="E247" s="81" t="n">
        <v>44469</v>
      </c>
      <c r="F247" s="79" t="s">
        <v>267</v>
      </c>
      <c r="G247" s="79" t="s">
        <v>268</v>
      </c>
      <c r="H247" s="79" t="s">
        <v>264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538</v>
      </c>
    </row>
    <row r="248" customFormat="false" ht="15" hidden="false" customHeight="false" outlineLevel="0" collapsed="false">
      <c r="A248" s="79" t="s">
        <v>190</v>
      </c>
      <c r="B248" s="79" t="s">
        <v>308</v>
      </c>
      <c r="C248" s="80" t="n">
        <v>2021</v>
      </c>
      <c r="D248" s="80" t="n">
        <v>2</v>
      </c>
      <c r="E248" s="81" t="n">
        <v>44377</v>
      </c>
      <c r="F248" s="79" t="s">
        <v>267</v>
      </c>
      <c r="G248" s="79" t="s">
        <v>268</v>
      </c>
      <c r="H248" s="79" t="s">
        <v>264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539</v>
      </c>
    </row>
    <row r="249" customFormat="false" ht="15" hidden="false" customHeight="false" outlineLevel="0" collapsed="false">
      <c r="A249" s="79" t="s">
        <v>190</v>
      </c>
      <c r="B249" s="79" t="s">
        <v>310</v>
      </c>
      <c r="C249" s="80" t="n">
        <v>2021</v>
      </c>
      <c r="D249" s="80" t="n">
        <v>1</v>
      </c>
      <c r="E249" s="81" t="n">
        <v>44286</v>
      </c>
      <c r="F249" s="79" t="s">
        <v>267</v>
      </c>
      <c r="G249" s="79" t="s">
        <v>268</v>
      </c>
      <c r="H249" s="79" t="s">
        <v>264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540</v>
      </c>
    </row>
    <row r="250" customFormat="false" ht="15" hidden="false" customHeight="false" outlineLevel="0" collapsed="false">
      <c r="A250" s="79" t="s">
        <v>190</v>
      </c>
      <c r="B250" s="79" t="s">
        <v>312</v>
      </c>
      <c r="C250" s="80" t="n">
        <v>2020</v>
      </c>
      <c r="D250" s="80" t="n">
        <v>4</v>
      </c>
      <c r="E250" s="81" t="n">
        <v>44196</v>
      </c>
      <c r="F250" s="79" t="s">
        <v>267</v>
      </c>
      <c r="G250" s="79" t="s">
        <v>268</v>
      </c>
      <c r="H250" s="79" t="s">
        <v>264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541</v>
      </c>
    </row>
    <row r="251" customFormat="false" ht="15" hidden="false" customHeight="false" outlineLevel="0" collapsed="false">
      <c r="A251" s="79" t="s">
        <v>190</v>
      </c>
      <c r="B251" s="79" t="s">
        <v>314</v>
      </c>
      <c r="C251" s="80" t="n">
        <v>2020</v>
      </c>
      <c r="D251" s="80" t="n">
        <v>3</v>
      </c>
      <c r="E251" s="81" t="n">
        <v>44104</v>
      </c>
      <c r="F251" s="79" t="s">
        <v>267</v>
      </c>
      <c r="G251" s="79" t="s">
        <v>268</v>
      </c>
      <c r="H251" s="79" t="s">
        <v>264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542</v>
      </c>
    </row>
    <row r="252" customFormat="false" ht="15" hidden="false" customHeight="false" outlineLevel="0" collapsed="false">
      <c r="A252" s="79" t="s">
        <v>223</v>
      </c>
      <c r="B252" s="79" t="s">
        <v>266</v>
      </c>
      <c r="C252" s="80" t="n">
        <v>2026</v>
      </c>
      <c r="D252" s="80" t="n">
        <v>2</v>
      </c>
      <c r="E252" s="81" t="n">
        <v>46203</v>
      </c>
      <c r="F252" s="79" t="s">
        <v>267</v>
      </c>
      <c r="G252" s="79" t="s">
        <v>268</v>
      </c>
      <c r="H252" s="79" t="s">
        <v>264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543</v>
      </c>
    </row>
    <row r="253" customFormat="false" ht="15" hidden="false" customHeight="false" outlineLevel="0" collapsed="false">
      <c r="A253" s="79" t="s">
        <v>223</v>
      </c>
      <c r="B253" s="79" t="s">
        <v>270</v>
      </c>
      <c r="C253" s="80" t="n">
        <v>2026</v>
      </c>
      <c r="D253" s="80" t="n">
        <v>1</v>
      </c>
      <c r="E253" s="81" t="n">
        <v>46112</v>
      </c>
      <c r="F253" s="79" t="s">
        <v>267</v>
      </c>
      <c r="G253" s="79" t="s">
        <v>268</v>
      </c>
      <c r="H253" s="79" t="s">
        <v>264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544</v>
      </c>
    </row>
    <row r="254" customFormat="false" ht="15" hidden="false" customHeight="false" outlineLevel="0" collapsed="false">
      <c r="A254" s="79" t="s">
        <v>223</v>
      </c>
      <c r="B254" s="79" t="s">
        <v>272</v>
      </c>
      <c r="C254" s="80" t="n">
        <v>2025</v>
      </c>
      <c r="D254" s="80" t="n">
        <v>4</v>
      </c>
      <c r="E254" s="81" t="n">
        <v>46022</v>
      </c>
      <c r="F254" s="79" t="s">
        <v>267</v>
      </c>
      <c r="G254" s="79" t="s">
        <v>268</v>
      </c>
      <c r="H254" s="79" t="s">
        <v>264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545</v>
      </c>
    </row>
    <row r="255" customFormat="false" ht="15" hidden="false" customHeight="false" outlineLevel="0" collapsed="false">
      <c r="A255" s="79" t="s">
        <v>223</v>
      </c>
      <c r="B255" s="79" t="s">
        <v>274</v>
      </c>
      <c r="C255" s="80" t="n">
        <v>2025</v>
      </c>
      <c r="D255" s="80" t="n">
        <v>3</v>
      </c>
      <c r="E255" s="81" t="n">
        <v>45930</v>
      </c>
      <c r="F255" s="79" t="s">
        <v>267</v>
      </c>
      <c r="G255" s="79" t="s">
        <v>268</v>
      </c>
      <c r="H255" s="79" t="s">
        <v>264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546</v>
      </c>
    </row>
    <row r="256" customFormat="false" ht="15" hidden="false" customHeight="false" outlineLevel="0" collapsed="false">
      <c r="A256" s="79" t="s">
        <v>223</v>
      </c>
      <c r="B256" s="79" t="s">
        <v>276</v>
      </c>
      <c r="C256" s="80" t="n">
        <v>2025</v>
      </c>
      <c r="D256" s="80" t="n">
        <v>2</v>
      </c>
      <c r="E256" s="81" t="n">
        <v>45838</v>
      </c>
      <c r="F256" s="79" t="s">
        <v>267</v>
      </c>
      <c r="G256" s="79" t="s">
        <v>268</v>
      </c>
      <c r="H256" s="79" t="s">
        <v>264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547</v>
      </c>
    </row>
    <row r="257" customFormat="false" ht="15" hidden="false" customHeight="false" outlineLevel="0" collapsed="false">
      <c r="A257" s="79" t="s">
        <v>223</v>
      </c>
      <c r="B257" s="79" t="s">
        <v>278</v>
      </c>
      <c r="C257" s="80" t="n">
        <v>2025</v>
      </c>
      <c r="D257" s="80" t="n">
        <v>1</v>
      </c>
      <c r="E257" s="81" t="n">
        <v>45747</v>
      </c>
      <c r="F257" s="79" t="s">
        <v>267</v>
      </c>
      <c r="G257" s="79" t="s">
        <v>268</v>
      </c>
      <c r="H257" s="79" t="s">
        <v>264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548</v>
      </c>
    </row>
    <row r="258" customFormat="false" ht="15" hidden="false" customHeight="false" outlineLevel="0" collapsed="false">
      <c r="A258" s="79" t="s">
        <v>223</v>
      </c>
      <c r="B258" s="79" t="s">
        <v>280</v>
      </c>
      <c r="C258" s="80" t="n">
        <v>2024</v>
      </c>
      <c r="D258" s="80" t="n">
        <v>4</v>
      </c>
      <c r="E258" s="81" t="n">
        <v>45657</v>
      </c>
      <c r="F258" s="79" t="s">
        <v>267</v>
      </c>
      <c r="G258" s="79" t="s">
        <v>268</v>
      </c>
      <c r="H258" s="79" t="s">
        <v>264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549</v>
      </c>
    </row>
    <row r="259" customFormat="false" ht="15" hidden="false" customHeight="false" outlineLevel="0" collapsed="false">
      <c r="A259" s="79" t="s">
        <v>223</v>
      </c>
      <c r="B259" s="79" t="s">
        <v>282</v>
      </c>
      <c r="C259" s="80" t="n">
        <v>2024</v>
      </c>
      <c r="D259" s="80" t="n">
        <v>3</v>
      </c>
      <c r="E259" s="81" t="n">
        <v>45565</v>
      </c>
      <c r="F259" s="79" t="s">
        <v>267</v>
      </c>
      <c r="G259" s="79" t="s">
        <v>268</v>
      </c>
      <c r="H259" s="79" t="s">
        <v>264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550</v>
      </c>
    </row>
    <row r="260" customFormat="false" ht="15" hidden="false" customHeight="false" outlineLevel="0" collapsed="false">
      <c r="A260" s="79" t="s">
        <v>223</v>
      </c>
      <c r="B260" s="79" t="s">
        <v>284</v>
      </c>
      <c r="C260" s="80" t="n">
        <v>2024</v>
      </c>
      <c r="D260" s="80" t="n">
        <v>2</v>
      </c>
      <c r="E260" s="81" t="n">
        <v>45473</v>
      </c>
      <c r="F260" s="79" t="s">
        <v>267</v>
      </c>
      <c r="G260" s="79" t="s">
        <v>268</v>
      </c>
      <c r="H260" s="79" t="s">
        <v>264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551</v>
      </c>
    </row>
    <row r="261" customFormat="false" ht="15" hidden="false" customHeight="false" outlineLevel="0" collapsed="false">
      <c r="A261" s="79" t="s">
        <v>223</v>
      </c>
      <c r="B261" s="79" t="s">
        <v>286</v>
      </c>
      <c r="C261" s="80" t="n">
        <v>2024</v>
      </c>
      <c r="D261" s="80" t="n">
        <v>1</v>
      </c>
      <c r="E261" s="81" t="n">
        <v>45382</v>
      </c>
      <c r="F261" s="79" t="s">
        <v>267</v>
      </c>
      <c r="G261" s="79" t="s">
        <v>268</v>
      </c>
      <c r="H261" s="79" t="s">
        <v>264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552</v>
      </c>
    </row>
    <row r="262" customFormat="false" ht="15" hidden="false" customHeight="false" outlineLevel="0" collapsed="false">
      <c r="A262" s="79" t="s">
        <v>223</v>
      </c>
      <c r="B262" s="79" t="s">
        <v>288</v>
      </c>
      <c r="C262" s="80" t="n">
        <v>2023</v>
      </c>
      <c r="D262" s="80" t="n">
        <v>4</v>
      </c>
      <c r="E262" s="81" t="n">
        <v>45291</v>
      </c>
      <c r="F262" s="79" t="s">
        <v>267</v>
      </c>
      <c r="G262" s="79" t="s">
        <v>268</v>
      </c>
      <c r="H262" s="79" t="s">
        <v>264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553</v>
      </c>
    </row>
    <row r="263" customFormat="false" ht="15" hidden="false" customHeight="false" outlineLevel="0" collapsed="false">
      <c r="A263" s="79" t="s">
        <v>223</v>
      </c>
      <c r="B263" s="79" t="s">
        <v>290</v>
      </c>
      <c r="C263" s="80" t="n">
        <v>2023</v>
      </c>
      <c r="D263" s="80" t="n">
        <v>3</v>
      </c>
      <c r="E263" s="81" t="n">
        <v>45199</v>
      </c>
      <c r="F263" s="79" t="s">
        <v>267</v>
      </c>
      <c r="G263" s="79" t="s">
        <v>268</v>
      </c>
      <c r="H263" s="79" t="s">
        <v>264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554</v>
      </c>
    </row>
    <row r="264" customFormat="false" ht="15" hidden="false" customHeight="false" outlineLevel="0" collapsed="false">
      <c r="A264" s="79" t="s">
        <v>223</v>
      </c>
      <c r="B264" s="79" t="s">
        <v>292</v>
      </c>
      <c r="C264" s="80" t="n">
        <v>2023</v>
      </c>
      <c r="D264" s="80" t="n">
        <v>2</v>
      </c>
      <c r="E264" s="81" t="n">
        <v>45107</v>
      </c>
      <c r="F264" s="79" t="s">
        <v>267</v>
      </c>
      <c r="G264" s="79" t="s">
        <v>268</v>
      </c>
      <c r="H264" s="79" t="s">
        <v>264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555</v>
      </c>
    </row>
    <row r="265" customFormat="false" ht="15" hidden="false" customHeight="false" outlineLevel="0" collapsed="false">
      <c r="A265" s="79" t="s">
        <v>223</v>
      </c>
      <c r="B265" s="79" t="s">
        <v>294</v>
      </c>
      <c r="C265" s="80" t="n">
        <v>2023</v>
      </c>
      <c r="D265" s="80" t="n">
        <v>1</v>
      </c>
      <c r="E265" s="81" t="n">
        <v>45016</v>
      </c>
      <c r="F265" s="79" t="s">
        <v>267</v>
      </c>
      <c r="G265" s="79" t="s">
        <v>268</v>
      </c>
      <c r="H265" s="79" t="s">
        <v>264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556</v>
      </c>
    </row>
    <row r="266" customFormat="false" ht="15" hidden="false" customHeight="false" outlineLevel="0" collapsed="false">
      <c r="A266" s="79" t="s">
        <v>223</v>
      </c>
      <c r="B266" s="79" t="s">
        <v>296</v>
      </c>
      <c r="C266" s="80" t="n">
        <v>2022</v>
      </c>
      <c r="D266" s="80" t="n">
        <v>4</v>
      </c>
      <c r="E266" s="81" t="n">
        <v>44926</v>
      </c>
      <c r="F266" s="79" t="s">
        <v>267</v>
      </c>
      <c r="G266" s="79" t="s">
        <v>268</v>
      </c>
      <c r="H266" s="79" t="s">
        <v>264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557</v>
      </c>
    </row>
    <row r="267" customFormat="false" ht="15" hidden="false" customHeight="false" outlineLevel="0" collapsed="false">
      <c r="A267" s="79" t="s">
        <v>223</v>
      </c>
      <c r="B267" s="79" t="s">
        <v>298</v>
      </c>
      <c r="C267" s="80" t="n">
        <v>2022</v>
      </c>
      <c r="D267" s="80" t="n">
        <v>3</v>
      </c>
      <c r="E267" s="81" t="n">
        <v>44834</v>
      </c>
      <c r="F267" s="79" t="s">
        <v>267</v>
      </c>
      <c r="G267" s="79" t="s">
        <v>268</v>
      </c>
      <c r="H267" s="79" t="s">
        <v>264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558</v>
      </c>
    </row>
    <row r="268" customFormat="false" ht="15" hidden="false" customHeight="false" outlineLevel="0" collapsed="false">
      <c r="A268" s="79" t="s">
        <v>223</v>
      </c>
      <c r="B268" s="79" t="s">
        <v>300</v>
      </c>
      <c r="C268" s="80" t="n">
        <v>2022</v>
      </c>
      <c r="D268" s="80" t="n">
        <v>2</v>
      </c>
      <c r="E268" s="81" t="n">
        <v>44742</v>
      </c>
      <c r="F268" s="79" t="s">
        <v>267</v>
      </c>
      <c r="G268" s="79" t="s">
        <v>268</v>
      </c>
      <c r="H268" s="79" t="s">
        <v>264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559</v>
      </c>
    </row>
    <row r="269" customFormat="false" ht="15" hidden="false" customHeight="false" outlineLevel="0" collapsed="false">
      <c r="A269" s="79" t="s">
        <v>223</v>
      </c>
      <c r="B269" s="79" t="s">
        <v>302</v>
      </c>
      <c r="C269" s="80" t="n">
        <v>2022</v>
      </c>
      <c r="D269" s="80" t="n">
        <v>1</v>
      </c>
      <c r="E269" s="81" t="n">
        <v>44651</v>
      </c>
      <c r="F269" s="79" t="s">
        <v>267</v>
      </c>
      <c r="G269" s="79" t="s">
        <v>268</v>
      </c>
      <c r="H269" s="79" t="s">
        <v>264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560</v>
      </c>
    </row>
    <row r="270" customFormat="false" ht="15" hidden="false" customHeight="false" outlineLevel="0" collapsed="false">
      <c r="A270" s="79" t="s">
        <v>223</v>
      </c>
      <c r="B270" s="79" t="s">
        <v>304</v>
      </c>
      <c r="C270" s="80" t="n">
        <v>2021</v>
      </c>
      <c r="D270" s="80" t="n">
        <v>4</v>
      </c>
      <c r="E270" s="81" t="n">
        <v>44561</v>
      </c>
      <c r="F270" s="79" t="s">
        <v>267</v>
      </c>
      <c r="G270" s="79" t="s">
        <v>268</v>
      </c>
      <c r="H270" s="79" t="s">
        <v>264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561</v>
      </c>
    </row>
    <row r="271" customFormat="false" ht="15" hidden="false" customHeight="false" outlineLevel="0" collapsed="false">
      <c r="A271" s="79" t="s">
        <v>223</v>
      </c>
      <c r="B271" s="79" t="s">
        <v>306</v>
      </c>
      <c r="C271" s="80" t="n">
        <v>2021</v>
      </c>
      <c r="D271" s="80" t="n">
        <v>3</v>
      </c>
      <c r="E271" s="81" t="n">
        <v>44469</v>
      </c>
      <c r="F271" s="79" t="s">
        <v>267</v>
      </c>
      <c r="G271" s="79" t="s">
        <v>268</v>
      </c>
      <c r="H271" s="79" t="s">
        <v>264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562</v>
      </c>
    </row>
    <row r="272" customFormat="false" ht="15" hidden="false" customHeight="false" outlineLevel="0" collapsed="false">
      <c r="A272" s="79" t="s">
        <v>223</v>
      </c>
      <c r="B272" s="79" t="s">
        <v>308</v>
      </c>
      <c r="C272" s="80" t="n">
        <v>2021</v>
      </c>
      <c r="D272" s="80" t="n">
        <v>2</v>
      </c>
      <c r="E272" s="81" t="n">
        <v>44377</v>
      </c>
      <c r="F272" s="79" t="s">
        <v>267</v>
      </c>
      <c r="G272" s="79" t="s">
        <v>268</v>
      </c>
      <c r="H272" s="79" t="s">
        <v>264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563</v>
      </c>
    </row>
    <row r="273" customFormat="false" ht="15" hidden="false" customHeight="false" outlineLevel="0" collapsed="false">
      <c r="A273" s="79" t="s">
        <v>223</v>
      </c>
      <c r="B273" s="79" t="s">
        <v>310</v>
      </c>
      <c r="C273" s="80" t="n">
        <v>2021</v>
      </c>
      <c r="D273" s="80" t="n">
        <v>1</v>
      </c>
      <c r="E273" s="81" t="n">
        <v>44286</v>
      </c>
      <c r="F273" s="79" t="s">
        <v>267</v>
      </c>
      <c r="G273" s="79" t="s">
        <v>268</v>
      </c>
      <c r="H273" s="79" t="s">
        <v>264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564</v>
      </c>
    </row>
    <row r="274" customFormat="false" ht="15" hidden="false" customHeight="false" outlineLevel="0" collapsed="false">
      <c r="A274" s="79" t="s">
        <v>223</v>
      </c>
      <c r="B274" s="79" t="s">
        <v>312</v>
      </c>
      <c r="C274" s="80" t="n">
        <v>2020</v>
      </c>
      <c r="D274" s="80" t="n">
        <v>4</v>
      </c>
      <c r="E274" s="81" t="n">
        <v>44196</v>
      </c>
      <c r="F274" s="79" t="s">
        <v>267</v>
      </c>
      <c r="G274" s="79" t="s">
        <v>268</v>
      </c>
      <c r="H274" s="79" t="s">
        <v>264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565</v>
      </c>
    </row>
    <row r="275" customFormat="false" ht="15" hidden="false" customHeight="false" outlineLevel="0" collapsed="false">
      <c r="A275" s="79" t="s">
        <v>223</v>
      </c>
      <c r="B275" s="79" t="s">
        <v>314</v>
      </c>
      <c r="C275" s="80" t="n">
        <v>2020</v>
      </c>
      <c r="D275" s="80" t="n">
        <v>3</v>
      </c>
      <c r="E275" s="81" t="n">
        <v>44104</v>
      </c>
      <c r="F275" s="79" t="s">
        <v>267</v>
      </c>
      <c r="G275" s="79" t="s">
        <v>268</v>
      </c>
      <c r="H275" s="79" t="s">
        <v>264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566</v>
      </c>
    </row>
    <row r="276" customFormat="false" ht="15" hidden="false" customHeight="false" outlineLevel="0" collapsed="false">
      <c r="A276" s="79" t="s">
        <v>195</v>
      </c>
      <c r="B276" s="79" t="s">
        <v>261</v>
      </c>
      <c r="C276" s="80" t="n">
        <v>2026</v>
      </c>
      <c r="D276" s="80" t="n">
        <v>3</v>
      </c>
      <c r="E276" s="81" t="n">
        <v>46295</v>
      </c>
      <c r="F276" s="79" t="s">
        <v>262</v>
      </c>
      <c r="G276" s="79" t="s">
        <v>263</v>
      </c>
      <c r="H276" s="79" t="s">
        <v>264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567</v>
      </c>
    </row>
    <row r="277" customFormat="false" ht="15" hidden="false" customHeight="false" outlineLevel="0" collapsed="false">
      <c r="A277" s="79" t="s">
        <v>195</v>
      </c>
      <c r="B277" s="79" t="s">
        <v>266</v>
      </c>
      <c r="C277" s="80" t="n">
        <v>2026</v>
      </c>
      <c r="D277" s="80" t="n">
        <v>2</v>
      </c>
      <c r="E277" s="81" t="n">
        <v>46203</v>
      </c>
      <c r="F277" s="79" t="s">
        <v>267</v>
      </c>
      <c r="G277" s="79" t="s">
        <v>268</v>
      </c>
      <c r="H277" s="79" t="s">
        <v>264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568</v>
      </c>
    </row>
    <row r="278" customFormat="false" ht="15" hidden="false" customHeight="false" outlineLevel="0" collapsed="false">
      <c r="A278" s="79" t="s">
        <v>195</v>
      </c>
      <c r="B278" s="79" t="s">
        <v>270</v>
      </c>
      <c r="C278" s="80" t="n">
        <v>2026</v>
      </c>
      <c r="D278" s="80" t="n">
        <v>1</v>
      </c>
      <c r="E278" s="81" t="n">
        <v>46112</v>
      </c>
      <c r="F278" s="79" t="s">
        <v>267</v>
      </c>
      <c r="G278" s="79" t="s">
        <v>268</v>
      </c>
      <c r="H278" s="79" t="s">
        <v>264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569</v>
      </c>
    </row>
    <row r="279" customFormat="false" ht="15" hidden="false" customHeight="false" outlineLevel="0" collapsed="false">
      <c r="A279" s="79" t="s">
        <v>195</v>
      </c>
      <c r="B279" s="79" t="s">
        <v>272</v>
      </c>
      <c r="C279" s="80" t="n">
        <v>2025</v>
      </c>
      <c r="D279" s="80" t="n">
        <v>4</v>
      </c>
      <c r="E279" s="81" t="n">
        <v>46022</v>
      </c>
      <c r="F279" s="79" t="s">
        <v>267</v>
      </c>
      <c r="G279" s="79" t="s">
        <v>268</v>
      </c>
      <c r="H279" s="79" t="s">
        <v>264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570</v>
      </c>
    </row>
    <row r="280" customFormat="false" ht="15" hidden="false" customHeight="false" outlineLevel="0" collapsed="false">
      <c r="A280" s="79" t="s">
        <v>195</v>
      </c>
      <c r="B280" s="79" t="s">
        <v>274</v>
      </c>
      <c r="C280" s="80" t="n">
        <v>2025</v>
      </c>
      <c r="D280" s="80" t="n">
        <v>3</v>
      </c>
      <c r="E280" s="81" t="n">
        <v>45930</v>
      </c>
      <c r="F280" s="79" t="s">
        <v>267</v>
      </c>
      <c r="G280" s="79" t="s">
        <v>268</v>
      </c>
      <c r="H280" s="79" t="s">
        <v>264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571</v>
      </c>
    </row>
    <row r="281" customFormat="false" ht="15" hidden="false" customHeight="false" outlineLevel="0" collapsed="false">
      <c r="A281" s="79" t="s">
        <v>195</v>
      </c>
      <c r="B281" s="79" t="s">
        <v>276</v>
      </c>
      <c r="C281" s="80" t="n">
        <v>2025</v>
      </c>
      <c r="D281" s="80" t="n">
        <v>2</v>
      </c>
      <c r="E281" s="81" t="n">
        <v>45838</v>
      </c>
      <c r="F281" s="79" t="s">
        <v>267</v>
      </c>
      <c r="G281" s="79" t="s">
        <v>268</v>
      </c>
      <c r="H281" s="79" t="s">
        <v>264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572</v>
      </c>
    </row>
    <row r="282" customFormat="false" ht="15" hidden="false" customHeight="false" outlineLevel="0" collapsed="false">
      <c r="A282" s="79" t="s">
        <v>195</v>
      </c>
      <c r="B282" s="79" t="s">
        <v>278</v>
      </c>
      <c r="C282" s="80" t="n">
        <v>2025</v>
      </c>
      <c r="D282" s="80" t="n">
        <v>1</v>
      </c>
      <c r="E282" s="81" t="n">
        <v>45747</v>
      </c>
      <c r="F282" s="79" t="s">
        <v>267</v>
      </c>
      <c r="G282" s="79" t="s">
        <v>268</v>
      </c>
      <c r="H282" s="79" t="s">
        <v>264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573</v>
      </c>
    </row>
    <row r="283" customFormat="false" ht="15" hidden="false" customHeight="false" outlineLevel="0" collapsed="false">
      <c r="A283" s="79" t="s">
        <v>195</v>
      </c>
      <c r="B283" s="79" t="s">
        <v>280</v>
      </c>
      <c r="C283" s="80" t="n">
        <v>2024</v>
      </c>
      <c r="D283" s="80" t="n">
        <v>4</v>
      </c>
      <c r="E283" s="81" t="n">
        <v>45657</v>
      </c>
      <c r="F283" s="79" t="s">
        <v>267</v>
      </c>
      <c r="G283" s="79" t="s">
        <v>268</v>
      </c>
      <c r="H283" s="79" t="s">
        <v>264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574</v>
      </c>
    </row>
    <row r="284" customFormat="false" ht="15" hidden="false" customHeight="false" outlineLevel="0" collapsed="false">
      <c r="A284" s="79" t="s">
        <v>195</v>
      </c>
      <c r="B284" s="79" t="s">
        <v>282</v>
      </c>
      <c r="C284" s="80" t="n">
        <v>2024</v>
      </c>
      <c r="D284" s="80" t="n">
        <v>3</v>
      </c>
      <c r="E284" s="81" t="n">
        <v>45565</v>
      </c>
      <c r="F284" s="79" t="s">
        <v>267</v>
      </c>
      <c r="G284" s="79" t="s">
        <v>268</v>
      </c>
      <c r="H284" s="79" t="s">
        <v>264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575</v>
      </c>
    </row>
    <row r="285" customFormat="false" ht="15" hidden="false" customHeight="false" outlineLevel="0" collapsed="false">
      <c r="A285" s="79" t="s">
        <v>195</v>
      </c>
      <c r="B285" s="79" t="s">
        <v>284</v>
      </c>
      <c r="C285" s="80" t="n">
        <v>2024</v>
      </c>
      <c r="D285" s="80" t="n">
        <v>2</v>
      </c>
      <c r="E285" s="81" t="n">
        <v>45473</v>
      </c>
      <c r="F285" s="79" t="s">
        <v>267</v>
      </c>
      <c r="G285" s="79" t="s">
        <v>268</v>
      </c>
      <c r="H285" s="79" t="s">
        <v>264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576</v>
      </c>
    </row>
    <row r="286" customFormat="false" ht="15" hidden="false" customHeight="false" outlineLevel="0" collapsed="false">
      <c r="A286" s="79" t="s">
        <v>195</v>
      </c>
      <c r="B286" s="79" t="s">
        <v>286</v>
      </c>
      <c r="C286" s="80" t="n">
        <v>2024</v>
      </c>
      <c r="D286" s="80" t="n">
        <v>1</v>
      </c>
      <c r="E286" s="81" t="n">
        <v>45382</v>
      </c>
      <c r="F286" s="79" t="s">
        <v>267</v>
      </c>
      <c r="G286" s="79" t="s">
        <v>268</v>
      </c>
      <c r="H286" s="79" t="s">
        <v>264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577</v>
      </c>
    </row>
    <row r="287" customFormat="false" ht="15" hidden="false" customHeight="false" outlineLevel="0" collapsed="false">
      <c r="A287" s="79" t="s">
        <v>195</v>
      </c>
      <c r="B287" s="79" t="s">
        <v>288</v>
      </c>
      <c r="C287" s="80" t="n">
        <v>2023</v>
      </c>
      <c r="D287" s="80" t="n">
        <v>4</v>
      </c>
      <c r="E287" s="81" t="n">
        <v>45291</v>
      </c>
      <c r="F287" s="79" t="s">
        <v>267</v>
      </c>
      <c r="G287" s="79" t="s">
        <v>268</v>
      </c>
      <c r="H287" s="79" t="s">
        <v>264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578</v>
      </c>
    </row>
    <row r="288" customFormat="false" ht="15" hidden="false" customHeight="false" outlineLevel="0" collapsed="false">
      <c r="A288" s="79" t="s">
        <v>195</v>
      </c>
      <c r="B288" s="79" t="s">
        <v>290</v>
      </c>
      <c r="C288" s="80" t="n">
        <v>2023</v>
      </c>
      <c r="D288" s="80" t="n">
        <v>3</v>
      </c>
      <c r="E288" s="81" t="n">
        <v>45199</v>
      </c>
      <c r="F288" s="79" t="s">
        <v>267</v>
      </c>
      <c r="G288" s="79" t="s">
        <v>268</v>
      </c>
      <c r="H288" s="79" t="s">
        <v>264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579</v>
      </c>
    </row>
    <row r="289" customFormat="false" ht="15" hidden="false" customHeight="false" outlineLevel="0" collapsed="false">
      <c r="A289" s="79" t="s">
        <v>195</v>
      </c>
      <c r="B289" s="79" t="s">
        <v>292</v>
      </c>
      <c r="C289" s="80" t="n">
        <v>2023</v>
      </c>
      <c r="D289" s="80" t="n">
        <v>2</v>
      </c>
      <c r="E289" s="81" t="n">
        <v>45107</v>
      </c>
      <c r="F289" s="79" t="s">
        <v>267</v>
      </c>
      <c r="G289" s="79" t="s">
        <v>268</v>
      </c>
      <c r="H289" s="79" t="s">
        <v>264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580</v>
      </c>
    </row>
    <row r="290" customFormat="false" ht="15" hidden="false" customHeight="false" outlineLevel="0" collapsed="false">
      <c r="A290" s="79" t="s">
        <v>195</v>
      </c>
      <c r="B290" s="79" t="s">
        <v>294</v>
      </c>
      <c r="C290" s="80" t="n">
        <v>2023</v>
      </c>
      <c r="D290" s="80" t="n">
        <v>1</v>
      </c>
      <c r="E290" s="81" t="n">
        <v>45016</v>
      </c>
      <c r="F290" s="79" t="s">
        <v>267</v>
      </c>
      <c r="G290" s="79" t="s">
        <v>268</v>
      </c>
      <c r="H290" s="79" t="s">
        <v>264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581</v>
      </c>
    </row>
    <row r="291" customFormat="false" ht="15" hidden="false" customHeight="false" outlineLevel="0" collapsed="false">
      <c r="A291" s="79" t="s">
        <v>195</v>
      </c>
      <c r="B291" s="79" t="s">
        <v>296</v>
      </c>
      <c r="C291" s="80" t="n">
        <v>2022</v>
      </c>
      <c r="D291" s="80" t="n">
        <v>4</v>
      </c>
      <c r="E291" s="81" t="n">
        <v>44926</v>
      </c>
      <c r="F291" s="79" t="s">
        <v>267</v>
      </c>
      <c r="G291" s="79" t="s">
        <v>268</v>
      </c>
      <c r="H291" s="79" t="s">
        <v>264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582</v>
      </c>
    </row>
    <row r="292" customFormat="false" ht="15" hidden="false" customHeight="false" outlineLevel="0" collapsed="false">
      <c r="A292" s="79" t="s">
        <v>195</v>
      </c>
      <c r="B292" s="79" t="s">
        <v>298</v>
      </c>
      <c r="C292" s="80" t="n">
        <v>2022</v>
      </c>
      <c r="D292" s="80" t="n">
        <v>3</v>
      </c>
      <c r="E292" s="81" t="n">
        <v>44834</v>
      </c>
      <c r="F292" s="79" t="s">
        <v>267</v>
      </c>
      <c r="G292" s="79" t="s">
        <v>268</v>
      </c>
      <c r="H292" s="79" t="s">
        <v>264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583</v>
      </c>
    </row>
    <row r="293" customFormat="false" ht="15" hidden="false" customHeight="false" outlineLevel="0" collapsed="false">
      <c r="A293" s="79" t="s">
        <v>195</v>
      </c>
      <c r="B293" s="79" t="s">
        <v>300</v>
      </c>
      <c r="C293" s="80" t="n">
        <v>2022</v>
      </c>
      <c r="D293" s="80" t="n">
        <v>2</v>
      </c>
      <c r="E293" s="81" t="n">
        <v>44742</v>
      </c>
      <c r="F293" s="79" t="s">
        <v>267</v>
      </c>
      <c r="G293" s="79" t="s">
        <v>268</v>
      </c>
      <c r="H293" s="79" t="s">
        <v>264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584</v>
      </c>
    </row>
    <row r="294" customFormat="false" ht="15" hidden="false" customHeight="false" outlineLevel="0" collapsed="false">
      <c r="A294" s="79" t="s">
        <v>195</v>
      </c>
      <c r="B294" s="79" t="s">
        <v>302</v>
      </c>
      <c r="C294" s="80" t="n">
        <v>2022</v>
      </c>
      <c r="D294" s="80" t="n">
        <v>1</v>
      </c>
      <c r="E294" s="81" t="n">
        <v>44651</v>
      </c>
      <c r="F294" s="79" t="s">
        <v>267</v>
      </c>
      <c r="G294" s="79" t="s">
        <v>268</v>
      </c>
      <c r="H294" s="79" t="s">
        <v>264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585</v>
      </c>
    </row>
    <row r="295" customFormat="false" ht="15" hidden="false" customHeight="false" outlineLevel="0" collapsed="false">
      <c r="A295" s="79" t="s">
        <v>195</v>
      </c>
      <c r="B295" s="79" t="s">
        <v>304</v>
      </c>
      <c r="C295" s="80" t="n">
        <v>2021</v>
      </c>
      <c r="D295" s="80" t="n">
        <v>4</v>
      </c>
      <c r="E295" s="81" t="n">
        <v>44561</v>
      </c>
      <c r="F295" s="79" t="s">
        <v>267</v>
      </c>
      <c r="G295" s="79" t="s">
        <v>268</v>
      </c>
      <c r="H295" s="79" t="s">
        <v>264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586</v>
      </c>
    </row>
    <row r="296" customFormat="false" ht="15" hidden="false" customHeight="false" outlineLevel="0" collapsed="false">
      <c r="A296" s="79" t="s">
        <v>195</v>
      </c>
      <c r="B296" s="79" t="s">
        <v>306</v>
      </c>
      <c r="C296" s="80" t="n">
        <v>2021</v>
      </c>
      <c r="D296" s="80" t="n">
        <v>3</v>
      </c>
      <c r="E296" s="81" t="n">
        <v>44469</v>
      </c>
      <c r="F296" s="79" t="s">
        <v>267</v>
      </c>
      <c r="G296" s="79" t="s">
        <v>268</v>
      </c>
      <c r="H296" s="79" t="s">
        <v>264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587</v>
      </c>
    </row>
    <row r="297" customFormat="false" ht="15" hidden="false" customHeight="false" outlineLevel="0" collapsed="false">
      <c r="A297" s="79" t="s">
        <v>195</v>
      </c>
      <c r="B297" s="79" t="s">
        <v>308</v>
      </c>
      <c r="C297" s="80" t="n">
        <v>2021</v>
      </c>
      <c r="D297" s="80" t="n">
        <v>2</v>
      </c>
      <c r="E297" s="81" t="n">
        <v>44377</v>
      </c>
      <c r="F297" s="79" t="s">
        <v>267</v>
      </c>
      <c r="G297" s="79" t="s">
        <v>268</v>
      </c>
      <c r="H297" s="79" t="s">
        <v>264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588</v>
      </c>
    </row>
    <row r="298" customFormat="false" ht="15" hidden="false" customHeight="false" outlineLevel="0" collapsed="false">
      <c r="A298" s="79" t="s">
        <v>195</v>
      </c>
      <c r="B298" s="79" t="s">
        <v>310</v>
      </c>
      <c r="C298" s="80" t="n">
        <v>2021</v>
      </c>
      <c r="D298" s="80" t="n">
        <v>1</v>
      </c>
      <c r="E298" s="81" t="n">
        <v>44286</v>
      </c>
      <c r="F298" s="79" t="s">
        <v>267</v>
      </c>
      <c r="G298" s="79" t="s">
        <v>268</v>
      </c>
      <c r="H298" s="79" t="s">
        <v>264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589</v>
      </c>
    </row>
    <row r="299" customFormat="false" ht="15" hidden="false" customHeight="false" outlineLevel="0" collapsed="false">
      <c r="A299" s="79" t="s">
        <v>195</v>
      </c>
      <c r="B299" s="79" t="s">
        <v>312</v>
      </c>
      <c r="C299" s="80" t="n">
        <v>2020</v>
      </c>
      <c r="D299" s="80" t="n">
        <v>4</v>
      </c>
      <c r="E299" s="81" t="n">
        <v>44196</v>
      </c>
      <c r="F299" s="79" t="s">
        <v>267</v>
      </c>
      <c r="G299" s="79" t="s">
        <v>268</v>
      </c>
      <c r="H299" s="79" t="s">
        <v>264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590</v>
      </c>
    </row>
    <row r="300" customFormat="false" ht="15" hidden="false" customHeight="false" outlineLevel="0" collapsed="false">
      <c r="A300" s="79" t="s">
        <v>195</v>
      </c>
      <c r="B300" s="79" t="s">
        <v>314</v>
      </c>
      <c r="C300" s="80" t="n">
        <v>2020</v>
      </c>
      <c r="D300" s="80" t="n">
        <v>3</v>
      </c>
      <c r="E300" s="81" t="n">
        <v>44104</v>
      </c>
      <c r="F300" s="79" t="s">
        <v>267</v>
      </c>
      <c r="G300" s="79" t="s">
        <v>268</v>
      </c>
      <c r="H300" s="79" t="s">
        <v>264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591</v>
      </c>
    </row>
    <row r="301" customFormat="false" ht="15" hidden="false" customHeight="false" outlineLevel="0" collapsed="false">
      <c r="A301" s="79" t="s">
        <v>209</v>
      </c>
      <c r="B301" s="79" t="s">
        <v>261</v>
      </c>
      <c r="C301" s="80" t="n">
        <v>2026</v>
      </c>
      <c r="D301" s="80" t="n">
        <v>3</v>
      </c>
      <c r="E301" s="81" t="n">
        <v>46295</v>
      </c>
      <c r="F301" s="79" t="s">
        <v>262</v>
      </c>
      <c r="G301" s="79" t="s">
        <v>263</v>
      </c>
      <c r="H301" s="79" t="s">
        <v>264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592</v>
      </c>
    </row>
    <row r="302" customFormat="false" ht="15" hidden="false" customHeight="false" outlineLevel="0" collapsed="false">
      <c r="A302" s="79" t="s">
        <v>209</v>
      </c>
      <c r="B302" s="79" t="s">
        <v>266</v>
      </c>
      <c r="C302" s="80" t="n">
        <v>2026</v>
      </c>
      <c r="D302" s="80" t="n">
        <v>2</v>
      </c>
      <c r="E302" s="81" t="n">
        <v>46203</v>
      </c>
      <c r="F302" s="79" t="s">
        <v>267</v>
      </c>
      <c r="G302" s="79" t="s">
        <v>268</v>
      </c>
      <c r="H302" s="79" t="s">
        <v>264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593</v>
      </c>
    </row>
    <row r="303" customFormat="false" ht="15" hidden="false" customHeight="false" outlineLevel="0" collapsed="false">
      <c r="A303" s="79" t="s">
        <v>209</v>
      </c>
      <c r="B303" s="79" t="s">
        <v>270</v>
      </c>
      <c r="C303" s="80" t="n">
        <v>2026</v>
      </c>
      <c r="D303" s="80" t="n">
        <v>1</v>
      </c>
      <c r="E303" s="81" t="n">
        <v>46112</v>
      </c>
      <c r="F303" s="79" t="s">
        <v>267</v>
      </c>
      <c r="G303" s="79" t="s">
        <v>268</v>
      </c>
      <c r="H303" s="79" t="s">
        <v>264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594</v>
      </c>
    </row>
    <row r="304" customFormat="false" ht="15" hidden="false" customHeight="false" outlineLevel="0" collapsed="false">
      <c r="A304" s="79" t="s">
        <v>209</v>
      </c>
      <c r="B304" s="79" t="s">
        <v>272</v>
      </c>
      <c r="C304" s="80" t="n">
        <v>2025</v>
      </c>
      <c r="D304" s="80" t="n">
        <v>4</v>
      </c>
      <c r="E304" s="81" t="n">
        <v>46022</v>
      </c>
      <c r="F304" s="79" t="s">
        <v>267</v>
      </c>
      <c r="G304" s="79" t="s">
        <v>268</v>
      </c>
      <c r="H304" s="79" t="s">
        <v>264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595</v>
      </c>
    </row>
    <row r="305" customFormat="false" ht="15" hidden="false" customHeight="false" outlineLevel="0" collapsed="false">
      <c r="A305" s="79" t="s">
        <v>209</v>
      </c>
      <c r="B305" s="79" t="s">
        <v>274</v>
      </c>
      <c r="C305" s="80" t="n">
        <v>2025</v>
      </c>
      <c r="D305" s="80" t="n">
        <v>3</v>
      </c>
      <c r="E305" s="81" t="n">
        <v>45930</v>
      </c>
      <c r="F305" s="79" t="s">
        <v>267</v>
      </c>
      <c r="G305" s="79" t="s">
        <v>268</v>
      </c>
      <c r="H305" s="79" t="s">
        <v>264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596</v>
      </c>
    </row>
    <row r="306" customFormat="false" ht="15" hidden="false" customHeight="false" outlineLevel="0" collapsed="false">
      <c r="A306" s="79" t="s">
        <v>209</v>
      </c>
      <c r="B306" s="79" t="s">
        <v>276</v>
      </c>
      <c r="C306" s="80" t="n">
        <v>2025</v>
      </c>
      <c r="D306" s="80" t="n">
        <v>2</v>
      </c>
      <c r="E306" s="81" t="n">
        <v>45838</v>
      </c>
      <c r="F306" s="79" t="s">
        <v>267</v>
      </c>
      <c r="G306" s="79" t="s">
        <v>268</v>
      </c>
      <c r="H306" s="79" t="s">
        <v>264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597</v>
      </c>
    </row>
    <row r="307" customFormat="false" ht="15" hidden="false" customHeight="false" outlineLevel="0" collapsed="false">
      <c r="A307" s="79" t="s">
        <v>209</v>
      </c>
      <c r="B307" s="79" t="s">
        <v>278</v>
      </c>
      <c r="C307" s="80" t="n">
        <v>2025</v>
      </c>
      <c r="D307" s="80" t="n">
        <v>1</v>
      </c>
      <c r="E307" s="81" t="n">
        <v>45747</v>
      </c>
      <c r="F307" s="79" t="s">
        <v>267</v>
      </c>
      <c r="G307" s="79" t="s">
        <v>268</v>
      </c>
      <c r="H307" s="79" t="s">
        <v>264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598</v>
      </c>
    </row>
    <row r="308" customFormat="false" ht="15" hidden="false" customHeight="false" outlineLevel="0" collapsed="false">
      <c r="A308" s="79" t="s">
        <v>209</v>
      </c>
      <c r="B308" s="79" t="s">
        <v>280</v>
      </c>
      <c r="C308" s="80" t="n">
        <v>2024</v>
      </c>
      <c r="D308" s="80" t="n">
        <v>4</v>
      </c>
      <c r="E308" s="81" t="n">
        <v>45657</v>
      </c>
      <c r="F308" s="79" t="s">
        <v>267</v>
      </c>
      <c r="G308" s="79" t="s">
        <v>268</v>
      </c>
      <c r="H308" s="79" t="s">
        <v>264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599</v>
      </c>
    </row>
    <row r="309" customFormat="false" ht="15" hidden="false" customHeight="false" outlineLevel="0" collapsed="false">
      <c r="A309" s="79" t="s">
        <v>209</v>
      </c>
      <c r="B309" s="79" t="s">
        <v>282</v>
      </c>
      <c r="C309" s="80" t="n">
        <v>2024</v>
      </c>
      <c r="D309" s="80" t="n">
        <v>3</v>
      </c>
      <c r="E309" s="81" t="n">
        <v>45565</v>
      </c>
      <c r="F309" s="79" t="s">
        <v>267</v>
      </c>
      <c r="G309" s="79" t="s">
        <v>268</v>
      </c>
      <c r="H309" s="79" t="s">
        <v>264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600</v>
      </c>
    </row>
    <row r="310" customFormat="false" ht="15" hidden="false" customHeight="false" outlineLevel="0" collapsed="false">
      <c r="A310" s="79" t="s">
        <v>209</v>
      </c>
      <c r="B310" s="79" t="s">
        <v>284</v>
      </c>
      <c r="C310" s="80" t="n">
        <v>2024</v>
      </c>
      <c r="D310" s="80" t="n">
        <v>2</v>
      </c>
      <c r="E310" s="81" t="n">
        <v>45473</v>
      </c>
      <c r="F310" s="79" t="s">
        <v>267</v>
      </c>
      <c r="G310" s="79" t="s">
        <v>268</v>
      </c>
      <c r="H310" s="79" t="s">
        <v>264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601</v>
      </c>
    </row>
    <row r="311" customFormat="false" ht="15" hidden="false" customHeight="false" outlineLevel="0" collapsed="false">
      <c r="A311" s="79" t="s">
        <v>209</v>
      </c>
      <c r="B311" s="79" t="s">
        <v>286</v>
      </c>
      <c r="C311" s="80" t="n">
        <v>2024</v>
      </c>
      <c r="D311" s="80" t="n">
        <v>1</v>
      </c>
      <c r="E311" s="81" t="n">
        <v>45382</v>
      </c>
      <c r="F311" s="79" t="s">
        <v>267</v>
      </c>
      <c r="G311" s="79" t="s">
        <v>268</v>
      </c>
      <c r="H311" s="79" t="s">
        <v>264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602</v>
      </c>
    </row>
    <row r="312" customFormat="false" ht="15" hidden="false" customHeight="false" outlineLevel="0" collapsed="false">
      <c r="A312" s="79" t="s">
        <v>209</v>
      </c>
      <c r="B312" s="79" t="s">
        <v>288</v>
      </c>
      <c r="C312" s="80" t="n">
        <v>2023</v>
      </c>
      <c r="D312" s="80" t="n">
        <v>4</v>
      </c>
      <c r="E312" s="81" t="n">
        <v>45291</v>
      </c>
      <c r="F312" s="79" t="s">
        <v>267</v>
      </c>
      <c r="G312" s="79" t="s">
        <v>268</v>
      </c>
      <c r="H312" s="79" t="s">
        <v>264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603</v>
      </c>
    </row>
    <row r="313" customFormat="false" ht="15" hidden="false" customHeight="false" outlineLevel="0" collapsed="false">
      <c r="A313" s="79" t="s">
        <v>209</v>
      </c>
      <c r="B313" s="79" t="s">
        <v>290</v>
      </c>
      <c r="C313" s="80" t="n">
        <v>2023</v>
      </c>
      <c r="D313" s="80" t="n">
        <v>3</v>
      </c>
      <c r="E313" s="81" t="n">
        <v>45199</v>
      </c>
      <c r="F313" s="79" t="s">
        <v>267</v>
      </c>
      <c r="G313" s="79" t="s">
        <v>268</v>
      </c>
      <c r="H313" s="79" t="s">
        <v>264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604</v>
      </c>
    </row>
    <row r="314" customFormat="false" ht="15" hidden="false" customHeight="false" outlineLevel="0" collapsed="false">
      <c r="A314" s="79" t="s">
        <v>209</v>
      </c>
      <c r="B314" s="79" t="s">
        <v>292</v>
      </c>
      <c r="C314" s="80" t="n">
        <v>2023</v>
      </c>
      <c r="D314" s="80" t="n">
        <v>2</v>
      </c>
      <c r="E314" s="81" t="n">
        <v>45107</v>
      </c>
      <c r="F314" s="79" t="s">
        <v>267</v>
      </c>
      <c r="G314" s="79" t="s">
        <v>268</v>
      </c>
      <c r="H314" s="79" t="s">
        <v>264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605</v>
      </c>
    </row>
    <row r="315" customFormat="false" ht="15" hidden="false" customHeight="false" outlineLevel="0" collapsed="false">
      <c r="A315" s="79" t="s">
        <v>209</v>
      </c>
      <c r="B315" s="79" t="s">
        <v>294</v>
      </c>
      <c r="C315" s="80" t="n">
        <v>2023</v>
      </c>
      <c r="D315" s="80" t="n">
        <v>1</v>
      </c>
      <c r="E315" s="81" t="n">
        <v>45016</v>
      </c>
      <c r="F315" s="79" t="s">
        <v>267</v>
      </c>
      <c r="G315" s="79" t="s">
        <v>268</v>
      </c>
      <c r="H315" s="79" t="s">
        <v>264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606</v>
      </c>
    </row>
    <row r="316" customFormat="false" ht="15" hidden="false" customHeight="false" outlineLevel="0" collapsed="false">
      <c r="A316" s="79" t="s">
        <v>209</v>
      </c>
      <c r="B316" s="79" t="s">
        <v>296</v>
      </c>
      <c r="C316" s="80" t="n">
        <v>2022</v>
      </c>
      <c r="D316" s="80" t="n">
        <v>4</v>
      </c>
      <c r="E316" s="81" t="n">
        <v>44926</v>
      </c>
      <c r="F316" s="79" t="s">
        <v>267</v>
      </c>
      <c r="G316" s="79" t="s">
        <v>268</v>
      </c>
      <c r="H316" s="79" t="s">
        <v>264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607</v>
      </c>
    </row>
    <row r="317" customFormat="false" ht="15" hidden="false" customHeight="false" outlineLevel="0" collapsed="false">
      <c r="A317" s="79" t="s">
        <v>209</v>
      </c>
      <c r="B317" s="79" t="s">
        <v>298</v>
      </c>
      <c r="C317" s="80" t="n">
        <v>2022</v>
      </c>
      <c r="D317" s="80" t="n">
        <v>3</v>
      </c>
      <c r="E317" s="81" t="n">
        <v>44834</v>
      </c>
      <c r="F317" s="79" t="s">
        <v>267</v>
      </c>
      <c r="G317" s="79" t="s">
        <v>268</v>
      </c>
      <c r="H317" s="79" t="s">
        <v>264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608</v>
      </c>
    </row>
    <row r="318" customFormat="false" ht="15" hidden="false" customHeight="false" outlineLevel="0" collapsed="false">
      <c r="A318" s="79" t="s">
        <v>209</v>
      </c>
      <c r="B318" s="79" t="s">
        <v>300</v>
      </c>
      <c r="C318" s="80" t="n">
        <v>2022</v>
      </c>
      <c r="D318" s="80" t="n">
        <v>2</v>
      </c>
      <c r="E318" s="81" t="n">
        <v>44742</v>
      </c>
      <c r="F318" s="79" t="s">
        <v>267</v>
      </c>
      <c r="G318" s="79" t="s">
        <v>268</v>
      </c>
      <c r="H318" s="79" t="s">
        <v>264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609</v>
      </c>
    </row>
    <row r="319" customFormat="false" ht="15" hidden="false" customHeight="false" outlineLevel="0" collapsed="false">
      <c r="A319" s="79" t="s">
        <v>209</v>
      </c>
      <c r="B319" s="79" t="s">
        <v>302</v>
      </c>
      <c r="C319" s="80" t="n">
        <v>2022</v>
      </c>
      <c r="D319" s="80" t="n">
        <v>1</v>
      </c>
      <c r="E319" s="81" t="n">
        <v>44651</v>
      </c>
      <c r="F319" s="79" t="s">
        <v>267</v>
      </c>
      <c r="G319" s="79" t="s">
        <v>268</v>
      </c>
      <c r="H319" s="79" t="s">
        <v>264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610</v>
      </c>
    </row>
    <row r="320" customFormat="false" ht="15" hidden="false" customHeight="false" outlineLevel="0" collapsed="false">
      <c r="A320" s="79" t="s">
        <v>209</v>
      </c>
      <c r="B320" s="79" t="s">
        <v>304</v>
      </c>
      <c r="C320" s="80" t="n">
        <v>2021</v>
      </c>
      <c r="D320" s="80" t="n">
        <v>4</v>
      </c>
      <c r="E320" s="81" t="n">
        <v>44561</v>
      </c>
      <c r="F320" s="79" t="s">
        <v>267</v>
      </c>
      <c r="G320" s="79" t="s">
        <v>268</v>
      </c>
      <c r="H320" s="79" t="s">
        <v>264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611</v>
      </c>
    </row>
    <row r="321" customFormat="false" ht="15" hidden="false" customHeight="false" outlineLevel="0" collapsed="false">
      <c r="A321" s="79" t="s">
        <v>209</v>
      </c>
      <c r="B321" s="79" t="s">
        <v>306</v>
      </c>
      <c r="C321" s="80" t="n">
        <v>2021</v>
      </c>
      <c r="D321" s="80" t="n">
        <v>3</v>
      </c>
      <c r="E321" s="81" t="n">
        <v>44469</v>
      </c>
      <c r="F321" s="79" t="s">
        <v>267</v>
      </c>
      <c r="G321" s="79" t="s">
        <v>268</v>
      </c>
      <c r="H321" s="79" t="s">
        <v>264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612</v>
      </c>
    </row>
    <row r="322" customFormat="false" ht="15" hidden="false" customHeight="false" outlineLevel="0" collapsed="false">
      <c r="A322" s="79" t="s">
        <v>209</v>
      </c>
      <c r="B322" s="79" t="s">
        <v>308</v>
      </c>
      <c r="C322" s="80" t="n">
        <v>2021</v>
      </c>
      <c r="D322" s="80" t="n">
        <v>2</v>
      </c>
      <c r="E322" s="81" t="n">
        <v>44377</v>
      </c>
      <c r="F322" s="79" t="s">
        <v>267</v>
      </c>
      <c r="G322" s="79" t="s">
        <v>268</v>
      </c>
      <c r="H322" s="79" t="s">
        <v>264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613</v>
      </c>
    </row>
    <row r="323" customFormat="false" ht="15" hidden="false" customHeight="false" outlineLevel="0" collapsed="false">
      <c r="A323" s="79" t="s">
        <v>209</v>
      </c>
      <c r="B323" s="79" t="s">
        <v>310</v>
      </c>
      <c r="C323" s="80" t="n">
        <v>2021</v>
      </c>
      <c r="D323" s="80" t="n">
        <v>1</v>
      </c>
      <c r="E323" s="81" t="n">
        <v>44286</v>
      </c>
      <c r="F323" s="79" t="s">
        <v>267</v>
      </c>
      <c r="G323" s="79" t="s">
        <v>268</v>
      </c>
      <c r="H323" s="79" t="s">
        <v>264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614</v>
      </c>
    </row>
    <row r="324" customFormat="false" ht="15" hidden="false" customHeight="false" outlineLevel="0" collapsed="false">
      <c r="A324" s="79" t="s">
        <v>209</v>
      </c>
      <c r="B324" s="79" t="s">
        <v>312</v>
      </c>
      <c r="C324" s="80" t="n">
        <v>2020</v>
      </c>
      <c r="D324" s="80" t="n">
        <v>4</v>
      </c>
      <c r="E324" s="81" t="n">
        <v>44196</v>
      </c>
      <c r="F324" s="79" t="s">
        <v>267</v>
      </c>
      <c r="G324" s="79" t="s">
        <v>268</v>
      </c>
      <c r="H324" s="79" t="s">
        <v>264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615</v>
      </c>
    </row>
    <row r="325" customFormat="false" ht="15" hidden="false" customHeight="false" outlineLevel="0" collapsed="false">
      <c r="A325" s="79" t="s">
        <v>209</v>
      </c>
      <c r="B325" s="79" t="s">
        <v>314</v>
      </c>
      <c r="C325" s="80" t="n">
        <v>2020</v>
      </c>
      <c r="D325" s="80" t="n">
        <v>3</v>
      </c>
      <c r="E325" s="81" t="n">
        <v>44104</v>
      </c>
      <c r="F325" s="79" t="s">
        <v>267</v>
      </c>
      <c r="G325" s="79" t="s">
        <v>268</v>
      </c>
      <c r="H325" s="79" t="s">
        <v>264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616</v>
      </c>
    </row>
    <row r="326" customFormat="false" ht="15" hidden="false" customHeight="false" outlineLevel="0" collapsed="false">
      <c r="A326" s="79" t="s">
        <v>229</v>
      </c>
      <c r="B326" s="79" t="s">
        <v>261</v>
      </c>
      <c r="C326" s="80" t="n">
        <v>2026</v>
      </c>
      <c r="D326" s="80" t="n">
        <v>3</v>
      </c>
      <c r="E326" s="81" t="n">
        <v>46295</v>
      </c>
      <c r="F326" s="79" t="s">
        <v>262</v>
      </c>
      <c r="G326" s="79" t="s">
        <v>263</v>
      </c>
      <c r="H326" s="79" t="s">
        <v>264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617</v>
      </c>
    </row>
    <row r="327" customFormat="false" ht="15" hidden="false" customHeight="false" outlineLevel="0" collapsed="false">
      <c r="A327" s="79" t="s">
        <v>229</v>
      </c>
      <c r="B327" s="79" t="s">
        <v>266</v>
      </c>
      <c r="C327" s="80" t="n">
        <v>2026</v>
      </c>
      <c r="D327" s="80" t="n">
        <v>2</v>
      </c>
      <c r="E327" s="81" t="n">
        <v>46203</v>
      </c>
      <c r="F327" s="79" t="s">
        <v>267</v>
      </c>
      <c r="G327" s="79" t="s">
        <v>268</v>
      </c>
      <c r="H327" s="79" t="s">
        <v>264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618</v>
      </c>
    </row>
    <row r="328" customFormat="false" ht="15" hidden="false" customHeight="false" outlineLevel="0" collapsed="false">
      <c r="A328" s="79" t="s">
        <v>229</v>
      </c>
      <c r="B328" s="79" t="s">
        <v>270</v>
      </c>
      <c r="C328" s="80" t="n">
        <v>2026</v>
      </c>
      <c r="D328" s="80" t="n">
        <v>1</v>
      </c>
      <c r="E328" s="81" t="n">
        <v>46112</v>
      </c>
      <c r="F328" s="79" t="s">
        <v>267</v>
      </c>
      <c r="G328" s="79" t="s">
        <v>268</v>
      </c>
      <c r="H328" s="79" t="s">
        <v>264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619</v>
      </c>
    </row>
    <row r="329" customFormat="false" ht="15" hidden="false" customHeight="false" outlineLevel="0" collapsed="false">
      <c r="A329" s="79" t="s">
        <v>229</v>
      </c>
      <c r="B329" s="79" t="s">
        <v>272</v>
      </c>
      <c r="C329" s="80" t="n">
        <v>2025</v>
      </c>
      <c r="D329" s="80" t="n">
        <v>4</v>
      </c>
      <c r="E329" s="81" t="n">
        <v>46022</v>
      </c>
      <c r="F329" s="79" t="s">
        <v>267</v>
      </c>
      <c r="G329" s="79" t="s">
        <v>268</v>
      </c>
      <c r="H329" s="79" t="s">
        <v>264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620</v>
      </c>
    </row>
    <row r="330" customFormat="false" ht="15" hidden="false" customHeight="false" outlineLevel="0" collapsed="false">
      <c r="A330" s="79" t="s">
        <v>229</v>
      </c>
      <c r="B330" s="79" t="s">
        <v>274</v>
      </c>
      <c r="C330" s="80" t="n">
        <v>2025</v>
      </c>
      <c r="D330" s="80" t="n">
        <v>3</v>
      </c>
      <c r="E330" s="81" t="n">
        <v>45930</v>
      </c>
      <c r="F330" s="79" t="s">
        <v>267</v>
      </c>
      <c r="G330" s="79" t="s">
        <v>268</v>
      </c>
      <c r="H330" s="79" t="s">
        <v>264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621</v>
      </c>
    </row>
    <row r="331" customFormat="false" ht="15" hidden="false" customHeight="false" outlineLevel="0" collapsed="false">
      <c r="A331" s="79" t="s">
        <v>229</v>
      </c>
      <c r="B331" s="79" t="s">
        <v>276</v>
      </c>
      <c r="C331" s="80" t="n">
        <v>2025</v>
      </c>
      <c r="D331" s="80" t="n">
        <v>2</v>
      </c>
      <c r="E331" s="81" t="n">
        <v>45838</v>
      </c>
      <c r="F331" s="79" t="s">
        <v>267</v>
      </c>
      <c r="G331" s="79" t="s">
        <v>268</v>
      </c>
      <c r="H331" s="79" t="s">
        <v>264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622</v>
      </c>
    </row>
    <row r="332" customFormat="false" ht="15" hidden="false" customHeight="false" outlineLevel="0" collapsed="false">
      <c r="A332" s="79" t="s">
        <v>229</v>
      </c>
      <c r="B332" s="79" t="s">
        <v>278</v>
      </c>
      <c r="C332" s="80" t="n">
        <v>2025</v>
      </c>
      <c r="D332" s="80" t="n">
        <v>1</v>
      </c>
      <c r="E332" s="81" t="n">
        <v>45747</v>
      </c>
      <c r="F332" s="79" t="s">
        <v>267</v>
      </c>
      <c r="G332" s="79" t="s">
        <v>268</v>
      </c>
      <c r="H332" s="79" t="s">
        <v>264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623</v>
      </c>
    </row>
    <row r="333" customFormat="false" ht="15" hidden="false" customHeight="false" outlineLevel="0" collapsed="false">
      <c r="A333" s="79" t="s">
        <v>229</v>
      </c>
      <c r="B333" s="79" t="s">
        <v>280</v>
      </c>
      <c r="C333" s="80" t="n">
        <v>2024</v>
      </c>
      <c r="D333" s="80" t="n">
        <v>4</v>
      </c>
      <c r="E333" s="81" t="n">
        <v>45657</v>
      </c>
      <c r="F333" s="79" t="s">
        <v>267</v>
      </c>
      <c r="G333" s="79" t="s">
        <v>268</v>
      </c>
      <c r="H333" s="79" t="s">
        <v>264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624</v>
      </c>
    </row>
    <row r="334" customFormat="false" ht="15" hidden="false" customHeight="false" outlineLevel="0" collapsed="false">
      <c r="A334" s="79" t="s">
        <v>229</v>
      </c>
      <c r="B334" s="79" t="s">
        <v>282</v>
      </c>
      <c r="C334" s="80" t="n">
        <v>2024</v>
      </c>
      <c r="D334" s="80" t="n">
        <v>3</v>
      </c>
      <c r="E334" s="81" t="n">
        <v>45565</v>
      </c>
      <c r="F334" s="79" t="s">
        <v>267</v>
      </c>
      <c r="G334" s="79" t="s">
        <v>268</v>
      </c>
      <c r="H334" s="79" t="s">
        <v>264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625</v>
      </c>
    </row>
    <row r="335" customFormat="false" ht="15" hidden="false" customHeight="false" outlineLevel="0" collapsed="false">
      <c r="A335" s="79" t="s">
        <v>229</v>
      </c>
      <c r="B335" s="79" t="s">
        <v>284</v>
      </c>
      <c r="C335" s="80" t="n">
        <v>2024</v>
      </c>
      <c r="D335" s="80" t="n">
        <v>2</v>
      </c>
      <c r="E335" s="81" t="n">
        <v>45473</v>
      </c>
      <c r="F335" s="79" t="s">
        <v>267</v>
      </c>
      <c r="G335" s="79" t="s">
        <v>268</v>
      </c>
      <c r="H335" s="79" t="s">
        <v>264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626</v>
      </c>
    </row>
    <row r="336" customFormat="false" ht="15" hidden="false" customHeight="false" outlineLevel="0" collapsed="false">
      <c r="A336" s="79" t="s">
        <v>229</v>
      </c>
      <c r="B336" s="79" t="s">
        <v>286</v>
      </c>
      <c r="C336" s="80" t="n">
        <v>2024</v>
      </c>
      <c r="D336" s="80" t="n">
        <v>1</v>
      </c>
      <c r="E336" s="81" t="n">
        <v>45382</v>
      </c>
      <c r="F336" s="79" t="s">
        <v>267</v>
      </c>
      <c r="G336" s="79" t="s">
        <v>268</v>
      </c>
      <c r="H336" s="79" t="s">
        <v>264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627</v>
      </c>
    </row>
    <row r="337" customFormat="false" ht="15" hidden="false" customHeight="false" outlineLevel="0" collapsed="false">
      <c r="A337" s="79" t="s">
        <v>229</v>
      </c>
      <c r="B337" s="79" t="s">
        <v>288</v>
      </c>
      <c r="C337" s="80" t="n">
        <v>2023</v>
      </c>
      <c r="D337" s="80" t="n">
        <v>4</v>
      </c>
      <c r="E337" s="81" t="n">
        <v>45291</v>
      </c>
      <c r="F337" s="79" t="s">
        <v>267</v>
      </c>
      <c r="G337" s="79" t="s">
        <v>268</v>
      </c>
      <c r="H337" s="79" t="s">
        <v>264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628</v>
      </c>
    </row>
    <row r="338" customFormat="false" ht="15" hidden="false" customHeight="false" outlineLevel="0" collapsed="false">
      <c r="A338" s="79" t="s">
        <v>229</v>
      </c>
      <c r="B338" s="79" t="s">
        <v>290</v>
      </c>
      <c r="C338" s="80" t="n">
        <v>2023</v>
      </c>
      <c r="D338" s="80" t="n">
        <v>3</v>
      </c>
      <c r="E338" s="81" t="n">
        <v>45199</v>
      </c>
      <c r="F338" s="79" t="s">
        <v>267</v>
      </c>
      <c r="G338" s="79" t="s">
        <v>268</v>
      </c>
      <c r="H338" s="79" t="s">
        <v>264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629</v>
      </c>
    </row>
    <row r="339" customFormat="false" ht="15" hidden="false" customHeight="false" outlineLevel="0" collapsed="false">
      <c r="A339" s="79" t="s">
        <v>229</v>
      </c>
      <c r="B339" s="79" t="s">
        <v>292</v>
      </c>
      <c r="C339" s="80" t="n">
        <v>2023</v>
      </c>
      <c r="D339" s="80" t="n">
        <v>2</v>
      </c>
      <c r="E339" s="81" t="n">
        <v>45107</v>
      </c>
      <c r="F339" s="79" t="s">
        <v>267</v>
      </c>
      <c r="G339" s="79" t="s">
        <v>268</v>
      </c>
      <c r="H339" s="79" t="s">
        <v>264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630</v>
      </c>
    </row>
    <row r="340" customFormat="false" ht="15" hidden="false" customHeight="false" outlineLevel="0" collapsed="false">
      <c r="A340" s="79" t="s">
        <v>229</v>
      </c>
      <c r="B340" s="79" t="s">
        <v>294</v>
      </c>
      <c r="C340" s="80" t="n">
        <v>2023</v>
      </c>
      <c r="D340" s="80" t="n">
        <v>1</v>
      </c>
      <c r="E340" s="81" t="n">
        <v>45016</v>
      </c>
      <c r="F340" s="79" t="s">
        <v>267</v>
      </c>
      <c r="G340" s="79" t="s">
        <v>268</v>
      </c>
      <c r="H340" s="79" t="s">
        <v>264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631</v>
      </c>
    </row>
    <row r="341" customFormat="false" ht="15" hidden="false" customHeight="false" outlineLevel="0" collapsed="false">
      <c r="A341" s="79" t="s">
        <v>229</v>
      </c>
      <c r="B341" s="79" t="s">
        <v>296</v>
      </c>
      <c r="C341" s="80" t="n">
        <v>2022</v>
      </c>
      <c r="D341" s="80" t="n">
        <v>4</v>
      </c>
      <c r="E341" s="81" t="n">
        <v>44926</v>
      </c>
      <c r="F341" s="79" t="s">
        <v>267</v>
      </c>
      <c r="G341" s="79" t="s">
        <v>268</v>
      </c>
      <c r="H341" s="79" t="s">
        <v>264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632</v>
      </c>
    </row>
    <row r="342" customFormat="false" ht="15" hidden="false" customHeight="false" outlineLevel="0" collapsed="false">
      <c r="A342" s="79" t="s">
        <v>229</v>
      </c>
      <c r="B342" s="79" t="s">
        <v>298</v>
      </c>
      <c r="C342" s="80" t="n">
        <v>2022</v>
      </c>
      <c r="D342" s="80" t="n">
        <v>3</v>
      </c>
      <c r="E342" s="81" t="n">
        <v>44834</v>
      </c>
      <c r="F342" s="79" t="s">
        <v>267</v>
      </c>
      <c r="G342" s="79" t="s">
        <v>268</v>
      </c>
      <c r="H342" s="79" t="s">
        <v>264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633</v>
      </c>
    </row>
    <row r="343" customFormat="false" ht="15" hidden="false" customHeight="false" outlineLevel="0" collapsed="false">
      <c r="A343" s="79" t="s">
        <v>229</v>
      </c>
      <c r="B343" s="79" t="s">
        <v>300</v>
      </c>
      <c r="C343" s="80" t="n">
        <v>2022</v>
      </c>
      <c r="D343" s="80" t="n">
        <v>2</v>
      </c>
      <c r="E343" s="81" t="n">
        <v>44742</v>
      </c>
      <c r="F343" s="79" t="s">
        <v>267</v>
      </c>
      <c r="G343" s="79" t="s">
        <v>268</v>
      </c>
      <c r="H343" s="79" t="s">
        <v>264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634</v>
      </c>
    </row>
    <row r="344" customFormat="false" ht="15" hidden="false" customHeight="false" outlineLevel="0" collapsed="false">
      <c r="A344" s="79" t="s">
        <v>229</v>
      </c>
      <c r="B344" s="79" t="s">
        <v>302</v>
      </c>
      <c r="C344" s="80" t="n">
        <v>2022</v>
      </c>
      <c r="D344" s="80" t="n">
        <v>1</v>
      </c>
      <c r="E344" s="81" t="n">
        <v>44651</v>
      </c>
      <c r="F344" s="79" t="s">
        <v>267</v>
      </c>
      <c r="G344" s="79" t="s">
        <v>268</v>
      </c>
      <c r="H344" s="79" t="s">
        <v>264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635</v>
      </c>
    </row>
    <row r="345" customFormat="false" ht="15" hidden="false" customHeight="false" outlineLevel="0" collapsed="false">
      <c r="A345" s="79" t="s">
        <v>229</v>
      </c>
      <c r="B345" s="79" t="s">
        <v>304</v>
      </c>
      <c r="C345" s="80" t="n">
        <v>2021</v>
      </c>
      <c r="D345" s="80" t="n">
        <v>4</v>
      </c>
      <c r="E345" s="81" t="n">
        <v>44561</v>
      </c>
      <c r="F345" s="79" t="s">
        <v>267</v>
      </c>
      <c r="G345" s="79" t="s">
        <v>268</v>
      </c>
      <c r="H345" s="79" t="s">
        <v>264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636</v>
      </c>
    </row>
    <row r="346" customFormat="false" ht="15" hidden="false" customHeight="false" outlineLevel="0" collapsed="false">
      <c r="A346" s="79" t="s">
        <v>229</v>
      </c>
      <c r="B346" s="79" t="s">
        <v>306</v>
      </c>
      <c r="C346" s="80" t="n">
        <v>2021</v>
      </c>
      <c r="D346" s="80" t="n">
        <v>3</v>
      </c>
      <c r="E346" s="81" t="n">
        <v>44469</v>
      </c>
      <c r="F346" s="79" t="s">
        <v>267</v>
      </c>
      <c r="G346" s="79" t="s">
        <v>268</v>
      </c>
      <c r="H346" s="79" t="s">
        <v>264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637</v>
      </c>
    </row>
    <row r="347" customFormat="false" ht="15" hidden="false" customHeight="false" outlineLevel="0" collapsed="false">
      <c r="A347" s="79" t="s">
        <v>229</v>
      </c>
      <c r="B347" s="79" t="s">
        <v>308</v>
      </c>
      <c r="C347" s="80" t="n">
        <v>2021</v>
      </c>
      <c r="D347" s="80" t="n">
        <v>2</v>
      </c>
      <c r="E347" s="81" t="n">
        <v>44377</v>
      </c>
      <c r="F347" s="79" t="s">
        <v>267</v>
      </c>
      <c r="G347" s="79" t="s">
        <v>268</v>
      </c>
      <c r="H347" s="79" t="s">
        <v>264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638</v>
      </c>
    </row>
    <row r="348" customFormat="false" ht="15" hidden="false" customHeight="false" outlineLevel="0" collapsed="false">
      <c r="A348" s="79" t="s">
        <v>229</v>
      </c>
      <c r="B348" s="79" t="s">
        <v>310</v>
      </c>
      <c r="C348" s="80" t="n">
        <v>2021</v>
      </c>
      <c r="D348" s="80" t="n">
        <v>1</v>
      </c>
      <c r="E348" s="81" t="n">
        <v>44286</v>
      </c>
      <c r="F348" s="79" t="s">
        <v>267</v>
      </c>
      <c r="G348" s="79" t="s">
        <v>268</v>
      </c>
      <c r="H348" s="79" t="s">
        <v>264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639</v>
      </c>
    </row>
    <row r="349" customFormat="false" ht="15" hidden="false" customHeight="false" outlineLevel="0" collapsed="false">
      <c r="A349" s="79" t="s">
        <v>229</v>
      </c>
      <c r="B349" s="79" t="s">
        <v>312</v>
      </c>
      <c r="C349" s="80" t="n">
        <v>2020</v>
      </c>
      <c r="D349" s="80" t="n">
        <v>4</v>
      </c>
      <c r="E349" s="81" t="n">
        <v>44196</v>
      </c>
      <c r="F349" s="79" t="s">
        <v>267</v>
      </c>
      <c r="G349" s="79" t="s">
        <v>268</v>
      </c>
      <c r="H349" s="79" t="s">
        <v>264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640</v>
      </c>
    </row>
    <row r="350" customFormat="false" ht="15" hidden="false" customHeight="false" outlineLevel="0" collapsed="false">
      <c r="A350" s="79" t="s">
        <v>229</v>
      </c>
      <c r="B350" s="79" t="s">
        <v>314</v>
      </c>
      <c r="C350" s="80" t="n">
        <v>2020</v>
      </c>
      <c r="D350" s="80" t="n">
        <v>3</v>
      </c>
      <c r="E350" s="81" t="n">
        <v>44104</v>
      </c>
      <c r="F350" s="79" t="s">
        <v>267</v>
      </c>
      <c r="G350" s="79" t="s">
        <v>268</v>
      </c>
      <c r="H350" s="79" t="s">
        <v>264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641</v>
      </c>
    </row>
    <row r="351" customFormat="false" ht="15" hidden="false" customHeight="false" outlineLevel="0" collapsed="false">
      <c r="A351" s="79" t="s">
        <v>211</v>
      </c>
      <c r="B351" s="79" t="s">
        <v>266</v>
      </c>
      <c r="C351" s="80" t="n">
        <v>2026</v>
      </c>
      <c r="D351" s="80" t="n">
        <v>2</v>
      </c>
      <c r="E351" s="81" t="n">
        <v>46203</v>
      </c>
      <c r="F351" s="79" t="s">
        <v>267</v>
      </c>
      <c r="G351" s="79" t="s">
        <v>268</v>
      </c>
      <c r="H351" s="79" t="s">
        <v>264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642</v>
      </c>
    </row>
    <row r="352" customFormat="false" ht="15" hidden="false" customHeight="false" outlineLevel="0" collapsed="false">
      <c r="A352" s="79" t="s">
        <v>211</v>
      </c>
      <c r="B352" s="79" t="s">
        <v>270</v>
      </c>
      <c r="C352" s="80" t="n">
        <v>2026</v>
      </c>
      <c r="D352" s="80" t="n">
        <v>1</v>
      </c>
      <c r="E352" s="81" t="n">
        <v>46112</v>
      </c>
      <c r="F352" s="79" t="s">
        <v>267</v>
      </c>
      <c r="G352" s="79" t="s">
        <v>268</v>
      </c>
      <c r="H352" s="79" t="s">
        <v>264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643</v>
      </c>
    </row>
    <row r="353" customFormat="false" ht="15" hidden="false" customHeight="false" outlineLevel="0" collapsed="false">
      <c r="A353" s="79" t="s">
        <v>211</v>
      </c>
      <c r="B353" s="79" t="s">
        <v>272</v>
      </c>
      <c r="C353" s="80" t="n">
        <v>2025</v>
      </c>
      <c r="D353" s="80" t="n">
        <v>4</v>
      </c>
      <c r="E353" s="81" t="n">
        <v>46022</v>
      </c>
      <c r="F353" s="79" t="s">
        <v>267</v>
      </c>
      <c r="G353" s="79" t="s">
        <v>268</v>
      </c>
      <c r="H353" s="79" t="s">
        <v>264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644</v>
      </c>
    </row>
    <row r="354" customFormat="false" ht="15" hidden="false" customHeight="false" outlineLevel="0" collapsed="false">
      <c r="A354" s="79" t="s">
        <v>211</v>
      </c>
      <c r="B354" s="79" t="s">
        <v>274</v>
      </c>
      <c r="C354" s="80" t="n">
        <v>2025</v>
      </c>
      <c r="D354" s="80" t="n">
        <v>3</v>
      </c>
      <c r="E354" s="81" t="n">
        <v>45930</v>
      </c>
      <c r="F354" s="79" t="s">
        <v>267</v>
      </c>
      <c r="G354" s="79" t="s">
        <v>268</v>
      </c>
      <c r="H354" s="79" t="s">
        <v>264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645</v>
      </c>
    </row>
    <row r="355" customFormat="false" ht="15" hidden="false" customHeight="false" outlineLevel="0" collapsed="false">
      <c r="A355" s="79" t="s">
        <v>211</v>
      </c>
      <c r="B355" s="79" t="s">
        <v>276</v>
      </c>
      <c r="C355" s="80" t="n">
        <v>2025</v>
      </c>
      <c r="D355" s="80" t="n">
        <v>2</v>
      </c>
      <c r="E355" s="81" t="n">
        <v>45838</v>
      </c>
      <c r="F355" s="79" t="s">
        <v>267</v>
      </c>
      <c r="G355" s="79" t="s">
        <v>268</v>
      </c>
      <c r="H355" s="79" t="s">
        <v>264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646</v>
      </c>
    </row>
    <row r="356" customFormat="false" ht="15" hidden="false" customHeight="false" outlineLevel="0" collapsed="false">
      <c r="A356" s="79" t="s">
        <v>211</v>
      </c>
      <c r="B356" s="79" t="s">
        <v>278</v>
      </c>
      <c r="C356" s="80" t="n">
        <v>2025</v>
      </c>
      <c r="D356" s="80" t="n">
        <v>1</v>
      </c>
      <c r="E356" s="81" t="n">
        <v>45747</v>
      </c>
      <c r="F356" s="79" t="s">
        <v>267</v>
      </c>
      <c r="G356" s="79" t="s">
        <v>268</v>
      </c>
      <c r="H356" s="79" t="s">
        <v>264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647</v>
      </c>
    </row>
    <row r="357" customFormat="false" ht="15" hidden="false" customHeight="false" outlineLevel="0" collapsed="false">
      <c r="A357" s="79" t="s">
        <v>211</v>
      </c>
      <c r="B357" s="79" t="s">
        <v>280</v>
      </c>
      <c r="C357" s="80" t="n">
        <v>2024</v>
      </c>
      <c r="D357" s="80" t="n">
        <v>4</v>
      </c>
      <c r="E357" s="81" t="n">
        <v>45657</v>
      </c>
      <c r="F357" s="79" t="s">
        <v>267</v>
      </c>
      <c r="G357" s="79" t="s">
        <v>268</v>
      </c>
      <c r="H357" s="79" t="s">
        <v>264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648</v>
      </c>
    </row>
    <row r="358" customFormat="false" ht="15" hidden="false" customHeight="false" outlineLevel="0" collapsed="false">
      <c r="A358" s="79" t="s">
        <v>211</v>
      </c>
      <c r="B358" s="79" t="s">
        <v>282</v>
      </c>
      <c r="C358" s="80" t="n">
        <v>2024</v>
      </c>
      <c r="D358" s="80" t="n">
        <v>3</v>
      </c>
      <c r="E358" s="81" t="n">
        <v>45565</v>
      </c>
      <c r="F358" s="79" t="s">
        <v>267</v>
      </c>
      <c r="G358" s="79" t="s">
        <v>268</v>
      </c>
      <c r="H358" s="79" t="s">
        <v>264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649</v>
      </c>
    </row>
    <row r="359" customFormat="false" ht="15" hidden="false" customHeight="false" outlineLevel="0" collapsed="false">
      <c r="A359" s="79" t="s">
        <v>211</v>
      </c>
      <c r="B359" s="79" t="s">
        <v>284</v>
      </c>
      <c r="C359" s="80" t="n">
        <v>2024</v>
      </c>
      <c r="D359" s="80" t="n">
        <v>2</v>
      </c>
      <c r="E359" s="81" t="n">
        <v>45473</v>
      </c>
      <c r="F359" s="79" t="s">
        <v>267</v>
      </c>
      <c r="G359" s="79" t="s">
        <v>268</v>
      </c>
      <c r="H359" s="79" t="s">
        <v>264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650</v>
      </c>
    </row>
    <row r="360" customFormat="false" ht="15" hidden="false" customHeight="false" outlineLevel="0" collapsed="false">
      <c r="A360" s="79" t="s">
        <v>211</v>
      </c>
      <c r="B360" s="79" t="s">
        <v>286</v>
      </c>
      <c r="C360" s="80" t="n">
        <v>2024</v>
      </c>
      <c r="D360" s="80" t="n">
        <v>1</v>
      </c>
      <c r="E360" s="81" t="n">
        <v>45382</v>
      </c>
      <c r="F360" s="79" t="s">
        <v>267</v>
      </c>
      <c r="G360" s="79" t="s">
        <v>268</v>
      </c>
      <c r="H360" s="79" t="s">
        <v>264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651</v>
      </c>
    </row>
    <row r="361" customFormat="false" ht="15" hidden="false" customHeight="false" outlineLevel="0" collapsed="false">
      <c r="A361" s="79" t="s">
        <v>211</v>
      </c>
      <c r="B361" s="79" t="s">
        <v>288</v>
      </c>
      <c r="C361" s="80" t="n">
        <v>2023</v>
      </c>
      <c r="D361" s="80" t="n">
        <v>4</v>
      </c>
      <c r="E361" s="81" t="n">
        <v>45291</v>
      </c>
      <c r="F361" s="79" t="s">
        <v>267</v>
      </c>
      <c r="G361" s="79" t="s">
        <v>268</v>
      </c>
      <c r="H361" s="79" t="s">
        <v>264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652</v>
      </c>
    </row>
    <row r="362" customFormat="false" ht="15" hidden="false" customHeight="false" outlineLevel="0" collapsed="false">
      <c r="A362" s="79" t="s">
        <v>211</v>
      </c>
      <c r="B362" s="79" t="s">
        <v>290</v>
      </c>
      <c r="C362" s="80" t="n">
        <v>2023</v>
      </c>
      <c r="D362" s="80" t="n">
        <v>3</v>
      </c>
      <c r="E362" s="81" t="n">
        <v>45199</v>
      </c>
      <c r="F362" s="79" t="s">
        <v>267</v>
      </c>
      <c r="G362" s="79" t="s">
        <v>268</v>
      </c>
      <c r="H362" s="79" t="s">
        <v>264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653</v>
      </c>
    </row>
    <row r="363" customFormat="false" ht="15" hidden="false" customHeight="false" outlineLevel="0" collapsed="false">
      <c r="A363" s="79" t="s">
        <v>211</v>
      </c>
      <c r="B363" s="79" t="s">
        <v>292</v>
      </c>
      <c r="C363" s="80" t="n">
        <v>2023</v>
      </c>
      <c r="D363" s="80" t="n">
        <v>2</v>
      </c>
      <c r="E363" s="81" t="n">
        <v>45107</v>
      </c>
      <c r="F363" s="79" t="s">
        <v>267</v>
      </c>
      <c r="G363" s="79" t="s">
        <v>268</v>
      </c>
      <c r="H363" s="79" t="s">
        <v>264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654</v>
      </c>
    </row>
    <row r="364" customFormat="false" ht="15" hidden="false" customHeight="false" outlineLevel="0" collapsed="false">
      <c r="A364" s="79" t="s">
        <v>211</v>
      </c>
      <c r="B364" s="79" t="s">
        <v>294</v>
      </c>
      <c r="C364" s="80" t="n">
        <v>2023</v>
      </c>
      <c r="D364" s="80" t="n">
        <v>1</v>
      </c>
      <c r="E364" s="81" t="n">
        <v>45016</v>
      </c>
      <c r="F364" s="79" t="s">
        <v>267</v>
      </c>
      <c r="G364" s="79" t="s">
        <v>268</v>
      </c>
      <c r="H364" s="79" t="s">
        <v>264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655</v>
      </c>
    </row>
    <row r="365" customFormat="false" ht="15" hidden="false" customHeight="false" outlineLevel="0" collapsed="false">
      <c r="A365" s="79" t="s">
        <v>211</v>
      </c>
      <c r="B365" s="79" t="s">
        <v>296</v>
      </c>
      <c r="C365" s="80" t="n">
        <v>2022</v>
      </c>
      <c r="D365" s="80" t="n">
        <v>4</v>
      </c>
      <c r="E365" s="81" t="n">
        <v>44926</v>
      </c>
      <c r="F365" s="79" t="s">
        <v>267</v>
      </c>
      <c r="G365" s="79" t="s">
        <v>268</v>
      </c>
      <c r="H365" s="79" t="s">
        <v>264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656</v>
      </c>
    </row>
    <row r="366" customFormat="false" ht="15" hidden="false" customHeight="false" outlineLevel="0" collapsed="false">
      <c r="A366" s="79" t="s">
        <v>211</v>
      </c>
      <c r="B366" s="79" t="s">
        <v>298</v>
      </c>
      <c r="C366" s="80" t="n">
        <v>2022</v>
      </c>
      <c r="D366" s="80" t="n">
        <v>3</v>
      </c>
      <c r="E366" s="81" t="n">
        <v>44834</v>
      </c>
      <c r="F366" s="79" t="s">
        <v>267</v>
      </c>
      <c r="G366" s="79" t="s">
        <v>268</v>
      </c>
      <c r="H366" s="79" t="s">
        <v>264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657</v>
      </c>
    </row>
    <row r="367" customFormat="false" ht="15" hidden="false" customHeight="false" outlineLevel="0" collapsed="false">
      <c r="A367" s="79" t="s">
        <v>211</v>
      </c>
      <c r="B367" s="79" t="s">
        <v>300</v>
      </c>
      <c r="C367" s="80" t="n">
        <v>2022</v>
      </c>
      <c r="D367" s="80" t="n">
        <v>2</v>
      </c>
      <c r="E367" s="81" t="n">
        <v>44742</v>
      </c>
      <c r="F367" s="79" t="s">
        <v>267</v>
      </c>
      <c r="G367" s="79" t="s">
        <v>268</v>
      </c>
      <c r="H367" s="79" t="s">
        <v>264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658</v>
      </c>
    </row>
    <row r="368" customFormat="false" ht="15" hidden="false" customHeight="false" outlineLevel="0" collapsed="false">
      <c r="A368" s="79" t="s">
        <v>211</v>
      </c>
      <c r="B368" s="79" t="s">
        <v>302</v>
      </c>
      <c r="C368" s="80" t="n">
        <v>2022</v>
      </c>
      <c r="D368" s="80" t="n">
        <v>1</v>
      </c>
      <c r="E368" s="81" t="n">
        <v>44651</v>
      </c>
      <c r="F368" s="79" t="s">
        <v>267</v>
      </c>
      <c r="G368" s="79" t="s">
        <v>268</v>
      </c>
      <c r="H368" s="79" t="s">
        <v>264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659</v>
      </c>
    </row>
    <row r="369" customFormat="false" ht="15" hidden="false" customHeight="false" outlineLevel="0" collapsed="false">
      <c r="A369" s="79" t="s">
        <v>211</v>
      </c>
      <c r="B369" s="79" t="s">
        <v>304</v>
      </c>
      <c r="C369" s="80" t="n">
        <v>2021</v>
      </c>
      <c r="D369" s="80" t="n">
        <v>4</v>
      </c>
      <c r="E369" s="81" t="n">
        <v>44561</v>
      </c>
      <c r="F369" s="79" t="s">
        <v>267</v>
      </c>
      <c r="G369" s="79" t="s">
        <v>268</v>
      </c>
      <c r="H369" s="79" t="s">
        <v>264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660</v>
      </c>
    </row>
    <row r="370" customFormat="false" ht="15" hidden="false" customHeight="false" outlineLevel="0" collapsed="false">
      <c r="A370" s="79" t="s">
        <v>211</v>
      </c>
      <c r="B370" s="79" t="s">
        <v>306</v>
      </c>
      <c r="C370" s="80" t="n">
        <v>2021</v>
      </c>
      <c r="D370" s="80" t="n">
        <v>3</v>
      </c>
      <c r="E370" s="81" t="n">
        <v>44469</v>
      </c>
      <c r="F370" s="79" t="s">
        <v>267</v>
      </c>
      <c r="G370" s="79" t="s">
        <v>268</v>
      </c>
      <c r="H370" s="79" t="s">
        <v>264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661</v>
      </c>
    </row>
    <row r="371" customFormat="false" ht="15" hidden="false" customHeight="false" outlineLevel="0" collapsed="false">
      <c r="A371" s="79" t="s">
        <v>211</v>
      </c>
      <c r="B371" s="79" t="s">
        <v>308</v>
      </c>
      <c r="C371" s="80" t="n">
        <v>2021</v>
      </c>
      <c r="D371" s="80" t="n">
        <v>2</v>
      </c>
      <c r="E371" s="81" t="n">
        <v>44377</v>
      </c>
      <c r="F371" s="79" t="s">
        <v>267</v>
      </c>
      <c r="G371" s="79" t="s">
        <v>268</v>
      </c>
      <c r="H371" s="79" t="s">
        <v>264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662</v>
      </c>
    </row>
    <row r="372" customFormat="false" ht="15" hidden="false" customHeight="false" outlineLevel="0" collapsed="false">
      <c r="A372" s="79" t="s">
        <v>211</v>
      </c>
      <c r="B372" s="79" t="s">
        <v>310</v>
      </c>
      <c r="C372" s="80" t="n">
        <v>2021</v>
      </c>
      <c r="D372" s="80" t="n">
        <v>1</v>
      </c>
      <c r="E372" s="81" t="n">
        <v>44286</v>
      </c>
      <c r="F372" s="79" t="s">
        <v>267</v>
      </c>
      <c r="G372" s="79" t="s">
        <v>268</v>
      </c>
      <c r="H372" s="79" t="s">
        <v>264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663</v>
      </c>
    </row>
    <row r="373" customFormat="false" ht="15" hidden="false" customHeight="false" outlineLevel="0" collapsed="false">
      <c r="A373" s="79" t="s">
        <v>211</v>
      </c>
      <c r="B373" s="79" t="s">
        <v>312</v>
      </c>
      <c r="C373" s="80" t="n">
        <v>2020</v>
      </c>
      <c r="D373" s="80" t="n">
        <v>4</v>
      </c>
      <c r="E373" s="81" t="n">
        <v>44196</v>
      </c>
      <c r="F373" s="79" t="s">
        <v>267</v>
      </c>
      <c r="G373" s="79" t="s">
        <v>268</v>
      </c>
      <c r="H373" s="79" t="s">
        <v>264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664</v>
      </c>
    </row>
    <row r="374" customFormat="false" ht="15" hidden="false" customHeight="false" outlineLevel="0" collapsed="false">
      <c r="A374" s="79" t="s">
        <v>211</v>
      </c>
      <c r="B374" s="79" t="s">
        <v>314</v>
      </c>
      <c r="C374" s="80" t="n">
        <v>2020</v>
      </c>
      <c r="D374" s="80" t="n">
        <v>3</v>
      </c>
      <c r="E374" s="81" t="n">
        <v>44104</v>
      </c>
      <c r="F374" s="79" t="s">
        <v>267</v>
      </c>
      <c r="G374" s="79" t="s">
        <v>268</v>
      </c>
      <c r="H374" s="79" t="s">
        <v>264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665</v>
      </c>
    </row>
    <row r="375" customFormat="false" ht="15" hidden="false" customHeight="false" outlineLevel="0" collapsed="false">
      <c r="A375" s="79" t="s">
        <v>215</v>
      </c>
      <c r="B375" s="79" t="s">
        <v>261</v>
      </c>
      <c r="C375" s="80" t="n">
        <v>2026</v>
      </c>
      <c r="D375" s="80" t="n">
        <v>3</v>
      </c>
      <c r="E375" s="81" t="n">
        <v>46295</v>
      </c>
      <c r="F375" s="79" t="s">
        <v>262</v>
      </c>
      <c r="G375" s="79" t="s">
        <v>263</v>
      </c>
      <c r="H375" s="79" t="s">
        <v>264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666</v>
      </c>
    </row>
    <row r="376" customFormat="false" ht="15" hidden="false" customHeight="false" outlineLevel="0" collapsed="false">
      <c r="A376" s="79" t="s">
        <v>215</v>
      </c>
      <c r="B376" s="79" t="s">
        <v>266</v>
      </c>
      <c r="C376" s="80" t="n">
        <v>2026</v>
      </c>
      <c r="D376" s="80" t="n">
        <v>2</v>
      </c>
      <c r="E376" s="81" t="n">
        <v>46203</v>
      </c>
      <c r="F376" s="79" t="s">
        <v>267</v>
      </c>
      <c r="G376" s="79" t="s">
        <v>268</v>
      </c>
      <c r="H376" s="79" t="s">
        <v>264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667</v>
      </c>
    </row>
    <row r="377" customFormat="false" ht="15" hidden="false" customHeight="false" outlineLevel="0" collapsed="false">
      <c r="A377" s="79" t="s">
        <v>215</v>
      </c>
      <c r="B377" s="79" t="s">
        <v>270</v>
      </c>
      <c r="C377" s="80" t="n">
        <v>2026</v>
      </c>
      <c r="D377" s="80" t="n">
        <v>1</v>
      </c>
      <c r="E377" s="81" t="n">
        <v>46112</v>
      </c>
      <c r="F377" s="79" t="s">
        <v>267</v>
      </c>
      <c r="G377" s="79" t="s">
        <v>268</v>
      </c>
      <c r="H377" s="79" t="s">
        <v>264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668</v>
      </c>
    </row>
    <row r="378" customFormat="false" ht="15" hidden="false" customHeight="false" outlineLevel="0" collapsed="false">
      <c r="A378" s="79" t="s">
        <v>215</v>
      </c>
      <c r="B378" s="79" t="s">
        <v>272</v>
      </c>
      <c r="C378" s="80" t="n">
        <v>2025</v>
      </c>
      <c r="D378" s="80" t="n">
        <v>4</v>
      </c>
      <c r="E378" s="81" t="n">
        <v>46022</v>
      </c>
      <c r="F378" s="79" t="s">
        <v>267</v>
      </c>
      <c r="G378" s="79" t="s">
        <v>268</v>
      </c>
      <c r="H378" s="79" t="s">
        <v>264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669</v>
      </c>
    </row>
    <row r="379" customFormat="false" ht="15" hidden="false" customHeight="false" outlineLevel="0" collapsed="false">
      <c r="A379" s="79" t="s">
        <v>215</v>
      </c>
      <c r="B379" s="79" t="s">
        <v>274</v>
      </c>
      <c r="C379" s="80" t="n">
        <v>2025</v>
      </c>
      <c r="D379" s="80" t="n">
        <v>3</v>
      </c>
      <c r="E379" s="81" t="n">
        <v>45930</v>
      </c>
      <c r="F379" s="79" t="s">
        <v>267</v>
      </c>
      <c r="G379" s="79" t="s">
        <v>268</v>
      </c>
      <c r="H379" s="79" t="s">
        <v>264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670</v>
      </c>
    </row>
    <row r="380" customFormat="false" ht="15" hidden="false" customHeight="false" outlineLevel="0" collapsed="false">
      <c r="A380" s="79" t="s">
        <v>215</v>
      </c>
      <c r="B380" s="79" t="s">
        <v>276</v>
      </c>
      <c r="C380" s="80" t="n">
        <v>2025</v>
      </c>
      <c r="D380" s="80" t="n">
        <v>2</v>
      </c>
      <c r="E380" s="81" t="n">
        <v>45838</v>
      </c>
      <c r="F380" s="79" t="s">
        <v>267</v>
      </c>
      <c r="G380" s="79" t="s">
        <v>268</v>
      </c>
      <c r="H380" s="79" t="s">
        <v>264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671</v>
      </c>
    </row>
    <row r="381" customFormat="false" ht="15" hidden="false" customHeight="false" outlineLevel="0" collapsed="false">
      <c r="A381" s="79" t="s">
        <v>215</v>
      </c>
      <c r="B381" s="79" t="s">
        <v>278</v>
      </c>
      <c r="C381" s="80" t="n">
        <v>2025</v>
      </c>
      <c r="D381" s="80" t="n">
        <v>1</v>
      </c>
      <c r="E381" s="81" t="n">
        <v>45747</v>
      </c>
      <c r="F381" s="79" t="s">
        <v>267</v>
      </c>
      <c r="G381" s="79" t="s">
        <v>268</v>
      </c>
      <c r="H381" s="79" t="s">
        <v>264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672</v>
      </c>
    </row>
    <row r="382" customFormat="false" ht="15" hidden="false" customHeight="false" outlineLevel="0" collapsed="false">
      <c r="A382" s="79" t="s">
        <v>215</v>
      </c>
      <c r="B382" s="79" t="s">
        <v>280</v>
      </c>
      <c r="C382" s="80" t="n">
        <v>2024</v>
      </c>
      <c r="D382" s="80" t="n">
        <v>4</v>
      </c>
      <c r="E382" s="81" t="n">
        <v>45657</v>
      </c>
      <c r="F382" s="79" t="s">
        <v>267</v>
      </c>
      <c r="G382" s="79" t="s">
        <v>268</v>
      </c>
      <c r="H382" s="79" t="s">
        <v>264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673</v>
      </c>
    </row>
    <row r="383" customFormat="false" ht="15" hidden="false" customHeight="false" outlineLevel="0" collapsed="false">
      <c r="A383" s="79" t="s">
        <v>215</v>
      </c>
      <c r="B383" s="79" t="s">
        <v>282</v>
      </c>
      <c r="C383" s="80" t="n">
        <v>2024</v>
      </c>
      <c r="D383" s="80" t="n">
        <v>3</v>
      </c>
      <c r="E383" s="81" t="n">
        <v>45565</v>
      </c>
      <c r="F383" s="79" t="s">
        <v>267</v>
      </c>
      <c r="G383" s="79" t="s">
        <v>268</v>
      </c>
      <c r="H383" s="79" t="s">
        <v>264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674</v>
      </c>
    </row>
    <row r="384" customFormat="false" ht="15" hidden="false" customHeight="false" outlineLevel="0" collapsed="false">
      <c r="A384" s="79" t="s">
        <v>215</v>
      </c>
      <c r="B384" s="79" t="s">
        <v>284</v>
      </c>
      <c r="C384" s="80" t="n">
        <v>2024</v>
      </c>
      <c r="D384" s="80" t="n">
        <v>2</v>
      </c>
      <c r="E384" s="81" t="n">
        <v>45473</v>
      </c>
      <c r="F384" s="79" t="s">
        <v>267</v>
      </c>
      <c r="G384" s="79" t="s">
        <v>268</v>
      </c>
      <c r="H384" s="79" t="s">
        <v>264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675</v>
      </c>
    </row>
    <row r="385" customFormat="false" ht="15" hidden="false" customHeight="false" outlineLevel="0" collapsed="false">
      <c r="A385" s="79" t="s">
        <v>215</v>
      </c>
      <c r="B385" s="79" t="s">
        <v>286</v>
      </c>
      <c r="C385" s="80" t="n">
        <v>2024</v>
      </c>
      <c r="D385" s="80" t="n">
        <v>1</v>
      </c>
      <c r="E385" s="81" t="n">
        <v>45382</v>
      </c>
      <c r="F385" s="79" t="s">
        <v>267</v>
      </c>
      <c r="G385" s="79" t="s">
        <v>268</v>
      </c>
      <c r="H385" s="79" t="s">
        <v>264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676</v>
      </c>
    </row>
    <row r="386" customFormat="false" ht="15" hidden="false" customHeight="false" outlineLevel="0" collapsed="false">
      <c r="A386" s="79" t="s">
        <v>215</v>
      </c>
      <c r="B386" s="79" t="s">
        <v>288</v>
      </c>
      <c r="C386" s="80" t="n">
        <v>2023</v>
      </c>
      <c r="D386" s="80" t="n">
        <v>4</v>
      </c>
      <c r="E386" s="81" t="n">
        <v>45291</v>
      </c>
      <c r="F386" s="79" t="s">
        <v>267</v>
      </c>
      <c r="G386" s="79" t="s">
        <v>268</v>
      </c>
      <c r="H386" s="79" t="s">
        <v>264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677</v>
      </c>
    </row>
    <row r="387" customFormat="false" ht="15" hidden="false" customHeight="false" outlineLevel="0" collapsed="false">
      <c r="A387" s="79" t="s">
        <v>215</v>
      </c>
      <c r="B387" s="79" t="s">
        <v>290</v>
      </c>
      <c r="C387" s="80" t="n">
        <v>2023</v>
      </c>
      <c r="D387" s="80" t="n">
        <v>3</v>
      </c>
      <c r="E387" s="81" t="n">
        <v>45199</v>
      </c>
      <c r="F387" s="79" t="s">
        <v>267</v>
      </c>
      <c r="G387" s="79" t="s">
        <v>268</v>
      </c>
      <c r="H387" s="79" t="s">
        <v>264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678</v>
      </c>
    </row>
    <row r="388" customFormat="false" ht="15" hidden="false" customHeight="false" outlineLevel="0" collapsed="false">
      <c r="A388" s="79" t="s">
        <v>215</v>
      </c>
      <c r="B388" s="79" t="s">
        <v>292</v>
      </c>
      <c r="C388" s="80" t="n">
        <v>2023</v>
      </c>
      <c r="D388" s="80" t="n">
        <v>2</v>
      </c>
      <c r="E388" s="81" t="n">
        <v>45107</v>
      </c>
      <c r="F388" s="79" t="s">
        <v>267</v>
      </c>
      <c r="G388" s="79" t="s">
        <v>268</v>
      </c>
      <c r="H388" s="79" t="s">
        <v>264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679</v>
      </c>
    </row>
    <row r="389" customFormat="false" ht="15" hidden="false" customHeight="false" outlineLevel="0" collapsed="false">
      <c r="A389" s="79" t="s">
        <v>215</v>
      </c>
      <c r="B389" s="79" t="s">
        <v>294</v>
      </c>
      <c r="C389" s="80" t="n">
        <v>2023</v>
      </c>
      <c r="D389" s="80" t="n">
        <v>1</v>
      </c>
      <c r="E389" s="81" t="n">
        <v>45016</v>
      </c>
      <c r="F389" s="79" t="s">
        <v>267</v>
      </c>
      <c r="G389" s="79" t="s">
        <v>268</v>
      </c>
      <c r="H389" s="79" t="s">
        <v>264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680</v>
      </c>
    </row>
    <row r="390" customFormat="false" ht="15" hidden="false" customHeight="false" outlineLevel="0" collapsed="false">
      <c r="A390" s="79" t="s">
        <v>215</v>
      </c>
      <c r="B390" s="79" t="s">
        <v>296</v>
      </c>
      <c r="C390" s="80" t="n">
        <v>2022</v>
      </c>
      <c r="D390" s="80" t="n">
        <v>4</v>
      </c>
      <c r="E390" s="81" t="n">
        <v>44926</v>
      </c>
      <c r="F390" s="79" t="s">
        <v>267</v>
      </c>
      <c r="G390" s="79" t="s">
        <v>268</v>
      </c>
      <c r="H390" s="79" t="s">
        <v>264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681</v>
      </c>
    </row>
    <row r="391" customFormat="false" ht="15" hidden="false" customHeight="false" outlineLevel="0" collapsed="false">
      <c r="A391" s="79" t="s">
        <v>215</v>
      </c>
      <c r="B391" s="79" t="s">
        <v>298</v>
      </c>
      <c r="C391" s="80" t="n">
        <v>2022</v>
      </c>
      <c r="D391" s="80" t="n">
        <v>3</v>
      </c>
      <c r="E391" s="81" t="n">
        <v>44834</v>
      </c>
      <c r="F391" s="79" t="s">
        <v>267</v>
      </c>
      <c r="G391" s="79" t="s">
        <v>268</v>
      </c>
      <c r="H391" s="79" t="s">
        <v>264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682</v>
      </c>
    </row>
    <row r="392" customFormat="false" ht="15" hidden="false" customHeight="false" outlineLevel="0" collapsed="false">
      <c r="A392" s="79" t="s">
        <v>215</v>
      </c>
      <c r="B392" s="79" t="s">
        <v>300</v>
      </c>
      <c r="C392" s="80" t="n">
        <v>2022</v>
      </c>
      <c r="D392" s="80" t="n">
        <v>2</v>
      </c>
      <c r="E392" s="81" t="n">
        <v>44742</v>
      </c>
      <c r="F392" s="79" t="s">
        <v>267</v>
      </c>
      <c r="G392" s="79" t="s">
        <v>268</v>
      </c>
      <c r="H392" s="79" t="s">
        <v>264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683</v>
      </c>
    </row>
    <row r="393" customFormat="false" ht="15" hidden="false" customHeight="false" outlineLevel="0" collapsed="false">
      <c r="A393" s="79" t="s">
        <v>215</v>
      </c>
      <c r="B393" s="79" t="s">
        <v>302</v>
      </c>
      <c r="C393" s="80" t="n">
        <v>2022</v>
      </c>
      <c r="D393" s="80" t="n">
        <v>1</v>
      </c>
      <c r="E393" s="81" t="n">
        <v>44651</v>
      </c>
      <c r="F393" s="79" t="s">
        <v>267</v>
      </c>
      <c r="G393" s="79" t="s">
        <v>268</v>
      </c>
      <c r="H393" s="79" t="s">
        <v>264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684</v>
      </c>
    </row>
    <row r="394" customFormat="false" ht="15" hidden="false" customHeight="false" outlineLevel="0" collapsed="false">
      <c r="A394" s="79" t="s">
        <v>215</v>
      </c>
      <c r="B394" s="79" t="s">
        <v>304</v>
      </c>
      <c r="C394" s="80" t="n">
        <v>2021</v>
      </c>
      <c r="D394" s="80" t="n">
        <v>4</v>
      </c>
      <c r="E394" s="81" t="n">
        <v>44561</v>
      </c>
      <c r="F394" s="79" t="s">
        <v>267</v>
      </c>
      <c r="G394" s="79" t="s">
        <v>268</v>
      </c>
      <c r="H394" s="79" t="s">
        <v>264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685</v>
      </c>
    </row>
    <row r="395" customFormat="false" ht="15" hidden="false" customHeight="false" outlineLevel="0" collapsed="false">
      <c r="A395" s="79" t="s">
        <v>215</v>
      </c>
      <c r="B395" s="79" t="s">
        <v>306</v>
      </c>
      <c r="C395" s="80" t="n">
        <v>2021</v>
      </c>
      <c r="D395" s="80" t="n">
        <v>3</v>
      </c>
      <c r="E395" s="81" t="n">
        <v>44469</v>
      </c>
      <c r="F395" s="79" t="s">
        <v>267</v>
      </c>
      <c r="G395" s="79" t="s">
        <v>268</v>
      </c>
      <c r="H395" s="79" t="s">
        <v>264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686</v>
      </c>
    </row>
    <row r="396" customFormat="false" ht="15" hidden="false" customHeight="false" outlineLevel="0" collapsed="false">
      <c r="A396" s="79" t="s">
        <v>215</v>
      </c>
      <c r="B396" s="79" t="s">
        <v>308</v>
      </c>
      <c r="C396" s="80" t="n">
        <v>2021</v>
      </c>
      <c r="D396" s="80" t="n">
        <v>2</v>
      </c>
      <c r="E396" s="81" t="n">
        <v>44377</v>
      </c>
      <c r="F396" s="79" t="s">
        <v>267</v>
      </c>
      <c r="G396" s="79" t="s">
        <v>268</v>
      </c>
      <c r="H396" s="79" t="s">
        <v>264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687</v>
      </c>
    </row>
    <row r="397" customFormat="false" ht="15" hidden="false" customHeight="false" outlineLevel="0" collapsed="false">
      <c r="A397" s="79" t="s">
        <v>215</v>
      </c>
      <c r="B397" s="79" t="s">
        <v>310</v>
      </c>
      <c r="C397" s="80" t="n">
        <v>2021</v>
      </c>
      <c r="D397" s="80" t="n">
        <v>1</v>
      </c>
      <c r="E397" s="81" t="n">
        <v>44286</v>
      </c>
      <c r="F397" s="79" t="s">
        <v>267</v>
      </c>
      <c r="G397" s="79" t="s">
        <v>268</v>
      </c>
      <c r="H397" s="79" t="s">
        <v>264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688</v>
      </c>
    </row>
    <row r="398" customFormat="false" ht="15" hidden="false" customHeight="false" outlineLevel="0" collapsed="false">
      <c r="A398" s="79" t="s">
        <v>215</v>
      </c>
      <c r="B398" s="79" t="s">
        <v>312</v>
      </c>
      <c r="C398" s="80" t="n">
        <v>2020</v>
      </c>
      <c r="D398" s="80" t="n">
        <v>4</v>
      </c>
      <c r="E398" s="81" t="n">
        <v>44196</v>
      </c>
      <c r="F398" s="79" t="s">
        <v>267</v>
      </c>
      <c r="G398" s="79" t="s">
        <v>268</v>
      </c>
      <c r="H398" s="79" t="s">
        <v>264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689</v>
      </c>
    </row>
    <row r="399" customFormat="false" ht="15" hidden="false" customHeight="false" outlineLevel="0" collapsed="false">
      <c r="A399" s="79" t="s">
        <v>215</v>
      </c>
      <c r="B399" s="79" t="s">
        <v>314</v>
      </c>
      <c r="C399" s="80" t="n">
        <v>2020</v>
      </c>
      <c r="D399" s="80" t="n">
        <v>3</v>
      </c>
      <c r="E399" s="81" t="n">
        <v>44104</v>
      </c>
      <c r="F399" s="79" t="s">
        <v>267</v>
      </c>
      <c r="G399" s="79" t="s">
        <v>268</v>
      </c>
      <c r="H399" s="79" t="s">
        <v>264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690</v>
      </c>
    </row>
    <row r="400" customFormat="false" ht="15" hidden="false" customHeight="false" outlineLevel="0" collapsed="false">
      <c r="A400" s="79" t="s">
        <v>691</v>
      </c>
      <c r="B400" s="79" t="s">
        <v>261</v>
      </c>
      <c r="C400" s="80" t="n">
        <v>2026</v>
      </c>
      <c r="D400" s="80" t="n">
        <v>3</v>
      </c>
      <c r="E400" s="81" t="n">
        <v>46295</v>
      </c>
      <c r="F400" s="79" t="s">
        <v>262</v>
      </c>
      <c r="G400" s="79" t="s">
        <v>263</v>
      </c>
      <c r="H400" s="79" t="s">
        <v>264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692</v>
      </c>
    </row>
    <row r="401" customFormat="false" ht="15" hidden="false" customHeight="false" outlineLevel="0" collapsed="false">
      <c r="A401" s="79" t="s">
        <v>691</v>
      </c>
      <c r="B401" s="79" t="s">
        <v>266</v>
      </c>
      <c r="C401" s="80" t="n">
        <v>2026</v>
      </c>
      <c r="D401" s="80" t="n">
        <v>2</v>
      </c>
      <c r="E401" s="81" t="n">
        <v>46203</v>
      </c>
      <c r="F401" s="79" t="s">
        <v>267</v>
      </c>
      <c r="G401" s="79" t="s">
        <v>268</v>
      </c>
      <c r="H401" s="79" t="s">
        <v>264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693</v>
      </c>
    </row>
    <row r="402" customFormat="false" ht="15" hidden="false" customHeight="false" outlineLevel="0" collapsed="false">
      <c r="A402" s="79" t="s">
        <v>691</v>
      </c>
      <c r="B402" s="79" t="s">
        <v>270</v>
      </c>
      <c r="C402" s="80" t="n">
        <v>2026</v>
      </c>
      <c r="D402" s="80" t="n">
        <v>1</v>
      </c>
      <c r="E402" s="81" t="n">
        <v>46112</v>
      </c>
      <c r="F402" s="79" t="s">
        <v>267</v>
      </c>
      <c r="G402" s="79" t="s">
        <v>268</v>
      </c>
      <c r="H402" s="79" t="s">
        <v>264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694</v>
      </c>
    </row>
    <row r="403" customFormat="false" ht="15" hidden="false" customHeight="false" outlineLevel="0" collapsed="false">
      <c r="A403" s="79" t="s">
        <v>691</v>
      </c>
      <c r="B403" s="79" t="s">
        <v>272</v>
      </c>
      <c r="C403" s="80" t="n">
        <v>2025</v>
      </c>
      <c r="D403" s="80" t="n">
        <v>4</v>
      </c>
      <c r="E403" s="81" t="n">
        <v>46022</v>
      </c>
      <c r="F403" s="79" t="s">
        <v>267</v>
      </c>
      <c r="G403" s="79" t="s">
        <v>268</v>
      </c>
      <c r="H403" s="79" t="s">
        <v>264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695</v>
      </c>
    </row>
    <row r="404" customFormat="false" ht="15" hidden="false" customHeight="false" outlineLevel="0" collapsed="false">
      <c r="A404" s="79" t="s">
        <v>691</v>
      </c>
      <c r="B404" s="79" t="s">
        <v>274</v>
      </c>
      <c r="C404" s="80" t="n">
        <v>2025</v>
      </c>
      <c r="D404" s="80" t="n">
        <v>3</v>
      </c>
      <c r="E404" s="81" t="n">
        <v>45930</v>
      </c>
      <c r="F404" s="79" t="s">
        <v>267</v>
      </c>
      <c r="G404" s="79" t="s">
        <v>268</v>
      </c>
      <c r="H404" s="79" t="s">
        <v>264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696</v>
      </c>
    </row>
    <row r="405" customFormat="false" ht="15" hidden="false" customHeight="false" outlineLevel="0" collapsed="false">
      <c r="A405" s="79" t="s">
        <v>691</v>
      </c>
      <c r="B405" s="79" t="s">
        <v>276</v>
      </c>
      <c r="C405" s="80" t="n">
        <v>2025</v>
      </c>
      <c r="D405" s="80" t="n">
        <v>2</v>
      </c>
      <c r="E405" s="81" t="n">
        <v>45838</v>
      </c>
      <c r="F405" s="79" t="s">
        <v>267</v>
      </c>
      <c r="G405" s="79" t="s">
        <v>268</v>
      </c>
      <c r="H405" s="79" t="s">
        <v>264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697</v>
      </c>
    </row>
    <row r="406" customFormat="false" ht="15" hidden="false" customHeight="false" outlineLevel="0" collapsed="false">
      <c r="A406" s="79" t="s">
        <v>691</v>
      </c>
      <c r="B406" s="79" t="s">
        <v>278</v>
      </c>
      <c r="C406" s="80" t="n">
        <v>2025</v>
      </c>
      <c r="D406" s="80" t="n">
        <v>1</v>
      </c>
      <c r="E406" s="81" t="n">
        <v>45747</v>
      </c>
      <c r="F406" s="79" t="s">
        <v>267</v>
      </c>
      <c r="G406" s="79" t="s">
        <v>268</v>
      </c>
      <c r="H406" s="79" t="s">
        <v>264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698</v>
      </c>
    </row>
    <row r="407" customFormat="false" ht="15" hidden="false" customHeight="false" outlineLevel="0" collapsed="false">
      <c r="A407" s="79" t="s">
        <v>691</v>
      </c>
      <c r="B407" s="79" t="s">
        <v>280</v>
      </c>
      <c r="C407" s="80" t="n">
        <v>2024</v>
      </c>
      <c r="D407" s="80" t="n">
        <v>4</v>
      </c>
      <c r="E407" s="81" t="n">
        <v>45657</v>
      </c>
      <c r="F407" s="79" t="s">
        <v>267</v>
      </c>
      <c r="G407" s="79" t="s">
        <v>268</v>
      </c>
      <c r="H407" s="79" t="s">
        <v>264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699</v>
      </c>
    </row>
    <row r="408" customFormat="false" ht="15" hidden="false" customHeight="false" outlineLevel="0" collapsed="false">
      <c r="A408" s="79" t="s">
        <v>691</v>
      </c>
      <c r="B408" s="79" t="s">
        <v>282</v>
      </c>
      <c r="C408" s="80" t="n">
        <v>2024</v>
      </c>
      <c r="D408" s="80" t="n">
        <v>3</v>
      </c>
      <c r="E408" s="81" t="n">
        <v>45565</v>
      </c>
      <c r="F408" s="79" t="s">
        <v>267</v>
      </c>
      <c r="G408" s="79" t="s">
        <v>268</v>
      </c>
      <c r="H408" s="79" t="s">
        <v>264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700</v>
      </c>
    </row>
    <row r="409" customFormat="false" ht="15" hidden="false" customHeight="false" outlineLevel="0" collapsed="false">
      <c r="A409" s="79" t="s">
        <v>691</v>
      </c>
      <c r="B409" s="79" t="s">
        <v>284</v>
      </c>
      <c r="C409" s="80" t="n">
        <v>2024</v>
      </c>
      <c r="D409" s="80" t="n">
        <v>2</v>
      </c>
      <c r="E409" s="81" t="n">
        <v>45473</v>
      </c>
      <c r="F409" s="79" t="s">
        <v>267</v>
      </c>
      <c r="G409" s="79" t="s">
        <v>268</v>
      </c>
      <c r="H409" s="79" t="s">
        <v>264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701</v>
      </c>
    </row>
    <row r="410" customFormat="false" ht="15" hidden="false" customHeight="false" outlineLevel="0" collapsed="false">
      <c r="A410" s="79" t="s">
        <v>691</v>
      </c>
      <c r="B410" s="79" t="s">
        <v>286</v>
      </c>
      <c r="C410" s="80" t="n">
        <v>2024</v>
      </c>
      <c r="D410" s="80" t="n">
        <v>1</v>
      </c>
      <c r="E410" s="81" t="n">
        <v>45382</v>
      </c>
      <c r="F410" s="79" t="s">
        <v>267</v>
      </c>
      <c r="G410" s="79" t="s">
        <v>268</v>
      </c>
      <c r="H410" s="79" t="s">
        <v>264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702</v>
      </c>
    </row>
    <row r="411" customFormat="false" ht="15" hidden="false" customHeight="false" outlineLevel="0" collapsed="false">
      <c r="A411" s="79" t="s">
        <v>691</v>
      </c>
      <c r="B411" s="79" t="s">
        <v>288</v>
      </c>
      <c r="C411" s="80" t="n">
        <v>2023</v>
      </c>
      <c r="D411" s="80" t="n">
        <v>4</v>
      </c>
      <c r="E411" s="81" t="n">
        <v>45291</v>
      </c>
      <c r="F411" s="79" t="s">
        <v>267</v>
      </c>
      <c r="G411" s="79" t="s">
        <v>268</v>
      </c>
      <c r="H411" s="79" t="s">
        <v>264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703</v>
      </c>
    </row>
    <row r="412" customFormat="false" ht="15" hidden="false" customHeight="false" outlineLevel="0" collapsed="false">
      <c r="A412" s="79" t="s">
        <v>691</v>
      </c>
      <c r="B412" s="79" t="s">
        <v>290</v>
      </c>
      <c r="C412" s="80" t="n">
        <v>2023</v>
      </c>
      <c r="D412" s="80" t="n">
        <v>3</v>
      </c>
      <c r="E412" s="81" t="n">
        <v>45199</v>
      </c>
      <c r="F412" s="79" t="s">
        <v>267</v>
      </c>
      <c r="G412" s="79" t="s">
        <v>268</v>
      </c>
      <c r="H412" s="79" t="s">
        <v>264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704</v>
      </c>
    </row>
    <row r="413" customFormat="false" ht="15" hidden="false" customHeight="false" outlineLevel="0" collapsed="false">
      <c r="A413" s="79" t="s">
        <v>691</v>
      </c>
      <c r="B413" s="79" t="s">
        <v>292</v>
      </c>
      <c r="C413" s="80" t="n">
        <v>2023</v>
      </c>
      <c r="D413" s="80" t="n">
        <v>2</v>
      </c>
      <c r="E413" s="81" t="n">
        <v>45107</v>
      </c>
      <c r="F413" s="79" t="s">
        <v>267</v>
      </c>
      <c r="G413" s="79" t="s">
        <v>268</v>
      </c>
      <c r="H413" s="79" t="s">
        <v>264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705</v>
      </c>
    </row>
    <row r="414" customFormat="false" ht="15" hidden="false" customHeight="false" outlineLevel="0" collapsed="false">
      <c r="A414" s="79" t="s">
        <v>691</v>
      </c>
      <c r="B414" s="79" t="s">
        <v>294</v>
      </c>
      <c r="C414" s="80" t="n">
        <v>2023</v>
      </c>
      <c r="D414" s="80" t="n">
        <v>1</v>
      </c>
      <c r="E414" s="81" t="n">
        <v>45016</v>
      </c>
      <c r="F414" s="79" t="s">
        <v>267</v>
      </c>
      <c r="G414" s="79" t="s">
        <v>268</v>
      </c>
      <c r="H414" s="79" t="s">
        <v>264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706</v>
      </c>
    </row>
    <row r="415" customFormat="false" ht="15" hidden="false" customHeight="false" outlineLevel="0" collapsed="false">
      <c r="A415" s="79" t="s">
        <v>691</v>
      </c>
      <c r="B415" s="79" t="s">
        <v>296</v>
      </c>
      <c r="C415" s="80" t="n">
        <v>2022</v>
      </c>
      <c r="D415" s="80" t="n">
        <v>4</v>
      </c>
      <c r="E415" s="81" t="n">
        <v>44926</v>
      </c>
      <c r="F415" s="79" t="s">
        <v>267</v>
      </c>
      <c r="G415" s="79" t="s">
        <v>268</v>
      </c>
      <c r="H415" s="79" t="s">
        <v>264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707</v>
      </c>
    </row>
    <row r="416" customFormat="false" ht="15" hidden="false" customHeight="false" outlineLevel="0" collapsed="false">
      <c r="A416" s="79" t="s">
        <v>691</v>
      </c>
      <c r="B416" s="79" t="s">
        <v>298</v>
      </c>
      <c r="C416" s="80" t="n">
        <v>2022</v>
      </c>
      <c r="D416" s="80" t="n">
        <v>3</v>
      </c>
      <c r="E416" s="81" t="n">
        <v>44834</v>
      </c>
      <c r="F416" s="79" t="s">
        <v>267</v>
      </c>
      <c r="G416" s="79" t="s">
        <v>268</v>
      </c>
      <c r="H416" s="79" t="s">
        <v>264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708</v>
      </c>
    </row>
    <row r="417" customFormat="false" ht="15" hidden="false" customHeight="false" outlineLevel="0" collapsed="false">
      <c r="A417" s="79" t="s">
        <v>691</v>
      </c>
      <c r="B417" s="79" t="s">
        <v>300</v>
      </c>
      <c r="C417" s="80" t="n">
        <v>2022</v>
      </c>
      <c r="D417" s="80" t="n">
        <v>2</v>
      </c>
      <c r="E417" s="81" t="n">
        <v>44742</v>
      </c>
      <c r="F417" s="79" t="s">
        <v>267</v>
      </c>
      <c r="G417" s="79" t="s">
        <v>268</v>
      </c>
      <c r="H417" s="79" t="s">
        <v>264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709</v>
      </c>
    </row>
    <row r="418" customFormat="false" ht="15" hidden="false" customHeight="false" outlineLevel="0" collapsed="false">
      <c r="A418" s="79" t="s">
        <v>691</v>
      </c>
      <c r="B418" s="79" t="s">
        <v>302</v>
      </c>
      <c r="C418" s="80" t="n">
        <v>2022</v>
      </c>
      <c r="D418" s="80" t="n">
        <v>1</v>
      </c>
      <c r="E418" s="81" t="n">
        <v>44651</v>
      </c>
      <c r="F418" s="79" t="s">
        <v>267</v>
      </c>
      <c r="G418" s="79" t="s">
        <v>268</v>
      </c>
      <c r="H418" s="79" t="s">
        <v>264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710</v>
      </c>
    </row>
    <row r="419" customFormat="false" ht="15" hidden="false" customHeight="false" outlineLevel="0" collapsed="false">
      <c r="A419" s="79" t="s">
        <v>691</v>
      </c>
      <c r="B419" s="79" t="s">
        <v>304</v>
      </c>
      <c r="C419" s="80" t="n">
        <v>2021</v>
      </c>
      <c r="D419" s="80" t="n">
        <v>4</v>
      </c>
      <c r="E419" s="81" t="n">
        <v>44561</v>
      </c>
      <c r="F419" s="79" t="s">
        <v>267</v>
      </c>
      <c r="G419" s="79" t="s">
        <v>268</v>
      </c>
      <c r="H419" s="79" t="s">
        <v>264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711</v>
      </c>
    </row>
    <row r="420" customFormat="false" ht="15" hidden="false" customHeight="false" outlineLevel="0" collapsed="false">
      <c r="A420" s="79" t="s">
        <v>691</v>
      </c>
      <c r="B420" s="79" t="s">
        <v>306</v>
      </c>
      <c r="C420" s="80" t="n">
        <v>2021</v>
      </c>
      <c r="D420" s="80" t="n">
        <v>3</v>
      </c>
      <c r="E420" s="81" t="n">
        <v>44469</v>
      </c>
      <c r="F420" s="79" t="s">
        <v>267</v>
      </c>
      <c r="G420" s="79" t="s">
        <v>268</v>
      </c>
      <c r="H420" s="79" t="s">
        <v>264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712</v>
      </c>
    </row>
    <row r="421" customFormat="false" ht="15" hidden="false" customHeight="false" outlineLevel="0" collapsed="false">
      <c r="A421" s="79" t="s">
        <v>691</v>
      </c>
      <c r="B421" s="79" t="s">
        <v>308</v>
      </c>
      <c r="C421" s="80" t="n">
        <v>2021</v>
      </c>
      <c r="D421" s="80" t="n">
        <v>2</v>
      </c>
      <c r="E421" s="81" t="n">
        <v>44377</v>
      </c>
      <c r="F421" s="79" t="s">
        <v>267</v>
      </c>
      <c r="G421" s="79" t="s">
        <v>268</v>
      </c>
      <c r="H421" s="79" t="s">
        <v>264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713</v>
      </c>
    </row>
    <row r="422" customFormat="false" ht="15" hidden="false" customHeight="false" outlineLevel="0" collapsed="false">
      <c r="A422" s="79" t="s">
        <v>691</v>
      </c>
      <c r="B422" s="79" t="s">
        <v>310</v>
      </c>
      <c r="C422" s="80" t="n">
        <v>2021</v>
      </c>
      <c r="D422" s="80" t="n">
        <v>1</v>
      </c>
      <c r="E422" s="81" t="n">
        <v>44286</v>
      </c>
      <c r="F422" s="79" t="s">
        <v>267</v>
      </c>
      <c r="G422" s="79" t="s">
        <v>268</v>
      </c>
      <c r="H422" s="79" t="s">
        <v>264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714</v>
      </c>
    </row>
    <row r="423" customFormat="false" ht="15" hidden="false" customHeight="false" outlineLevel="0" collapsed="false">
      <c r="A423" s="79" t="s">
        <v>691</v>
      </c>
      <c r="B423" s="79" t="s">
        <v>312</v>
      </c>
      <c r="C423" s="80" t="n">
        <v>2020</v>
      </c>
      <c r="D423" s="80" t="n">
        <v>4</v>
      </c>
      <c r="E423" s="81" t="n">
        <v>44196</v>
      </c>
      <c r="F423" s="79" t="s">
        <v>267</v>
      </c>
      <c r="G423" s="79" t="s">
        <v>268</v>
      </c>
      <c r="H423" s="79" t="s">
        <v>264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715</v>
      </c>
    </row>
    <row r="424" customFormat="false" ht="15" hidden="false" customHeight="false" outlineLevel="0" collapsed="false">
      <c r="A424" s="79" t="s">
        <v>691</v>
      </c>
      <c r="B424" s="79" t="s">
        <v>314</v>
      </c>
      <c r="C424" s="80" t="n">
        <v>2020</v>
      </c>
      <c r="D424" s="80" t="n">
        <v>3</v>
      </c>
      <c r="E424" s="81" t="n">
        <v>44104</v>
      </c>
      <c r="F424" s="79" t="s">
        <v>267</v>
      </c>
      <c r="G424" s="79" t="s">
        <v>268</v>
      </c>
      <c r="H424" s="79" t="s">
        <v>264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716</v>
      </c>
    </row>
    <row r="425" customFormat="false" ht="15" hidden="false" customHeight="false" outlineLevel="0" collapsed="false">
      <c r="A425" s="79" t="s">
        <v>233</v>
      </c>
      <c r="B425" s="79" t="s">
        <v>261</v>
      </c>
      <c r="C425" s="80" t="n">
        <v>2026</v>
      </c>
      <c r="D425" s="80" t="n">
        <v>3</v>
      </c>
      <c r="E425" s="81" t="n">
        <v>46295</v>
      </c>
      <c r="F425" s="79" t="s">
        <v>262</v>
      </c>
      <c r="G425" s="79" t="s">
        <v>263</v>
      </c>
      <c r="H425" s="79" t="s">
        <v>264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717</v>
      </c>
    </row>
    <row r="426" customFormat="false" ht="15" hidden="false" customHeight="false" outlineLevel="0" collapsed="false">
      <c r="A426" s="79" t="s">
        <v>233</v>
      </c>
      <c r="B426" s="79" t="s">
        <v>266</v>
      </c>
      <c r="C426" s="80" t="n">
        <v>2026</v>
      </c>
      <c r="D426" s="80" t="n">
        <v>2</v>
      </c>
      <c r="E426" s="81" t="n">
        <v>46203</v>
      </c>
      <c r="F426" s="79" t="s">
        <v>267</v>
      </c>
      <c r="G426" s="79" t="s">
        <v>268</v>
      </c>
      <c r="H426" s="79" t="s">
        <v>264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718</v>
      </c>
    </row>
    <row r="427" customFormat="false" ht="15" hidden="false" customHeight="false" outlineLevel="0" collapsed="false">
      <c r="A427" s="79" t="s">
        <v>233</v>
      </c>
      <c r="B427" s="79" t="s">
        <v>270</v>
      </c>
      <c r="C427" s="80" t="n">
        <v>2026</v>
      </c>
      <c r="D427" s="80" t="n">
        <v>1</v>
      </c>
      <c r="E427" s="81" t="n">
        <v>46112</v>
      </c>
      <c r="F427" s="79" t="s">
        <v>267</v>
      </c>
      <c r="G427" s="79" t="s">
        <v>268</v>
      </c>
      <c r="H427" s="79" t="s">
        <v>264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719</v>
      </c>
    </row>
    <row r="428" customFormat="false" ht="15" hidden="false" customHeight="false" outlineLevel="0" collapsed="false">
      <c r="A428" s="79" t="s">
        <v>233</v>
      </c>
      <c r="B428" s="79" t="s">
        <v>272</v>
      </c>
      <c r="C428" s="80" t="n">
        <v>2025</v>
      </c>
      <c r="D428" s="80" t="n">
        <v>4</v>
      </c>
      <c r="E428" s="81" t="n">
        <v>46022</v>
      </c>
      <c r="F428" s="79" t="s">
        <v>267</v>
      </c>
      <c r="G428" s="79" t="s">
        <v>268</v>
      </c>
      <c r="H428" s="79" t="s">
        <v>264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720</v>
      </c>
    </row>
    <row r="429" customFormat="false" ht="15" hidden="false" customHeight="false" outlineLevel="0" collapsed="false">
      <c r="A429" s="79" t="s">
        <v>233</v>
      </c>
      <c r="B429" s="79" t="s">
        <v>274</v>
      </c>
      <c r="C429" s="80" t="n">
        <v>2025</v>
      </c>
      <c r="D429" s="80" t="n">
        <v>3</v>
      </c>
      <c r="E429" s="81" t="n">
        <v>45930</v>
      </c>
      <c r="F429" s="79" t="s">
        <v>267</v>
      </c>
      <c r="G429" s="79" t="s">
        <v>268</v>
      </c>
      <c r="H429" s="79" t="s">
        <v>264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721</v>
      </c>
    </row>
    <row r="430" customFormat="false" ht="15" hidden="false" customHeight="false" outlineLevel="0" collapsed="false">
      <c r="A430" s="79" t="s">
        <v>233</v>
      </c>
      <c r="B430" s="79" t="s">
        <v>276</v>
      </c>
      <c r="C430" s="80" t="n">
        <v>2025</v>
      </c>
      <c r="D430" s="80" t="n">
        <v>2</v>
      </c>
      <c r="E430" s="81" t="n">
        <v>45838</v>
      </c>
      <c r="F430" s="79" t="s">
        <v>267</v>
      </c>
      <c r="G430" s="79" t="s">
        <v>268</v>
      </c>
      <c r="H430" s="79" t="s">
        <v>264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722</v>
      </c>
    </row>
    <row r="431" customFormat="false" ht="15" hidden="false" customHeight="false" outlineLevel="0" collapsed="false">
      <c r="A431" s="79" t="s">
        <v>233</v>
      </c>
      <c r="B431" s="79" t="s">
        <v>278</v>
      </c>
      <c r="C431" s="80" t="n">
        <v>2025</v>
      </c>
      <c r="D431" s="80" t="n">
        <v>1</v>
      </c>
      <c r="E431" s="81" t="n">
        <v>45747</v>
      </c>
      <c r="F431" s="79" t="s">
        <v>267</v>
      </c>
      <c r="G431" s="79" t="s">
        <v>268</v>
      </c>
      <c r="H431" s="79" t="s">
        <v>264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723</v>
      </c>
    </row>
    <row r="432" customFormat="false" ht="15" hidden="false" customHeight="false" outlineLevel="0" collapsed="false">
      <c r="A432" s="79" t="s">
        <v>233</v>
      </c>
      <c r="B432" s="79" t="s">
        <v>280</v>
      </c>
      <c r="C432" s="80" t="n">
        <v>2024</v>
      </c>
      <c r="D432" s="80" t="n">
        <v>4</v>
      </c>
      <c r="E432" s="81" t="n">
        <v>45657</v>
      </c>
      <c r="F432" s="79" t="s">
        <v>267</v>
      </c>
      <c r="G432" s="79" t="s">
        <v>268</v>
      </c>
      <c r="H432" s="79" t="s">
        <v>264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724</v>
      </c>
    </row>
    <row r="433" customFormat="false" ht="15" hidden="false" customHeight="false" outlineLevel="0" collapsed="false">
      <c r="A433" s="79" t="s">
        <v>233</v>
      </c>
      <c r="B433" s="79" t="s">
        <v>282</v>
      </c>
      <c r="C433" s="80" t="n">
        <v>2024</v>
      </c>
      <c r="D433" s="80" t="n">
        <v>3</v>
      </c>
      <c r="E433" s="81" t="n">
        <v>45565</v>
      </c>
      <c r="F433" s="79" t="s">
        <v>267</v>
      </c>
      <c r="G433" s="79" t="s">
        <v>268</v>
      </c>
      <c r="H433" s="79" t="s">
        <v>264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725</v>
      </c>
    </row>
    <row r="434" customFormat="false" ht="15" hidden="false" customHeight="false" outlineLevel="0" collapsed="false">
      <c r="A434" s="79" t="s">
        <v>233</v>
      </c>
      <c r="B434" s="79" t="s">
        <v>284</v>
      </c>
      <c r="C434" s="80" t="n">
        <v>2024</v>
      </c>
      <c r="D434" s="80" t="n">
        <v>2</v>
      </c>
      <c r="E434" s="81" t="n">
        <v>45473</v>
      </c>
      <c r="F434" s="79" t="s">
        <v>267</v>
      </c>
      <c r="G434" s="79" t="s">
        <v>268</v>
      </c>
      <c r="H434" s="79" t="s">
        <v>264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726</v>
      </c>
    </row>
    <row r="435" customFormat="false" ht="15" hidden="false" customHeight="false" outlineLevel="0" collapsed="false">
      <c r="A435" s="79" t="s">
        <v>233</v>
      </c>
      <c r="B435" s="79" t="s">
        <v>286</v>
      </c>
      <c r="C435" s="80" t="n">
        <v>2024</v>
      </c>
      <c r="D435" s="80" t="n">
        <v>1</v>
      </c>
      <c r="E435" s="81" t="n">
        <v>45382</v>
      </c>
      <c r="F435" s="79" t="s">
        <v>267</v>
      </c>
      <c r="G435" s="79" t="s">
        <v>268</v>
      </c>
      <c r="H435" s="79" t="s">
        <v>264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727</v>
      </c>
    </row>
    <row r="436" customFormat="false" ht="15" hidden="false" customHeight="false" outlineLevel="0" collapsed="false">
      <c r="A436" s="79" t="s">
        <v>233</v>
      </c>
      <c r="B436" s="79" t="s">
        <v>288</v>
      </c>
      <c r="C436" s="80" t="n">
        <v>2023</v>
      </c>
      <c r="D436" s="80" t="n">
        <v>4</v>
      </c>
      <c r="E436" s="81" t="n">
        <v>45291</v>
      </c>
      <c r="F436" s="79" t="s">
        <v>267</v>
      </c>
      <c r="G436" s="79" t="s">
        <v>268</v>
      </c>
      <c r="H436" s="79" t="s">
        <v>264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728</v>
      </c>
    </row>
    <row r="437" customFormat="false" ht="15" hidden="false" customHeight="false" outlineLevel="0" collapsed="false">
      <c r="A437" s="79" t="s">
        <v>233</v>
      </c>
      <c r="B437" s="79" t="s">
        <v>290</v>
      </c>
      <c r="C437" s="80" t="n">
        <v>2023</v>
      </c>
      <c r="D437" s="80" t="n">
        <v>3</v>
      </c>
      <c r="E437" s="81" t="n">
        <v>45199</v>
      </c>
      <c r="F437" s="79" t="s">
        <v>267</v>
      </c>
      <c r="G437" s="79" t="s">
        <v>268</v>
      </c>
      <c r="H437" s="79" t="s">
        <v>264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729</v>
      </c>
    </row>
    <row r="438" customFormat="false" ht="15" hidden="false" customHeight="false" outlineLevel="0" collapsed="false">
      <c r="A438" s="79" t="s">
        <v>233</v>
      </c>
      <c r="B438" s="79" t="s">
        <v>292</v>
      </c>
      <c r="C438" s="80" t="n">
        <v>2023</v>
      </c>
      <c r="D438" s="80" t="n">
        <v>2</v>
      </c>
      <c r="E438" s="81" t="n">
        <v>45107</v>
      </c>
      <c r="F438" s="79" t="s">
        <v>267</v>
      </c>
      <c r="G438" s="79" t="s">
        <v>268</v>
      </c>
      <c r="H438" s="79" t="s">
        <v>264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730</v>
      </c>
    </row>
    <row r="439" customFormat="false" ht="15" hidden="false" customHeight="false" outlineLevel="0" collapsed="false">
      <c r="A439" s="79" t="s">
        <v>233</v>
      </c>
      <c r="B439" s="79" t="s">
        <v>294</v>
      </c>
      <c r="C439" s="80" t="n">
        <v>2023</v>
      </c>
      <c r="D439" s="80" t="n">
        <v>1</v>
      </c>
      <c r="E439" s="81" t="n">
        <v>45016</v>
      </c>
      <c r="F439" s="79" t="s">
        <v>267</v>
      </c>
      <c r="G439" s="79" t="s">
        <v>268</v>
      </c>
      <c r="H439" s="79" t="s">
        <v>264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731</v>
      </c>
    </row>
    <row r="440" customFormat="false" ht="15" hidden="false" customHeight="false" outlineLevel="0" collapsed="false">
      <c r="A440" s="79" t="s">
        <v>233</v>
      </c>
      <c r="B440" s="79" t="s">
        <v>296</v>
      </c>
      <c r="C440" s="80" t="n">
        <v>2022</v>
      </c>
      <c r="D440" s="80" t="n">
        <v>4</v>
      </c>
      <c r="E440" s="81" t="n">
        <v>44926</v>
      </c>
      <c r="F440" s="79" t="s">
        <v>267</v>
      </c>
      <c r="G440" s="79" t="s">
        <v>268</v>
      </c>
      <c r="H440" s="79" t="s">
        <v>264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732</v>
      </c>
    </row>
    <row r="441" customFormat="false" ht="15" hidden="false" customHeight="false" outlineLevel="0" collapsed="false">
      <c r="A441" s="79" t="s">
        <v>233</v>
      </c>
      <c r="B441" s="79" t="s">
        <v>298</v>
      </c>
      <c r="C441" s="80" t="n">
        <v>2022</v>
      </c>
      <c r="D441" s="80" t="n">
        <v>3</v>
      </c>
      <c r="E441" s="81" t="n">
        <v>44834</v>
      </c>
      <c r="F441" s="79" t="s">
        <v>267</v>
      </c>
      <c r="G441" s="79" t="s">
        <v>268</v>
      </c>
      <c r="H441" s="79" t="s">
        <v>264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733</v>
      </c>
    </row>
    <row r="442" customFormat="false" ht="15" hidden="false" customHeight="false" outlineLevel="0" collapsed="false">
      <c r="A442" s="79" t="s">
        <v>233</v>
      </c>
      <c r="B442" s="79" t="s">
        <v>300</v>
      </c>
      <c r="C442" s="80" t="n">
        <v>2022</v>
      </c>
      <c r="D442" s="80" t="n">
        <v>2</v>
      </c>
      <c r="E442" s="81" t="n">
        <v>44742</v>
      </c>
      <c r="F442" s="79" t="s">
        <v>267</v>
      </c>
      <c r="G442" s="79" t="s">
        <v>268</v>
      </c>
      <c r="H442" s="79" t="s">
        <v>264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734</v>
      </c>
    </row>
    <row r="443" customFormat="false" ht="15" hidden="false" customHeight="false" outlineLevel="0" collapsed="false">
      <c r="A443" s="79" t="s">
        <v>233</v>
      </c>
      <c r="B443" s="79" t="s">
        <v>302</v>
      </c>
      <c r="C443" s="80" t="n">
        <v>2022</v>
      </c>
      <c r="D443" s="80" t="n">
        <v>1</v>
      </c>
      <c r="E443" s="81" t="n">
        <v>44651</v>
      </c>
      <c r="F443" s="79" t="s">
        <v>267</v>
      </c>
      <c r="G443" s="79" t="s">
        <v>268</v>
      </c>
      <c r="H443" s="79" t="s">
        <v>264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735</v>
      </c>
    </row>
    <row r="444" customFormat="false" ht="15" hidden="false" customHeight="false" outlineLevel="0" collapsed="false">
      <c r="A444" s="79" t="s">
        <v>233</v>
      </c>
      <c r="B444" s="79" t="s">
        <v>304</v>
      </c>
      <c r="C444" s="80" t="n">
        <v>2021</v>
      </c>
      <c r="D444" s="80" t="n">
        <v>4</v>
      </c>
      <c r="E444" s="81" t="n">
        <v>44561</v>
      </c>
      <c r="F444" s="79" t="s">
        <v>267</v>
      </c>
      <c r="G444" s="79" t="s">
        <v>268</v>
      </c>
      <c r="H444" s="79" t="s">
        <v>264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736</v>
      </c>
    </row>
    <row r="445" customFormat="false" ht="15" hidden="false" customHeight="false" outlineLevel="0" collapsed="false">
      <c r="A445" s="79" t="s">
        <v>233</v>
      </c>
      <c r="B445" s="79" t="s">
        <v>306</v>
      </c>
      <c r="C445" s="80" t="n">
        <v>2021</v>
      </c>
      <c r="D445" s="80" t="n">
        <v>3</v>
      </c>
      <c r="E445" s="81" t="n">
        <v>44469</v>
      </c>
      <c r="F445" s="79" t="s">
        <v>267</v>
      </c>
      <c r="G445" s="79" t="s">
        <v>268</v>
      </c>
      <c r="H445" s="79" t="s">
        <v>264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737</v>
      </c>
    </row>
    <row r="446" customFormat="false" ht="15" hidden="false" customHeight="false" outlineLevel="0" collapsed="false">
      <c r="A446" s="79" t="s">
        <v>233</v>
      </c>
      <c r="B446" s="79" t="s">
        <v>308</v>
      </c>
      <c r="C446" s="80" t="n">
        <v>2021</v>
      </c>
      <c r="D446" s="80" t="n">
        <v>2</v>
      </c>
      <c r="E446" s="81" t="n">
        <v>44377</v>
      </c>
      <c r="F446" s="79" t="s">
        <v>267</v>
      </c>
      <c r="G446" s="79" t="s">
        <v>268</v>
      </c>
      <c r="H446" s="79" t="s">
        <v>264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738</v>
      </c>
    </row>
    <row r="447" customFormat="false" ht="15" hidden="false" customHeight="false" outlineLevel="0" collapsed="false">
      <c r="A447" s="79" t="s">
        <v>233</v>
      </c>
      <c r="B447" s="79" t="s">
        <v>310</v>
      </c>
      <c r="C447" s="80" t="n">
        <v>2021</v>
      </c>
      <c r="D447" s="80" t="n">
        <v>1</v>
      </c>
      <c r="E447" s="81" t="n">
        <v>44286</v>
      </c>
      <c r="F447" s="79" t="s">
        <v>267</v>
      </c>
      <c r="G447" s="79" t="s">
        <v>268</v>
      </c>
      <c r="H447" s="79" t="s">
        <v>264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739</v>
      </c>
    </row>
    <row r="448" customFormat="false" ht="15" hidden="false" customHeight="false" outlineLevel="0" collapsed="false">
      <c r="A448" s="79" t="s">
        <v>233</v>
      </c>
      <c r="B448" s="79" t="s">
        <v>312</v>
      </c>
      <c r="C448" s="80" t="n">
        <v>2020</v>
      </c>
      <c r="D448" s="80" t="n">
        <v>4</v>
      </c>
      <c r="E448" s="81" t="n">
        <v>44196</v>
      </c>
      <c r="F448" s="79" t="s">
        <v>267</v>
      </c>
      <c r="G448" s="79" t="s">
        <v>268</v>
      </c>
      <c r="H448" s="79" t="s">
        <v>264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740</v>
      </c>
    </row>
    <row r="449" customFormat="false" ht="15" hidden="false" customHeight="false" outlineLevel="0" collapsed="false">
      <c r="A449" s="79" t="s">
        <v>233</v>
      </c>
      <c r="B449" s="79" t="s">
        <v>314</v>
      </c>
      <c r="C449" s="80" t="n">
        <v>2020</v>
      </c>
      <c r="D449" s="80" t="n">
        <v>3</v>
      </c>
      <c r="E449" s="81" t="n">
        <v>44104</v>
      </c>
      <c r="F449" s="79" t="s">
        <v>267</v>
      </c>
      <c r="G449" s="79" t="s">
        <v>268</v>
      </c>
      <c r="H449" s="79" t="s">
        <v>264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741</v>
      </c>
    </row>
    <row r="450" customFormat="false" ht="15" hidden="false" customHeight="false" outlineLevel="0" collapsed="false">
      <c r="A450" s="79" t="s">
        <v>241</v>
      </c>
      <c r="B450" s="79" t="s">
        <v>266</v>
      </c>
      <c r="C450" s="80" t="n">
        <v>2026</v>
      </c>
      <c r="D450" s="80" t="n">
        <v>2</v>
      </c>
      <c r="E450" s="81" t="n">
        <v>46203</v>
      </c>
      <c r="F450" s="79" t="s">
        <v>267</v>
      </c>
      <c r="G450" s="79" t="s">
        <v>268</v>
      </c>
      <c r="H450" s="79" t="s">
        <v>264</v>
      </c>
      <c r="I450" s="82" t="n">
        <v>2976.641</v>
      </c>
      <c r="J450" s="82" t="n">
        <v>963.58</v>
      </c>
      <c r="K450" s="82" t="n">
        <v>305172000</v>
      </c>
      <c r="L450" s="83" t="n">
        <v>2.09</v>
      </c>
      <c r="M450" s="82" t="n">
        <v>145.6814</v>
      </c>
      <c r="N450" s="82" t="n">
        <v>0</v>
      </c>
      <c r="O450" s="82" t="n">
        <v>5584.813</v>
      </c>
      <c r="P450" s="83" t="n">
        <v>1</v>
      </c>
      <c r="Q450" s="83" t="n">
        <v>532</v>
      </c>
      <c r="R450" s="47" t="n">
        <v>1</v>
      </c>
      <c r="S450" s="66" t="s">
        <v>742</v>
      </c>
    </row>
    <row r="451" customFormat="false" ht="15" hidden="false" customHeight="false" outlineLevel="0" collapsed="false">
      <c r="A451" s="79" t="s">
        <v>241</v>
      </c>
      <c r="B451" s="79" t="s">
        <v>270</v>
      </c>
      <c r="C451" s="80" t="n">
        <v>2026</v>
      </c>
      <c r="D451" s="80" t="n">
        <v>1</v>
      </c>
      <c r="E451" s="81" t="n">
        <v>46112</v>
      </c>
      <c r="F451" s="79" t="s">
        <v>267</v>
      </c>
      <c r="G451" s="79" t="s">
        <v>268</v>
      </c>
      <c r="H451" s="79" t="s">
        <v>264</v>
      </c>
      <c r="I451" s="82" t="n">
        <v>2086.881</v>
      </c>
      <c r="J451" s="82" t="n">
        <v>517.637</v>
      </c>
      <c r="K451" s="82" t="n">
        <v>100381000</v>
      </c>
      <c r="L451" s="83" t="n">
        <v>0.69</v>
      </c>
      <c r="M451" s="82" t="n">
        <v>145.6814</v>
      </c>
      <c r="N451" s="82" t="n">
        <v>0</v>
      </c>
      <c r="O451" s="82" t="n">
        <v>5215.702</v>
      </c>
      <c r="P451" s="83" t="n">
        <v>0</v>
      </c>
      <c r="Q451" s="83" t="n">
        <v>242</v>
      </c>
      <c r="R451" s="47" t="n">
        <v>2</v>
      </c>
      <c r="S451" s="66" t="s">
        <v>743</v>
      </c>
    </row>
    <row r="452" customFormat="false" ht="15" hidden="false" customHeight="false" outlineLevel="0" collapsed="false">
      <c r="A452" s="79" t="s">
        <v>241</v>
      </c>
      <c r="B452" s="79" t="s">
        <v>272</v>
      </c>
      <c r="C452" s="80" t="n">
        <v>2025</v>
      </c>
      <c r="D452" s="80" t="n">
        <v>4</v>
      </c>
      <c r="E452" s="81" t="n">
        <v>46022</v>
      </c>
      <c r="F452" s="79" t="s">
        <v>267</v>
      </c>
      <c r="G452" s="79" t="s">
        <v>268</v>
      </c>
      <c r="H452" s="79" t="s">
        <v>264</v>
      </c>
      <c r="I452" s="82" t="n">
        <v>2121.948</v>
      </c>
      <c r="J452" s="82" t="n">
        <v>566.005</v>
      </c>
      <c r="K452" s="82" t="n">
        <v>223166000</v>
      </c>
      <c r="L452" s="83" t="n">
        <v>1.53</v>
      </c>
      <c r="M452" s="82" t="n">
        <v>145.6814</v>
      </c>
      <c r="N452" s="82" t="n">
        <v>0</v>
      </c>
      <c r="O452" s="82" t="n">
        <v>5063.491</v>
      </c>
      <c r="P452" s="83" t="n">
        <v>0</v>
      </c>
      <c r="Q452" s="83" t="n">
        <v>270</v>
      </c>
      <c r="R452" s="47" t="n">
        <v>3</v>
      </c>
      <c r="S452" s="66" t="s">
        <v>744</v>
      </c>
    </row>
    <row r="453" customFormat="false" ht="15" hidden="false" customHeight="false" outlineLevel="0" collapsed="false">
      <c r="A453" s="79" t="s">
        <v>241</v>
      </c>
      <c r="B453" s="79" t="s">
        <v>274</v>
      </c>
      <c r="C453" s="80" t="n">
        <v>2025</v>
      </c>
      <c r="D453" s="80" t="n">
        <v>3</v>
      </c>
      <c r="E453" s="81" t="n">
        <v>45930</v>
      </c>
      <c r="F453" s="79" t="s">
        <v>267</v>
      </c>
      <c r="G453" s="79" t="s">
        <v>268</v>
      </c>
      <c r="H453" s="79" t="s">
        <v>264</v>
      </c>
      <c r="I453" s="82" t="n">
        <v>1855.743</v>
      </c>
      <c r="J453" s="82" t="n">
        <v>422.724</v>
      </c>
      <c r="K453" s="82" t="n">
        <v>88851000</v>
      </c>
      <c r="L453" s="83" t="n">
        <v>0.61</v>
      </c>
      <c r="M453" s="82" t="n">
        <v>145.6814</v>
      </c>
      <c r="N453" s="82" t="n">
        <v>0</v>
      </c>
      <c r="O453" s="82" t="n">
        <v>4786.716</v>
      </c>
      <c r="P453" s="83" t="n">
        <v>0</v>
      </c>
      <c r="Q453" s="83" t="n">
        <v>272</v>
      </c>
      <c r="R453" s="47" t="n">
        <v>4</v>
      </c>
      <c r="S453" s="66" t="s">
        <v>745</v>
      </c>
    </row>
    <row r="454" customFormat="false" ht="15" hidden="false" customHeight="false" outlineLevel="0" collapsed="false">
      <c r="A454" s="79" t="s">
        <v>241</v>
      </c>
      <c r="B454" s="79" t="s">
        <v>276</v>
      </c>
      <c r="C454" s="80" t="n">
        <v>2025</v>
      </c>
      <c r="D454" s="80" t="n">
        <v>2</v>
      </c>
      <c r="E454" s="81" t="n">
        <v>45838</v>
      </c>
      <c r="F454" s="79" t="s">
        <v>267</v>
      </c>
      <c r="G454" s="79" t="s">
        <v>268</v>
      </c>
      <c r="H454" s="79" t="s">
        <v>264</v>
      </c>
      <c r="I454" s="82" t="n">
        <v>1848.901</v>
      </c>
      <c r="J454" s="82" t="n">
        <v>569.571</v>
      </c>
      <c r="K454" s="82" t="n">
        <v>77183000</v>
      </c>
      <c r="L454" s="83" t="n">
        <v>0.53</v>
      </c>
      <c r="M454" s="82" t="n">
        <v>145.6814</v>
      </c>
      <c r="N454" s="82" t="n">
        <v>0</v>
      </c>
      <c r="O454" s="82" t="n">
        <v>4641.311</v>
      </c>
      <c r="P454" s="83" t="n">
        <v>0.5</v>
      </c>
      <c r="Q454" s="83" t="n">
        <v>209</v>
      </c>
      <c r="R454" s="47" t="n">
        <v>5</v>
      </c>
      <c r="S454" s="66" t="s">
        <v>746</v>
      </c>
    </row>
    <row r="455" customFormat="false" ht="15" hidden="false" customHeight="false" outlineLevel="0" collapsed="false">
      <c r="A455" s="79" t="s">
        <v>241</v>
      </c>
      <c r="B455" s="79" t="s">
        <v>278</v>
      </c>
      <c r="C455" s="80" t="n">
        <v>2025</v>
      </c>
      <c r="D455" s="80" t="n">
        <v>1</v>
      </c>
      <c r="E455" s="81" t="n">
        <v>45747</v>
      </c>
      <c r="F455" s="79" t="s">
        <v>267</v>
      </c>
      <c r="G455" s="79" t="s">
        <v>268</v>
      </c>
      <c r="H455" s="79" t="s">
        <v>264</v>
      </c>
      <c r="I455" s="82" t="n">
        <v>2758.002</v>
      </c>
      <c r="J455" s="82" t="n">
        <v>997.281</v>
      </c>
      <c r="K455" s="82" t="n">
        <v>340603000</v>
      </c>
      <c r="L455" s="83" t="n">
        <v>2.34</v>
      </c>
      <c r="M455" s="82" t="n">
        <v>145.6814</v>
      </c>
      <c r="N455" s="82" t="n">
        <v>0</v>
      </c>
      <c r="O455" s="82" t="n">
        <v>4793.618</v>
      </c>
      <c r="P455" s="83" t="n">
        <v>0</v>
      </c>
      <c r="Q455" s="83" t="n">
        <v>235</v>
      </c>
      <c r="R455" s="47" t="n">
        <v>6</v>
      </c>
      <c r="S455" s="66" t="s">
        <v>747</v>
      </c>
    </row>
    <row r="456" customFormat="false" ht="15" hidden="false" customHeight="false" outlineLevel="0" collapsed="false">
      <c r="A456" s="79" t="s">
        <v>241</v>
      </c>
      <c r="B456" s="79" t="s">
        <v>280</v>
      </c>
      <c r="C456" s="80" t="n">
        <v>2024</v>
      </c>
      <c r="D456" s="80" t="n">
        <v>4</v>
      </c>
      <c r="E456" s="81" t="n">
        <v>45657</v>
      </c>
      <c r="F456" s="79" t="s">
        <v>267</v>
      </c>
      <c r="G456" s="79" t="s">
        <v>268</v>
      </c>
      <c r="H456" s="79" t="s">
        <v>264</v>
      </c>
      <c r="I456" s="82" t="n">
        <v>2476.55</v>
      </c>
      <c r="J456" s="82" t="n">
        <v>830.41</v>
      </c>
      <c r="K456" s="82" t="n">
        <v>291954000</v>
      </c>
      <c r="L456" s="83" t="n">
        <v>2</v>
      </c>
      <c r="M456" s="82" t="n">
        <v>145.6814</v>
      </c>
      <c r="N456" s="82" t="n">
        <v>0</v>
      </c>
      <c r="O456" s="82" t="n">
        <v>4428.767</v>
      </c>
      <c r="P456" s="83" t="n">
        <v>0</v>
      </c>
      <c r="Q456" s="83" t="n">
        <v>287</v>
      </c>
      <c r="R456" s="47" t="n">
        <v>7</v>
      </c>
      <c r="S456" s="66" t="s">
        <v>748</v>
      </c>
    </row>
    <row r="457" customFormat="false" ht="15" hidden="false" customHeight="false" outlineLevel="0" collapsed="false">
      <c r="A457" s="79" t="s">
        <v>241</v>
      </c>
      <c r="B457" s="79" t="s">
        <v>282</v>
      </c>
      <c r="C457" s="80" t="n">
        <v>2024</v>
      </c>
      <c r="D457" s="80" t="n">
        <v>3</v>
      </c>
      <c r="E457" s="81" t="n">
        <v>45565</v>
      </c>
      <c r="F457" s="79" t="s">
        <v>267</v>
      </c>
      <c r="G457" s="79" t="s">
        <v>268</v>
      </c>
      <c r="H457" s="79" t="s">
        <v>264</v>
      </c>
      <c r="I457" s="82" t="n">
        <v>2100.77</v>
      </c>
      <c r="J457" s="82" t="n">
        <v>578.939</v>
      </c>
      <c r="K457" s="82" t="n">
        <v>151012000</v>
      </c>
      <c r="L457" s="83" t="n">
        <v>1.04</v>
      </c>
      <c r="M457" s="82" t="n">
        <v>145.6814</v>
      </c>
      <c r="N457" s="82" t="n">
        <v>0</v>
      </c>
      <c r="O457" s="82" t="n">
        <v>4121</v>
      </c>
      <c r="P457" s="83" t="n">
        <v>0</v>
      </c>
      <c r="Q457" s="83" t="n">
        <v>185.5</v>
      </c>
      <c r="R457" s="47" t="n">
        <v>8</v>
      </c>
      <c r="S457" s="66" t="s">
        <v>749</v>
      </c>
    </row>
    <row r="458" customFormat="false" ht="15" hidden="false" customHeight="false" outlineLevel="0" collapsed="false">
      <c r="A458" s="79" t="s">
        <v>241</v>
      </c>
      <c r="B458" s="79" t="s">
        <v>284</v>
      </c>
      <c r="C458" s="80" t="n">
        <v>2024</v>
      </c>
      <c r="D458" s="80" t="n">
        <v>2</v>
      </c>
      <c r="E458" s="81" t="n">
        <v>45473</v>
      </c>
      <c r="F458" s="79" t="s">
        <v>267</v>
      </c>
      <c r="G458" s="79" t="s">
        <v>268</v>
      </c>
      <c r="H458" s="79" t="s">
        <v>264</v>
      </c>
      <c r="I458" s="82" t="n">
        <v>1704.853</v>
      </c>
      <c r="J458" s="82" t="n">
        <v>394.675</v>
      </c>
      <c r="K458" s="82" t="n">
        <v>69023000</v>
      </c>
      <c r="L458" s="83" t="n">
        <v>0.47</v>
      </c>
      <c r="M458" s="82" t="n">
        <v>145.6814</v>
      </c>
      <c r="N458" s="82" t="n">
        <v>0</v>
      </c>
      <c r="O458" s="82" t="n">
        <v>3978.855</v>
      </c>
      <c r="P458" s="83" t="n">
        <v>0</v>
      </c>
      <c r="Q458" s="83" t="n">
        <v>123.5</v>
      </c>
      <c r="R458" s="47" t="n">
        <v>9</v>
      </c>
      <c r="S458" s="66" t="s">
        <v>750</v>
      </c>
    </row>
    <row r="459" customFormat="false" ht="15" hidden="false" customHeight="false" outlineLevel="0" collapsed="false">
      <c r="A459" s="79" t="s">
        <v>241</v>
      </c>
      <c r="B459" s="79" t="s">
        <v>286</v>
      </c>
      <c r="C459" s="80" t="n">
        <v>2024</v>
      </c>
      <c r="D459" s="80" t="n">
        <v>1</v>
      </c>
      <c r="E459" s="81" t="n">
        <v>45382</v>
      </c>
      <c r="F459" s="79" t="s">
        <v>267</v>
      </c>
      <c r="G459" s="79" t="s">
        <v>268</v>
      </c>
      <c r="H459" s="79" t="s">
        <v>264</v>
      </c>
      <c r="I459" s="82" t="n">
        <v>1285.488</v>
      </c>
      <c r="J459" s="82" t="n">
        <v>257.092</v>
      </c>
      <c r="K459" s="82" t="n">
        <v>44437000</v>
      </c>
      <c r="L459" s="83" t="n">
        <v>0.31</v>
      </c>
      <c r="M459" s="82" t="n">
        <v>145.6814</v>
      </c>
      <c r="N459" s="82" t="n">
        <v>0</v>
      </c>
      <c r="O459" s="82" t="n">
        <v>3889.504</v>
      </c>
      <c r="P459" s="83" t="n">
        <v>0</v>
      </c>
      <c r="Q459" s="83" t="n">
        <v>74</v>
      </c>
      <c r="R459" s="47" t="n">
        <v>10</v>
      </c>
      <c r="S459" s="66" t="s">
        <v>751</v>
      </c>
    </row>
    <row r="460" customFormat="false" ht="15" hidden="false" customHeight="false" outlineLevel="0" collapsed="false">
      <c r="A460" s="79" t="s">
        <v>241</v>
      </c>
      <c r="B460" s="79" t="s">
        <v>288</v>
      </c>
      <c r="C460" s="80" t="n">
        <v>2023</v>
      </c>
      <c r="D460" s="80" t="n">
        <v>4</v>
      </c>
      <c r="E460" s="81" t="n">
        <v>45291</v>
      </c>
      <c r="F460" s="79" t="s">
        <v>267</v>
      </c>
      <c r="G460" s="79" t="s">
        <v>268</v>
      </c>
      <c r="H460" s="79" t="s">
        <v>264</v>
      </c>
      <c r="I460" s="82" t="n">
        <v>1438.314</v>
      </c>
      <c r="J460" s="82" t="n">
        <v>220.807</v>
      </c>
      <c r="K460" s="82" t="n">
        <v>-1732000</v>
      </c>
      <c r="L460" s="83" t="n">
        <v>-0.01</v>
      </c>
      <c r="M460" s="82" t="n">
        <v>145.6814</v>
      </c>
      <c r="N460" s="82" t="n">
        <v>0</v>
      </c>
      <c r="O460" s="82" t="n">
        <v>3804.752</v>
      </c>
      <c r="P460" s="83" t="n">
        <v>0</v>
      </c>
      <c r="Q460" s="83" t="n">
        <v>62.3</v>
      </c>
      <c r="R460" s="47" t="n">
        <v>11</v>
      </c>
      <c r="S460" s="66" t="s">
        <v>752</v>
      </c>
    </row>
    <row r="461" customFormat="false" ht="15" hidden="false" customHeight="false" outlineLevel="0" collapsed="false">
      <c r="A461" s="79" t="s">
        <v>241</v>
      </c>
      <c r="B461" s="79" t="s">
        <v>290</v>
      </c>
      <c r="C461" s="80" t="n">
        <v>2023</v>
      </c>
      <c r="D461" s="80" t="n">
        <v>3</v>
      </c>
      <c r="E461" s="81" t="n">
        <v>45199</v>
      </c>
      <c r="F461" s="79" t="s">
        <v>267</v>
      </c>
      <c r="G461" s="79" t="s">
        <v>268</v>
      </c>
      <c r="H461" s="79" t="s">
        <v>264</v>
      </c>
      <c r="I461" s="82" t="n">
        <v>1406.587</v>
      </c>
      <c r="J461" s="82" t="n">
        <v>181.788</v>
      </c>
      <c r="K461" s="82" t="n">
        <v>-21099000</v>
      </c>
      <c r="L461" s="83" t="n">
        <v>-0.14</v>
      </c>
      <c r="M461" s="82" t="n">
        <v>145.6814</v>
      </c>
      <c r="N461" s="82" t="n">
        <v>0</v>
      </c>
      <c r="O461" s="82" t="n">
        <v>3846.063</v>
      </c>
      <c r="P461" s="83" t="n">
        <v>0</v>
      </c>
      <c r="Q461" s="83" t="n">
        <v>59</v>
      </c>
      <c r="R461" s="47" t="n">
        <v>12</v>
      </c>
      <c r="S461" s="66" t="s">
        <v>753</v>
      </c>
    </row>
    <row r="462" customFormat="false" ht="15" hidden="false" customHeight="false" outlineLevel="0" collapsed="false">
      <c r="A462" s="79" t="s">
        <v>241</v>
      </c>
      <c r="B462" s="79" t="s">
        <v>292</v>
      </c>
      <c r="C462" s="80" t="n">
        <v>2023</v>
      </c>
      <c r="D462" s="80" t="n">
        <v>2</v>
      </c>
      <c r="E462" s="81" t="n">
        <v>45107</v>
      </c>
      <c r="F462" s="79" t="s">
        <v>267</v>
      </c>
      <c r="G462" s="79" t="s">
        <v>268</v>
      </c>
      <c r="H462" s="79" t="s">
        <v>264</v>
      </c>
      <c r="I462" s="82" t="n">
        <v>1291.364</v>
      </c>
      <c r="J462" s="82" t="n">
        <v>185.8</v>
      </c>
      <c r="K462" s="82" t="n">
        <v>-13234000</v>
      </c>
      <c r="L462" s="83" t="n">
        <v>-0.09</v>
      </c>
      <c r="M462" s="82" t="n">
        <v>145.6814</v>
      </c>
      <c r="N462" s="82" t="n">
        <v>0</v>
      </c>
      <c r="O462" s="82" t="n">
        <v>3820.316</v>
      </c>
      <c r="P462" s="83" t="n">
        <v>0.5</v>
      </c>
      <c r="Q462" s="83" t="n">
        <v>39.4</v>
      </c>
      <c r="R462" s="47" t="n">
        <v>13</v>
      </c>
      <c r="S462" s="66" t="s">
        <v>754</v>
      </c>
    </row>
    <row r="463" customFormat="false" ht="15" hidden="false" customHeight="false" outlineLevel="0" collapsed="false">
      <c r="A463" s="79" t="s">
        <v>241</v>
      </c>
      <c r="B463" s="79" t="s">
        <v>294</v>
      </c>
      <c r="C463" s="80" t="n">
        <v>2023</v>
      </c>
      <c r="D463" s="80" t="n">
        <v>1</v>
      </c>
      <c r="E463" s="81" t="n">
        <v>45016</v>
      </c>
      <c r="F463" s="79" t="s">
        <v>267</v>
      </c>
      <c r="G463" s="79" t="s">
        <v>268</v>
      </c>
      <c r="H463" s="79" t="s">
        <v>264</v>
      </c>
      <c r="I463" s="82" t="n">
        <v>1262.932</v>
      </c>
      <c r="J463" s="82" t="n">
        <v>216.908</v>
      </c>
      <c r="K463" s="82" t="n">
        <v>-40091000</v>
      </c>
      <c r="L463" s="83" t="n">
        <v>-0.28</v>
      </c>
      <c r="M463" s="82" t="n">
        <v>145.6814</v>
      </c>
      <c r="N463" s="82" t="n">
        <v>0</v>
      </c>
      <c r="O463" s="82" t="n">
        <v>3928.184</v>
      </c>
      <c r="P463" s="83" t="n">
        <v>0</v>
      </c>
      <c r="Q463" s="83" t="n">
        <v>40.15</v>
      </c>
      <c r="R463" s="47" t="n">
        <v>14</v>
      </c>
      <c r="S463" s="66" t="s">
        <v>755</v>
      </c>
    </row>
    <row r="464" customFormat="false" ht="15" hidden="false" customHeight="false" outlineLevel="0" collapsed="false">
      <c r="A464" s="79" t="s">
        <v>241</v>
      </c>
      <c r="B464" s="79" t="s">
        <v>296</v>
      </c>
      <c r="C464" s="80" t="n">
        <v>2022</v>
      </c>
      <c r="D464" s="80" t="n">
        <v>4</v>
      </c>
      <c r="E464" s="81" t="n">
        <v>44926</v>
      </c>
      <c r="F464" s="79" t="s">
        <v>267</v>
      </c>
      <c r="G464" s="79" t="s">
        <v>268</v>
      </c>
      <c r="H464" s="79" t="s">
        <v>264</v>
      </c>
      <c r="I464" s="82" t="n">
        <v>1518.381</v>
      </c>
      <c r="J464" s="82" t="n">
        <v>260.205</v>
      </c>
      <c r="K464" s="82" t="n">
        <v>-32346000</v>
      </c>
      <c r="L464" s="83" t="n">
        <v>-0.22</v>
      </c>
      <c r="M464" s="82" t="n">
        <v>145.6814</v>
      </c>
      <c r="N464" s="82" t="n">
        <v>0</v>
      </c>
      <c r="O464" s="82" t="n">
        <v>3969.678</v>
      </c>
      <c r="P464" s="83" t="n">
        <v>0</v>
      </c>
      <c r="Q464" s="83" t="n">
        <v>36.75</v>
      </c>
      <c r="R464" s="47" t="n">
        <v>15</v>
      </c>
      <c r="S464" s="66" t="s">
        <v>756</v>
      </c>
    </row>
    <row r="465" customFormat="false" ht="15" hidden="false" customHeight="false" outlineLevel="0" collapsed="false">
      <c r="A465" s="79" t="s">
        <v>241</v>
      </c>
      <c r="B465" s="79" t="s">
        <v>298</v>
      </c>
      <c r="C465" s="80" t="n">
        <v>2022</v>
      </c>
      <c r="D465" s="80" t="n">
        <v>3</v>
      </c>
      <c r="E465" s="81" t="n">
        <v>44834</v>
      </c>
      <c r="F465" s="79" t="s">
        <v>267</v>
      </c>
      <c r="G465" s="79" t="s">
        <v>268</v>
      </c>
      <c r="H465" s="79" t="s">
        <v>264</v>
      </c>
      <c r="I465" s="82" t="n">
        <v>1782.283</v>
      </c>
      <c r="J465" s="82" t="n">
        <v>387.655</v>
      </c>
      <c r="K465" s="82" t="n">
        <v>87624000</v>
      </c>
      <c r="L465" s="83" t="n">
        <v>0.6</v>
      </c>
      <c r="M465" s="82" t="n">
        <v>145.6814</v>
      </c>
      <c r="N465" s="82" t="n">
        <v>0</v>
      </c>
      <c r="O465" s="82" t="n">
        <v>4012.785</v>
      </c>
      <c r="P465" s="83" t="n">
        <v>1.8</v>
      </c>
      <c r="Q465" s="83" t="n">
        <v>40.6</v>
      </c>
      <c r="R465" s="47" t="n">
        <v>16</v>
      </c>
      <c r="S465" s="66" t="s">
        <v>757</v>
      </c>
    </row>
    <row r="466" customFormat="false" ht="15" hidden="false" customHeight="false" outlineLevel="0" collapsed="false">
      <c r="A466" s="79" t="s">
        <v>241</v>
      </c>
      <c r="B466" s="79" t="s">
        <v>300</v>
      </c>
      <c r="C466" s="80" t="n">
        <v>2022</v>
      </c>
      <c r="D466" s="80" t="n">
        <v>2</v>
      </c>
      <c r="E466" s="81" t="n">
        <v>44742</v>
      </c>
      <c r="F466" s="79" t="s">
        <v>267</v>
      </c>
      <c r="G466" s="79" t="s">
        <v>268</v>
      </c>
      <c r="H466" s="79" t="s">
        <v>264</v>
      </c>
      <c r="I466" s="82" t="n">
        <v>1809.808</v>
      </c>
      <c r="J466" s="82" t="n">
        <v>307.11</v>
      </c>
      <c r="K466" s="82" t="n">
        <v>74550000</v>
      </c>
      <c r="L466" s="83" t="n">
        <v>0.51</v>
      </c>
      <c r="M466" s="82" t="n">
        <v>145.6814</v>
      </c>
      <c r="N466" s="82" t="n">
        <v>0</v>
      </c>
      <c r="O466" s="82" t="n">
        <v>3913.111</v>
      </c>
      <c r="P466" s="83" t="n">
        <v>0</v>
      </c>
      <c r="Q466" s="83" t="n">
        <v>41</v>
      </c>
      <c r="R466" s="47" t="n">
        <v>17</v>
      </c>
      <c r="S466" s="66" t="s">
        <v>758</v>
      </c>
    </row>
    <row r="467" customFormat="false" ht="15" hidden="false" customHeight="false" outlineLevel="0" collapsed="false">
      <c r="A467" s="79" t="s">
        <v>241</v>
      </c>
      <c r="B467" s="79" t="s">
        <v>302</v>
      </c>
      <c r="C467" s="80" t="n">
        <v>2022</v>
      </c>
      <c r="D467" s="80" t="n">
        <v>1</v>
      </c>
      <c r="E467" s="81" t="n">
        <v>44651</v>
      </c>
      <c r="F467" s="79" t="s">
        <v>267</v>
      </c>
      <c r="G467" s="79" t="s">
        <v>268</v>
      </c>
      <c r="H467" s="79" t="s">
        <v>264</v>
      </c>
      <c r="I467" s="82" t="n">
        <v>1665.309</v>
      </c>
      <c r="J467" s="82" t="n">
        <v>337.019</v>
      </c>
      <c r="K467" s="82" t="n">
        <v>61996000</v>
      </c>
      <c r="L467" s="83" t="n">
        <v>0.43</v>
      </c>
      <c r="M467" s="82" t="n">
        <v>145.6814</v>
      </c>
      <c r="N467" s="82" t="n">
        <v>0</v>
      </c>
      <c r="O467" s="82" t="n">
        <v>4127.605</v>
      </c>
      <c r="P467" s="83" t="n">
        <v>0</v>
      </c>
      <c r="Q467" s="83" t="n">
        <v>49.35</v>
      </c>
      <c r="R467" s="47" t="n">
        <v>18</v>
      </c>
      <c r="S467" s="66" t="s">
        <v>759</v>
      </c>
    </row>
    <row r="468" customFormat="false" ht="15" hidden="false" customHeight="false" outlineLevel="0" collapsed="false">
      <c r="A468" s="79" t="s">
        <v>241</v>
      </c>
      <c r="B468" s="79" t="s">
        <v>304</v>
      </c>
      <c r="C468" s="80" t="n">
        <v>2021</v>
      </c>
      <c r="D468" s="80" t="n">
        <v>4</v>
      </c>
      <c r="E468" s="81" t="n">
        <v>44561</v>
      </c>
      <c r="F468" s="79" t="s">
        <v>267</v>
      </c>
      <c r="G468" s="79" t="s">
        <v>268</v>
      </c>
      <c r="H468" s="79" t="s">
        <v>264</v>
      </c>
      <c r="I468" s="82" t="n">
        <v>1784.77</v>
      </c>
      <c r="J468" s="82" t="n">
        <v>389.163</v>
      </c>
      <c r="K468" s="82" t="n">
        <v>65086000</v>
      </c>
      <c r="L468" s="83" t="n">
        <v>0.45</v>
      </c>
      <c r="M468" s="82" t="n">
        <v>145.6814</v>
      </c>
      <c r="N468" s="82" t="n">
        <v>0</v>
      </c>
      <c r="O468" s="82" t="n">
        <v>4037.183</v>
      </c>
      <c r="P468" s="83" t="n">
        <v>0</v>
      </c>
      <c r="Q468" s="83" t="n">
        <v>56.8</v>
      </c>
      <c r="R468" s="47" t="n">
        <v>19</v>
      </c>
      <c r="S468" s="66" t="s">
        <v>760</v>
      </c>
    </row>
    <row r="469" customFormat="false" ht="15" hidden="false" customHeight="false" outlineLevel="0" collapsed="false">
      <c r="A469" s="79" t="s">
        <v>241</v>
      </c>
      <c r="B469" s="79" t="s">
        <v>306</v>
      </c>
      <c r="C469" s="80" t="n">
        <v>2021</v>
      </c>
      <c r="D469" s="80" t="n">
        <v>3</v>
      </c>
      <c r="E469" s="81" t="n">
        <v>44469</v>
      </c>
      <c r="F469" s="79" t="s">
        <v>267</v>
      </c>
      <c r="G469" s="79" t="s">
        <v>268</v>
      </c>
      <c r="H469" s="79" t="s">
        <v>264</v>
      </c>
      <c r="I469" s="82" t="n">
        <v>1829.459</v>
      </c>
      <c r="J469" s="82" t="n">
        <v>436.912</v>
      </c>
      <c r="K469" s="82" t="n">
        <v>106624000</v>
      </c>
      <c r="L469" s="83" t="n">
        <v>0.73</v>
      </c>
      <c r="M469" s="82" t="n">
        <v>145.6814</v>
      </c>
      <c r="N469" s="82" t="n">
        <v>0</v>
      </c>
      <c r="O469" s="82" t="n">
        <v>3960.347</v>
      </c>
      <c r="P469" s="83" t="n">
        <v>1.4</v>
      </c>
      <c r="Q469" s="83" t="n">
        <v>53.6</v>
      </c>
      <c r="R469" s="47" t="n">
        <v>20</v>
      </c>
      <c r="S469" s="66" t="s">
        <v>761</v>
      </c>
    </row>
    <row r="470" customFormat="false" ht="15" hidden="false" customHeight="false" outlineLevel="0" collapsed="false">
      <c r="A470" s="79" t="s">
        <v>241</v>
      </c>
      <c r="B470" s="79" t="s">
        <v>308</v>
      </c>
      <c r="C470" s="80" t="n">
        <v>2021</v>
      </c>
      <c r="D470" s="80" t="n">
        <v>2</v>
      </c>
      <c r="E470" s="81" t="n">
        <v>44377</v>
      </c>
      <c r="F470" s="79" t="s">
        <v>267</v>
      </c>
      <c r="G470" s="79" t="s">
        <v>268</v>
      </c>
      <c r="H470" s="79" t="s">
        <v>264</v>
      </c>
      <c r="I470" s="82" t="n">
        <v>1841.755</v>
      </c>
      <c r="J470" s="82" t="n">
        <v>461.526</v>
      </c>
      <c r="K470" s="82" t="n">
        <v>108661000</v>
      </c>
      <c r="L470" s="83" t="n">
        <v>0.75</v>
      </c>
      <c r="M470" s="82" t="n">
        <v>145.6814</v>
      </c>
      <c r="N470" s="82" t="n">
        <v>0</v>
      </c>
      <c r="O470" s="82" t="n">
        <v>4066.399</v>
      </c>
      <c r="P470" s="83" t="n">
        <v>0</v>
      </c>
      <c r="Q470" s="83" t="n">
        <v>56.8</v>
      </c>
      <c r="R470" s="47" t="n">
        <v>21</v>
      </c>
      <c r="S470" s="66" t="s">
        <v>762</v>
      </c>
    </row>
    <row r="471" customFormat="false" ht="15" hidden="false" customHeight="false" outlineLevel="0" collapsed="false">
      <c r="A471" s="79" t="s">
        <v>241</v>
      </c>
      <c r="B471" s="79" t="s">
        <v>310</v>
      </c>
      <c r="C471" s="80" t="n">
        <v>2021</v>
      </c>
      <c r="D471" s="80" t="n">
        <v>1</v>
      </c>
      <c r="E471" s="81" t="n">
        <v>44286</v>
      </c>
      <c r="F471" s="79" t="s">
        <v>267</v>
      </c>
      <c r="G471" s="79" t="s">
        <v>268</v>
      </c>
      <c r="H471" s="79" t="s">
        <v>264</v>
      </c>
      <c r="I471" s="82" t="n">
        <v>1741.556</v>
      </c>
      <c r="J471" s="82" t="n">
        <v>405.065</v>
      </c>
      <c r="K471" s="82" t="n">
        <v>90682000</v>
      </c>
      <c r="L471" s="83" t="n">
        <v>0.62</v>
      </c>
      <c r="M471" s="82" t="n">
        <v>145.6814</v>
      </c>
      <c r="N471" s="82" t="n">
        <v>0</v>
      </c>
      <c r="O471" s="82" t="n">
        <v>3961.841</v>
      </c>
      <c r="P471" s="83" t="n">
        <v>0</v>
      </c>
      <c r="Q471" s="83" t="n">
        <v>66</v>
      </c>
      <c r="R471" s="47" t="n">
        <v>22</v>
      </c>
      <c r="S471" s="66" t="s">
        <v>763</v>
      </c>
    </row>
    <row r="472" customFormat="false" ht="15" hidden="false" customHeight="false" outlineLevel="0" collapsed="false">
      <c r="A472" s="79" t="s">
        <v>241</v>
      </c>
      <c r="B472" s="79" t="s">
        <v>312</v>
      </c>
      <c r="C472" s="80" t="n">
        <v>2020</v>
      </c>
      <c r="D472" s="80" t="n">
        <v>4</v>
      </c>
      <c r="E472" s="81" t="n">
        <v>44196</v>
      </c>
      <c r="F472" s="79" t="s">
        <v>267</v>
      </c>
      <c r="G472" s="79" t="s">
        <v>268</v>
      </c>
      <c r="H472" s="79" t="s">
        <v>264</v>
      </c>
      <c r="I472" s="82" t="n">
        <v>1623.495</v>
      </c>
      <c r="J472" s="82" t="n">
        <v>364.849</v>
      </c>
      <c r="K472" s="82" t="n">
        <v>47846000</v>
      </c>
      <c r="L472" s="83" t="n">
        <v>0.32</v>
      </c>
      <c r="M472" s="82" t="n">
        <v>145.6814</v>
      </c>
      <c r="N472" s="82" t="n">
        <v>0</v>
      </c>
      <c r="O472" s="82" t="n">
        <v>3867.989</v>
      </c>
      <c r="P472" s="83" t="n">
        <v>0</v>
      </c>
      <c r="Q472" s="83" t="n">
        <v>69.7</v>
      </c>
      <c r="R472" s="47" t="n">
        <v>23</v>
      </c>
      <c r="S472" s="66" t="s">
        <v>764</v>
      </c>
    </row>
    <row r="473" customFormat="false" ht="15" hidden="false" customHeight="false" outlineLevel="0" collapsed="false">
      <c r="A473" s="79" t="s">
        <v>241</v>
      </c>
      <c r="B473" s="79" t="s">
        <v>314</v>
      </c>
      <c r="C473" s="80" t="n">
        <v>2020</v>
      </c>
      <c r="D473" s="80" t="n">
        <v>3</v>
      </c>
      <c r="E473" s="81" t="n">
        <v>44104</v>
      </c>
      <c r="F473" s="79" t="s">
        <v>267</v>
      </c>
      <c r="G473" s="79" t="s">
        <v>268</v>
      </c>
      <c r="H473" s="79" t="s">
        <v>264</v>
      </c>
      <c r="I473" s="82" t="n">
        <v>1639.375</v>
      </c>
      <c r="J473" s="82" t="n">
        <v>368.528</v>
      </c>
      <c r="K473" s="82" t="n">
        <v>45715000</v>
      </c>
      <c r="L473" s="83" t="n">
        <v>0.31</v>
      </c>
      <c r="M473" s="82" t="n">
        <v>145.6814</v>
      </c>
      <c r="N473" s="82" t="n">
        <v>0</v>
      </c>
      <c r="O473" s="82" t="n">
        <v>3802.045</v>
      </c>
      <c r="P473" s="83"/>
      <c r="Q473" s="83" t="n">
        <v>63.2</v>
      </c>
      <c r="R473" s="47" t="n">
        <v>24</v>
      </c>
      <c r="S473" s="66" t="s">
        <v>765</v>
      </c>
    </row>
    <row r="474" customFormat="false" ht="15" hidden="false" customHeight="false" outlineLevel="0" collapsed="false">
      <c r="A474" s="79" t="s">
        <v>197</v>
      </c>
      <c r="B474" s="79" t="s">
        <v>261</v>
      </c>
      <c r="C474" s="80" t="n">
        <v>2026</v>
      </c>
      <c r="D474" s="80" t="n">
        <v>3</v>
      </c>
      <c r="E474" s="81" t="n">
        <v>46295</v>
      </c>
      <c r="F474" s="79" t="s">
        <v>262</v>
      </c>
      <c r="G474" s="79" t="s">
        <v>263</v>
      </c>
      <c r="H474" s="79" t="s">
        <v>264</v>
      </c>
      <c r="I474" s="82"/>
      <c r="J474" s="82"/>
      <c r="K474" s="82"/>
      <c r="L474" s="83" t="n">
        <v>18.74375</v>
      </c>
      <c r="M474" s="82"/>
      <c r="N474" s="82"/>
      <c r="O474" s="82"/>
      <c r="P474" s="83"/>
      <c r="Q474" s="83"/>
      <c r="R474" s="47" t="n">
        <v>0</v>
      </c>
      <c r="S474" s="66" t="s">
        <v>766</v>
      </c>
    </row>
    <row r="475" customFormat="false" ht="15" hidden="false" customHeight="false" outlineLevel="0" collapsed="false">
      <c r="A475" s="79" t="s">
        <v>197</v>
      </c>
      <c r="B475" s="79" t="s">
        <v>266</v>
      </c>
      <c r="C475" s="80" t="n">
        <v>2026</v>
      </c>
      <c r="D475" s="80" t="n">
        <v>2</v>
      </c>
      <c r="E475" s="81" t="n">
        <v>46203</v>
      </c>
      <c r="F475" s="79" t="s">
        <v>267</v>
      </c>
      <c r="G475" s="79" t="s">
        <v>268</v>
      </c>
      <c r="H475" s="79" t="s">
        <v>264</v>
      </c>
      <c r="I475" s="82" t="n">
        <v>23281.188</v>
      </c>
      <c r="J475" s="82" t="n">
        <v>7154.196</v>
      </c>
      <c r="K475" s="82" t="n">
        <v>2981775000</v>
      </c>
      <c r="L475" s="83" t="n">
        <v>15.28</v>
      </c>
      <c r="M475" s="82" t="n">
        <v>195.0784</v>
      </c>
      <c r="N475" s="82" t="n">
        <v>0</v>
      </c>
      <c r="O475" s="82" t="n">
        <v>49562.802</v>
      </c>
      <c r="P475" s="83" t="n">
        <v>0</v>
      </c>
      <c r="Q475" s="83" t="n">
        <v>1915</v>
      </c>
      <c r="R475" s="47" t="n">
        <v>1</v>
      </c>
      <c r="S475" s="66" t="s">
        <v>767</v>
      </c>
    </row>
    <row r="476" customFormat="false" ht="15" hidden="false" customHeight="false" outlineLevel="0" collapsed="false">
      <c r="A476" s="79" t="s">
        <v>197</v>
      </c>
      <c r="B476" s="79" t="s">
        <v>270</v>
      </c>
      <c r="C476" s="80" t="n">
        <v>2026</v>
      </c>
      <c r="D476" s="80" t="n">
        <v>1</v>
      </c>
      <c r="E476" s="81" t="n">
        <v>46112</v>
      </c>
      <c r="F476" s="79" t="s">
        <v>267</v>
      </c>
      <c r="G476" s="79" t="s">
        <v>268</v>
      </c>
      <c r="H476" s="79" t="s">
        <v>264</v>
      </c>
      <c r="I476" s="82" t="n">
        <v>20863.649</v>
      </c>
      <c r="J476" s="82" t="n">
        <v>6001.841</v>
      </c>
      <c r="K476" s="82" t="n">
        <v>2273834000</v>
      </c>
      <c r="L476" s="83" t="n">
        <v>11.66</v>
      </c>
      <c r="M476" s="82" t="n">
        <v>195.0784</v>
      </c>
      <c r="N476" s="82" t="n">
        <v>0</v>
      </c>
      <c r="O476" s="82" t="n">
        <v>46639.663</v>
      </c>
      <c r="P476" s="83" t="n">
        <v>0</v>
      </c>
      <c r="Q476" s="83" t="n">
        <v>1740</v>
      </c>
      <c r="R476" s="47" t="n">
        <v>2</v>
      </c>
      <c r="S476" s="66" t="s">
        <v>768</v>
      </c>
    </row>
    <row r="477" customFormat="false" ht="15" hidden="false" customHeight="false" outlineLevel="0" collapsed="false">
      <c r="A477" s="79" t="s">
        <v>197</v>
      </c>
      <c r="B477" s="79" t="s">
        <v>272</v>
      </c>
      <c r="C477" s="80" t="n">
        <v>2025</v>
      </c>
      <c r="D477" s="80" t="n">
        <v>4</v>
      </c>
      <c r="E477" s="81" t="n">
        <v>46022</v>
      </c>
      <c r="F477" s="79" t="s">
        <v>267</v>
      </c>
      <c r="G477" s="79" t="s">
        <v>268</v>
      </c>
      <c r="H477" s="79" t="s">
        <v>264</v>
      </c>
      <c r="I477" s="82" t="n">
        <v>19779.964</v>
      </c>
      <c r="J477" s="82" t="n">
        <v>6315.679</v>
      </c>
      <c r="K477" s="82" t="n">
        <v>2740078000</v>
      </c>
      <c r="L477" s="83" t="n">
        <v>14.08</v>
      </c>
      <c r="M477" s="82" t="n">
        <v>194.9699</v>
      </c>
      <c r="N477" s="82" t="n">
        <v>0</v>
      </c>
      <c r="O477" s="82" t="n">
        <v>46634.452</v>
      </c>
      <c r="P477" s="83" t="n">
        <v>0</v>
      </c>
      <c r="Q477" s="83" t="n">
        <v>1520</v>
      </c>
      <c r="R477" s="47" t="n">
        <v>3</v>
      </c>
      <c r="S477" s="66" t="s">
        <v>769</v>
      </c>
    </row>
    <row r="478" customFormat="false" ht="15" hidden="false" customHeight="false" outlineLevel="0" collapsed="false">
      <c r="A478" s="79" t="s">
        <v>197</v>
      </c>
      <c r="B478" s="79" t="s">
        <v>274</v>
      </c>
      <c r="C478" s="80" t="n">
        <v>2025</v>
      </c>
      <c r="D478" s="80" t="n">
        <v>3</v>
      </c>
      <c r="E478" s="81" t="n">
        <v>45930</v>
      </c>
      <c r="F478" s="79" t="s">
        <v>267</v>
      </c>
      <c r="G478" s="79" t="s">
        <v>268</v>
      </c>
      <c r="H478" s="79" t="s">
        <v>264</v>
      </c>
      <c r="I478" s="82" t="n">
        <v>18413.195</v>
      </c>
      <c r="J478" s="82" t="n">
        <v>6122.914</v>
      </c>
      <c r="K478" s="82" t="n">
        <v>2628697000</v>
      </c>
      <c r="L478" s="83" t="n">
        <v>13.51</v>
      </c>
      <c r="M478" s="82" t="n">
        <v>194.9599</v>
      </c>
      <c r="N478" s="82" t="n">
        <v>0</v>
      </c>
      <c r="O478" s="82" t="n">
        <v>42028.78</v>
      </c>
      <c r="P478" s="83" t="n">
        <v>10.50548249</v>
      </c>
      <c r="Q478" s="83" t="n">
        <v>1030</v>
      </c>
      <c r="R478" s="47" t="n">
        <v>4</v>
      </c>
      <c r="S478" s="66" t="s">
        <v>770</v>
      </c>
    </row>
    <row r="479" customFormat="false" ht="15" hidden="false" customHeight="false" outlineLevel="0" collapsed="false">
      <c r="A479" s="79" t="s">
        <v>197</v>
      </c>
      <c r="B479" s="79" t="s">
        <v>276</v>
      </c>
      <c r="C479" s="80" t="n">
        <v>2025</v>
      </c>
      <c r="D479" s="80" t="n">
        <v>2</v>
      </c>
      <c r="E479" s="81" t="n">
        <v>45838</v>
      </c>
      <c r="F479" s="79" t="s">
        <v>267</v>
      </c>
      <c r="G479" s="79" t="s">
        <v>268</v>
      </c>
      <c r="H479" s="79" t="s">
        <v>264</v>
      </c>
      <c r="I479" s="82" t="n">
        <v>16933.328</v>
      </c>
      <c r="J479" s="82" t="n">
        <v>5268.882</v>
      </c>
      <c r="K479" s="82" t="n">
        <v>2024484000</v>
      </c>
      <c r="L479" s="83" t="n">
        <v>10.54</v>
      </c>
      <c r="M479" s="82" t="n">
        <v>192.0711</v>
      </c>
      <c r="N479" s="82" t="n">
        <v>0</v>
      </c>
      <c r="O479" s="82" t="n">
        <v>36600.942</v>
      </c>
      <c r="P479" s="83" t="n">
        <v>0</v>
      </c>
      <c r="Q479" s="83" t="n">
        <v>848</v>
      </c>
      <c r="R479" s="47" t="n">
        <v>5</v>
      </c>
      <c r="S479" s="66" t="s">
        <v>771</v>
      </c>
    </row>
    <row r="480" customFormat="false" ht="15" hidden="false" customHeight="false" outlineLevel="0" collapsed="false">
      <c r="A480" s="79" t="s">
        <v>197</v>
      </c>
      <c r="B480" s="79" t="s">
        <v>278</v>
      </c>
      <c r="C480" s="80" t="n">
        <v>2025</v>
      </c>
      <c r="D480" s="80" t="n">
        <v>1</v>
      </c>
      <c r="E480" s="81" t="n">
        <v>45747</v>
      </c>
      <c r="F480" s="79" t="s">
        <v>267</v>
      </c>
      <c r="G480" s="79" t="s">
        <v>268</v>
      </c>
      <c r="H480" s="79" t="s">
        <v>264</v>
      </c>
      <c r="I480" s="82" t="n">
        <v>16120.785</v>
      </c>
      <c r="J480" s="82" t="n">
        <v>4897.124</v>
      </c>
      <c r="K480" s="82" t="n">
        <v>1612107000</v>
      </c>
      <c r="L480" s="83" t="n">
        <v>8.49</v>
      </c>
      <c r="M480" s="82" t="n">
        <v>190.0832</v>
      </c>
      <c r="N480" s="82" t="n">
        <v>0</v>
      </c>
      <c r="O480" s="82" t="n">
        <v>36910.274</v>
      </c>
      <c r="P480" s="83" t="n">
        <v>0</v>
      </c>
      <c r="Q480" s="83" t="n">
        <v>504</v>
      </c>
      <c r="R480" s="47" t="n">
        <v>6</v>
      </c>
      <c r="S480" s="66" t="s">
        <v>772</v>
      </c>
    </row>
    <row r="481" customFormat="false" ht="15" hidden="false" customHeight="false" outlineLevel="0" collapsed="false">
      <c r="A481" s="79" t="s">
        <v>197</v>
      </c>
      <c r="B481" s="79" t="s">
        <v>280</v>
      </c>
      <c r="C481" s="80" t="n">
        <v>2024</v>
      </c>
      <c r="D481" s="80" t="n">
        <v>4</v>
      </c>
      <c r="E481" s="81" t="n">
        <v>45657</v>
      </c>
      <c r="F481" s="79" t="s">
        <v>267</v>
      </c>
      <c r="G481" s="79" t="s">
        <v>268</v>
      </c>
      <c r="H481" s="79" t="s">
        <v>264</v>
      </c>
      <c r="I481" s="82" t="n">
        <v>14411.637</v>
      </c>
      <c r="J481" s="82" t="n">
        <v>4147.995</v>
      </c>
      <c r="K481" s="82" t="n">
        <v>1555805000</v>
      </c>
      <c r="L481" s="83" t="n">
        <v>8.53</v>
      </c>
      <c r="M481" s="82" t="n">
        <v>189.5543</v>
      </c>
      <c r="N481" s="82" t="n">
        <v>0</v>
      </c>
      <c r="O481" s="82" t="n">
        <v>36208.816</v>
      </c>
      <c r="P481" s="83" t="n">
        <v>0</v>
      </c>
      <c r="Q481" s="83" t="n">
        <v>612</v>
      </c>
      <c r="R481" s="47" t="n">
        <v>7</v>
      </c>
      <c r="S481" s="66" t="s">
        <v>773</v>
      </c>
    </row>
    <row r="482" customFormat="false" ht="15" hidden="false" customHeight="false" outlineLevel="0" collapsed="false">
      <c r="A482" s="79" t="s">
        <v>197</v>
      </c>
      <c r="B482" s="79" t="s">
        <v>282</v>
      </c>
      <c r="C482" s="80" t="n">
        <v>2024</v>
      </c>
      <c r="D482" s="80" t="n">
        <v>3</v>
      </c>
      <c r="E482" s="81" t="n">
        <v>45565</v>
      </c>
      <c r="F482" s="79" t="s">
        <v>267</v>
      </c>
      <c r="G482" s="79" t="s">
        <v>268</v>
      </c>
      <c r="H482" s="79" t="s">
        <v>264</v>
      </c>
      <c r="I482" s="82" t="n">
        <v>14259.287</v>
      </c>
      <c r="J482" s="82" t="n">
        <v>4181.908</v>
      </c>
      <c r="K482" s="82" t="n">
        <v>1257207000</v>
      </c>
      <c r="L482" s="83" t="n">
        <v>7.07</v>
      </c>
      <c r="M482" s="82" t="n">
        <v>183.3902</v>
      </c>
      <c r="N482" s="82" t="n">
        <v>0</v>
      </c>
      <c r="O482" s="82" t="n">
        <v>33244.409</v>
      </c>
      <c r="P482" s="83" t="n">
        <v>8.7807351</v>
      </c>
      <c r="Q482" s="83" t="n">
        <v>461</v>
      </c>
      <c r="R482" s="47" t="n">
        <v>8</v>
      </c>
      <c r="S482" s="66" t="s">
        <v>774</v>
      </c>
    </row>
    <row r="483" customFormat="false" ht="15" hidden="false" customHeight="false" outlineLevel="0" collapsed="false">
      <c r="A483" s="79" t="s">
        <v>197</v>
      </c>
      <c r="B483" s="79" t="s">
        <v>284</v>
      </c>
      <c r="C483" s="80" t="n">
        <v>2024</v>
      </c>
      <c r="D483" s="80" t="n">
        <v>2</v>
      </c>
      <c r="E483" s="81" t="n">
        <v>45473</v>
      </c>
      <c r="F483" s="79" t="s">
        <v>267</v>
      </c>
      <c r="G483" s="79" t="s">
        <v>268</v>
      </c>
      <c r="H483" s="79" t="s">
        <v>264</v>
      </c>
      <c r="I483" s="82" t="n">
        <v>12983.996</v>
      </c>
      <c r="J483" s="82" t="n">
        <v>3649.998</v>
      </c>
      <c r="K483" s="82" t="n">
        <v>1002454000</v>
      </c>
      <c r="L483" s="83" t="n">
        <v>6.13</v>
      </c>
      <c r="M483" s="82" t="n">
        <v>166.5369</v>
      </c>
      <c r="N483" s="82" t="n">
        <v>0</v>
      </c>
      <c r="O483" s="82" t="n">
        <v>26234.193</v>
      </c>
      <c r="P483" s="83" t="n">
        <v>0</v>
      </c>
      <c r="Q483" s="83" t="n">
        <v>374</v>
      </c>
      <c r="R483" s="47" t="n">
        <v>9</v>
      </c>
      <c r="S483" s="66" t="s">
        <v>775</v>
      </c>
    </row>
    <row r="484" customFormat="false" ht="15" hidden="false" customHeight="false" outlineLevel="0" collapsed="false">
      <c r="A484" s="79" t="s">
        <v>197</v>
      </c>
      <c r="B484" s="79" t="s">
        <v>286</v>
      </c>
      <c r="C484" s="80" t="n">
        <v>2024</v>
      </c>
      <c r="D484" s="80" t="n">
        <v>1</v>
      </c>
      <c r="E484" s="81" t="n">
        <v>45382</v>
      </c>
      <c r="F484" s="79" t="s">
        <v>267</v>
      </c>
      <c r="G484" s="79" t="s">
        <v>268</v>
      </c>
      <c r="H484" s="79" t="s">
        <v>264</v>
      </c>
      <c r="I484" s="82" t="n">
        <v>12425.561</v>
      </c>
      <c r="J484" s="82" t="n">
        <v>3272.937</v>
      </c>
      <c r="K484" s="82" t="n">
        <v>580672000</v>
      </c>
      <c r="L484" s="83" t="n">
        <v>3.56</v>
      </c>
      <c r="M484" s="82" t="n">
        <v>163.4296</v>
      </c>
      <c r="N484" s="82" t="n">
        <v>0</v>
      </c>
      <c r="O484" s="82" t="n">
        <v>24110.138</v>
      </c>
      <c r="P484" s="83" t="n">
        <v>0</v>
      </c>
      <c r="Q484" s="83" t="n">
        <v>259</v>
      </c>
      <c r="R484" s="47" t="n">
        <v>10</v>
      </c>
      <c r="S484" s="66" t="s">
        <v>776</v>
      </c>
    </row>
    <row r="485" customFormat="false" ht="15" hidden="false" customHeight="false" outlineLevel="0" collapsed="false">
      <c r="A485" s="79" t="s">
        <v>197</v>
      </c>
      <c r="B485" s="79" t="s">
        <v>288</v>
      </c>
      <c r="C485" s="80" t="n">
        <v>2023</v>
      </c>
      <c r="D485" s="80" t="n">
        <v>4</v>
      </c>
      <c r="E485" s="81" t="n">
        <v>45291</v>
      </c>
      <c r="F485" s="79" t="s">
        <v>267</v>
      </c>
      <c r="G485" s="79" t="s">
        <v>268</v>
      </c>
      <c r="H485" s="79" t="s">
        <v>264</v>
      </c>
      <c r="I485" s="82" t="n">
        <v>12195.595</v>
      </c>
      <c r="J485" s="82" t="n">
        <v>2990.764</v>
      </c>
      <c r="K485" s="82" t="n">
        <v>507876000</v>
      </c>
      <c r="L485" s="83" t="n">
        <v>3.11</v>
      </c>
      <c r="M485" s="82" t="n">
        <v>163.3091</v>
      </c>
      <c r="N485" s="82" t="n">
        <v>0</v>
      </c>
      <c r="O485" s="82" t="n">
        <v>24585.036</v>
      </c>
      <c r="P485" s="83" t="n">
        <v>0</v>
      </c>
      <c r="Q485" s="83" t="n">
        <v>267</v>
      </c>
      <c r="R485" s="47" t="n">
        <v>11</v>
      </c>
      <c r="S485" s="66" t="s">
        <v>777</v>
      </c>
    </row>
    <row r="486" customFormat="false" ht="15" hidden="false" customHeight="false" outlineLevel="0" collapsed="false">
      <c r="A486" s="79" t="s">
        <v>197</v>
      </c>
      <c r="B486" s="79" t="s">
        <v>290</v>
      </c>
      <c r="C486" s="80" t="n">
        <v>2023</v>
      </c>
      <c r="D486" s="80" t="n">
        <v>3</v>
      </c>
      <c r="E486" s="81" t="n">
        <v>45199</v>
      </c>
      <c r="F486" s="79" t="s">
        <v>267</v>
      </c>
      <c r="G486" s="79" t="s">
        <v>268</v>
      </c>
      <c r="H486" s="79" t="s">
        <v>264</v>
      </c>
      <c r="I486" s="82" t="n">
        <v>13150.145</v>
      </c>
      <c r="J486" s="82" t="n">
        <v>3509.563</v>
      </c>
      <c r="K486" s="82" t="n">
        <v>740556000</v>
      </c>
      <c r="L486" s="83" t="n">
        <v>4.54</v>
      </c>
      <c r="M486" s="82" t="n">
        <v>163.3091</v>
      </c>
      <c r="N486" s="82" t="n">
        <v>0</v>
      </c>
      <c r="O486" s="82" t="n">
        <v>24173.791</v>
      </c>
      <c r="P486" s="83" t="n">
        <v>9.88572038</v>
      </c>
      <c r="Q486" s="83" t="n">
        <v>270</v>
      </c>
      <c r="R486" s="47" t="n">
        <v>12</v>
      </c>
      <c r="S486" s="66" t="s">
        <v>778</v>
      </c>
    </row>
    <row r="487" customFormat="false" ht="15" hidden="false" customHeight="false" outlineLevel="0" collapsed="false">
      <c r="A487" s="79" t="s">
        <v>197</v>
      </c>
      <c r="B487" s="79" t="s">
        <v>292</v>
      </c>
      <c r="C487" s="80" t="n">
        <v>2023</v>
      </c>
      <c r="D487" s="80" t="n">
        <v>2</v>
      </c>
      <c r="E487" s="81" t="n">
        <v>45107</v>
      </c>
      <c r="F487" s="79" t="s">
        <v>267</v>
      </c>
      <c r="G487" s="79" t="s">
        <v>268</v>
      </c>
      <c r="H487" s="79" t="s">
        <v>264</v>
      </c>
      <c r="I487" s="82" t="n">
        <v>13004.395</v>
      </c>
      <c r="J487" s="82" t="n">
        <v>2850.162</v>
      </c>
      <c r="K487" s="82" t="n">
        <v>440991000</v>
      </c>
      <c r="L487" s="83" t="n">
        <v>2.75</v>
      </c>
      <c r="M487" s="82" t="n">
        <v>161.5773</v>
      </c>
      <c r="N487" s="82" t="n">
        <v>0</v>
      </c>
      <c r="O487" s="82" t="n">
        <v>23063.842</v>
      </c>
      <c r="P487" s="83" t="n">
        <v>0</v>
      </c>
      <c r="Q487" s="83" t="n">
        <v>322</v>
      </c>
      <c r="R487" s="47" t="n">
        <v>13</v>
      </c>
      <c r="S487" s="66" t="s">
        <v>779</v>
      </c>
    </row>
    <row r="488" customFormat="false" ht="15" hidden="false" customHeight="false" outlineLevel="0" collapsed="false">
      <c r="A488" s="79" t="s">
        <v>197</v>
      </c>
      <c r="B488" s="79" t="s">
        <v>294</v>
      </c>
      <c r="C488" s="80" t="n">
        <v>2023</v>
      </c>
      <c r="D488" s="80" t="n">
        <v>1</v>
      </c>
      <c r="E488" s="81" t="n">
        <v>45016</v>
      </c>
      <c r="F488" s="79" t="s">
        <v>267</v>
      </c>
      <c r="G488" s="79" t="s">
        <v>268</v>
      </c>
      <c r="H488" s="79" t="s">
        <v>264</v>
      </c>
      <c r="I488" s="82" t="n">
        <v>12701.656</v>
      </c>
      <c r="J488" s="82" t="n">
        <v>3236.323</v>
      </c>
      <c r="K488" s="82" t="n">
        <v>627932000</v>
      </c>
      <c r="L488" s="83" t="n">
        <v>4.01</v>
      </c>
      <c r="M488" s="82" t="n">
        <v>156.5623</v>
      </c>
      <c r="N488" s="82" t="n">
        <v>0</v>
      </c>
      <c r="O488" s="82" t="n">
        <v>21836.795</v>
      </c>
      <c r="P488" s="83" t="n">
        <v>0</v>
      </c>
      <c r="Q488" s="83" t="n">
        <v>279</v>
      </c>
      <c r="R488" s="47" t="n">
        <v>14</v>
      </c>
      <c r="S488" s="66" t="s">
        <v>780</v>
      </c>
    </row>
    <row r="489" customFormat="false" ht="15" hidden="false" customHeight="false" outlineLevel="0" collapsed="false">
      <c r="A489" s="79" t="s">
        <v>197</v>
      </c>
      <c r="B489" s="79" t="s">
        <v>296</v>
      </c>
      <c r="C489" s="80" t="n">
        <v>2022</v>
      </c>
      <c r="D489" s="80" t="n">
        <v>4</v>
      </c>
      <c r="E489" s="81" t="n">
        <v>44926</v>
      </c>
      <c r="F489" s="79" t="s">
        <v>267</v>
      </c>
      <c r="G489" s="79" t="s">
        <v>268</v>
      </c>
      <c r="H489" s="79" t="s">
        <v>264</v>
      </c>
      <c r="I489" s="82" t="n">
        <v>13600.543</v>
      </c>
      <c r="J489" s="82" t="n">
        <v>3572.38</v>
      </c>
      <c r="K489" s="82" t="n">
        <v>922388000</v>
      </c>
      <c r="L489" s="83" t="n">
        <v>5.88</v>
      </c>
      <c r="M489" s="82" t="n">
        <v>156.4463</v>
      </c>
      <c r="N489" s="82" t="n">
        <v>0</v>
      </c>
      <c r="O489" s="82" t="n">
        <v>22485.042</v>
      </c>
      <c r="P489" s="83" t="n">
        <v>0</v>
      </c>
      <c r="Q489" s="83" t="n">
        <v>236.5</v>
      </c>
      <c r="R489" s="47" t="n">
        <v>15</v>
      </c>
      <c r="S489" s="66" t="s">
        <v>781</v>
      </c>
    </row>
    <row r="490" customFormat="false" ht="15" hidden="false" customHeight="false" outlineLevel="0" collapsed="false">
      <c r="A490" s="79" t="s">
        <v>197</v>
      </c>
      <c r="B490" s="79" t="s">
        <v>298</v>
      </c>
      <c r="C490" s="80" t="n">
        <v>2022</v>
      </c>
      <c r="D490" s="80" t="n">
        <v>3</v>
      </c>
      <c r="E490" s="81" t="n">
        <v>44834</v>
      </c>
      <c r="F490" s="79" t="s">
        <v>267</v>
      </c>
      <c r="G490" s="79" t="s">
        <v>268</v>
      </c>
      <c r="H490" s="79" t="s">
        <v>264</v>
      </c>
      <c r="I490" s="82" t="n">
        <v>14526.402</v>
      </c>
      <c r="J490" s="82" t="n">
        <v>3740.877</v>
      </c>
      <c r="K490" s="82" t="n">
        <v>1184084000</v>
      </c>
      <c r="L490" s="83" t="n">
        <v>7.64</v>
      </c>
      <c r="M490" s="82" t="n">
        <v>156.4273</v>
      </c>
      <c r="N490" s="82" t="n">
        <v>0</v>
      </c>
      <c r="O490" s="82" t="n">
        <v>20970.774</v>
      </c>
      <c r="P490" s="83" t="n">
        <v>9.44960126</v>
      </c>
      <c r="Q490" s="83" t="n">
        <v>280.5</v>
      </c>
      <c r="R490" s="47" t="n">
        <v>16</v>
      </c>
      <c r="S490" s="66" t="s">
        <v>782</v>
      </c>
    </row>
    <row r="491" customFormat="false" ht="15" hidden="false" customHeight="false" outlineLevel="0" collapsed="false">
      <c r="A491" s="79" t="s">
        <v>197</v>
      </c>
      <c r="B491" s="79" t="s">
        <v>300</v>
      </c>
      <c r="C491" s="80" t="n">
        <v>2022</v>
      </c>
      <c r="D491" s="80" t="n">
        <v>2</v>
      </c>
      <c r="E491" s="81" t="n">
        <v>44742</v>
      </c>
      <c r="F491" s="79" t="s">
        <v>267</v>
      </c>
      <c r="G491" s="79" t="s">
        <v>268</v>
      </c>
      <c r="H491" s="79" t="s">
        <v>264</v>
      </c>
      <c r="I491" s="82" t="n">
        <v>13963.028</v>
      </c>
      <c r="J491" s="82" t="n">
        <v>3625.501</v>
      </c>
      <c r="K491" s="82" t="n">
        <v>1172964000</v>
      </c>
      <c r="L491" s="83" t="n">
        <v>7.68</v>
      </c>
      <c r="M491" s="82" t="n">
        <v>152.7509</v>
      </c>
      <c r="N491" s="82" t="n">
        <v>0</v>
      </c>
      <c r="O491" s="82" t="n">
        <v>19031.3</v>
      </c>
      <c r="P491" s="83" t="n">
        <v>0</v>
      </c>
      <c r="Q491" s="83" t="n">
        <v>308.5</v>
      </c>
      <c r="R491" s="47" t="n">
        <v>17</v>
      </c>
      <c r="S491" s="66" t="s">
        <v>783</v>
      </c>
    </row>
    <row r="492" customFormat="false" ht="15" hidden="false" customHeight="false" outlineLevel="0" collapsed="false">
      <c r="A492" s="79" t="s">
        <v>197</v>
      </c>
      <c r="B492" s="79" t="s">
        <v>302</v>
      </c>
      <c r="C492" s="80" t="n">
        <v>2022</v>
      </c>
      <c r="D492" s="80" t="n">
        <v>1</v>
      </c>
      <c r="E492" s="81" t="n">
        <v>44651</v>
      </c>
      <c r="F492" s="79" t="s">
        <v>267</v>
      </c>
      <c r="G492" s="79" t="s">
        <v>268</v>
      </c>
      <c r="H492" s="79" t="s">
        <v>264</v>
      </c>
      <c r="I492" s="82" t="n">
        <v>11667.198</v>
      </c>
      <c r="J492" s="82" t="n">
        <v>2848.725</v>
      </c>
      <c r="K492" s="82" t="n">
        <v>558944000</v>
      </c>
      <c r="L492" s="83" t="n">
        <v>3.74</v>
      </c>
      <c r="M492" s="82" t="n">
        <v>152.6274</v>
      </c>
      <c r="N492" s="82" t="n">
        <v>0</v>
      </c>
      <c r="O492" s="82" t="n">
        <v>18361.569</v>
      </c>
      <c r="P492" s="83" t="n">
        <v>0</v>
      </c>
      <c r="Q492" s="83" t="n">
        <v>296.5</v>
      </c>
      <c r="R492" s="47" t="n">
        <v>18</v>
      </c>
      <c r="S492" s="66" t="s">
        <v>784</v>
      </c>
    </row>
    <row r="493" customFormat="false" ht="15" hidden="false" customHeight="false" outlineLevel="0" collapsed="false">
      <c r="A493" s="79" t="s">
        <v>197</v>
      </c>
      <c r="B493" s="79" t="s">
        <v>304</v>
      </c>
      <c r="C493" s="80" t="n">
        <v>2021</v>
      </c>
      <c r="D493" s="80" t="n">
        <v>4</v>
      </c>
      <c r="E493" s="81" t="n">
        <v>44561</v>
      </c>
      <c r="F493" s="79" t="s">
        <v>267</v>
      </c>
      <c r="G493" s="79" t="s">
        <v>268</v>
      </c>
      <c r="H493" s="79" t="s">
        <v>264</v>
      </c>
      <c r="I493" s="82" t="n">
        <v>7998.723</v>
      </c>
      <c r="J493" s="82" t="n">
        <v>1842.97</v>
      </c>
      <c r="K493" s="82" t="n">
        <v>568796000</v>
      </c>
      <c r="L493" s="83" t="n">
        <v>4.2</v>
      </c>
      <c r="M493" s="82" t="n">
        <v>137.4573</v>
      </c>
      <c r="N493" s="82" t="n">
        <v>0</v>
      </c>
      <c r="O493" s="82" t="n">
        <v>15124.585</v>
      </c>
      <c r="P493" s="83" t="n">
        <v>0</v>
      </c>
      <c r="Q493" s="83" t="n">
        <v>261</v>
      </c>
      <c r="R493" s="47" t="n">
        <v>19</v>
      </c>
      <c r="S493" s="66" t="s">
        <v>785</v>
      </c>
    </row>
    <row r="494" customFormat="false" ht="15" hidden="false" customHeight="false" outlineLevel="0" collapsed="false">
      <c r="A494" s="79" t="s">
        <v>197</v>
      </c>
      <c r="B494" s="79" t="s">
        <v>306</v>
      </c>
      <c r="C494" s="80" t="n">
        <v>2021</v>
      </c>
      <c r="D494" s="80" t="n">
        <v>3</v>
      </c>
      <c r="E494" s="81" t="n">
        <v>44469</v>
      </c>
      <c r="F494" s="79" t="s">
        <v>267</v>
      </c>
      <c r="G494" s="79" t="s">
        <v>268</v>
      </c>
      <c r="H494" s="79" t="s">
        <v>264</v>
      </c>
      <c r="I494" s="82" t="n">
        <v>7415.446</v>
      </c>
      <c r="J494" s="82" t="n">
        <v>1754.141</v>
      </c>
      <c r="K494" s="82" t="n">
        <v>606283000</v>
      </c>
      <c r="L494" s="83" t="n">
        <v>4.54</v>
      </c>
      <c r="M494" s="82" t="n">
        <v>133.6901</v>
      </c>
      <c r="N494" s="82" t="n">
        <v>0</v>
      </c>
      <c r="O494" s="82" t="n">
        <v>13768.063</v>
      </c>
      <c r="P494" s="83" t="n">
        <v>8.02486316</v>
      </c>
      <c r="Q494" s="83" t="n">
        <v>223.5</v>
      </c>
      <c r="R494" s="47" t="n">
        <v>20</v>
      </c>
      <c r="S494" s="66" t="s">
        <v>786</v>
      </c>
    </row>
    <row r="495" customFormat="false" ht="15" hidden="false" customHeight="false" outlineLevel="0" collapsed="false">
      <c r="A495" s="79" t="s">
        <v>197</v>
      </c>
      <c r="B495" s="79" t="s">
        <v>308</v>
      </c>
      <c r="C495" s="80" t="n">
        <v>2021</v>
      </c>
      <c r="D495" s="80" t="n">
        <v>2</v>
      </c>
      <c r="E495" s="81" t="n">
        <v>44377</v>
      </c>
      <c r="F495" s="79" t="s">
        <v>267</v>
      </c>
      <c r="G495" s="79" t="s">
        <v>268</v>
      </c>
      <c r="H495" s="79" t="s">
        <v>264</v>
      </c>
      <c r="I495" s="82" t="n">
        <v>7015.992</v>
      </c>
      <c r="J495" s="82" t="n">
        <v>1670.731</v>
      </c>
      <c r="K495" s="82" t="n">
        <v>551411000</v>
      </c>
      <c r="L495" s="83" t="n">
        <v>4.13</v>
      </c>
      <c r="M495" s="82" t="n">
        <v>133.6363</v>
      </c>
      <c r="N495" s="82" t="n">
        <v>0</v>
      </c>
      <c r="O495" s="82" t="n">
        <v>13273.987</v>
      </c>
      <c r="P495" s="83" t="n">
        <v>0</v>
      </c>
      <c r="Q495" s="83" t="n">
        <v>259</v>
      </c>
      <c r="R495" s="47" t="n">
        <v>21</v>
      </c>
      <c r="S495" s="66" t="s">
        <v>787</v>
      </c>
    </row>
    <row r="496" customFormat="false" ht="15" hidden="false" customHeight="false" outlineLevel="0" collapsed="false">
      <c r="A496" s="79" t="s">
        <v>197</v>
      </c>
      <c r="B496" s="79" t="s">
        <v>310</v>
      </c>
      <c r="C496" s="80" t="n">
        <v>2021</v>
      </c>
      <c r="D496" s="80" t="n">
        <v>1</v>
      </c>
      <c r="E496" s="81" t="n">
        <v>44286</v>
      </c>
      <c r="F496" s="79" t="s">
        <v>267</v>
      </c>
      <c r="G496" s="79" t="s">
        <v>268</v>
      </c>
      <c r="H496" s="79" t="s">
        <v>264</v>
      </c>
      <c r="I496" s="82" t="n">
        <v>6134.214</v>
      </c>
      <c r="J496" s="82" t="n">
        <v>1361.63</v>
      </c>
      <c r="K496" s="82" t="n">
        <v>309648000</v>
      </c>
      <c r="L496" s="83" t="n">
        <v>2.35</v>
      </c>
      <c r="M496" s="82" t="n">
        <v>133.6363</v>
      </c>
      <c r="N496" s="82" t="n">
        <v>0</v>
      </c>
      <c r="O496" s="82" t="n">
        <v>12907.3</v>
      </c>
      <c r="P496" s="83" t="n">
        <v>0</v>
      </c>
      <c r="Q496" s="83" t="n">
        <v>266</v>
      </c>
      <c r="R496" s="47" t="n">
        <v>22</v>
      </c>
      <c r="S496" s="66" t="s">
        <v>788</v>
      </c>
    </row>
    <row r="497" customFormat="false" ht="15" hidden="false" customHeight="false" outlineLevel="0" collapsed="false">
      <c r="A497" s="79" t="s">
        <v>197</v>
      </c>
      <c r="B497" s="79" t="s">
        <v>312</v>
      </c>
      <c r="C497" s="80" t="n">
        <v>2020</v>
      </c>
      <c r="D497" s="80" t="n">
        <v>4</v>
      </c>
      <c r="E497" s="81" t="n">
        <v>44196</v>
      </c>
      <c r="F497" s="79" t="s">
        <v>267</v>
      </c>
      <c r="G497" s="79" t="s">
        <v>268</v>
      </c>
      <c r="H497" s="79" t="s">
        <v>264</v>
      </c>
      <c r="I497" s="82" t="n">
        <v>6266.652</v>
      </c>
      <c r="J497" s="82" t="n">
        <v>1550.737</v>
      </c>
      <c r="K497" s="82" t="n">
        <v>589079000</v>
      </c>
      <c r="L497" s="83" t="n">
        <v>4.52</v>
      </c>
      <c r="M497" s="82" t="n">
        <v>130.5694</v>
      </c>
      <c r="N497" s="82" t="n">
        <v>0</v>
      </c>
      <c r="O497" s="82" t="n">
        <v>13237.341</v>
      </c>
      <c r="P497" s="83" t="n">
        <v>0</v>
      </c>
      <c r="Q497" s="83" t="n">
        <v>243.5</v>
      </c>
      <c r="R497" s="47" t="n">
        <v>23</v>
      </c>
      <c r="S497" s="66" t="s">
        <v>789</v>
      </c>
    </row>
    <row r="498" customFormat="false" ht="15" hidden="false" customHeight="false" outlineLevel="0" collapsed="false">
      <c r="A498" s="79" t="s">
        <v>197</v>
      </c>
      <c r="B498" s="79" t="s">
        <v>314</v>
      </c>
      <c r="C498" s="80" t="n">
        <v>2020</v>
      </c>
      <c r="D498" s="80" t="n">
        <v>3</v>
      </c>
      <c r="E498" s="81" t="n">
        <v>44104</v>
      </c>
      <c r="F498" s="79" t="s">
        <v>267</v>
      </c>
      <c r="G498" s="79" t="s">
        <v>268</v>
      </c>
      <c r="H498" s="79" t="s">
        <v>264</v>
      </c>
      <c r="I498" s="82" t="n">
        <v>6049.454</v>
      </c>
      <c r="J498" s="82" t="n">
        <v>1589.297</v>
      </c>
      <c r="K498" s="82" t="n">
        <v>499580000</v>
      </c>
      <c r="L498" s="83" t="n">
        <v>3.83</v>
      </c>
      <c r="M498" s="82" t="n">
        <v>130.5694</v>
      </c>
      <c r="N498" s="82" t="n">
        <v>0</v>
      </c>
      <c r="O498" s="82" t="n">
        <v>12368.366</v>
      </c>
      <c r="P498" s="83"/>
      <c r="Q498" s="83" t="n">
        <v>225.5</v>
      </c>
      <c r="R498" s="47" t="n">
        <v>24</v>
      </c>
      <c r="S498" s="66" t="s">
        <v>790</v>
      </c>
    </row>
    <row r="499" customFormat="false" ht="15" hidden="false" customHeight="false" outlineLevel="0" collapsed="false">
      <c r="A499" s="79" t="s">
        <v>791</v>
      </c>
      <c r="B499" s="79" t="s">
        <v>261</v>
      </c>
      <c r="C499" s="80" t="n">
        <v>2026</v>
      </c>
      <c r="D499" s="80" t="n">
        <v>3</v>
      </c>
      <c r="E499" s="81" t="n">
        <v>46295</v>
      </c>
      <c r="F499" s="79" t="s">
        <v>262</v>
      </c>
      <c r="G499" s="79" t="s">
        <v>263</v>
      </c>
      <c r="H499" s="79" t="s">
        <v>264</v>
      </c>
      <c r="I499" s="82"/>
      <c r="J499" s="82"/>
      <c r="K499" s="82"/>
      <c r="L499" s="83" t="n">
        <v>5.04966</v>
      </c>
      <c r="M499" s="82"/>
      <c r="N499" s="82"/>
      <c r="O499" s="82"/>
      <c r="P499" s="83"/>
      <c r="Q499" s="83"/>
      <c r="R499" s="47" t="n">
        <v>0</v>
      </c>
      <c r="S499" s="66" t="s">
        <v>792</v>
      </c>
    </row>
    <row r="500" customFormat="false" ht="15" hidden="false" customHeight="false" outlineLevel="0" collapsed="false">
      <c r="A500" s="79" t="s">
        <v>791</v>
      </c>
      <c r="B500" s="79" t="s">
        <v>266</v>
      </c>
      <c r="C500" s="80" t="n">
        <v>2026</v>
      </c>
      <c r="D500" s="80" t="n">
        <v>2</v>
      </c>
      <c r="E500" s="81" t="n">
        <v>46203</v>
      </c>
      <c r="F500" s="79" t="s">
        <v>267</v>
      </c>
      <c r="G500" s="79" t="s">
        <v>268</v>
      </c>
      <c r="H500" s="79" t="s">
        <v>264</v>
      </c>
      <c r="I500" s="82" t="n">
        <v>191063.522</v>
      </c>
      <c r="J500" s="82" t="n">
        <v>40118.355</v>
      </c>
      <c r="K500" s="82" t="n">
        <v>21052104000</v>
      </c>
      <c r="L500" s="83" t="n">
        <v>4.8</v>
      </c>
      <c r="M500" s="82" t="n">
        <v>4460.8331</v>
      </c>
      <c r="N500" s="82" t="n">
        <v>72941505</v>
      </c>
      <c r="O500" s="82" t="n">
        <v>389205.323</v>
      </c>
      <c r="P500" s="83" t="n">
        <v>0</v>
      </c>
      <c r="Q500" s="83" t="n">
        <v>680</v>
      </c>
      <c r="R500" s="47" t="n">
        <v>1</v>
      </c>
      <c r="S500" s="66" t="s">
        <v>793</v>
      </c>
    </row>
    <row r="501" customFormat="false" ht="15" hidden="false" customHeight="false" outlineLevel="0" collapsed="false">
      <c r="A501" s="79" t="s">
        <v>791</v>
      </c>
      <c r="B501" s="79" t="s">
        <v>270</v>
      </c>
      <c r="C501" s="80" t="n">
        <v>2026</v>
      </c>
      <c r="D501" s="80" t="n">
        <v>1</v>
      </c>
      <c r="E501" s="81" t="n">
        <v>46112</v>
      </c>
      <c r="F501" s="79" t="s">
        <v>267</v>
      </c>
      <c r="G501" s="79" t="s">
        <v>268</v>
      </c>
      <c r="H501" s="79" t="s">
        <v>264</v>
      </c>
      <c r="I501" s="82" t="n">
        <v>173662.152</v>
      </c>
      <c r="J501" s="82" t="n">
        <v>34849.839</v>
      </c>
      <c r="K501" s="82" t="n">
        <v>14147537000</v>
      </c>
      <c r="L501" s="83" t="n">
        <v>3.24</v>
      </c>
      <c r="M501" s="82" t="n">
        <v>4447.0298</v>
      </c>
      <c r="N501" s="82" t="n">
        <v>72941505</v>
      </c>
      <c r="O501" s="82" t="n">
        <v>350617.392</v>
      </c>
      <c r="P501" s="83" t="n">
        <v>0</v>
      </c>
      <c r="Q501" s="83" t="n">
        <v>328.5</v>
      </c>
      <c r="R501" s="47" t="n">
        <v>2</v>
      </c>
      <c r="S501" s="66" t="s">
        <v>794</v>
      </c>
    </row>
    <row r="502" customFormat="false" ht="15" hidden="false" customHeight="false" outlineLevel="0" collapsed="false">
      <c r="A502" s="79" t="s">
        <v>791</v>
      </c>
      <c r="B502" s="79" t="s">
        <v>272</v>
      </c>
      <c r="C502" s="80" t="n">
        <v>2025</v>
      </c>
      <c r="D502" s="80" t="n">
        <v>4</v>
      </c>
      <c r="E502" s="81" t="n">
        <v>46022</v>
      </c>
      <c r="F502" s="79" t="s">
        <v>267</v>
      </c>
      <c r="G502" s="79" t="s">
        <v>268</v>
      </c>
      <c r="H502" s="79" t="s">
        <v>264</v>
      </c>
      <c r="I502" s="82" t="n">
        <v>177915.237</v>
      </c>
      <c r="J502" s="82" t="n">
        <v>34735.876</v>
      </c>
      <c r="K502" s="82" t="n">
        <v>14713516000</v>
      </c>
      <c r="L502" s="83" t="n">
        <v>3.38</v>
      </c>
      <c r="M502" s="82" t="n">
        <v>4436.142</v>
      </c>
      <c r="N502" s="82" t="n">
        <v>72941505</v>
      </c>
      <c r="O502" s="82" t="n">
        <v>346899.908</v>
      </c>
      <c r="P502" s="83" t="n">
        <v>0</v>
      </c>
      <c r="Q502" s="83" t="n">
        <v>250.5</v>
      </c>
      <c r="R502" s="47" t="n">
        <v>3</v>
      </c>
      <c r="S502" s="66" t="s">
        <v>795</v>
      </c>
    </row>
    <row r="503" customFormat="false" ht="15" hidden="false" customHeight="false" outlineLevel="0" collapsed="false">
      <c r="A503" s="79" t="s">
        <v>791</v>
      </c>
      <c r="B503" s="79" t="s">
        <v>274</v>
      </c>
      <c r="C503" s="80" t="n">
        <v>2025</v>
      </c>
      <c r="D503" s="80" t="n">
        <v>3</v>
      </c>
      <c r="E503" s="81" t="n">
        <v>45930</v>
      </c>
      <c r="F503" s="79" t="s">
        <v>267</v>
      </c>
      <c r="G503" s="79" t="s">
        <v>268</v>
      </c>
      <c r="H503" s="79" t="s">
        <v>264</v>
      </c>
      <c r="I503" s="82" t="n">
        <v>168568.888</v>
      </c>
      <c r="J503" s="82" t="n">
        <v>28876.742</v>
      </c>
      <c r="K503" s="82" t="n">
        <v>10869762000</v>
      </c>
      <c r="L503" s="83" t="n">
        <v>2.5</v>
      </c>
      <c r="M503" s="82" t="n">
        <v>4422.1752</v>
      </c>
      <c r="N503" s="82" t="n">
        <v>72941505</v>
      </c>
      <c r="O503" s="82" t="n">
        <v>317042.622</v>
      </c>
      <c r="P503" s="83" t="n">
        <v>5.29612031</v>
      </c>
      <c r="Q503" s="83" t="n">
        <v>164</v>
      </c>
      <c r="R503" s="47" t="n">
        <v>4</v>
      </c>
      <c r="S503" s="66" t="s">
        <v>796</v>
      </c>
    </row>
    <row r="504" customFormat="false" ht="15" hidden="false" customHeight="false" outlineLevel="0" collapsed="false">
      <c r="A504" s="79" t="s">
        <v>791</v>
      </c>
      <c r="B504" s="79" t="s">
        <v>276</v>
      </c>
      <c r="C504" s="80" t="n">
        <v>2025</v>
      </c>
      <c r="D504" s="80" t="n">
        <v>2</v>
      </c>
      <c r="E504" s="81" t="n">
        <v>45838</v>
      </c>
      <c r="F504" s="79" t="s">
        <v>267</v>
      </c>
      <c r="G504" s="79" t="s">
        <v>268</v>
      </c>
      <c r="H504" s="79" t="s">
        <v>264</v>
      </c>
      <c r="I504" s="82" t="n">
        <v>150750.323</v>
      </c>
      <c r="J504" s="82" t="n">
        <v>25687.52</v>
      </c>
      <c r="K504" s="82" t="n">
        <v>7521085000</v>
      </c>
      <c r="L504" s="83" t="n">
        <v>1.74</v>
      </c>
      <c r="M504" s="82" t="n">
        <v>4418.9956</v>
      </c>
      <c r="N504" s="82" t="n">
        <v>72941505</v>
      </c>
      <c r="O504" s="82" t="n">
        <v>293770.159</v>
      </c>
      <c r="P504" s="83" t="n">
        <v>0</v>
      </c>
      <c r="Q504" s="83" t="n">
        <v>147.5</v>
      </c>
      <c r="R504" s="47" t="n">
        <v>5</v>
      </c>
      <c r="S504" s="66" t="s">
        <v>797</v>
      </c>
    </row>
    <row r="505" customFormat="false" ht="15" hidden="false" customHeight="false" outlineLevel="0" collapsed="false">
      <c r="A505" s="79" t="s">
        <v>791</v>
      </c>
      <c r="B505" s="79" t="s">
        <v>278</v>
      </c>
      <c r="C505" s="80" t="n">
        <v>2025</v>
      </c>
      <c r="D505" s="80" t="n">
        <v>1</v>
      </c>
      <c r="E505" s="81" t="n">
        <v>45747</v>
      </c>
      <c r="F505" s="79" t="s">
        <v>267</v>
      </c>
      <c r="G505" s="79" t="s">
        <v>268</v>
      </c>
      <c r="H505" s="79" t="s">
        <v>264</v>
      </c>
      <c r="I505" s="82" t="n">
        <v>148153.262</v>
      </c>
      <c r="J505" s="82" t="n">
        <v>24892.736</v>
      </c>
      <c r="K505" s="82" t="n">
        <v>7553833000</v>
      </c>
      <c r="L505" s="83" t="n">
        <v>1.75</v>
      </c>
      <c r="M505" s="82" t="n">
        <v>4414.9305</v>
      </c>
      <c r="N505" s="82" t="n">
        <v>72941505</v>
      </c>
      <c r="O505" s="82" t="n">
        <v>311521.694</v>
      </c>
      <c r="P505" s="83" t="n">
        <v>0</v>
      </c>
      <c r="Q505" s="83" t="n">
        <v>143</v>
      </c>
      <c r="R505" s="47" t="n">
        <v>6</v>
      </c>
      <c r="S505" s="66" t="s">
        <v>798</v>
      </c>
    </row>
    <row r="506" customFormat="false" ht="15" hidden="false" customHeight="false" outlineLevel="0" collapsed="false">
      <c r="A506" s="79" t="s">
        <v>791</v>
      </c>
      <c r="B506" s="79" t="s">
        <v>280</v>
      </c>
      <c r="C506" s="80" t="n">
        <v>2024</v>
      </c>
      <c r="D506" s="80" t="n">
        <v>4</v>
      </c>
      <c r="E506" s="81" t="n">
        <v>45657</v>
      </c>
      <c r="F506" s="79" t="s">
        <v>267</v>
      </c>
      <c r="G506" s="79" t="s">
        <v>268</v>
      </c>
      <c r="H506" s="79" t="s">
        <v>264</v>
      </c>
      <c r="I506" s="82" t="n">
        <v>162263.561</v>
      </c>
      <c r="J506" s="82" t="n">
        <v>26624.622</v>
      </c>
      <c r="K506" s="82" t="n">
        <v>9378473000</v>
      </c>
      <c r="L506" s="83" t="n">
        <v>2.17</v>
      </c>
      <c r="M506" s="82" t="n">
        <v>4412.0643</v>
      </c>
      <c r="N506" s="82" t="n">
        <v>72941505</v>
      </c>
      <c r="O506" s="82" t="n">
        <v>323523.012</v>
      </c>
      <c r="P506" s="83" t="n">
        <v>0</v>
      </c>
      <c r="Q506" s="83" t="n">
        <v>162</v>
      </c>
      <c r="R506" s="47" t="n">
        <v>7</v>
      </c>
      <c r="S506" s="66" t="s">
        <v>799</v>
      </c>
    </row>
    <row r="507" customFormat="false" ht="15" hidden="false" customHeight="false" outlineLevel="0" collapsed="false">
      <c r="A507" s="79" t="s">
        <v>791</v>
      </c>
      <c r="B507" s="79" t="s">
        <v>282</v>
      </c>
      <c r="C507" s="80" t="n">
        <v>2024</v>
      </c>
      <c r="D507" s="80" t="n">
        <v>3</v>
      </c>
      <c r="E507" s="81" t="n">
        <v>45565</v>
      </c>
      <c r="F507" s="79" t="s">
        <v>267</v>
      </c>
      <c r="G507" s="79" t="s">
        <v>268</v>
      </c>
      <c r="H507" s="79" t="s">
        <v>264</v>
      </c>
      <c r="I507" s="82" t="n">
        <v>160105.106</v>
      </c>
      <c r="J507" s="82" t="n">
        <v>26373.145</v>
      </c>
      <c r="K507" s="82" t="n">
        <v>9639048000</v>
      </c>
      <c r="L507" s="83" t="n">
        <v>2.24</v>
      </c>
      <c r="M507" s="82" t="n">
        <v>4406.6781</v>
      </c>
      <c r="N507" s="82" t="n">
        <v>72941505</v>
      </c>
      <c r="O507" s="82" t="n">
        <v>309399.226</v>
      </c>
      <c r="P507" s="83" t="n">
        <v>5.20228257</v>
      </c>
      <c r="Q507" s="83" t="n">
        <v>151</v>
      </c>
      <c r="R507" s="47" t="n">
        <v>8</v>
      </c>
      <c r="S507" s="66" t="s">
        <v>800</v>
      </c>
    </row>
    <row r="508" customFormat="false" ht="15" hidden="false" customHeight="false" outlineLevel="0" collapsed="false">
      <c r="A508" s="79" t="s">
        <v>791</v>
      </c>
      <c r="B508" s="79" t="s">
        <v>284</v>
      </c>
      <c r="C508" s="80" t="n">
        <v>2024</v>
      </c>
      <c r="D508" s="80" t="n">
        <v>2</v>
      </c>
      <c r="E508" s="81" t="n">
        <v>45473</v>
      </c>
      <c r="F508" s="79" t="s">
        <v>267</v>
      </c>
      <c r="G508" s="79" t="s">
        <v>268</v>
      </c>
      <c r="H508" s="79" t="s">
        <v>264</v>
      </c>
      <c r="I508" s="82" t="n">
        <v>140238.063</v>
      </c>
      <c r="J508" s="82" t="n">
        <v>23065.931</v>
      </c>
      <c r="K508" s="82" t="n">
        <v>7783449000</v>
      </c>
      <c r="L508" s="83" t="n">
        <v>1.8</v>
      </c>
      <c r="M508" s="82" t="n">
        <v>4392.5502</v>
      </c>
      <c r="N508" s="82" t="n">
        <v>72941505</v>
      </c>
      <c r="O508" s="82" t="n">
        <v>302347.884</v>
      </c>
      <c r="P508" s="83" t="n">
        <v>0</v>
      </c>
      <c r="Q508" s="83" t="n">
        <v>168.5</v>
      </c>
      <c r="R508" s="47" t="n">
        <v>9</v>
      </c>
      <c r="S508" s="66" t="s">
        <v>801</v>
      </c>
    </row>
    <row r="509" customFormat="false" ht="15" hidden="false" customHeight="false" outlineLevel="0" collapsed="false">
      <c r="A509" s="79" t="s">
        <v>791</v>
      </c>
      <c r="B509" s="79" t="s">
        <v>286</v>
      </c>
      <c r="C509" s="80" t="n">
        <v>2024</v>
      </c>
      <c r="D509" s="80" t="n">
        <v>1</v>
      </c>
      <c r="E509" s="81" t="n">
        <v>45382</v>
      </c>
      <c r="F509" s="79" t="s">
        <v>267</v>
      </c>
      <c r="G509" s="79" t="s">
        <v>268</v>
      </c>
      <c r="H509" s="79" t="s">
        <v>264</v>
      </c>
      <c r="I509" s="82" t="n">
        <v>132802.855</v>
      </c>
      <c r="J509" s="82" t="n">
        <v>20868.046</v>
      </c>
      <c r="K509" s="82" t="n">
        <v>5681509000</v>
      </c>
      <c r="L509" s="83" t="n">
        <v>1.32</v>
      </c>
      <c r="M509" s="82" t="n">
        <v>4384.4117</v>
      </c>
      <c r="N509" s="82" t="n">
        <v>72941505</v>
      </c>
      <c r="O509" s="82" t="n">
        <v>290995.666</v>
      </c>
      <c r="P509" s="83" t="n">
        <v>0</v>
      </c>
      <c r="Q509" s="83" t="n">
        <v>161</v>
      </c>
      <c r="R509" s="47" t="n">
        <v>10</v>
      </c>
      <c r="S509" s="66" t="s">
        <v>802</v>
      </c>
    </row>
    <row r="510" customFormat="false" ht="15" hidden="false" customHeight="false" outlineLevel="0" collapsed="false">
      <c r="A510" s="79" t="s">
        <v>791</v>
      </c>
      <c r="B510" s="79" t="s">
        <v>288</v>
      </c>
      <c r="C510" s="80" t="n">
        <v>2023</v>
      </c>
      <c r="D510" s="80" t="n">
        <v>4</v>
      </c>
      <c r="E510" s="81" t="n">
        <v>45291</v>
      </c>
      <c r="F510" s="79" t="s">
        <v>267</v>
      </c>
      <c r="G510" s="79" t="s">
        <v>268</v>
      </c>
      <c r="H510" s="79" t="s">
        <v>264</v>
      </c>
      <c r="I510" s="82" t="n">
        <v>160581.201</v>
      </c>
      <c r="J510" s="82" t="n">
        <v>25761.324</v>
      </c>
      <c r="K510" s="82" t="n">
        <v>9391973000</v>
      </c>
      <c r="L510" s="83" t="n">
        <v>2.19</v>
      </c>
      <c r="M510" s="82" t="n">
        <v>4380.1992</v>
      </c>
      <c r="N510" s="82" t="n">
        <v>72941505</v>
      </c>
      <c r="O510" s="82" t="n">
        <v>297825.441</v>
      </c>
      <c r="P510" s="83" t="n">
        <v>0</v>
      </c>
      <c r="Q510" s="83" t="n">
        <v>135</v>
      </c>
      <c r="R510" s="47" t="n">
        <v>11</v>
      </c>
      <c r="S510" s="66" t="s">
        <v>803</v>
      </c>
    </row>
    <row r="511" customFormat="false" ht="15" hidden="false" customHeight="false" outlineLevel="0" collapsed="false">
      <c r="A511" s="79" t="s">
        <v>791</v>
      </c>
      <c r="B511" s="79" t="s">
        <v>290</v>
      </c>
      <c r="C511" s="80" t="n">
        <v>2023</v>
      </c>
      <c r="D511" s="80" t="n">
        <v>3</v>
      </c>
      <c r="E511" s="81" t="n">
        <v>45199</v>
      </c>
      <c r="F511" s="79" t="s">
        <v>267</v>
      </c>
      <c r="G511" s="79" t="s">
        <v>268</v>
      </c>
      <c r="H511" s="79" t="s">
        <v>264</v>
      </c>
      <c r="I511" s="82" t="n">
        <v>154166.845</v>
      </c>
      <c r="J511" s="82" t="n">
        <v>24915.662</v>
      </c>
      <c r="K511" s="82" t="n">
        <v>8775842000</v>
      </c>
      <c r="L511" s="83" t="n">
        <v>2.04</v>
      </c>
      <c r="M511" s="82" t="n">
        <v>4376.3608</v>
      </c>
      <c r="N511" s="82" t="n">
        <v>72941505</v>
      </c>
      <c r="O511" s="82" t="n">
        <v>295610.631</v>
      </c>
      <c r="P511" s="83" t="n">
        <v>0</v>
      </c>
      <c r="Q511" s="83" t="n">
        <v>109.5</v>
      </c>
      <c r="R511" s="47" t="n">
        <v>12</v>
      </c>
      <c r="S511" s="66" t="s">
        <v>804</v>
      </c>
    </row>
    <row r="512" customFormat="false" ht="15" hidden="false" customHeight="false" outlineLevel="0" collapsed="false">
      <c r="A512" s="79" t="s">
        <v>791</v>
      </c>
      <c r="B512" s="79" t="s">
        <v>292</v>
      </c>
      <c r="C512" s="80" t="n">
        <v>2023</v>
      </c>
      <c r="D512" s="80" t="n">
        <v>2</v>
      </c>
      <c r="E512" s="81" t="n">
        <v>45107</v>
      </c>
      <c r="F512" s="79" t="s">
        <v>267</v>
      </c>
      <c r="G512" s="79" t="s">
        <v>268</v>
      </c>
      <c r="H512" s="79" t="s">
        <v>264</v>
      </c>
      <c r="I512" s="82" t="n">
        <v>136275.352</v>
      </c>
      <c r="J512" s="82" t="n">
        <v>21740.823</v>
      </c>
      <c r="K512" s="82" t="n">
        <v>7740423000</v>
      </c>
      <c r="L512" s="83" t="n">
        <v>1.8</v>
      </c>
      <c r="M512" s="82" t="n">
        <v>4373.4359</v>
      </c>
      <c r="N512" s="82" t="n">
        <v>72941505</v>
      </c>
      <c r="O512" s="82" t="n">
        <v>278623.853</v>
      </c>
      <c r="P512" s="83" t="n">
        <v>8.7931696</v>
      </c>
      <c r="Q512" s="83" t="n">
        <v>110.5</v>
      </c>
      <c r="R512" s="47" t="n">
        <v>13</v>
      </c>
      <c r="S512" s="66" t="s">
        <v>805</v>
      </c>
    </row>
    <row r="513" customFormat="false" ht="15" hidden="false" customHeight="false" outlineLevel="0" collapsed="false">
      <c r="A513" s="79" t="s">
        <v>791</v>
      </c>
      <c r="B513" s="79" t="s">
        <v>294</v>
      </c>
      <c r="C513" s="80" t="n">
        <v>2023</v>
      </c>
      <c r="D513" s="80" t="n">
        <v>1</v>
      </c>
      <c r="E513" s="81" t="n">
        <v>45016</v>
      </c>
      <c r="F513" s="79" t="s">
        <v>267</v>
      </c>
      <c r="G513" s="79" t="s">
        <v>268</v>
      </c>
      <c r="H513" s="79" t="s">
        <v>264</v>
      </c>
      <c r="I513" s="82" t="n">
        <v>130891.073</v>
      </c>
      <c r="J513" s="82" t="n">
        <v>19339.323</v>
      </c>
      <c r="K513" s="82" t="n">
        <v>5817165000</v>
      </c>
      <c r="L513" s="83" t="n">
        <v>1.36</v>
      </c>
      <c r="M513" s="82" t="n">
        <v>4367.2429</v>
      </c>
      <c r="N513" s="82" t="n">
        <v>72941505</v>
      </c>
      <c r="O513" s="82" t="n">
        <v>270651.349</v>
      </c>
      <c r="P513" s="83" t="n">
        <v>0</v>
      </c>
      <c r="Q513" s="83" t="n">
        <v>112.5</v>
      </c>
      <c r="R513" s="47" t="n">
        <v>14</v>
      </c>
      <c r="S513" s="66" t="s">
        <v>806</v>
      </c>
    </row>
    <row r="514" customFormat="false" ht="15" hidden="false" customHeight="false" outlineLevel="0" collapsed="false">
      <c r="A514" s="79" t="s">
        <v>791</v>
      </c>
      <c r="B514" s="79" t="s">
        <v>296</v>
      </c>
      <c r="C514" s="80" t="n">
        <v>2022</v>
      </c>
      <c r="D514" s="80" t="n">
        <v>4</v>
      </c>
      <c r="E514" s="81" t="n">
        <v>44926</v>
      </c>
      <c r="F514" s="79" t="s">
        <v>267</v>
      </c>
      <c r="G514" s="79" t="s">
        <v>268</v>
      </c>
      <c r="H514" s="79" t="s">
        <v>264</v>
      </c>
      <c r="I514" s="82" t="n">
        <v>177417.239</v>
      </c>
      <c r="J514" s="82" t="n">
        <v>34099.25</v>
      </c>
      <c r="K514" s="82" t="n">
        <v>15730435000</v>
      </c>
      <c r="L514" s="83" t="n">
        <v>3.79</v>
      </c>
      <c r="M514" s="82" t="n">
        <v>4364.2185</v>
      </c>
      <c r="N514" s="82" t="n">
        <v>72941505</v>
      </c>
      <c r="O514" s="82" t="n">
        <v>301285.248</v>
      </c>
      <c r="P514" s="83" t="n">
        <v>0</v>
      </c>
      <c r="Q514" s="83" t="n">
        <v>93.9</v>
      </c>
      <c r="R514" s="47" t="n">
        <v>15</v>
      </c>
      <c r="S514" s="66" t="s">
        <v>807</v>
      </c>
    </row>
    <row r="515" customFormat="false" ht="15" hidden="false" customHeight="false" outlineLevel="0" collapsed="false">
      <c r="A515" s="79" t="s">
        <v>791</v>
      </c>
      <c r="B515" s="79" t="s">
        <v>298</v>
      </c>
      <c r="C515" s="80" t="n">
        <v>2022</v>
      </c>
      <c r="D515" s="80" t="n">
        <v>3</v>
      </c>
      <c r="E515" s="81" t="n">
        <v>44834</v>
      </c>
      <c r="F515" s="79" t="s">
        <v>267</v>
      </c>
      <c r="G515" s="79" t="s">
        <v>268</v>
      </c>
      <c r="H515" s="79" t="s">
        <v>264</v>
      </c>
      <c r="I515" s="82" t="n">
        <v>188625.557</v>
      </c>
      <c r="J515" s="82" t="n">
        <v>37971.974</v>
      </c>
      <c r="K515" s="82" t="n">
        <v>17464626000</v>
      </c>
      <c r="L515" s="83" t="n">
        <v>4.03</v>
      </c>
      <c r="M515" s="82" t="n">
        <v>4359.928</v>
      </c>
      <c r="N515" s="82" t="n">
        <v>72941505</v>
      </c>
      <c r="O515" s="82" t="n">
        <v>288361.421</v>
      </c>
      <c r="P515" s="83" t="n">
        <v>0</v>
      </c>
      <c r="Q515" s="83" t="n">
        <v>80.1</v>
      </c>
      <c r="R515" s="47" t="n">
        <v>16</v>
      </c>
      <c r="S515" s="66" t="s">
        <v>808</v>
      </c>
    </row>
    <row r="516" customFormat="false" ht="15" hidden="false" customHeight="false" outlineLevel="0" collapsed="false">
      <c r="A516" s="79" t="s">
        <v>791</v>
      </c>
      <c r="B516" s="79" t="s">
        <v>300</v>
      </c>
      <c r="C516" s="80" t="n">
        <v>2022</v>
      </c>
      <c r="D516" s="80" t="n">
        <v>2</v>
      </c>
      <c r="E516" s="81" t="n">
        <v>44742</v>
      </c>
      <c r="F516" s="79" t="s">
        <v>267</v>
      </c>
      <c r="G516" s="79" t="s">
        <v>268</v>
      </c>
      <c r="H516" s="79" t="s">
        <v>264</v>
      </c>
      <c r="I516" s="82" t="n">
        <v>160439.02</v>
      </c>
      <c r="J516" s="82" t="n">
        <v>34387.56</v>
      </c>
      <c r="K516" s="82" t="n">
        <v>15988151000</v>
      </c>
      <c r="L516" s="83" t="n">
        <v>3.69</v>
      </c>
      <c r="M516" s="82" t="n">
        <v>4357.5089</v>
      </c>
      <c r="N516" s="82" t="n">
        <v>72941505</v>
      </c>
      <c r="O516" s="82" t="n">
        <v>263039.09</v>
      </c>
      <c r="P516" s="83" t="n">
        <v>6.9959828</v>
      </c>
      <c r="Q516" s="83" t="n">
        <v>76.4</v>
      </c>
      <c r="R516" s="47" t="n">
        <v>17</v>
      </c>
      <c r="S516" s="66" t="s">
        <v>809</v>
      </c>
    </row>
    <row r="517" customFormat="false" ht="15" hidden="false" customHeight="false" outlineLevel="0" collapsed="false">
      <c r="A517" s="79" t="s">
        <v>791</v>
      </c>
      <c r="B517" s="79" t="s">
        <v>302</v>
      </c>
      <c r="C517" s="80" t="n">
        <v>2022</v>
      </c>
      <c r="D517" s="80" t="n">
        <v>1</v>
      </c>
      <c r="E517" s="81" t="n">
        <v>44651</v>
      </c>
      <c r="F517" s="79" t="s">
        <v>267</v>
      </c>
      <c r="G517" s="79" t="s">
        <v>268</v>
      </c>
      <c r="H517" s="79" t="s">
        <v>264</v>
      </c>
      <c r="I517" s="82" t="n">
        <v>144390.827</v>
      </c>
      <c r="J517" s="82" t="n">
        <v>28471.228</v>
      </c>
      <c r="K517" s="82" t="n">
        <v>12907282000</v>
      </c>
      <c r="L517" s="83" t="n">
        <v>3.01</v>
      </c>
      <c r="M517" s="82" t="n">
        <v>4353.0188</v>
      </c>
      <c r="N517" s="82" t="n">
        <v>72941505</v>
      </c>
      <c r="O517" s="82" t="n">
        <v>248373.426</v>
      </c>
      <c r="P517" s="83" t="n">
        <v>0</v>
      </c>
      <c r="Q517" s="83" t="n">
        <v>103.5</v>
      </c>
      <c r="R517" s="47" t="n">
        <v>18</v>
      </c>
      <c r="S517" s="66" t="s">
        <v>810</v>
      </c>
    </row>
    <row r="518" customFormat="false" ht="15" hidden="false" customHeight="false" outlineLevel="0" collapsed="false">
      <c r="A518" s="79" t="s">
        <v>791</v>
      </c>
      <c r="B518" s="79" t="s">
        <v>304</v>
      </c>
      <c r="C518" s="80" t="n">
        <v>2021</v>
      </c>
      <c r="D518" s="80" t="n">
        <v>4</v>
      </c>
      <c r="E518" s="81" t="n">
        <v>44561</v>
      </c>
      <c r="F518" s="79" t="s">
        <v>267</v>
      </c>
      <c r="G518" s="79" t="s">
        <v>268</v>
      </c>
      <c r="H518" s="79" t="s">
        <v>264</v>
      </c>
      <c r="I518" s="82" t="n">
        <v>172936.186</v>
      </c>
      <c r="J518" s="82" t="n">
        <v>32894.294</v>
      </c>
      <c r="K518" s="82" t="n">
        <v>30915852000</v>
      </c>
      <c r="L518" s="83" t="n">
        <v>7.18</v>
      </c>
      <c r="M518" s="82" t="n">
        <v>4403.4146</v>
      </c>
      <c r="N518" s="82" t="n">
        <v>126008505</v>
      </c>
      <c r="O518" s="82" t="n">
        <v>260076.714</v>
      </c>
      <c r="P518" s="83" t="n">
        <v>0</v>
      </c>
      <c r="Q518" s="83" t="n">
        <v>106.5</v>
      </c>
      <c r="R518" s="47" t="n">
        <v>19</v>
      </c>
      <c r="S518" s="66" t="s">
        <v>811</v>
      </c>
    </row>
    <row r="519" customFormat="false" ht="15" hidden="false" customHeight="false" outlineLevel="0" collapsed="false">
      <c r="A519" s="79" t="s">
        <v>791</v>
      </c>
      <c r="B519" s="79" t="s">
        <v>306</v>
      </c>
      <c r="C519" s="80" t="n">
        <v>2021</v>
      </c>
      <c r="D519" s="80" t="n">
        <v>3</v>
      </c>
      <c r="E519" s="81" t="n">
        <v>44469</v>
      </c>
      <c r="F519" s="79" t="s">
        <v>267</v>
      </c>
      <c r="G519" s="79" t="s">
        <v>268</v>
      </c>
      <c r="H519" s="79" t="s">
        <v>264</v>
      </c>
      <c r="I519" s="82" t="n">
        <v>150664.816</v>
      </c>
      <c r="J519" s="82" t="n">
        <v>30783.963</v>
      </c>
      <c r="K519" s="82" t="n">
        <v>14176280000</v>
      </c>
      <c r="L519" s="83" t="n">
        <v>3.29</v>
      </c>
      <c r="M519" s="82" t="n">
        <v>4382.9324</v>
      </c>
      <c r="N519" s="82" t="n">
        <v>72941505</v>
      </c>
      <c r="O519" s="82" t="n">
        <v>235186.09</v>
      </c>
      <c r="P519" s="83" t="n">
        <v>4.19149913</v>
      </c>
      <c r="Q519" s="83" t="n">
        <v>109</v>
      </c>
      <c r="R519" s="47" t="n">
        <v>20</v>
      </c>
      <c r="S519" s="66" t="s">
        <v>812</v>
      </c>
    </row>
    <row r="520" customFormat="false" ht="15" hidden="false" customHeight="false" outlineLevel="0" collapsed="false">
      <c r="A520" s="79" t="s">
        <v>791</v>
      </c>
      <c r="B520" s="79" t="s">
        <v>308</v>
      </c>
      <c r="C520" s="80" t="n">
        <v>2021</v>
      </c>
      <c r="D520" s="80" t="n">
        <v>2</v>
      </c>
      <c r="E520" s="81" t="n">
        <v>44377</v>
      </c>
      <c r="F520" s="79" t="s">
        <v>267</v>
      </c>
      <c r="G520" s="79" t="s">
        <v>268</v>
      </c>
      <c r="H520" s="79" t="s">
        <v>264</v>
      </c>
      <c r="I520" s="82" t="n">
        <v>126926.347</v>
      </c>
      <c r="J520" s="82" t="n">
        <v>24662.478</v>
      </c>
      <c r="K520" s="82" t="n">
        <v>10249964000</v>
      </c>
      <c r="L520" s="83" t="n">
        <v>2.4</v>
      </c>
      <c r="M520" s="82" t="n">
        <v>4379.428</v>
      </c>
      <c r="N520" s="82" t="n">
        <v>72941505</v>
      </c>
      <c r="O520" s="82" t="n">
        <v>238993.243</v>
      </c>
      <c r="P520" s="83" t="n">
        <v>0</v>
      </c>
      <c r="Q520" s="83" t="n">
        <v>112</v>
      </c>
      <c r="R520" s="47" t="n">
        <v>21</v>
      </c>
      <c r="S520" s="66" t="s">
        <v>813</v>
      </c>
    </row>
    <row r="521" customFormat="false" ht="15" hidden="false" customHeight="false" outlineLevel="0" collapsed="false">
      <c r="A521" s="79" t="s">
        <v>791</v>
      </c>
      <c r="B521" s="79" t="s">
        <v>310</v>
      </c>
      <c r="C521" s="80" t="n">
        <v>2021</v>
      </c>
      <c r="D521" s="80" t="n">
        <v>1</v>
      </c>
      <c r="E521" s="81" t="n">
        <v>44286</v>
      </c>
      <c r="F521" s="79" t="s">
        <v>267</v>
      </c>
      <c r="G521" s="79" t="s">
        <v>268</v>
      </c>
      <c r="H521" s="79" t="s">
        <v>264</v>
      </c>
      <c r="I521" s="82" t="n">
        <v>119469.784</v>
      </c>
      <c r="J521" s="82" t="n">
        <v>22028.042</v>
      </c>
      <c r="K521" s="82" t="n">
        <v>8565584000</v>
      </c>
      <c r="L521" s="83" t="n">
        <v>1.99</v>
      </c>
      <c r="M521" s="82" t="n">
        <v>4350.6755</v>
      </c>
      <c r="N521" s="82" t="n">
        <v>72941505</v>
      </c>
      <c r="O521" s="82" t="n">
        <v>229757.391</v>
      </c>
      <c r="P521" s="83" t="n">
        <v>0</v>
      </c>
      <c r="Q521" s="83" t="n">
        <v>107.5</v>
      </c>
      <c r="R521" s="47" t="n">
        <v>22</v>
      </c>
      <c r="S521" s="66" t="s">
        <v>814</v>
      </c>
    </row>
    <row r="522" customFormat="false" ht="15" hidden="false" customHeight="false" outlineLevel="0" collapsed="false">
      <c r="A522" s="79" t="s">
        <v>791</v>
      </c>
      <c r="B522" s="79" t="s">
        <v>312</v>
      </c>
      <c r="C522" s="80" t="n">
        <v>2020</v>
      </c>
      <c r="D522" s="80" t="n">
        <v>4</v>
      </c>
      <c r="E522" s="81" t="n">
        <v>44196</v>
      </c>
      <c r="F522" s="79" t="s">
        <v>267</v>
      </c>
      <c r="G522" s="79" t="s">
        <v>268</v>
      </c>
      <c r="H522" s="79" t="s">
        <v>264</v>
      </c>
      <c r="I522" s="82" t="n">
        <v>148877.383</v>
      </c>
      <c r="J522" s="82" t="n">
        <v>23299.411</v>
      </c>
      <c r="K522" s="82" t="n">
        <v>10044034000</v>
      </c>
      <c r="L522" s="83" t="n">
        <v>2.35</v>
      </c>
      <c r="M522" s="82" t="n">
        <v>4338.5311</v>
      </c>
      <c r="N522" s="82" t="n">
        <v>72941505</v>
      </c>
      <c r="O522" s="82" t="n">
        <v>218635.019</v>
      </c>
      <c r="P522" s="83" t="n">
        <v>0</v>
      </c>
      <c r="Q522" s="83" t="n">
        <v>81.3</v>
      </c>
      <c r="R522" s="47" t="n">
        <v>23</v>
      </c>
      <c r="S522" s="66" t="s">
        <v>815</v>
      </c>
    </row>
    <row r="523" customFormat="false" ht="15" hidden="false" customHeight="false" outlineLevel="0" collapsed="false">
      <c r="A523" s="79" t="s">
        <v>791</v>
      </c>
      <c r="B523" s="79" t="s">
        <v>314</v>
      </c>
      <c r="C523" s="80" t="n">
        <v>2020</v>
      </c>
      <c r="D523" s="80" t="n">
        <v>3</v>
      </c>
      <c r="E523" s="81" t="n">
        <v>44104</v>
      </c>
      <c r="F523" s="79" t="s">
        <v>267</v>
      </c>
      <c r="G523" s="79" t="s">
        <v>268</v>
      </c>
      <c r="H523" s="79" t="s">
        <v>264</v>
      </c>
      <c r="I523" s="82" t="n">
        <v>123195.399</v>
      </c>
      <c r="J523" s="82" t="n">
        <v>19719.808</v>
      </c>
      <c r="K523" s="82" t="n">
        <v>6712720000</v>
      </c>
      <c r="L523" s="83" t="n">
        <v>1.57</v>
      </c>
      <c r="M523" s="82" t="n">
        <v>4338.3451</v>
      </c>
      <c r="N523" s="82" t="n">
        <v>72941505</v>
      </c>
      <c r="O523" s="82" t="n">
        <v>205509.934</v>
      </c>
      <c r="P523" s="83"/>
      <c r="Q523" s="83" t="n">
        <v>59.2</v>
      </c>
      <c r="R523" s="47" t="n">
        <v>24</v>
      </c>
      <c r="S523" s="66" t="s">
        <v>816</v>
      </c>
    </row>
    <row r="524" customFormat="false" ht="15" hidden="false" customHeight="false" outlineLevel="0" collapsed="false">
      <c r="A524" s="79" t="s">
        <v>225</v>
      </c>
      <c r="B524" s="79" t="s">
        <v>261</v>
      </c>
      <c r="C524" s="80" t="n">
        <v>2026</v>
      </c>
      <c r="D524" s="80" t="n">
        <v>3</v>
      </c>
      <c r="E524" s="81" t="n">
        <v>46295</v>
      </c>
      <c r="F524" s="79" t="s">
        <v>262</v>
      </c>
      <c r="G524" s="79" t="s">
        <v>263</v>
      </c>
      <c r="H524" s="79" t="s">
        <v>264</v>
      </c>
      <c r="I524" s="82"/>
      <c r="J524" s="82"/>
      <c r="K524" s="82"/>
      <c r="L524" s="83" t="n">
        <v>1.47057</v>
      </c>
      <c r="M524" s="82"/>
      <c r="N524" s="82"/>
      <c r="O524" s="82"/>
      <c r="P524" s="83"/>
      <c r="Q524" s="83"/>
      <c r="R524" s="47" t="n">
        <v>0</v>
      </c>
      <c r="S524" s="66" t="s">
        <v>817</v>
      </c>
    </row>
    <row r="525" customFormat="false" ht="15" hidden="false" customHeight="false" outlineLevel="0" collapsed="false">
      <c r="A525" s="79" t="s">
        <v>225</v>
      </c>
      <c r="B525" s="79" t="s">
        <v>266</v>
      </c>
      <c r="C525" s="80" t="n">
        <v>2026</v>
      </c>
      <c r="D525" s="80" t="n">
        <v>2</v>
      </c>
      <c r="E525" s="81" t="n">
        <v>46203</v>
      </c>
      <c r="F525" s="79" t="s">
        <v>267</v>
      </c>
      <c r="G525" s="79" t="s">
        <v>268</v>
      </c>
      <c r="H525" s="79" t="s">
        <v>264</v>
      </c>
      <c r="I525" s="82" t="n">
        <v>274447.863</v>
      </c>
      <c r="J525" s="82" t="n">
        <v>12156.04</v>
      </c>
      <c r="K525" s="82" t="n">
        <v>4487630000</v>
      </c>
      <c r="L525" s="83" t="n">
        <v>1.68</v>
      </c>
      <c r="M525" s="82" t="n">
        <v>2675.8522</v>
      </c>
      <c r="N525" s="82" t="n">
        <v>0</v>
      </c>
      <c r="O525" s="82" t="n">
        <v>206921.78</v>
      </c>
      <c r="P525" s="83" t="n">
        <v>4.00943684</v>
      </c>
      <c r="Q525" s="83" t="n">
        <v>83.8</v>
      </c>
      <c r="R525" s="47" t="n">
        <v>1</v>
      </c>
      <c r="S525" s="66" t="s">
        <v>818</v>
      </c>
    </row>
    <row r="526" customFormat="false" ht="15" hidden="false" customHeight="false" outlineLevel="0" collapsed="false">
      <c r="A526" s="79" t="s">
        <v>225</v>
      </c>
      <c r="B526" s="79" t="s">
        <v>270</v>
      </c>
      <c r="C526" s="80" t="n">
        <v>2026</v>
      </c>
      <c r="D526" s="80" t="n">
        <v>1</v>
      </c>
      <c r="E526" s="81" t="n">
        <v>46112</v>
      </c>
      <c r="F526" s="79" t="s">
        <v>267</v>
      </c>
      <c r="G526" s="79" t="s">
        <v>268</v>
      </c>
      <c r="H526" s="79" t="s">
        <v>264</v>
      </c>
      <c r="I526" s="82" t="n">
        <v>244105.4</v>
      </c>
      <c r="J526" s="82" t="n">
        <v>10801.479</v>
      </c>
      <c r="K526" s="82" t="n">
        <v>1561454000</v>
      </c>
      <c r="L526" s="83" t="n">
        <v>0.58</v>
      </c>
      <c r="M526" s="82" t="n">
        <v>2682.0441</v>
      </c>
      <c r="N526" s="82" t="n">
        <v>0</v>
      </c>
      <c r="O526" s="82" t="n">
        <v>203044.619</v>
      </c>
      <c r="P526" s="83" t="n">
        <v>0</v>
      </c>
      <c r="Q526" s="83" t="n">
        <v>76.2</v>
      </c>
      <c r="R526" s="47" t="n">
        <v>2</v>
      </c>
      <c r="S526" s="66" t="s">
        <v>819</v>
      </c>
    </row>
    <row r="527" customFormat="false" ht="15" hidden="false" customHeight="false" outlineLevel="0" collapsed="false">
      <c r="A527" s="79" t="s">
        <v>225</v>
      </c>
      <c r="B527" s="79" t="s">
        <v>272</v>
      </c>
      <c r="C527" s="80" t="n">
        <v>2025</v>
      </c>
      <c r="D527" s="80" t="n">
        <v>4</v>
      </c>
      <c r="E527" s="81" t="n">
        <v>46022</v>
      </c>
      <c r="F527" s="79" t="s">
        <v>267</v>
      </c>
      <c r="G527" s="79" t="s">
        <v>268</v>
      </c>
      <c r="H527" s="79" t="s">
        <v>264</v>
      </c>
      <c r="I527" s="82" t="n">
        <v>319527.992</v>
      </c>
      <c r="J527" s="82" t="n">
        <v>13056.531</v>
      </c>
      <c r="K527" s="82" t="n">
        <v>5266952000</v>
      </c>
      <c r="L527" s="83" t="n">
        <v>1.97</v>
      </c>
      <c r="M527" s="82" t="n">
        <v>2682.1651</v>
      </c>
      <c r="N527" s="82" t="n">
        <v>0</v>
      </c>
      <c r="O527" s="82" t="n">
        <v>207343.291</v>
      </c>
      <c r="P527" s="83" t="n">
        <v>0</v>
      </c>
      <c r="Q527" s="83" t="n">
        <v>68.6</v>
      </c>
      <c r="R527" s="47" t="n">
        <v>3</v>
      </c>
      <c r="S527" s="66" t="s">
        <v>820</v>
      </c>
    </row>
    <row r="528" customFormat="false" ht="15" hidden="false" customHeight="false" outlineLevel="0" collapsed="false">
      <c r="A528" s="79" t="s">
        <v>225</v>
      </c>
      <c r="B528" s="79" t="s">
        <v>274</v>
      </c>
      <c r="C528" s="80" t="n">
        <v>2025</v>
      </c>
      <c r="D528" s="80" t="n">
        <v>3</v>
      </c>
      <c r="E528" s="81" t="n">
        <v>45930</v>
      </c>
      <c r="F528" s="79" t="s">
        <v>267</v>
      </c>
      <c r="G528" s="79" t="s">
        <v>268</v>
      </c>
      <c r="H528" s="79" t="s">
        <v>264</v>
      </c>
      <c r="I528" s="82" t="n">
        <v>257863.123</v>
      </c>
      <c r="J528" s="82" t="n">
        <v>10902.151</v>
      </c>
      <c r="K528" s="82" t="n">
        <v>4544904000</v>
      </c>
      <c r="L528" s="83" t="n">
        <v>1.69</v>
      </c>
      <c r="M528" s="82" t="n">
        <v>2682.2001</v>
      </c>
      <c r="N528" s="82" t="n">
        <v>0</v>
      </c>
      <c r="O528" s="82" t="n">
        <v>192763.319</v>
      </c>
      <c r="P528" s="83" t="n">
        <v>0</v>
      </c>
      <c r="Q528" s="83" t="n">
        <v>70.8</v>
      </c>
      <c r="R528" s="47" t="n">
        <v>4</v>
      </c>
      <c r="S528" s="66" t="s">
        <v>821</v>
      </c>
    </row>
    <row r="529" customFormat="false" ht="15" hidden="false" customHeight="false" outlineLevel="0" collapsed="false">
      <c r="A529" s="79" t="s">
        <v>225</v>
      </c>
      <c r="B529" s="79" t="s">
        <v>276</v>
      </c>
      <c r="C529" s="80" t="n">
        <v>2025</v>
      </c>
      <c r="D529" s="80" t="n">
        <v>2</v>
      </c>
      <c r="E529" s="81" t="n">
        <v>45838</v>
      </c>
      <c r="F529" s="79" t="s">
        <v>267</v>
      </c>
      <c r="G529" s="79" t="s">
        <v>268</v>
      </c>
      <c r="H529" s="79" t="s">
        <v>264</v>
      </c>
      <c r="I529" s="82" t="n">
        <v>267335.783</v>
      </c>
      <c r="J529" s="82" t="n">
        <v>8377.372</v>
      </c>
      <c r="K529" s="82" t="n">
        <v>287394000</v>
      </c>
      <c r="L529" s="83" t="n">
        <v>0.11</v>
      </c>
      <c r="M529" s="82" t="n">
        <v>2661.4986</v>
      </c>
      <c r="N529" s="82" t="n">
        <v>0</v>
      </c>
      <c r="O529" s="82" t="n">
        <v>179373.738</v>
      </c>
      <c r="P529" s="83" t="n">
        <v>4.50282529</v>
      </c>
      <c r="Q529" s="83" t="n">
        <v>76.8</v>
      </c>
      <c r="R529" s="47" t="n">
        <v>5</v>
      </c>
      <c r="S529" s="66" t="s">
        <v>822</v>
      </c>
    </row>
    <row r="530" customFormat="false" ht="15" hidden="false" customHeight="false" outlineLevel="0" collapsed="false">
      <c r="A530" s="79" t="s">
        <v>225</v>
      </c>
      <c r="B530" s="79" t="s">
        <v>278</v>
      </c>
      <c r="C530" s="80" t="n">
        <v>2025</v>
      </c>
      <c r="D530" s="80" t="n">
        <v>1</v>
      </c>
      <c r="E530" s="81" t="n">
        <v>45747</v>
      </c>
      <c r="F530" s="79" t="s">
        <v>267</v>
      </c>
      <c r="G530" s="79" t="s">
        <v>268</v>
      </c>
      <c r="H530" s="79" t="s">
        <v>264</v>
      </c>
      <c r="I530" s="82" t="n">
        <v>272433.483</v>
      </c>
      <c r="J530" s="82" t="n">
        <v>10165.206</v>
      </c>
      <c r="K530" s="82" t="n">
        <v>4303350000</v>
      </c>
      <c r="L530" s="83" t="n">
        <v>1.62</v>
      </c>
      <c r="M530" s="82" t="n">
        <v>2663.1576</v>
      </c>
      <c r="N530" s="82" t="n">
        <v>0</v>
      </c>
      <c r="O530" s="82" t="n">
        <v>201731.624</v>
      </c>
      <c r="P530" s="83" t="n">
        <v>0</v>
      </c>
      <c r="Q530" s="83" t="n">
        <v>83.9</v>
      </c>
      <c r="R530" s="47" t="n">
        <v>6</v>
      </c>
      <c r="S530" s="66" t="s">
        <v>823</v>
      </c>
    </row>
    <row r="531" customFormat="false" ht="15" hidden="false" customHeight="false" outlineLevel="0" collapsed="false">
      <c r="A531" s="79" t="s">
        <v>225</v>
      </c>
      <c r="B531" s="79" t="s">
        <v>280</v>
      </c>
      <c r="C531" s="80" t="n">
        <v>2024</v>
      </c>
      <c r="D531" s="80" t="n">
        <v>4</v>
      </c>
      <c r="E531" s="81" t="n">
        <v>45657</v>
      </c>
      <c r="F531" s="79" t="s">
        <v>267</v>
      </c>
      <c r="G531" s="79" t="s">
        <v>268</v>
      </c>
      <c r="H531" s="79" t="s">
        <v>264</v>
      </c>
      <c r="I531" s="82" t="n">
        <v>327003.835</v>
      </c>
      <c r="J531" s="82" t="n">
        <v>11812.814</v>
      </c>
      <c r="K531" s="82" t="n">
        <v>3737433000</v>
      </c>
      <c r="L531" s="83" t="n">
        <v>1.41</v>
      </c>
      <c r="M531" s="82" t="n">
        <v>2663.1771</v>
      </c>
      <c r="N531" s="82" t="n">
        <v>0</v>
      </c>
      <c r="O531" s="82" t="n">
        <v>207093.133</v>
      </c>
      <c r="P531" s="83" t="n">
        <v>0</v>
      </c>
      <c r="Q531" s="83" t="n">
        <v>91.9</v>
      </c>
      <c r="R531" s="47" t="n">
        <v>7</v>
      </c>
      <c r="S531" s="66" t="s">
        <v>824</v>
      </c>
    </row>
    <row r="532" customFormat="false" ht="15" hidden="false" customHeight="false" outlineLevel="0" collapsed="false">
      <c r="A532" s="79" t="s">
        <v>225</v>
      </c>
      <c r="B532" s="79" t="s">
        <v>282</v>
      </c>
      <c r="C532" s="80" t="n">
        <v>2024</v>
      </c>
      <c r="D532" s="80" t="n">
        <v>3</v>
      </c>
      <c r="E532" s="81" t="n">
        <v>45565</v>
      </c>
      <c r="F532" s="79" t="s">
        <v>267</v>
      </c>
      <c r="G532" s="79" t="s">
        <v>268</v>
      </c>
      <c r="H532" s="79" t="s">
        <v>264</v>
      </c>
      <c r="I532" s="82" t="n">
        <v>294230.234</v>
      </c>
      <c r="J532" s="82" t="n">
        <v>12039.642</v>
      </c>
      <c r="K532" s="82" t="n">
        <v>4295665000</v>
      </c>
      <c r="L532" s="83" t="n">
        <v>1.61</v>
      </c>
      <c r="M532" s="82" t="n">
        <v>2663.1881</v>
      </c>
      <c r="N532" s="82" t="n">
        <v>0</v>
      </c>
      <c r="O532" s="82" t="n">
        <v>197756.418</v>
      </c>
      <c r="P532" s="83" t="n">
        <v>0</v>
      </c>
      <c r="Q532" s="83" t="n">
        <v>103</v>
      </c>
      <c r="R532" s="47" t="n">
        <v>8</v>
      </c>
      <c r="S532" s="66" t="s">
        <v>825</v>
      </c>
    </row>
    <row r="533" customFormat="false" ht="15" hidden="false" customHeight="false" outlineLevel="0" collapsed="false">
      <c r="A533" s="79" t="s">
        <v>225</v>
      </c>
      <c r="B533" s="79" t="s">
        <v>284</v>
      </c>
      <c r="C533" s="80" t="n">
        <v>2024</v>
      </c>
      <c r="D533" s="80" t="n">
        <v>2</v>
      </c>
      <c r="E533" s="81" t="n">
        <v>45473</v>
      </c>
      <c r="F533" s="79" t="s">
        <v>267</v>
      </c>
      <c r="G533" s="79" t="s">
        <v>268</v>
      </c>
      <c r="H533" s="79" t="s">
        <v>264</v>
      </c>
      <c r="I533" s="82" t="n">
        <v>253714.792</v>
      </c>
      <c r="J533" s="82" t="n">
        <v>11597.633</v>
      </c>
      <c r="K533" s="82" t="n">
        <v>5586352000</v>
      </c>
      <c r="L533" s="83" t="n">
        <v>2.1</v>
      </c>
      <c r="M533" s="82" t="n">
        <v>2663.7766</v>
      </c>
      <c r="N533" s="82" t="n">
        <v>0</v>
      </c>
      <c r="O533" s="82" t="n">
        <v>197581.024</v>
      </c>
      <c r="P533" s="83" t="n">
        <v>4.00058413</v>
      </c>
      <c r="Q533" s="83" t="n">
        <v>104.5</v>
      </c>
      <c r="R533" s="47" t="n">
        <v>9</v>
      </c>
      <c r="S533" s="66" t="s">
        <v>826</v>
      </c>
    </row>
    <row r="534" customFormat="false" ht="15" hidden="false" customHeight="false" outlineLevel="0" collapsed="false">
      <c r="A534" s="79" t="s">
        <v>225</v>
      </c>
      <c r="B534" s="79" t="s">
        <v>286</v>
      </c>
      <c r="C534" s="80" t="n">
        <v>2024</v>
      </c>
      <c r="D534" s="80" t="n">
        <v>1</v>
      </c>
      <c r="E534" s="81" t="n">
        <v>45382</v>
      </c>
      <c r="F534" s="79" t="s">
        <v>267</v>
      </c>
      <c r="G534" s="79" t="s">
        <v>268</v>
      </c>
      <c r="H534" s="79" t="s">
        <v>264</v>
      </c>
      <c r="I534" s="82" t="n">
        <v>250399.656</v>
      </c>
      <c r="J534" s="82" t="n">
        <v>10582.703</v>
      </c>
      <c r="K534" s="82" t="n">
        <v>3257428000</v>
      </c>
      <c r="L534" s="83" t="n">
        <v>1.22</v>
      </c>
      <c r="M534" s="82" t="n">
        <v>2663.9794</v>
      </c>
      <c r="N534" s="82" t="n">
        <v>0</v>
      </c>
      <c r="O534" s="82" t="n">
        <v>188744.388</v>
      </c>
      <c r="P534" s="83" t="n">
        <v>0</v>
      </c>
      <c r="Q534" s="83" t="n">
        <v>102</v>
      </c>
      <c r="R534" s="47" t="n">
        <v>10</v>
      </c>
      <c r="S534" s="66" t="s">
        <v>827</v>
      </c>
    </row>
    <row r="535" customFormat="false" ht="15" hidden="false" customHeight="false" outlineLevel="0" collapsed="false">
      <c r="A535" s="79" t="s">
        <v>225</v>
      </c>
      <c r="B535" s="79" t="s">
        <v>288</v>
      </c>
      <c r="C535" s="80" t="n">
        <v>2023</v>
      </c>
      <c r="D535" s="80" t="n">
        <v>4</v>
      </c>
      <c r="E535" s="81" t="n">
        <v>45291</v>
      </c>
      <c r="F535" s="79" t="s">
        <v>267</v>
      </c>
      <c r="G535" s="79" t="s">
        <v>268</v>
      </c>
      <c r="H535" s="79" t="s">
        <v>264</v>
      </c>
      <c r="I535" s="82" t="n">
        <v>342169.48</v>
      </c>
      <c r="J535" s="82" t="n">
        <v>13055.904</v>
      </c>
      <c r="K535" s="82" t="n">
        <v>4994905000</v>
      </c>
      <c r="L535" s="83" t="n">
        <v>1.88</v>
      </c>
      <c r="M535" s="82" t="n">
        <v>2664.2241</v>
      </c>
      <c r="N535" s="82" t="n">
        <v>0</v>
      </c>
      <c r="O535" s="82" t="n">
        <v>188809.892</v>
      </c>
      <c r="P535" s="83" t="n">
        <v>0</v>
      </c>
      <c r="Q535" s="83" t="n">
        <v>87.3</v>
      </c>
      <c r="R535" s="47" t="n">
        <v>11</v>
      </c>
      <c r="S535" s="66" t="s">
        <v>828</v>
      </c>
    </row>
    <row r="536" customFormat="false" ht="15" hidden="false" customHeight="false" outlineLevel="0" collapsed="false">
      <c r="A536" s="79" t="s">
        <v>225</v>
      </c>
      <c r="B536" s="79" t="s">
        <v>290</v>
      </c>
      <c r="C536" s="80" t="n">
        <v>2023</v>
      </c>
      <c r="D536" s="80" t="n">
        <v>3</v>
      </c>
      <c r="E536" s="81" t="n">
        <v>45199</v>
      </c>
      <c r="F536" s="79" t="s">
        <v>267</v>
      </c>
      <c r="G536" s="79" t="s">
        <v>268</v>
      </c>
      <c r="H536" s="79" t="s">
        <v>264</v>
      </c>
      <c r="I536" s="82" t="n">
        <v>315769.11</v>
      </c>
      <c r="J536" s="82" t="n">
        <v>12158.608</v>
      </c>
      <c r="K536" s="82" t="n">
        <v>4582779000</v>
      </c>
      <c r="L536" s="83" t="n">
        <v>1.72</v>
      </c>
      <c r="M536" s="82" t="n">
        <v>2664.5804</v>
      </c>
      <c r="N536" s="82" t="n">
        <v>234500</v>
      </c>
      <c r="O536" s="82" t="n">
        <v>191591.861</v>
      </c>
      <c r="P536" s="83" t="n">
        <v>4.00341673</v>
      </c>
      <c r="Q536" s="83" t="n">
        <v>76.6</v>
      </c>
      <c r="R536" s="47" t="n">
        <v>12</v>
      </c>
      <c r="S536" s="66" t="s">
        <v>829</v>
      </c>
    </row>
    <row r="537" customFormat="false" ht="15" hidden="false" customHeight="false" outlineLevel="0" collapsed="false">
      <c r="A537" s="79" t="s">
        <v>225</v>
      </c>
      <c r="B537" s="79" t="s">
        <v>292</v>
      </c>
      <c r="C537" s="80" t="n">
        <v>2023</v>
      </c>
      <c r="D537" s="80" t="n">
        <v>2</v>
      </c>
      <c r="E537" s="81" t="n">
        <v>45107</v>
      </c>
      <c r="F537" s="79" t="s">
        <v>267</v>
      </c>
      <c r="G537" s="79" t="s">
        <v>268</v>
      </c>
      <c r="H537" s="79" t="s">
        <v>264</v>
      </c>
      <c r="I537" s="82" t="n">
        <v>280708.258</v>
      </c>
      <c r="J537" s="82" t="n">
        <v>10528.651</v>
      </c>
      <c r="K537" s="82" t="n">
        <v>3127407000</v>
      </c>
      <c r="L537" s="83" t="n">
        <v>1.17</v>
      </c>
      <c r="M537" s="82" t="n">
        <v>2666.6484</v>
      </c>
      <c r="N537" s="82" t="n">
        <v>2068038</v>
      </c>
      <c r="O537" s="82" t="n">
        <v>179911.435</v>
      </c>
      <c r="P537" s="83" t="n">
        <v>0</v>
      </c>
      <c r="Q537" s="83" t="n">
        <v>74.8</v>
      </c>
      <c r="R537" s="47" t="n">
        <v>13</v>
      </c>
      <c r="S537" s="66" t="s">
        <v>830</v>
      </c>
    </row>
    <row r="538" customFormat="false" ht="15" hidden="false" customHeight="false" outlineLevel="0" collapsed="false">
      <c r="A538" s="79" t="s">
        <v>225</v>
      </c>
      <c r="B538" s="79" t="s">
        <v>294</v>
      </c>
      <c r="C538" s="80" t="n">
        <v>2023</v>
      </c>
      <c r="D538" s="80" t="n">
        <v>1</v>
      </c>
      <c r="E538" s="81" t="n">
        <v>45016</v>
      </c>
      <c r="F538" s="79" t="s">
        <v>267</v>
      </c>
      <c r="G538" s="79" t="s">
        <v>268</v>
      </c>
      <c r="H538" s="79" t="s">
        <v>264</v>
      </c>
      <c r="I538" s="82" t="n">
        <v>318136.546</v>
      </c>
      <c r="J538" s="82" t="n">
        <v>10363.195</v>
      </c>
      <c r="K538" s="82" t="n">
        <v>3007867000</v>
      </c>
      <c r="L538" s="83" t="n">
        <v>1.13</v>
      </c>
      <c r="M538" s="82" t="n">
        <v>2666.9234</v>
      </c>
      <c r="N538" s="82" t="n">
        <v>275000</v>
      </c>
      <c r="O538" s="82" t="n">
        <v>174530.923</v>
      </c>
      <c r="P538" s="83" t="n">
        <v>0</v>
      </c>
      <c r="Q538" s="83" t="n">
        <v>69.7</v>
      </c>
      <c r="R538" s="47" t="n">
        <v>14</v>
      </c>
      <c r="S538" s="66" t="s">
        <v>831</v>
      </c>
    </row>
    <row r="539" customFormat="false" ht="15" hidden="false" customHeight="false" outlineLevel="0" collapsed="false">
      <c r="A539" s="79" t="s">
        <v>225</v>
      </c>
      <c r="B539" s="79" t="s">
        <v>296</v>
      </c>
      <c r="C539" s="80" t="n">
        <v>2022</v>
      </c>
      <c r="D539" s="80" t="n">
        <v>4</v>
      </c>
      <c r="E539" s="81" t="n">
        <v>44926</v>
      </c>
      <c r="F539" s="79" t="s">
        <v>267</v>
      </c>
      <c r="G539" s="79" t="s">
        <v>268</v>
      </c>
      <c r="H539" s="79" t="s">
        <v>264</v>
      </c>
      <c r="I539" s="82" t="n">
        <v>357250.049</v>
      </c>
      <c r="J539" s="82" t="n">
        <v>15261.083</v>
      </c>
      <c r="K539" s="82" t="n">
        <v>5047404000</v>
      </c>
      <c r="L539" s="83" t="n">
        <v>1.89</v>
      </c>
      <c r="M539" s="82" t="n">
        <v>2667.6337</v>
      </c>
      <c r="N539" s="82" t="n">
        <v>710250</v>
      </c>
      <c r="O539" s="82" t="n">
        <v>182488.565</v>
      </c>
      <c r="P539" s="83" t="n">
        <v>0</v>
      </c>
      <c r="Q539" s="83" t="n">
        <v>63.5</v>
      </c>
      <c r="R539" s="47" t="n">
        <v>15</v>
      </c>
      <c r="S539" s="66" t="s">
        <v>832</v>
      </c>
    </row>
    <row r="540" customFormat="false" ht="15" hidden="false" customHeight="false" outlineLevel="0" collapsed="false">
      <c r="A540" s="79" t="s">
        <v>225</v>
      </c>
      <c r="B540" s="79" t="s">
        <v>298</v>
      </c>
      <c r="C540" s="80" t="n">
        <v>2022</v>
      </c>
      <c r="D540" s="80" t="n">
        <v>3</v>
      </c>
      <c r="E540" s="81" t="n">
        <v>44834</v>
      </c>
      <c r="F540" s="79" t="s">
        <v>267</v>
      </c>
      <c r="G540" s="79" t="s">
        <v>268</v>
      </c>
      <c r="H540" s="79" t="s">
        <v>264</v>
      </c>
      <c r="I540" s="82" t="n">
        <v>352867.049</v>
      </c>
      <c r="J540" s="82" t="n">
        <v>16074.071</v>
      </c>
      <c r="K540" s="82" t="n">
        <v>5265446000</v>
      </c>
      <c r="L540" s="83" t="n">
        <v>1.97</v>
      </c>
      <c r="M540" s="82" t="n">
        <v>2667.9264</v>
      </c>
      <c r="N540" s="82" t="n">
        <v>292750</v>
      </c>
      <c r="O540" s="82" t="n">
        <v>182218.791</v>
      </c>
      <c r="P540" s="83" t="n">
        <v>0</v>
      </c>
      <c r="Q540" s="83" t="n">
        <v>58.5</v>
      </c>
      <c r="R540" s="47" t="n">
        <v>16</v>
      </c>
      <c r="S540" s="66" t="s">
        <v>833</v>
      </c>
    </row>
    <row r="541" customFormat="false" ht="15" hidden="false" customHeight="false" outlineLevel="0" collapsed="false">
      <c r="A541" s="79" t="s">
        <v>225</v>
      </c>
      <c r="B541" s="79" t="s">
        <v>300</v>
      </c>
      <c r="C541" s="80" t="n">
        <v>2022</v>
      </c>
      <c r="D541" s="80" t="n">
        <v>2</v>
      </c>
      <c r="E541" s="81" t="n">
        <v>44742</v>
      </c>
      <c r="F541" s="79" t="s">
        <v>267</v>
      </c>
      <c r="G541" s="79" t="s">
        <v>268</v>
      </c>
      <c r="H541" s="79" t="s">
        <v>264</v>
      </c>
      <c r="I541" s="82" t="n">
        <v>283657.517</v>
      </c>
      <c r="J541" s="82" t="n">
        <v>14493.628</v>
      </c>
      <c r="K541" s="82" t="n">
        <v>3115905000</v>
      </c>
      <c r="L541" s="83" t="n">
        <v>1.17</v>
      </c>
      <c r="M541" s="82" t="n">
        <v>2668.4533</v>
      </c>
      <c r="N541" s="82" t="n">
        <v>526915</v>
      </c>
      <c r="O541" s="82" t="n">
        <v>167452.697</v>
      </c>
      <c r="P541" s="83" t="n">
        <v>5.00137591</v>
      </c>
      <c r="Q541" s="83" t="n">
        <v>57</v>
      </c>
      <c r="R541" s="47" t="n">
        <v>17</v>
      </c>
      <c r="S541" s="66" t="s">
        <v>834</v>
      </c>
    </row>
    <row r="542" customFormat="false" ht="15" hidden="false" customHeight="false" outlineLevel="0" collapsed="false">
      <c r="A542" s="79" t="s">
        <v>225</v>
      </c>
      <c r="B542" s="79" t="s">
        <v>302</v>
      </c>
      <c r="C542" s="80" t="n">
        <v>2022</v>
      </c>
      <c r="D542" s="80" t="n">
        <v>1</v>
      </c>
      <c r="E542" s="81" t="n">
        <v>44651</v>
      </c>
      <c r="F542" s="79" t="s">
        <v>267</v>
      </c>
      <c r="G542" s="79" t="s">
        <v>268</v>
      </c>
      <c r="H542" s="79" t="s">
        <v>264</v>
      </c>
      <c r="I542" s="82" t="n">
        <v>323824.539</v>
      </c>
      <c r="J542" s="82" t="n">
        <v>11454.638</v>
      </c>
      <c r="K542" s="82" t="n">
        <v>1667425000</v>
      </c>
      <c r="L542" s="83" t="n">
        <v>0.62</v>
      </c>
      <c r="M542" s="82" t="n">
        <v>2668.8758</v>
      </c>
      <c r="N542" s="82" t="n">
        <v>422500</v>
      </c>
      <c r="O542" s="82" t="n">
        <v>160588.983</v>
      </c>
      <c r="P542" s="83" t="n">
        <v>0</v>
      </c>
      <c r="Q542" s="83" t="n">
        <v>72.4</v>
      </c>
      <c r="R542" s="47" t="n">
        <v>18</v>
      </c>
      <c r="S542" s="66" t="s">
        <v>835</v>
      </c>
    </row>
    <row r="543" customFormat="false" ht="15" hidden="false" customHeight="false" outlineLevel="0" collapsed="false">
      <c r="A543" s="79" t="s">
        <v>225</v>
      </c>
      <c r="B543" s="79" t="s">
        <v>304</v>
      </c>
      <c r="C543" s="80" t="n">
        <v>2021</v>
      </c>
      <c r="D543" s="80" t="n">
        <v>4</v>
      </c>
      <c r="E543" s="81" t="n">
        <v>44561</v>
      </c>
      <c r="F543" s="79" t="s">
        <v>267</v>
      </c>
      <c r="G543" s="79" t="s">
        <v>268</v>
      </c>
      <c r="H543" s="79" t="s">
        <v>264</v>
      </c>
      <c r="I543" s="82" t="n">
        <v>452022.038</v>
      </c>
      <c r="J543" s="82" t="n">
        <v>15858.077</v>
      </c>
      <c r="K543" s="82" t="n">
        <v>7861002000</v>
      </c>
      <c r="L543" s="83" t="n">
        <v>2.95</v>
      </c>
      <c r="M543" s="82" t="n">
        <v>2669.1316</v>
      </c>
      <c r="N543" s="82" t="n">
        <v>255750</v>
      </c>
      <c r="O543" s="82" t="n">
        <v>166604.545</v>
      </c>
      <c r="P543" s="83" t="n">
        <v>0</v>
      </c>
      <c r="Q543" s="83" t="n">
        <v>69.1</v>
      </c>
      <c r="R543" s="47" t="n">
        <v>19</v>
      </c>
      <c r="S543" s="66" t="s">
        <v>836</v>
      </c>
    </row>
    <row r="544" customFormat="false" ht="15" hidden="false" customHeight="false" outlineLevel="0" collapsed="false">
      <c r="A544" s="79" t="s">
        <v>225</v>
      </c>
      <c r="B544" s="79" t="s">
        <v>306</v>
      </c>
      <c r="C544" s="80" t="n">
        <v>2021</v>
      </c>
      <c r="D544" s="80" t="n">
        <v>3</v>
      </c>
      <c r="E544" s="81" t="n">
        <v>44469</v>
      </c>
      <c r="F544" s="79" t="s">
        <v>267</v>
      </c>
      <c r="G544" s="79" t="s">
        <v>268</v>
      </c>
      <c r="H544" s="79" t="s">
        <v>264</v>
      </c>
      <c r="I544" s="82" t="n">
        <v>322799.637</v>
      </c>
      <c r="J544" s="82" t="n">
        <v>11766.426</v>
      </c>
      <c r="K544" s="82" t="n">
        <v>2668376000</v>
      </c>
      <c r="L544" s="83" t="n">
        <v>1</v>
      </c>
      <c r="M544" s="82" t="n">
        <v>2669.5311</v>
      </c>
      <c r="N544" s="82" t="n">
        <v>399500</v>
      </c>
      <c r="O544" s="82" t="n">
        <v>158630.073</v>
      </c>
      <c r="P544" s="83" t="n">
        <v>0</v>
      </c>
      <c r="Q544" s="83" t="n">
        <v>67</v>
      </c>
      <c r="R544" s="47" t="n">
        <v>20</v>
      </c>
      <c r="S544" s="66" t="s">
        <v>837</v>
      </c>
    </row>
    <row r="545" customFormat="false" ht="15" hidden="false" customHeight="false" outlineLevel="0" collapsed="false">
      <c r="A545" s="79" t="s">
        <v>225</v>
      </c>
      <c r="B545" s="79" t="s">
        <v>308</v>
      </c>
      <c r="C545" s="80" t="n">
        <v>2021</v>
      </c>
      <c r="D545" s="80" t="n">
        <v>2</v>
      </c>
      <c r="E545" s="81" t="n">
        <v>44377</v>
      </c>
      <c r="F545" s="79" t="s">
        <v>267</v>
      </c>
      <c r="G545" s="79" t="s">
        <v>268</v>
      </c>
      <c r="H545" s="79" t="s">
        <v>264</v>
      </c>
      <c r="I545" s="82" t="n">
        <v>272276.88</v>
      </c>
      <c r="J545" s="82" t="n">
        <v>9711.241</v>
      </c>
      <c r="K545" s="82" t="n">
        <v>5343765000</v>
      </c>
      <c r="L545" s="83" t="n">
        <v>2.01</v>
      </c>
      <c r="M545" s="82" t="n">
        <v>2670.3617</v>
      </c>
      <c r="N545" s="82" t="n">
        <v>830600</v>
      </c>
      <c r="O545" s="82" t="n">
        <v>155804.407</v>
      </c>
      <c r="P545" s="83" t="n">
        <v>4.48877769</v>
      </c>
      <c r="Q545" s="83" t="n">
        <v>68.8</v>
      </c>
      <c r="R545" s="47" t="n">
        <v>21</v>
      </c>
      <c r="S545" s="66" t="s">
        <v>838</v>
      </c>
    </row>
    <row r="546" customFormat="false" ht="15" hidden="false" customHeight="false" outlineLevel="0" collapsed="false">
      <c r="A546" s="79" t="s">
        <v>225</v>
      </c>
      <c r="B546" s="79" t="s">
        <v>310</v>
      </c>
      <c r="C546" s="80" t="n">
        <v>2021</v>
      </c>
      <c r="D546" s="80" t="n">
        <v>1</v>
      </c>
      <c r="E546" s="81" t="n">
        <v>44286</v>
      </c>
      <c r="F546" s="79" t="s">
        <v>267</v>
      </c>
      <c r="G546" s="79" t="s">
        <v>268</v>
      </c>
      <c r="H546" s="79" t="s">
        <v>264</v>
      </c>
      <c r="I546" s="82" t="n">
        <v>216621.627</v>
      </c>
      <c r="J546" s="82" t="n">
        <v>9237.624</v>
      </c>
      <c r="K546" s="82" t="n">
        <v>4672500000</v>
      </c>
      <c r="L546" s="83" t="n">
        <v>1.75</v>
      </c>
      <c r="M546" s="82" t="n">
        <v>2662.8737</v>
      </c>
      <c r="N546" s="82" t="n">
        <v>86000</v>
      </c>
      <c r="O546" s="82" t="n">
        <v>153070.569</v>
      </c>
      <c r="P546" s="83" t="n">
        <v>0</v>
      </c>
      <c r="Q546" s="83" t="n">
        <v>74.1</v>
      </c>
      <c r="R546" s="47" t="n">
        <v>22</v>
      </c>
      <c r="S546" s="66" t="s">
        <v>839</v>
      </c>
    </row>
    <row r="547" customFormat="false" ht="15" hidden="false" customHeight="false" outlineLevel="0" collapsed="false">
      <c r="A547" s="79" t="s">
        <v>225</v>
      </c>
      <c r="B547" s="79" t="s">
        <v>312</v>
      </c>
      <c r="C547" s="80" t="n">
        <v>2020</v>
      </c>
      <c r="D547" s="80" t="n">
        <v>4</v>
      </c>
      <c r="E547" s="81" t="n">
        <v>44196</v>
      </c>
      <c r="F547" s="79" t="s">
        <v>267</v>
      </c>
      <c r="G547" s="79" t="s">
        <v>268</v>
      </c>
      <c r="H547" s="79" t="s">
        <v>264</v>
      </c>
      <c r="I547" s="82" t="n">
        <v>457375.71</v>
      </c>
      <c r="J547" s="82" t="n">
        <v>15179.52</v>
      </c>
      <c r="K547" s="82" t="n">
        <v>4771499000</v>
      </c>
      <c r="L547" s="83" t="n">
        <v>1.82</v>
      </c>
      <c r="M547" s="82" t="n">
        <v>2662.8737</v>
      </c>
      <c r="N547" s="82" t="n">
        <v>0</v>
      </c>
      <c r="O547" s="82" t="n">
        <v>162594.581</v>
      </c>
      <c r="P547" s="83" t="n">
        <v>0</v>
      </c>
      <c r="Q547" s="83" t="n">
        <v>67.3</v>
      </c>
      <c r="R547" s="47" t="n">
        <v>23</v>
      </c>
      <c r="S547" s="66" t="s">
        <v>840</v>
      </c>
    </row>
    <row r="548" customFormat="false" ht="15" hidden="false" customHeight="false" outlineLevel="0" collapsed="false">
      <c r="A548" s="79" t="s">
        <v>225</v>
      </c>
      <c r="B548" s="79" t="s">
        <v>314</v>
      </c>
      <c r="C548" s="80" t="n">
        <v>2020</v>
      </c>
      <c r="D548" s="80" t="n">
        <v>3</v>
      </c>
      <c r="E548" s="81" t="n">
        <v>44104</v>
      </c>
      <c r="F548" s="79" t="s">
        <v>267</v>
      </c>
      <c r="G548" s="79" t="s">
        <v>268</v>
      </c>
      <c r="H548" s="79" t="s">
        <v>264</v>
      </c>
      <c r="I548" s="82" t="n">
        <v>335636.087</v>
      </c>
      <c r="J548" s="82" t="n">
        <v>13934.493</v>
      </c>
      <c r="K548" s="82" t="n">
        <v>6817483000</v>
      </c>
      <c r="L548" s="83" t="n">
        <v>2.61</v>
      </c>
      <c r="M548" s="82" t="n">
        <v>2610.511</v>
      </c>
      <c r="N548" s="82" t="n">
        <v>48400</v>
      </c>
      <c r="O548" s="82" t="n">
        <v>159022.194</v>
      </c>
      <c r="P548" s="83"/>
      <c r="Q548" s="83" t="n">
        <v>63.8</v>
      </c>
      <c r="R548" s="47" t="n">
        <v>24</v>
      </c>
      <c r="S548" s="66" t="s">
        <v>841</v>
      </c>
    </row>
    <row r="549" customFormat="false" ht="15" hidden="false" customHeight="false" outlineLevel="0" collapsed="false">
      <c r="A549" s="79" t="s">
        <v>231</v>
      </c>
      <c r="B549" s="79" t="s">
        <v>261</v>
      </c>
      <c r="C549" s="80" t="n">
        <v>2026</v>
      </c>
      <c r="D549" s="80" t="n">
        <v>3</v>
      </c>
      <c r="E549" s="81" t="n">
        <v>46295</v>
      </c>
      <c r="F549" s="79" t="s">
        <v>262</v>
      </c>
      <c r="G549" s="79" t="s">
        <v>263</v>
      </c>
      <c r="H549" s="79" t="s">
        <v>264</v>
      </c>
      <c r="I549" s="82"/>
      <c r="J549" s="82"/>
      <c r="K549" s="82"/>
      <c r="L549" s="83" t="n">
        <v>2.18</v>
      </c>
      <c r="M549" s="82"/>
      <c r="N549" s="82"/>
      <c r="O549" s="82"/>
      <c r="P549" s="83"/>
      <c r="Q549" s="83"/>
      <c r="R549" s="47" t="n">
        <v>0</v>
      </c>
      <c r="S549" s="66" t="s">
        <v>842</v>
      </c>
    </row>
    <row r="550" customFormat="false" ht="15" hidden="false" customHeight="false" outlineLevel="0" collapsed="false">
      <c r="A550" s="79" t="s">
        <v>231</v>
      </c>
      <c r="B550" s="79" t="s">
        <v>266</v>
      </c>
      <c r="C550" s="80" t="n">
        <v>2026</v>
      </c>
      <c r="D550" s="80" t="n">
        <v>2</v>
      </c>
      <c r="E550" s="81" t="n">
        <v>46203</v>
      </c>
      <c r="F550" s="79" t="s">
        <v>267</v>
      </c>
      <c r="G550" s="79" t="s">
        <v>268</v>
      </c>
      <c r="H550" s="79" t="s">
        <v>264</v>
      </c>
      <c r="I550" s="82" t="n">
        <v>1289.108</v>
      </c>
      <c r="J550" s="82" t="n">
        <v>289.327</v>
      </c>
      <c r="K550" s="82" t="n">
        <v>184253000</v>
      </c>
      <c r="L550" s="83" t="n">
        <v>1.29</v>
      </c>
      <c r="M550" s="82" t="n">
        <v>142.3593</v>
      </c>
      <c r="N550" s="82" t="n">
        <v>0</v>
      </c>
      <c r="O550" s="82" t="n">
        <v>4452.14</v>
      </c>
      <c r="P550" s="83" t="n">
        <v>0</v>
      </c>
      <c r="Q550" s="83" t="n">
        <v>474</v>
      </c>
      <c r="R550" s="47" t="n">
        <v>1</v>
      </c>
      <c r="S550" s="66" t="s">
        <v>843</v>
      </c>
    </row>
    <row r="551" customFormat="false" ht="15" hidden="false" customHeight="false" outlineLevel="0" collapsed="false">
      <c r="A551" s="79" t="s">
        <v>231</v>
      </c>
      <c r="B551" s="79" t="s">
        <v>270</v>
      </c>
      <c r="C551" s="80" t="n">
        <v>2026</v>
      </c>
      <c r="D551" s="80" t="n">
        <v>1</v>
      </c>
      <c r="E551" s="81" t="n">
        <v>46112</v>
      </c>
      <c r="F551" s="79" t="s">
        <v>267</v>
      </c>
      <c r="G551" s="79" t="s">
        <v>268</v>
      </c>
      <c r="H551" s="79" t="s">
        <v>264</v>
      </c>
      <c r="I551" s="82" t="n">
        <v>1193.478</v>
      </c>
      <c r="J551" s="82" t="n">
        <v>303.353</v>
      </c>
      <c r="K551" s="82" t="n">
        <v>229653000</v>
      </c>
      <c r="L551" s="83" t="n">
        <v>1.62</v>
      </c>
      <c r="M551" s="82" t="n">
        <v>141.0563</v>
      </c>
      <c r="N551" s="82" t="n">
        <v>0</v>
      </c>
      <c r="O551" s="82" t="n">
        <v>4133.258</v>
      </c>
      <c r="P551" s="83" t="n">
        <v>0</v>
      </c>
      <c r="Q551" s="83" t="n">
        <v>341.5</v>
      </c>
      <c r="R551" s="47" t="n">
        <v>2</v>
      </c>
      <c r="S551" s="66" t="s">
        <v>844</v>
      </c>
    </row>
    <row r="552" customFormat="false" ht="15" hidden="false" customHeight="false" outlineLevel="0" collapsed="false">
      <c r="A552" s="79" t="s">
        <v>231</v>
      </c>
      <c r="B552" s="79" t="s">
        <v>272</v>
      </c>
      <c r="C552" s="80" t="n">
        <v>2025</v>
      </c>
      <c r="D552" s="80" t="n">
        <v>4</v>
      </c>
      <c r="E552" s="81" t="n">
        <v>46022</v>
      </c>
      <c r="F552" s="79" t="s">
        <v>267</v>
      </c>
      <c r="G552" s="79" t="s">
        <v>268</v>
      </c>
      <c r="H552" s="79" t="s">
        <v>264</v>
      </c>
      <c r="I552" s="82" t="n">
        <v>1154.36</v>
      </c>
      <c r="J552" s="82" t="n">
        <v>265.774</v>
      </c>
      <c r="K552" s="82" t="n">
        <v>238473000</v>
      </c>
      <c r="L552" s="83" t="n">
        <v>1.7</v>
      </c>
      <c r="M552" s="82" t="n">
        <v>140.8398</v>
      </c>
      <c r="N552" s="82" t="n">
        <v>0</v>
      </c>
      <c r="O552" s="82" t="n">
        <v>3979.359</v>
      </c>
      <c r="P552" s="83" t="n">
        <v>0</v>
      </c>
      <c r="Q552" s="83" t="n">
        <v>325.5</v>
      </c>
      <c r="R552" s="47" t="n">
        <v>3</v>
      </c>
      <c r="S552" s="66" t="s">
        <v>845</v>
      </c>
    </row>
    <row r="553" customFormat="false" ht="15" hidden="false" customHeight="false" outlineLevel="0" collapsed="false">
      <c r="A553" s="79" t="s">
        <v>231</v>
      </c>
      <c r="B553" s="79" t="s">
        <v>274</v>
      </c>
      <c r="C553" s="80" t="n">
        <v>2025</v>
      </c>
      <c r="D553" s="80" t="n">
        <v>3</v>
      </c>
      <c r="E553" s="81" t="n">
        <v>45930</v>
      </c>
      <c r="F553" s="79" t="s">
        <v>267</v>
      </c>
      <c r="G553" s="79" t="s">
        <v>268</v>
      </c>
      <c r="H553" s="79" t="s">
        <v>264</v>
      </c>
      <c r="I553" s="82" t="n">
        <v>1076.094</v>
      </c>
      <c r="J553" s="82" t="n">
        <v>226.869</v>
      </c>
      <c r="K553" s="82" t="n">
        <v>217711000</v>
      </c>
      <c r="L553" s="83" t="n">
        <v>1.54</v>
      </c>
      <c r="M553" s="82" t="n">
        <v>140.8398</v>
      </c>
      <c r="N553" s="82" t="n">
        <v>0</v>
      </c>
      <c r="O553" s="82" t="n">
        <v>3686.078</v>
      </c>
      <c r="P553" s="83" t="n">
        <v>1.54463283</v>
      </c>
      <c r="Q553" s="83" t="n">
        <v>216</v>
      </c>
      <c r="R553" s="47" t="n">
        <v>4</v>
      </c>
      <c r="S553" s="66" t="s">
        <v>846</v>
      </c>
    </row>
    <row r="554" customFormat="false" ht="15" hidden="false" customHeight="false" outlineLevel="0" collapsed="false">
      <c r="A554" s="79" t="s">
        <v>231</v>
      </c>
      <c r="B554" s="79" t="s">
        <v>276</v>
      </c>
      <c r="C554" s="80" t="n">
        <v>2025</v>
      </c>
      <c r="D554" s="80" t="n">
        <v>2</v>
      </c>
      <c r="E554" s="81" t="n">
        <v>45838</v>
      </c>
      <c r="F554" s="79" t="s">
        <v>267</v>
      </c>
      <c r="G554" s="79" t="s">
        <v>268</v>
      </c>
      <c r="H554" s="79" t="s">
        <v>264</v>
      </c>
      <c r="I554" s="82" t="n">
        <v>1087.486</v>
      </c>
      <c r="J554" s="82" t="n">
        <v>188.391</v>
      </c>
      <c r="K554" s="82" t="n">
        <v>94615000</v>
      </c>
      <c r="L554" s="83" t="n">
        <v>0.67</v>
      </c>
      <c r="M554" s="82" t="n">
        <v>140.8398</v>
      </c>
      <c r="N554" s="82" t="n">
        <v>0</v>
      </c>
      <c r="O554" s="82" t="n">
        <v>3448.591</v>
      </c>
      <c r="P554" s="83" t="n">
        <v>0</v>
      </c>
      <c r="Q554" s="83" t="n">
        <v>180</v>
      </c>
      <c r="R554" s="47" t="n">
        <v>5</v>
      </c>
      <c r="S554" s="66" t="s">
        <v>847</v>
      </c>
    </row>
    <row r="555" customFormat="false" ht="15" hidden="false" customHeight="false" outlineLevel="0" collapsed="false">
      <c r="A555" s="79" t="s">
        <v>231</v>
      </c>
      <c r="B555" s="79" t="s">
        <v>278</v>
      </c>
      <c r="C555" s="80" t="n">
        <v>2025</v>
      </c>
      <c r="D555" s="80" t="n">
        <v>1</v>
      </c>
      <c r="E555" s="81" t="n">
        <v>45747</v>
      </c>
      <c r="F555" s="79" t="s">
        <v>267</v>
      </c>
      <c r="G555" s="79" t="s">
        <v>268</v>
      </c>
      <c r="H555" s="79" t="s">
        <v>264</v>
      </c>
      <c r="I555" s="82" t="n">
        <v>1066.906</v>
      </c>
      <c r="J555" s="82" t="n">
        <v>239.605</v>
      </c>
      <c r="K555" s="82" t="n">
        <v>213446000</v>
      </c>
      <c r="L555" s="83" t="n">
        <v>1.52</v>
      </c>
      <c r="M555" s="82" t="n">
        <v>140.8398</v>
      </c>
      <c r="N555" s="82" t="n">
        <v>0</v>
      </c>
      <c r="O555" s="82" t="n">
        <v>3368.145</v>
      </c>
      <c r="P555" s="83" t="n">
        <v>0</v>
      </c>
      <c r="Q555" s="83" t="n">
        <v>168.5</v>
      </c>
      <c r="R555" s="47" t="n">
        <v>6</v>
      </c>
      <c r="S555" s="66" t="s">
        <v>848</v>
      </c>
    </row>
    <row r="556" customFormat="false" ht="15" hidden="false" customHeight="false" outlineLevel="0" collapsed="false">
      <c r="A556" s="79" t="s">
        <v>231</v>
      </c>
      <c r="B556" s="79" t="s">
        <v>280</v>
      </c>
      <c r="C556" s="80" t="n">
        <v>2024</v>
      </c>
      <c r="D556" s="80" t="n">
        <v>4</v>
      </c>
      <c r="E556" s="81" t="n">
        <v>45657</v>
      </c>
      <c r="F556" s="79" t="s">
        <v>267</v>
      </c>
      <c r="G556" s="79" t="s">
        <v>268</v>
      </c>
      <c r="H556" s="79" t="s">
        <v>264</v>
      </c>
      <c r="I556" s="82" t="n">
        <v>1048.11</v>
      </c>
      <c r="J556" s="82" t="n">
        <v>180.996</v>
      </c>
      <c r="K556" s="82" t="n">
        <v>151886000</v>
      </c>
      <c r="L556" s="83" t="n">
        <v>1.08</v>
      </c>
      <c r="M556" s="82" t="n">
        <v>140.8398</v>
      </c>
      <c r="N556" s="82" t="n">
        <v>0</v>
      </c>
      <c r="O556" s="82" t="n">
        <v>3398.123</v>
      </c>
      <c r="P556" s="83" t="n">
        <v>0</v>
      </c>
      <c r="Q556" s="83" t="n">
        <v>188</v>
      </c>
      <c r="R556" s="47" t="n">
        <v>7</v>
      </c>
      <c r="S556" s="66" t="s">
        <v>849</v>
      </c>
    </row>
    <row r="557" customFormat="false" ht="15" hidden="false" customHeight="false" outlineLevel="0" collapsed="false">
      <c r="A557" s="79" t="s">
        <v>231</v>
      </c>
      <c r="B557" s="79" t="s">
        <v>282</v>
      </c>
      <c r="C557" s="80" t="n">
        <v>2024</v>
      </c>
      <c r="D557" s="80" t="n">
        <v>3</v>
      </c>
      <c r="E557" s="81" t="n">
        <v>45565</v>
      </c>
      <c r="F557" s="79" t="s">
        <v>267</v>
      </c>
      <c r="G557" s="79" t="s">
        <v>268</v>
      </c>
      <c r="H557" s="79" t="s">
        <v>264</v>
      </c>
      <c r="I557" s="82" t="n">
        <v>945.631</v>
      </c>
      <c r="J557" s="82" t="n">
        <v>173.328</v>
      </c>
      <c r="K557" s="82" t="n">
        <v>137872000</v>
      </c>
      <c r="L557" s="83" t="n">
        <v>0.98</v>
      </c>
      <c r="M557" s="82" t="n">
        <v>140.8398</v>
      </c>
      <c r="N557" s="82" t="n">
        <v>0</v>
      </c>
      <c r="O557" s="82" t="n">
        <v>3171.07</v>
      </c>
      <c r="P557" s="83" t="n">
        <v>1.43000433</v>
      </c>
      <c r="Q557" s="83" t="n">
        <v>144.5</v>
      </c>
      <c r="R557" s="47" t="n">
        <v>8</v>
      </c>
      <c r="S557" s="66" t="s">
        <v>850</v>
      </c>
    </row>
    <row r="558" customFormat="false" ht="15" hidden="false" customHeight="false" outlineLevel="0" collapsed="false">
      <c r="A558" s="79" t="s">
        <v>231</v>
      </c>
      <c r="B558" s="79" t="s">
        <v>284</v>
      </c>
      <c r="C558" s="80" t="n">
        <v>2024</v>
      </c>
      <c r="D558" s="80" t="n">
        <v>2</v>
      </c>
      <c r="E558" s="81" t="n">
        <v>45473</v>
      </c>
      <c r="F558" s="79" t="s">
        <v>267</v>
      </c>
      <c r="G558" s="79" t="s">
        <v>268</v>
      </c>
      <c r="H558" s="79" t="s">
        <v>264</v>
      </c>
      <c r="I558" s="82" t="n">
        <v>801.268</v>
      </c>
      <c r="J558" s="82" t="n">
        <v>158.772</v>
      </c>
      <c r="K558" s="82" t="n">
        <v>139418000</v>
      </c>
      <c r="L558" s="83" t="n">
        <v>0.99</v>
      </c>
      <c r="M558" s="82" t="n">
        <v>140.8398</v>
      </c>
      <c r="N558" s="82" t="n">
        <v>0</v>
      </c>
      <c r="O558" s="82" t="n">
        <v>3047.143</v>
      </c>
      <c r="P558" s="83" t="n">
        <v>0</v>
      </c>
      <c r="Q558" s="83" t="n">
        <v>126.5</v>
      </c>
      <c r="R558" s="47" t="n">
        <v>9</v>
      </c>
      <c r="S558" s="66" t="s">
        <v>851</v>
      </c>
    </row>
    <row r="559" customFormat="false" ht="15" hidden="false" customHeight="false" outlineLevel="0" collapsed="false">
      <c r="A559" s="79" t="s">
        <v>231</v>
      </c>
      <c r="B559" s="79" t="s">
        <v>286</v>
      </c>
      <c r="C559" s="80" t="n">
        <v>2024</v>
      </c>
      <c r="D559" s="80" t="n">
        <v>1</v>
      </c>
      <c r="E559" s="81" t="n">
        <v>45382</v>
      </c>
      <c r="F559" s="79" t="s">
        <v>267</v>
      </c>
      <c r="G559" s="79" t="s">
        <v>268</v>
      </c>
      <c r="H559" s="79" t="s">
        <v>264</v>
      </c>
      <c r="I559" s="82" t="n">
        <v>656.034</v>
      </c>
      <c r="J559" s="82" t="n">
        <v>118.692</v>
      </c>
      <c r="K559" s="82" t="n">
        <v>104077000</v>
      </c>
      <c r="L559" s="83" t="n">
        <v>0.74</v>
      </c>
      <c r="M559" s="82" t="n">
        <v>140.8398</v>
      </c>
      <c r="N559" s="82" t="n">
        <v>0</v>
      </c>
      <c r="O559" s="82" t="n">
        <v>2870.506</v>
      </c>
      <c r="P559" s="83" t="n">
        <v>0</v>
      </c>
      <c r="Q559" s="83" t="n">
        <v>124</v>
      </c>
      <c r="R559" s="47" t="n">
        <v>10</v>
      </c>
      <c r="S559" s="66" t="s">
        <v>852</v>
      </c>
    </row>
    <row r="560" customFormat="false" ht="15" hidden="false" customHeight="false" outlineLevel="0" collapsed="false">
      <c r="A560" s="79" t="s">
        <v>231</v>
      </c>
      <c r="B560" s="79" t="s">
        <v>288</v>
      </c>
      <c r="C560" s="80" t="n">
        <v>2023</v>
      </c>
      <c r="D560" s="80" t="n">
        <v>4</v>
      </c>
      <c r="E560" s="81" t="n">
        <v>45291</v>
      </c>
      <c r="F560" s="79" t="s">
        <v>267</v>
      </c>
      <c r="G560" s="79" t="s">
        <v>268</v>
      </c>
      <c r="H560" s="79" t="s">
        <v>264</v>
      </c>
      <c r="I560" s="82" t="n">
        <v>1011.764</v>
      </c>
      <c r="J560" s="82" t="n">
        <v>207.797</v>
      </c>
      <c r="K560" s="82" t="n">
        <v>155244000</v>
      </c>
      <c r="L560" s="83" t="n">
        <v>1.17</v>
      </c>
      <c r="M560" s="82" t="n">
        <v>140.8398</v>
      </c>
      <c r="N560" s="82" t="n">
        <v>0</v>
      </c>
      <c r="O560" s="82" t="n">
        <v>3035.986</v>
      </c>
      <c r="P560" s="83" t="n">
        <v>0</v>
      </c>
      <c r="Q560" s="83" t="n">
        <v>144</v>
      </c>
      <c r="R560" s="47" t="n">
        <v>11</v>
      </c>
      <c r="S560" s="66" t="s">
        <v>853</v>
      </c>
    </row>
    <row r="561" customFormat="false" ht="15" hidden="false" customHeight="false" outlineLevel="0" collapsed="false">
      <c r="A561" s="79" t="s">
        <v>231</v>
      </c>
      <c r="B561" s="79" t="s">
        <v>290</v>
      </c>
      <c r="C561" s="80" t="n">
        <v>2023</v>
      </c>
      <c r="D561" s="80" t="n">
        <v>3</v>
      </c>
      <c r="E561" s="81" t="n">
        <v>45199</v>
      </c>
      <c r="F561" s="79" t="s">
        <v>267</v>
      </c>
      <c r="G561" s="79" t="s">
        <v>268</v>
      </c>
      <c r="H561" s="79" t="s">
        <v>264</v>
      </c>
      <c r="I561" s="82" t="n">
        <v>879.88</v>
      </c>
      <c r="J561" s="82" t="n">
        <v>183.576</v>
      </c>
      <c r="K561" s="82" t="n">
        <v>164898000</v>
      </c>
      <c r="L561" s="83" t="n">
        <v>1.25</v>
      </c>
      <c r="M561" s="82" t="n">
        <v>132.3398</v>
      </c>
      <c r="N561" s="82" t="n">
        <v>0</v>
      </c>
      <c r="O561" s="82" t="n">
        <v>1738.528</v>
      </c>
      <c r="P561" s="83" t="n">
        <v>0.05930807</v>
      </c>
      <c r="Q561" s="83" t="n">
        <v>143</v>
      </c>
      <c r="R561" s="47" t="n">
        <v>12</v>
      </c>
      <c r="S561" s="66" t="s">
        <v>854</v>
      </c>
    </row>
    <row r="562" customFormat="false" ht="15" hidden="false" customHeight="false" outlineLevel="0" collapsed="false">
      <c r="A562" s="79" t="s">
        <v>231</v>
      </c>
      <c r="B562" s="79" t="s">
        <v>292</v>
      </c>
      <c r="C562" s="80" t="n">
        <v>2023</v>
      </c>
      <c r="D562" s="80" t="n">
        <v>2</v>
      </c>
      <c r="E562" s="81" t="n">
        <v>45107</v>
      </c>
      <c r="F562" s="79" t="s">
        <v>267</v>
      </c>
      <c r="G562" s="79" t="s">
        <v>268</v>
      </c>
      <c r="H562" s="79" t="s">
        <v>264</v>
      </c>
      <c r="I562" s="82" t="n">
        <v>577.923</v>
      </c>
      <c r="J562" s="82" t="n">
        <v>110.407</v>
      </c>
      <c r="K562" s="82" t="n">
        <v>82084000</v>
      </c>
      <c r="L562" s="83" t="n">
        <v>0.62</v>
      </c>
      <c r="M562" s="82" t="n">
        <v>132.3398</v>
      </c>
      <c r="N562" s="82" t="n">
        <v>0</v>
      </c>
      <c r="O562" s="82" t="n">
        <v>1580.342</v>
      </c>
      <c r="P562" s="83" t="n">
        <v>0</v>
      </c>
      <c r="Q562" s="83" t="n">
        <v>104.5</v>
      </c>
      <c r="R562" s="47" t="n">
        <v>13</v>
      </c>
      <c r="S562" s="66" t="s">
        <v>855</v>
      </c>
    </row>
    <row r="563" customFormat="false" ht="15" hidden="false" customHeight="false" outlineLevel="0" collapsed="false">
      <c r="A563" s="79" t="s">
        <v>231</v>
      </c>
      <c r="B563" s="79" t="s">
        <v>294</v>
      </c>
      <c r="C563" s="80" t="n">
        <v>2023</v>
      </c>
      <c r="D563" s="80" t="n">
        <v>1</v>
      </c>
      <c r="E563" s="81" t="n">
        <v>45016</v>
      </c>
      <c r="F563" s="79" t="s">
        <v>267</v>
      </c>
      <c r="G563" s="79" t="s">
        <v>268</v>
      </c>
      <c r="H563" s="79" t="s">
        <v>264</v>
      </c>
      <c r="I563" s="82" t="n">
        <v>486.92</v>
      </c>
      <c r="J563" s="82" t="n">
        <v>71.97</v>
      </c>
      <c r="K563" s="82" t="n">
        <v>40162000</v>
      </c>
      <c r="L563" s="83" t="n">
        <v>0.3</v>
      </c>
      <c r="M563" s="82" t="n">
        <v>132.3398</v>
      </c>
      <c r="N563" s="82" t="n">
        <v>0</v>
      </c>
      <c r="O563" s="82" t="n">
        <v>1496.91</v>
      </c>
      <c r="P563" s="83" t="n">
        <v>0</v>
      </c>
      <c r="Q563" s="83" t="n">
        <v>51.5</v>
      </c>
      <c r="R563" s="47" t="n">
        <v>14</v>
      </c>
      <c r="S563" s="66" t="s">
        <v>856</v>
      </c>
    </row>
    <row r="564" customFormat="false" ht="15" hidden="false" customHeight="false" outlineLevel="0" collapsed="false">
      <c r="A564" s="79" t="s">
        <v>231</v>
      </c>
      <c r="B564" s="79" t="s">
        <v>296</v>
      </c>
      <c r="C564" s="80" t="n">
        <v>2022</v>
      </c>
      <c r="D564" s="80" t="n">
        <v>4</v>
      </c>
      <c r="E564" s="81" t="n">
        <v>44926</v>
      </c>
      <c r="F564" s="79" t="s">
        <v>267</v>
      </c>
      <c r="G564" s="79" t="s">
        <v>268</v>
      </c>
      <c r="H564" s="79" t="s">
        <v>264</v>
      </c>
      <c r="I564" s="82" t="n">
        <v>477.125</v>
      </c>
      <c r="J564" s="82" t="n">
        <v>142.678</v>
      </c>
      <c r="K564" s="82" t="n">
        <v>91002000</v>
      </c>
      <c r="L564" s="83" t="n">
        <v>0.69</v>
      </c>
      <c r="M564" s="82" t="n">
        <v>132.3578</v>
      </c>
      <c r="N564" s="82" t="n">
        <v>0</v>
      </c>
      <c r="O564" s="82" t="n">
        <v>1417.018</v>
      </c>
      <c r="P564" s="83" t="n">
        <v>0</v>
      </c>
      <c r="Q564" s="83" t="n">
        <v>39.8</v>
      </c>
      <c r="R564" s="47" t="n">
        <v>15</v>
      </c>
      <c r="S564" s="66" t="s">
        <v>857</v>
      </c>
    </row>
    <row r="565" customFormat="false" ht="15" hidden="false" customHeight="false" outlineLevel="0" collapsed="false">
      <c r="A565" s="79" t="s">
        <v>231</v>
      </c>
      <c r="B565" s="79" t="s">
        <v>298</v>
      </c>
      <c r="C565" s="80" t="n">
        <v>2022</v>
      </c>
      <c r="D565" s="80" t="n">
        <v>3</v>
      </c>
      <c r="E565" s="81" t="n">
        <v>44834</v>
      </c>
      <c r="F565" s="79" t="s">
        <v>267</v>
      </c>
      <c r="G565" s="79" t="s">
        <v>268</v>
      </c>
      <c r="H565" s="79" t="s">
        <v>264</v>
      </c>
      <c r="I565" s="82" t="n">
        <v>342.426</v>
      </c>
      <c r="J565" s="82" t="n">
        <v>113.527</v>
      </c>
      <c r="K565" s="82" t="n">
        <v>98196000</v>
      </c>
      <c r="L565" s="83" t="n">
        <v>0.74</v>
      </c>
      <c r="M565" s="82" t="n">
        <v>132.3578</v>
      </c>
      <c r="N565" s="82" t="n">
        <v>0</v>
      </c>
      <c r="O565" s="82" t="n">
        <v>1355.741</v>
      </c>
      <c r="P565" s="83" t="n">
        <v>0</v>
      </c>
      <c r="Q565" s="83" t="n">
        <v>34.1</v>
      </c>
      <c r="R565" s="47" t="n">
        <v>16</v>
      </c>
      <c r="S565" s="66" t="s">
        <v>858</v>
      </c>
    </row>
    <row r="566" customFormat="false" ht="15" hidden="false" customHeight="false" outlineLevel="0" collapsed="false">
      <c r="A566" s="79" t="s">
        <v>231</v>
      </c>
      <c r="B566" s="79" t="s">
        <v>300</v>
      </c>
      <c r="C566" s="80" t="n">
        <v>2022</v>
      </c>
      <c r="D566" s="80" t="n">
        <v>2</v>
      </c>
      <c r="E566" s="81" t="n">
        <v>44742</v>
      </c>
      <c r="F566" s="79" t="s">
        <v>267</v>
      </c>
      <c r="G566" s="79" t="s">
        <v>268</v>
      </c>
      <c r="H566" s="79" t="s">
        <v>264</v>
      </c>
      <c r="I566" s="82" t="n">
        <v>296.236</v>
      </c>
      <c r="J566" s="82" t="n">
        <v>111.402</v>
      </c>
      <c r="K566" s="82" t="n">
        <v>83390000</v>
      </c>
      <c r="L566" s="83" t="n">
        <v>0.63</v>
      </c>
      <c r="M566" s="82" t="n">
        <v>132.3778</v>
      </c>
      <c r="N566" s="82" t="n">
        <v>0</v>
      </c>
      <c r="O566" s="82" t="n">
        <v>1318.083</v>
      </c>
      <c r="P566" s="83" t="n">
        <v>0</v>
      </c>
      <c r="Q566" s="83" t="n">
        <v>22.6</v>
      </c>
      <c r="R566" s="47" t="n">
        <v>17</v>
      </c>
      <c r="S566" s="66" t="s">
        <v>859</v>
      </c>
    </row>
    <row r="567" customFormat="false" ht="15" hidden="false" customHeight="false" outlineLevel="0" collapsed="false">
      <c r="A567" s="79" t="s">
        <v>231</v>
      </c>
      <c r="B567" s="79" t="s">
        <v>302</v>
      </c>
      <c r="C567" s="80" t="n">
        <v>2022</v>
      </c>
      <c r="D567" s="80" t="n">
        <v>1</v>
      </c>
      <c r="E567" s="81" t="n">
        <v>44651</v>
      </c>
      <c r="F567" s="79" t="s">
        <v>267</v>
      </c>
      <c r="G567" s="79" t="s">
        <v>268</v>
      </c>
      <c r="H567" s="79" t="s">
        <v>264</v>
      </c>
      <c r="I567" s="82" t="n">
        <v>202.759</v>
      </c>
      <c r="J567" s="82" t="n">
        <v>29.179</v>
      </c>
      <c r="K567" s="82" t="n">
        <v>-1793000</v>
      </c>
      <c r="L567" s="83" t="n">
        <v>-0.01</v>
      </c>
      <c r="M567" s="82" t="n">
        <v>132.4535</v>
      </c>
      <c r="N567" s="82" t="n">
        <v>0</v>
      </c>
      <c r="O567" s="82" t="n">
        <v>1235.239</v>
      </c>
      <c r="P567" s="83" t="n">
        <v>0</v>
      </c>
      <c r="Q567" s="83" t="n">
        <v>18.15</v>
      </c>
      <c r="R567" s="47" t="n">
        <v>18</v>
      </c>
      <c r="S567" s="66" t="s">
        <v>860</v>
      </c>
    </row>
    <row r="568" customFormat="false" ht="15" hidden="false" customHeight="false" outlineLevel="0" collapsed="false">
      <c r="A568" s="79" t="s">
        <v>231</v>
      </c>
      <c r="B568" s="79" t="s">
        <v>304</v>
      </c>
      <c r="C568" s="80" t="n">
        <v>2021</v>
      </c>
      <c r="D568" s="80" t="n">
        <v>4</v>
      </c>
      <c r="E568" s="81" t="n">
        <v>44561</v>
      </c>
      <c r="F568" s="79" t="s">
        <v>267</v>
      </c>
      <c r="G568" s="79" t="s">
        <v>268</v>
      </c>
      <c r="H568" s="79" t="s">
        <v>264</v>
      </c>
      <c r="I568" s="82" t="n">
        <v>212.707</v>
      </c>
      <c r="J568" s="82" t="n">
        <v>9.388</v>
      </c>
      <c r="K568" s="82" t="n">
        <v>-98065000</v>
      </c>
      <c r="L568" s="83" t="n">
        <v>-0.75</v>
      </c>
      <c r="M568" s="82" t="n">
        <v>132.5115</v>
      </c>
      <c r="N568" s="82" t="n">
        <v>0</v>
      </c>
      <c r="O568" s="82" t="n">
        <v>1336.501</v>
      </c>
      <c r="P568" s="83" t="n">
        <v>0</v>
      </c>
      <c r="Q568" s="83" t="n">
        <v>20.1</v>
      </c>
      <c r="R568" s="47" t="n">
        <v>19</v>
      </c>
      <c r="S568" s="66" t="s">
        <v>861</v>
      </c>
    </row>
    <row r="569" customFormat="false" ht="15" hidden="false" customHeight="false" outlineLevel="0" collapsed="false">
      <c r="A569" s="79" t="s">
        <v>231</v>
      </c>
      <c r="B569" s="79" t="s">
        <v>306</v>
      </c>
      <c r="C569" s="80" t="n">
        <v>2021</v>
      </c>
      <c r="D569" s="80" t="n">
        <v>3</v>
      </c>
      <c r="E569" s="81" t="n">
        <v>44469</v>
      </c>
      <c r="F569" s="79" t="s">
        <v>267</v>
      </c>
      <c r="G569" s="79" t="s">
        <v>268</v>
      </c>
      <c r="H569" s="79" t="s">
        <v>264</v>
      </c>
      <c r="I569" s="82" t="n">
        <v>202.077</v>
      </c>
      <c r="J569" s="82" t="n">
        <v>-10.63</v>
      </c>
      <c r="K569" s="82" t="n">
        <v>-70384000</v>
      </c>
      <c r="L569" s="83" t="n">
        <v>-0.53</v>
      </c>
      <c r="M569" s="82" t="n">
        <v>132.7263</v>
      </c>
      <c r="N569" s="82" t="n">
        <v>0</v>
      </c>
      <c r="O569" s="82" t="n">
        <v>1437.72</v>
      </c>
      <c r="P569" s="83" t="n">
        <v>0</v>
      </c>
      <c r="Q569" s="83" t="n">
        <v>18.15</v>
      </c>
      <c r="R569" s="47" t="n">
        <v>20</v>
      </c>
      <c r="S569" s="66" t="s">
        <v>862</v>
      </c>
    </row>
    <row r="570" customFormat="false" ht="15" hidden="false" customHeight="false" outlineLevel="0" collapsed="false">
      <c r="A570" s="79" t="s">
        <v>231</v>
      </c>
      <c r="B570" s="79" t="s">
        <v>308</v>
      </c>
      <c r="C570" s="80" t="n">
        <v>2021</v>
      </c>
      <c r="D570" s="80" t="n">
        <v>2</v>
      </c>
      <c r="E570" s="81" t="n">
        <v>44377</v>
      </c>
      <c r="F570" s="79" t="s">
        <v>267</v>
      </c>
      <c r="G570" s="79" t="s">
        <v>268</v>
      </c>
      <c r="H570" s="79" t="s">
        <v>264</v>
      </c>
      <c r="I570" s="82" t="n">
        <v>267.626</v>
      </c>
      <c r="J570" s="82" t="n">
        <v>8.381</v>
      </c>
      <c r="K570" s="82" t="n">
        <v>-43081000</v>
      </c>
      <c r="L570" s="83" t="n">
        <v>-0.33</v>
      </c>
      <c r="M570" s="82" t="n">
        <v>132.9303</v>
      </c>
      <c r="N570" s="82" t="n">
        <v>0</v>
      </c>
      <c r="O570" s="82" t="n">
        <v>1526.944</v>
      </c>
      <c r="P570" s="83" t="n">
        <v>0</v>
      </c>
      <c r="Q570" s="83" t="n">
        <v>18.85</v>
      </c>
      <c r="R570" s="47" t="n">
        <v>21</v>
      </c>
      <c r="S570" s="66" t="s">
        <v>863</v>
      </c>
    </row>
    <row r="571" customFormat="false" ht="15" hidden="false" customHeight="false" outlineLevel="0" collapsed="false">
      <c r="A571" s="79" t="s">
        <v>231</v>
      </c>
      <c r="B571" s="79" t="s">
        <v>310</v>
      </c>
      <c r="C571" s="80" t="n">
        <v>2021</v>
      </c>
      <c r="D571" s="80" t="n">
        <v>1</v>
      </c>
      <c r="E571" s="81" t="n">
        <v>44286</v>
      </c>
      <c r="F571" s="79" t="s">
        <v>267</v>
      </c>
      <c r="G571" s="79" t="s">
        <v>268</v>
      </c>
      <c r="H571" s="79" t="s">
        <v>264</v>
      </c>
      <c r="I571" s="82" t="n">
        <v>183.606</v>
      </c>
      <c r="J571" s="82" t="n">
        <v>-24.522</v>
      </c>
      <c r="K571" s="82" t="n">
        <v>-73434000</v>
      </c>
      <c r="L571" s="83" t="n">
        <v>-0.62</v>
      </c>
      <c r="M571" s="82" t="n">
        <v>120.0363</v>
      </c>
      <c r="N571" s="82" t="n">
        <v>0</v>
      </c>
      <c r="O571" s="82" t="n">
        <v>1264.85</v>
      </c>
      <c r="P571" s="83" t="n">
        <v>0</v>
      </c>
      <c r="Q571" s="83" t="n">
        <v>24.1</v>
      </c>
      <c r="R571" s="47" t="n">
        <v>22</v>
      </c>
      <c r="S571" s="66" t="s">
        <v>864</v>
      </c>
    </row>
    <row r="572" customFormat="false" ht="15" hidden="false" customHeight="false" outlineLevel="0" collapsed="false">
      <c r="A572" s="79" t="s">
        <v>231</v>
      </c>
      <c r="B572" s="79" t="s">
        <v>312</v>
      </c>
      <c r="C572" s="80" t="n">
        <v>2020</v>
      </c>
      <c r="D572" s="80" t="n">
        <v>4</v>
      </c>
      <c r="E572" s="81" t="n">
        <v>44196</v>
      </c>
      <c r="F572" s="79" t="s">
        <v>267</v>
      </c>
      <c r="G572" s="79" t="s">
        <v>268</v>
      </c>
      <c r="H572" s="79" t="s">
        <v>264</v>
      </c>
      <c r="I572" s="82" t="n">
        <v>260.587</v>
      </c>
      <c r="J572" s="82" t="n">
        <v>-14.874</v>
      </c>
      <c r="K572" s="82" t="n">
        <v>-74715000</v>
      </c>
      <c r="L572" s="83" t="n">
        <v>-0.64</v>
      </c>
      <c r="M572" s="82" t="n">
        <v>120.1243</v>
      </c>
      <c r="N572" s="82" t="n">
        <v>0</v>
      </c>
      <c r="O572" s="82" t="n">
        <v>1390.359</v>
      </c>
      <c r="P572" s="83" t="n">
        <v>0</v>
      </c>
      <c r="Q572" s="83" t="n">
        <v>26.95</v>
      </c>
      <c r="R572" s="47" t="n">
        <v>23</v>
      </c>
      <c r="S572" s="66" t="s">
        <v>865</v>
      </c>
    </row>
    <row r="573" customFormat="false" ht="15" hidden="false" customHeight="false" outlineLevel="0" collapsed="false">
      <c r="A573" s="79" t="s">
        <v>231</v>
      </c>
      <c r="B573" s="79" t="s">
        <v>314</v>
      </c>
      <c r="C573" s="80" t="n">
        <v>2020</v>
      </c>
      <c r="D573" s="80" t="n">
        <v>3</v>
      </c>
      <c r="E573" s="81" t="n">
        <v>44104</v>
      </c>
      <c r="F573" s="79" t="s">
        <v>267</v>
      </c>
      <c r="G573" s="79" t="s">
        <v>268</v>
      </c>
      <c r="H573" s="79" t="s">
        <v>264</v>
      </c>
      <c r="I573" s="82" t="n">
        <v>303.651</v>
      </c>
      <c r="J573" s="82" t="n">
        <v>16.52</v>
      </c>
      <c r="K573" s="82" t="n">
        <v>-26260000</v>
      </c>
      <c r="L573" s="83" t="n">
        <v>-0.22</v>
      </c>
      <c r="M573" s="82" t="n">
        <v>120.1243</v>
      </c>
      <c r="N573" s="82" t="n">
        <v>0</v>
      </c>
      <c r="O573" s="82" t="n">
        <v>1231.398</v>
      </c>
      <c r="P573" s="83"/>
      <c r="Q573" s="83" t="n">
        <v>26.8</v>
      </c>
      <c r="R573" s="47" t="n">
        <v>24</v>
      </c>
      <c r="S573" s="66" t="s">
        <v>866</v>
      </c>
    </row>
    <row r="574" customFormat="false" ht="15" hidden="false" customHeight="false" outlineLevel="0" collapsed="false">
      <c r="A574" s="79" t="s">
        <v>867</v>
      </c>
      <c r="B574" s="79" t="s">
        <v>261</v>
      </c>
      <c r="C574" s="80" t="n">
        <v>2026</v>
      </c>
      <c r="D574" s="80" t="n">
        <v>3</v>
      </c>
      <c r="E574" s="81" t="n">
        <v>46295</v>
      </c>
      <c r="F574" s="79" t="s">
        <v>262</v>
      </c>
      <c r="G574" s="79" t="s">
        <v>263</v>
      </c>
      <c r="H574" s="79" t="s">
        <v>264</v>
      </c>
      <c r="I574" s="82"/>
      <c r="J574" s="82"/>
      <c r="K574" s="82"/>
      <c r="L574" s="83" t="n">
        <v>49.57841</v>
      </c>
      <c r="M574" s="82"/>
      <c r="N574" s="82"/>
      <c r="O574" s="82"/>
      <c r="P574" s="83"/>
      <c r="Q574" s="83"/>
      <c r="R574" s="47" t="n">
        <v>0</v>
      </c>
      <c r="S574" s="66" t="s">
        <v>868</v>
      </c>
    </row>
    <row r="575" customFormat="false" ht="15" hidden="false" customHeight="false" outlineLevel="0" collapsed="false">
      <c r="A575" s="79" t="s">
        <v>867</v>
      </c>
      <c r="B575" s="79" t="s">
        <v>266</v>
      </c>
      <c r="C575" s="80" t="n">
        <v>2026</v>
      </c>
      <c r="D575" s="80" t="n">
        <v>2</v>
      </c>
      <c r="E575" s="81" t="n">
        <v>46203</v>
      </c>
      <c r="F575" s="79" t="s">
        <v>267</v>
      </c>
      <c r="G575" s="79" t="s">
        <v>268</v>
      </c>
      <c r="H575" s="79" t="s">
        <v>264</v>
      </c>
      <c r="I575" s="82" t="n">
        <v>3871.409</v>
      </c>
      <c r="J575" s="82" t="n">
        <v>2787.502</v>
      </c>
      <c r="K575" s="82" t="n">
        <v>1840866000</v>
      </c>
      <c r="L575" s="83" t="n">
        <v>44.27</v>
      </c>
      <c r="M575" s="82" t="n">
        <v>37.8027</v>
      </c>
      <c r="N575" s="82" t="n">
        <v>0</v>
      </c>
      <c r="O575" s="82" t="n">
        <v>7791.478</v>
      </c>
      <c r="P575" s="83" t="n">
        <v>80</v>
      </c>
      <c r="Q575" s="83" t="n">
        <v>16495</v>
      </c>
      <c r="R575" s="47" t="n">
        <v>1</v>
      </c>
      <c r="S575" s="66" t="s">
        <v>869</v>
      </c>
    </row>
    <row r="576" customFormat="false" ht="15" hidden="false" customHeight="false" outlineLevel="0" collapsed="false">
      <c r="A576" s="79" t="s">
        <v>867</v>
      </c>
      <c r="B576" s="79" t="s">
        <v>270</v>
      </c>
      <c r="C576" s="80" t="n">
        <v>2026</v>
      </c>
      <c r="D576" s="80" t="n">
        <v>1</v>
      </c>
      <c r="E576" s="81" t="n">
        <v>46112</v>
      </c>
      <c r="F576" s="79" t="s">
        <v>267</v>
      </c>
      <c r="G576" s="79" t="s">
        <v>268</v>
      </c>
      <c r="H576" s="79" t="s">
        <v>264</v>
      </c>
      <c r="I576" s="82" t="n">
        <v>3146.757</v>
      </c>
      <c r="J576" s="82" t="n">
        <v>2177.017</v>
      </c>
      <c r="K576" s="82" t="n">
        <v>1414275000</v>
      </c>
      <c r="L576" s="83" t="n">
        <v>37.41</v>
      </c>
      <c r="M576" s="82" t="n">
        <v>37.8027</v>
      </c>
      <c r="N576" s="82" t="n">
        <v>0</v>
      </c>
      <c r="O576" s="82" t="n">
        <v>5960.768</v>
      </c>
      <c r="P576" s="83" t="n">
        <v>0</v>
      </c>
      <c r="Q576" s="83" t="n">
        <v>10700</v>
      </c>
      <c r="R576" s="47" t="n">
        <v>2</v>
      </c>
      <c r="S576" s="66" t="s">
        <v>870</v>
      </c>
    </row>
    <row r="577" customFormat="false" ht="15" hidden="false" customHeight="false" outlineLevel="0" collapsed="false">
      <c r="A577" s="79" t="s">
        <v>867</v>
      </c>
      <c r="B577" s="79" t="s">
        <v>272</v>
      </c>
      <c r="C577" s="80" t="n">
        <v>2025</v>
      </c>
      <c r="D577" s="80" t="n">
        <v>4</v>
      </c>
      <c r="E577" s="81" t="n">
        <v>46022</v>
      </c>
      <c r="F577" s="79" t="s">
        <v>267</v>
      </c>
      <c r="G577" s="79" t="s">
        <v>268</v>
      </c>
      <c r="H577" s="79" t="s">
        <v>264</v>
      </c>
      <c r="I577" s="82" t="n">
        <v>2443.126</v>
      </c>
      <c r="J577" s="82" t="n">
        <v>1672.352</v>
      </c>
      <c r="K577" s="82" t="n">
        <v>1197735000</v>
      </c>
      <c r="L577" s="83" t="n">
        <v>31.69</v>
      </c>
      <c r="M577" s="82" t="n">
        <v>37.8027</v>
      </c>
      <c r="N577" s="82" t="n">
        <v>0</v>
      </c>
      <c r="O577" s="82" t="n">
        <v>7570.771</v>
      </c>
      <c r="P577" s="83" t="n">
        <v>0</v>
      </c>
      <c r="Q577" s="83" t="n">
        <v>7260</v>
      </c>
      <c r="R577" s="47" t="n">
        <v>3</v>
      </c>
      <c r="S577" s="66" t="s">
        <v>871</v>
      </c>
    </row>
    <row r="578" customFormat="false" ht="15" hidden="false" customHeight="false" outlineLevel="0" collapsed="false">
      <c r="A578" s="79" t="s">
        <v>867</v>
      </c>
      <c r="B578" s="79" t="s">
        <v>274</v>
      </c>
      <c r="C578" s="80" t="n">
        <v>2025</v>
      </c>
      <c r="D578" s="80" t="n">
        <v>3</v>
      </c>
      <c r="E578" s="81" t="n">
        <v>45930</v>
      </c>
      <c r="F578" s="79" t="s">
        <v>267</v>
      </c>
      <c r="G578" s="79" t="s">
        <v>268</v>
      </c>
      <c r="H578" s="79" t="s">
        <v>264</v>
      </c>
      <c r="I578" s="82" t="n">
        <v>2330.084</v>
      </c>
      <c r="J578" s="82" t="n">
        <v>1613.721</v>
      </c>
      <c r="K578" s="82" t="n">
        <v>1214205000</v>
      </c>
      <c r="L578" s="83" t="n">
        <v>32.12</v>
      </c>
      <c r="M578" s="82" t="n">
        <v>37.8027</v>
      </c>
      <c r="N578" s="82" t="n">
        <v>0</v>
      </c>
      <c r="O578" s="82" t="n">
        <v>6367.317</v>
      </c>
      <c r="P578" s="83" t="n">
        <v>0</v>
      </c>
      <c r="Q578" s="83" t="n">
        <v>5050</v>
      </c>
      <c r="R578" s="47" t="n">
        <v>4</v>
      </c>
      <c r="S578" s="66" t="s">
        <v>872</v>
      </c>
    </row>
    <row r="579" customFormat="false" ht="15" hidden="false" customHeight="false" outlineLevel="0" collapsed="false">
      <c r="A579" s="79" t="s">
        <v>867</v>
      </c>
      <c r="B579" s="79" t="s">
        <v>276</v>
      </c>
      <c r="C579" s="80" t="n">
        <v>2025</v>
      </c>
      <c r="D579" s="80" t="n">
        <v>2</v>
      </c>
      <c r="E579" s="81" t="n">
        <v>45838</v>
      </c>
      <c r="F579" s="79" t="s">
        <v>267</v>
      </c>
      <c r="G579" s="79" t="s">
        <v>268</v>
      </c>
      <c r="H579" s="79" t="s">
        <v>264</v>
      </c>
      <c r="I579" s="82" t="n">
        <v>2246.547</v>
      </c>
      <c r="J579" s="82" t="n">
        <v>1524.869</v>
      </c>
      <c r="K579" s="82" t="n">
        <v>629097000</v>
      </c>
      <c r="L579" s="83" t="n">
        <v>16.65</v>
      </c>
      <c r="M579" s="82" t="n">
        <v>37.8207</v>
      </c>
      <c r="N579" s="82" t="n">
        <v>0</v>
      </c>
      <c r="O579" s="82" t="n">
        <v>5176.582</v>
      </c>
      <c r="P579" s="83" t="n">
        <v>52</v>
      </c>
      <c r="Q579" s="83" t="n">
        <v>4745</v>
      </c>
      <c r="R579" s="47" t="n">
        <v>5</v>
      </c>
      <c r="S579" s="66" t="s">
        <v>873</v>
      </c>
    </row>
    <row r="580" customFormat="false" ht="15" hidden="false" customHeight="false" outlineLevel="0" collapsed="false">
      <c r="A580" s="79" t="s">
        <v>867</v>
      </c>
      <c r="B580" s="79" t="s">
        <v>278</v>
      </c>
      <c r="C580" s="80" t="n">
        <v>2025</v>
      </c>
      <c r="D580" s="80" t="n">
        <v>1</v>
      </c>
      <c r="E580" s="81" t="n">
        <v>45747</v>
      </c>
      <c r="F580" s="79" t="s">
        <v>267</v>
      </c>
      <c r="G580" s="79" t="s">
        <v>268</v>
      </c>
      <c r="H580" s="79" t="s">
        <v>264</v>
      </c>
      <c r="I580" s="82" t="n">
        <v>2065.118</v>
      </c>
      <c r="J580" s="82" t="n">
        <v>1367.763</v>
      </c>
      <c r="K580" s="82" t="n">
        <v>886770000</v>
      </c>
      <c r="L580" s="83" t="n">
        <v>23.46</v>
      </c>
      <c r="M580" s="82" t="n">
        <v>37.8207</v>
      </c>
      <c r="N580" s="82" t="n">
        <v>0</v>
      </c>
      <c r="O580" s="82" t="n">
        <v>4564.817</v>
      </c>
      <c r="P580" s="83" t="n">
        <v>0</v>
      </c>
      <c r="Q580" s="83" t="n">
        <v>2990</v>
      </c>
      <c r="R580" s="47" t="n">
        <v>6</v>
      </c>
      <c r="S580" s="66" t="s">
        <v>874</v>
      </c>
    </row>
    <row r="581" customFormat="false" ht="15" hidden="false" customHeight="false" outlineLevel="0" collapsed="false">
      <c r="A581" s="79" t="s">
        <v>867</v>
      </c>
      <c r="B581" s="79" t="s">
        <v>280</v>
      </c>
      <c r="C581" s="80" t="n">
        <v>2024</v>
      </c>
      <c r="D581" s="80" t="n">
        <v>4</v>
      </c>
      <c r="E581" s="81" t="n">
        <v>45657</v>
      </c>
      <c r="F581" s="79" t="s">
        <v>267</v>
      </c>
      <c r="G581" s="79" t="s">
        <v>268</v>
      </c>
      <c r="H581" s="79" t="s">
        <v>264</v>
      </c>
      <c r="I581" s="82" t="n">
        <v>2103.713</v>
      </c>
      <c r="J581" s="82" t="n">
        <v>1376.853</v>
      </c>
      <c r="K581" s="82" t="n">
        <v>942842000</v>
      </c>
      <c r="L581" s="83" t="n">
        <v>24.95</v>
      </c>
      <c r="M581" s="82" t="n">
        <v>37.8207</v>
      </c>
      <c r="N581" s="82" t="n">
        <v>0</v>
      </c>
      <c r="O581" s="82" t="n">
        <v>5639.225</v>
      </c>
      <c r="P581" s="83" t="n">
        <v>0</v>
      </c>
      <c r="Q581" s="83" t="n">
        <v>3325</v>
      </c>
      <c r="R581" s="47" t="n">
        <v>7</v>
      </c>
      <c r="S581" s="66" t="s">
        <v>875</v>
      </c>
    </row>
    <row r="582" customFormat="false" ht="15" hidden="false" customHeight="false" outlineLevel="0" collapsed="false">
      <c r="A582" s="79" t="s">
        <v>867</v>
      </c>
      <c r="B582" s="79" t="s">
        <v>282</v>
      </c>
      <c r="C582" s="80" t="n">
        <v>2024</v>
      </c>
      <c r="D582" s="80" t="n">
        <v>3</v>
      </c>
      <c r="E582" s="81" t="n">
        <v>45565</v>
      </c>
      <c r="F582" s="79" t="s">
        <v>267</v>
      </c>
      <c r="G582" s="79" t="s">
        <v>268</v>
      </c>
      <c r="H582" s="79" t="s">
        <v>264</v>
      </c>
      <c r="I582" s="82" t="n">
        <v>1986.435</v>
      </c>
      <c r="J582" s="82" t="n">
        <v>1276.807</v>
      </c>
      <c r="K582" s="82" t="n">
        <v>729320000</v>
      </c>
      <c r="L582" s="83" t="n">
        <v>19.3</v>
      </c>
      <c r="M582" s="82" t="n">
        <v>37.8207</v>
      </c>
      <c r="N582" s="82" t="n">
        <v>0</v>
      </c>
      <c r="O582" s="82" t="n">
        <v>4721.937</v>
      </c>
      <c r="P582" s="83" t="n">
        <v>0</v>
      </c>
      <c r="Q582" s="83" t="n">
        <v>4305</v>
      </c>
      <c r="R582" s="47" t="n">
        <v>8</v>
      </c>
      <c r="S582" s="66" t="s">
        <v>876</v>
      </c>
    </row>
    <row r="583" customFormat="false" ht="15" hidden="false" customHeight="false" outlineLevel="0" collapsed="false">
      <c r="A583" s="79" t="s">
        <v>867</v>
      </c>
      <c r="B583" s="79" t="s">
        <v>284</v>
      </c>
      <c r="C583" s="80" t="n">
        <v>2024</v>
      </c>
      <c r="D583" s="80" t="n">
        <v>2</v>
      </c>
      <c r="E583" s="81" t="n">
        <v>45473</v>
      </c>
      <c r="F583" s="79" t="s">
        <v>267</v>
      </c>
      <c r="G583" s="79" t="s">
        <v>268</v>
      </c>
      <c r="H583" s="79" t="s">
        <v>264</v>
      </c>
      <c r="I583" s="82" t="n">
        <v>1356.045</v>
      </c>
      <c r="J583" s="82" t="n">
        <v>859.222</v>
      </c>
      <c r="K583" s="82" t="n">
        <v>507796000</v>
      </c>
      <c r="L583" s="83" t="n">
        <v>13.44</v>
      </c>
      <c r="M583" s="82" t="n">
        <v>37.8207</v>
      </c>
      <c r="N583" s="82" t="n">
        <v>0</v>
      </c>
      <c r="O583" s="82" t="n">
        <v>3991.163</v>
      </c>
      <c r="P583" s="83" t="n">
        <v>20</v>
      </c>
      <c r="Q583" s="83" t="n">
        <v>4840</v>
      </c>
      <c r="R583" s="47" t="n">
        <v>9</v>
      </c>
      <c r="S583" s="66" t="s">
        <v>877</v>
      </c>
    </row>
    <row r="584" customFormat="false" ht="15" hidden="false" customHeight="false" outlineLevel="0" collapsed="false">
      <c r="A584" s="79" t="s">
        <v>867</v>
      </c>
      <c r="B584" s="79" t="s">
        <v>286</v>
      </c>
      <c r="C584" s="80" t="n">
        <v>2024</v>
      </c>
      <c r="D584" s="80" t="n">
        <v>1</v>
      </c>
      <c r="E584" s="81" t="n">
        <v>45382</v>
      </c>
      <c r="F584" s="79" t="s">
        <v>267</v>
      </c>
      <c r="G584" s="79" t="s">
        <v>268</v>
      </c>
      <c r="H584" s="79" t="s">
        <v>264</v>
      </c>
      <c r="I584" s="82" t="n">
        <v>1013.473</v>
      </c>
      <c r="J584" s="82" t="n">
        <v>640.916</v>
      </c>
      <c r="K584" s="82" t="n">
        <v>391350000</v>
      </c>
      <c r="L584" s="83" t="n">
        <v>10.36</v>
      </c>
      <c r="M584" s="82" t="n">
        <v>37.8207</v>
      </c>
      <c r="N584" s="82" t="n">
        <v>0</v>
      </c>
      <c r="O584" s="82" t="n">
        <v>3477.137</v>
      </c>
      <c r="P584" s="83" t="n">
        <v>0</v>
      </c>
      <c r="Q584" s="83" t="n">
        <v>3330</v>
      </c>
      <c r="R584" s="47" t="n">
        <v>10</v>
      </c>
      <c r="S584" s="66" t="s">
        <v>878</v>
      </c>
    </row>
    <row r="585" customFormat="false" ht="15" hidden="false" customHeight="false" outlineLevel="0" collapsed="false">
      <c r="A585" s="79" t="s">
        <v>867</v>
      </c>
      <c r="B585" s="79" t="s">
        <v>288</v>
      </c>
      <c r="C585" s="80" t="n">
        <v>2023</v>
      </c>
      <c r="D585" s="80" t="n">
        <v>4</v>
      </c>
      <c r="E585" s="81" t="n">
        <v>45291</v>
      </c>
      <c r="F585" s="79" t="s">
        <v>267</v>
      </c>
      <c r="G585" s="79" t="s">
        <v>268</v>
      </c>
      <c r="H585" s="79" t="s">
        <v>264</v>
      </c>
      <c r="I585" s="82" t="n">
        <v>984.247</v>
      </c>
      <c r="J585" s="82" t="n">
        <v>633.213</v>
      </c>
      <c r="K585" s="82" t="n">
        <v>309694000</v>
      </c>
      <c r="L585" s="83" t="n">
        <v>8.2</v>
      </c>
      <c r="M585" s="82" t="n">
        <v>37.8207</v>
      </c>
      <c r="N585" s="82" t="n">
        <v>0</v>
      </c>
      <c r="O585" s="82" t="n">
        <v>3834.195</v>
      </c>
      <c r="P585" s="83" t="n">
        <v>0</v>
      </c>
      <c r="Q585" s="83" t="n">
        <v>3120</v>
      </c>
      <c r="R585" s="47" t="n">
        <v>11</v>
      </c>
      <c r="S585" s="66" t="s">
        <v>879</v>
      </c>
    </row>
    <row r="586" customFormat="false" ht="15" hidden="false" customHeight="false" outlineLevel="0" collapsed="false">
      <c r="A586" s="79" t="s">
        <v>867</v>
      </c>
      <c r="B586" s="79" t="s">
        <v>290</v>
      </c>
      <c r="C586" s="80" t="n">
        <v>2023</v>
      </c>
      <c r="D586" s="80" t="n">
        <v>3</v>
      </c>
      <c r="E586" s="81" t="n">
        <v>45199</v>
      </c>
      <c r="F586" s="79" t="s">
        <v>267</v>
      </c>
      <c r="G586" s="79" t="s">
        <v>268</v>
      </c>
      <c r="H586" s="79" t="s">
        <v>264</v>
      </c>
      <c r="I586" s="82" t="n">
        <v>796.713</v>
      </c>
      <c r="J586" s="82" t="n">
        <v>498.395</v>
      </c>
      <c r="K586" s="82" t="n">
        <v>270455000</v>
      </c>
      <c r="L586" s="83" t="n">
        <v>7.16</v>
      </c>
      <c r="M586" s="82" t="n">
        <v>37.8207</v>
      </c>
      <c r="N586" s="82" t="n">
        <v>0</v>
      </c>
      <c r="O586" s="82" t="n">
        <v>3520.891</v>
      </c>
      <c r="P586" s="83" t="n">
        <v>0</v>
      </c>
      <c r="Q586" s="83" t="n">
        <v>2765</v>
      </c>
      <c r="R586" s="47" t="n">
        <v>12</v>
      </c>
      <c r="S586" s="66" t="s">
        <v>880</v>
      </c>
    </row>
    <row r="587" customFormat="false" ht="15" hidden="false" customHeight="false" outlineLevel="0" collapsed="false">
      <c r="A587" s="79" t="s">
        <v>867</v>
      </c>
      <c r="B587" s="79" t="s">
        <v>292</v>
      </c>
      <c r="C587" s="80" t="n">
        <v>2023</v>
      </c>
      <c r="D587" s="80" t="n">
        <v>2</v>
      </c>
      <c r="E587" s="81" t="n">
        <v>45107</v>
      </c>
      <c r="F587" s="79" t="s">
        <v>267</v>
      </c>
      <c r="G587" s="79" t="s">
        <v>268</v>
      </c>
      <c r="H587" s="79" t="s">
        <v>264</v>
      </c>
      <c r="I587" s="82" t="n">
        <v>680.039</v>
      </c>
      <c r="J587" s="82" t="n">
        <v>446.316</v>
      </c>
      <c r="K587" s="82" t="n">
        <v>240352000</v>
      </c>
      <c r="L587" s="83" t="n">
        <v>6.37</v>
      </c>
      <c r="M587" s="82" t="n">
        <v>37.8207</v>
      </c>
      <c r="N587" s="82" t="n">
        <v>0</v>
      </c>
      <c r="O587" s="82" t="n">
        <v>3240.078</v>
      </c>
      <c r="P587" s="83" t="n">
        <v>45</v>
      </c>
      <c r="Q587" s="83" t="n">
        <v>2850</v>
      </c>
      <c r="R587" s="47" t="n">
        <v>13</v>
      </c>
      <c r="S587" s="66" t="s">
        <v>881</v>
      </c>
    </row>
    <row r="588" customFormat="false" ht="15" hidden="false" customHeight="false" outlineLevel="0" collapsed="false">
      <c r="A588" s="79" t="s">
        <v>867</v>
      </c>
      <c r="B588" s="79" t="s">
        <v>294</v>
      </c>
      <c r="C588" s="80" t="n">
        <v>2023</v>
      </c>
      <c r="D588" s="80" t="n">
        <v>1</v>
      </c>
      <c r="E588" s="81" t="n">
        <v>45016</v>
      </c>
      <c r="F588" s="79" t="s">
        <v>267</v>
      </c>
      <c r="G588" s="79" t="s">
        <v>268</v>
      </c>
      <c r="H588" s="79" t="s">
        <v>264</v>
      </c>
      <c r="I588" s="82" t="n">
        <v>669.396</v>
      </c>
      <c r="J588" s="82" t="n">
        <v>429.994</v>
      </c>
      <c r="K588" s="82" t="n">
        <v>186309000</v>
      </c>
      <c r="L588" s="83" t="n">
        <v>4.93</v>
      </c>
      <c r="M588" s="82" t="n">
        <v>37.8207</v>
      </c>
      <c r="N588" s="82" t="n">
        <v>0</v>
      </c>
      <c r="O588" s="82" t="n">
        <v>2985.36</v>
      </c>
      <c r="P588" s="83" t="n">
        <v>0</v>
      </c>
      <c r="Q588" s="83" t="n">
        <v>2635</v>
      </c>
      <c r="R588" s="47" t="n">
        <v>14</v>
      </c>
      <c r="S588" s="66" t="s">
        <v>882</v>
      </c>
    </row>
    <row r="589" customFormat="false" ht="15" hidden="false" customHeight="false" outlineLevel="0" collapsed="false">
      <c r="A589" s="79" t="s">
        <v>867</v>
      </c>
      <c r="B589" s="79" t="s">
        <v>296</v>
      </c>
      <c r="C589" s="80" t="n">
        <v>2022</v>
      </c>
      <c r="D589" s="80" t="n">
        <v>4</v>
      </c>
      <c r="E589" s="81" t="n">
        <v>44926</v>
      </c>
      <c r="F589" s="79" t="s">
        <v>267</v>
      </c>
      <c r="G589" s="79" t="s">
        <v>268</v>
      </c>
      <c r="H589" s="79" t="s">
        <v>264</v>
      </c>
      <c r="I589" s="82" t="n">
        <v>1326.707</v>
      </c>
      <c r="J589" s="82" t="n">
        <v>859.687</v>
      </c>
      <c r="K589" s="82" t="n">
        <v>475794000</v>
      </c>
      <c r="L589" s="83" t="n">
        <v>12.59</v>
      </c>
      <c r="M589" s="82" t="n">
        <v>37.8207</v>
      </c>
      <c r="N589" s="82" t="n">
        <v>0</v>
      </c>
      <c r="O589" s="82" t="n">
        <v>4487.751</v>
      </c>
      <c r="P589" s="83" t="n">
        <v>0</v>
      </c>
      <c r="Q589" s="83" t="n">
        <v>1685</v>
      </c>
      <c r="R589" s="47" t="n">
        <v>15</v>
      </c>
      <c r="S589" s="66" t="s">
        <v>883</v>
      </c>
    </row>
    <row r="590" customFormat="false" ht="15" hidden="false" customHeight="false" outlineLevel="0" collapsed="false">
      <c r="A590" s="79" t="s">
        <v>867</v>
      </c>
      <c r="B590" s="79" t="s">
        <v>298</v>
      </c>
      <c r="C590" s="80" t="n">
        <v>2022</v>
      </c>
      <c r="D590" s="80" t="n">
        <v>3</v>
      </c>
      <c r="E590" s="81" t="n">
        <v>44834</v>
      </c>
      <c r="F590" s="79" t="s">
        <v>267</v>
      </c>
      <c r="G590" s="79" t="s">
        <v>268</v>
      </c>
      <c r="H590" s="79" t="s">
        <v>264</v>
      </c>
      <c r="I590" s="82" t="n">
        <v>1306.58</v>
      </c>
      <c r="J590" s="82" t="n">
        <v>845.837</v>
      </c>
      <c r="K590" s="82" t="n">
        <v>598343000</v>
      </c>
      <c r="L590" s="83" t="n">
        <v>15.83</v>
      </c>
      <c r="M590" s="82" t="n">
        <v>37.8871</v>
      </c>
      <c r="N590" s="82" t="n">
        <v>0</v>
      </c>
      <c r="O590" s="82" t="n">
        <v>4124.329</v>
      </c>
      <c r="P590" s="83" t="n">
        <v>0</v>
      </c>
      <c r="Q590" s="83" t="n">
        <v>1780</v>
      </c>
      <c r="R590" s="47" t="n">
        <v>16</v>
      </c>
      <c r="S590" s="66" t="s">
        <v>884</v>
      </c>
    </row>
    <row r="591" customFormat="false" ht="15" hidden="false" customHeight="false" outlineLevel="0" collapsed="false">
      <c r="A591" s="79" t="s">
        <v>867</v>
      </c>
      <c r="B591" s="79" t="s">
        <v>300</v>
      </c>
      <c r="C591" s="80" t="n">
        <v>2022</v>
      </c>
      <c r="D591" s="80" t="n">
        <v>2</v>
      </c>
      <c r="E591" s="81" t="n">
        <v>44742</v>
      </c>
      <c r="F591" s="79" t="s">
        <v>267</v>
      </c>
      <c r="G591" s="79" t="s">
        <v>268</v>
      </c>
      <c r="H591" s="79" t="s">
        <v>264</v>
      </c>
      <c r="I591" s="82" t="n">
        <v>1425.332</v>
      </c>
      <c r="J591" s="82" t="n">
        <v>928.983</v>
      </c>
      <c r="K591" s="82" t="n">
        <v>563412000</v>
      </c>
      <c r="L591" s="83" t="n">
        <v>14.9</v>
      </c>
      <c r="M591" s="82" t="n">
        <v>34.3551</v>
      </c>
      <c r="N591" s="82" t="n">
        <v>0</v>
      </c>
      <c r="O591" s="82" t="n">
        <v>3512.905</v>
      </c>
      <c r="P591" s="83" t="n">
        <v>35</v>
      </c>
      <c r="Q591" s="83" t="n">
        <v>1900</v>
      </c>
      <c r="R591" s="47" t="n">
        <v>17</v>
      </c>
      <c r="S591" s="66" t="s">
        <v>885</v>
      </c>
    </row>
    <row r="592" customFormat="false" ht="15" hidden="false" customHeight="false" outlineLevel="0" collapsed="false">
      <c r="A592" s="79" t="s">
        <v>867</v>
      </c>
      <c r="B592" s="79" t="s">
        <v>302</v>
      </c>
      <c r="C592" s="80" t="n">
        <v>2022</v>
      </c>
      <c r="D592" s="80" t="n">
        <v>1</v>
      </c>
      <c r="E592" s="81" t="n">
        <v>44651</v>
      </c>
      <c r="F592" s="79" t="s">
        <v>267</v>
      </c>
      <c r="G592" s="79" t="s">
        <v>268</v>
      </c>
      <c r="H592" s="79" t="s">
        <v>264</v>
      </c>
      <c r="I592" s="82" t="n">
        <v>1151.509</v>
      </c>
      <c r="J592" s="82" t="n">
        <v>756.645</v>
      </c>
      <c r="K592" s="82" t="n">
        <v>468065000</v>
      </c>
      <c r="L592" s="83" t="n">
        <v>13.64</v>
      </c>
      <c r="M592" s="82" t="n">
        <v>34.3551</v>
      </c>
      <c r="N592" s="82" t="n">
        <v>0</v>
      </c>
      <c r="O592" s="82" t="n">
        <v>2949.987</v>
      </c>
      <c r="P592" s="83" t="n">
        <v>0</v>
      </c>
      <c r="Q592" s="83" t="n">
        <v>3260</v>
      </c>
      <c r="R592" s="47" t="n">
        <v>18</v>
      </c>
      <c r="S592" s="66" t="s">
        <v>886</v>
      </c>
    </row>
    <row r="593" customFormat="false" ht="15" hidden="false" customHeight="false" outlineLevel="0" collapsed="false">
      <c r="A593" s="79" t="s">
        <v>867</v>
      </c>
      <c r="B593" s="79" t="s">
        <v>304</v>
      </c>
      <c r="C593" s="80" t="n">
        <v>2021</v>
      </c>
      <c r="D593" s="80" t="n">
        <v>4</v>
      </c>
      <c r="E593" s="81" t="n">
        <v>44561</v>
      </c>
      <c r="F593" s="79" t="s">
        <v>267</v>
      </c>
      <c r="G593" s="79" t="s">
        <v>268</v>
      </c>
      <c r="H593" s="79" t="s">
        <v>264</v>
      </c>
      <c r="I593" s="82" t="n">
        <v>1031.347</v>
      </c>
      <c r="J593" s="82" t="n">
        <v>682.38</v>
      </c>
      <c r="K593" s="82" t="n">
        <v>420364000</v>
      </c>
      <c r="L593" s="83" t="n">
        <v>12.26</v>
      </c>
      <c r="M593" s="82" t="n">
        <v>34.3694</v>
      </c>
      <c r="N593" s="82" t="n">
        <v>0</v>
      </c>
      <c r="O593" s="82" t="n">
        <v>3546.206</v>
      </c>
      <c r="P593" s="83" t="n">
        <v>0</v>
      </c>
      <c r="Q593" s="83" t="n">
        <v>3565</v>
      </c>
      <c r="R593" s="47" t="n">
        <v>19</v>
      </c>
      <c r="S593" s="66" t="s">
        <v>887</v>
      </c>
    </row>
    <row r="594" customFormat="false" ht="15" hidden="false" customHeight="false" outlineLevel="0" collapsed="false">
      <c r="A594" s="79" t="s">
        <v>867</v>
      </c>
      <c r="B594" s="79" t="s">
        <v>306</v>
      </c>
      <c r="C594" s="80" t="n">
        <v>2021</v>
      </c>
      <c r="D594" s="80" t="n">
        <v>3</v>
      </c>
      <c r="E594" s="81" t="n">
        <v>44469</v>
      </c>
      <c r="F594" s="79" t="s">
        <v>267</v>
      </c>
      <c r="G594" s="79" t="s">
        <v>268</v>
      </c>
      <c r="H594" s="79" t="s">
        <v>264</v>
      </c>
      <c r="I594" s="82" t="n">
        <v>939.334</v>
      </c>
      <c r="J594" s="82" t="n">
        <v>615.058</v>
      </c>
      <c r="K594" s="82" t="n">
        <v>344262000</v>
      </c>
      <c r="L594" s="83" t="n">
        <v>10.04</v>
      </c>
      <c r="M594" s="82" t="n">
        <v>34.373</v>
      </c>
      <c r="N594" s="82" t="n">
        <v>0</v>
      </c>
      <c r="O594" s="82" t="n">
        <v>3123.971</v>
      </c>
      <c r="P594" s="83" t="n">
        <v>0</v>
      </c>
      <c r="Q594" s="83" t="n">
        <v>2325</v>
      </c>
      <c r="R594" s="47" t="n">
        <v>20</v>
      </c>
      <c r="S594" s="66" t="s">
        <v>888</v>
      </c>
    </row>
    <row r="595" customFormat="false" ht="15" hidden="false" customHeight="false" outlineLevel="0" collapsed="false">
      <c r="A595" s="79" t="s">
        <v>867</v>
      </c>
      <c r="B595" s="79" t="s">
        <v>308</v>
      </c>
      <c r="C595" s="80" t="n">
        <v>2021</v>
      </c>
      <c r="D595" s="80" t="n">
        <v>2</v>
      </c>
      <c r="E595" s="81" t="n">
        <v>44377</v>
      </c>
      <c r="F595" s="79" t="s">
        <v>267</v>
      </c>
      <c r="G595" s="79" t="s">
        <v>268</v>
      </c>
      <c r="H595" s="79" t="s">
        <v>264</v>
      </c>
      <c r="I595" s="82" t="n">
        <v>916.436</v>
      </c>
      <c r="J595" s="82" t="n">
        <v>598.267</v>
      </c>
      <c r="K595" s="82" t="n">
        <v>301469000</v>
      </c>
      <c r="L595" s="83" t="n">
        <v>8.81</v>
      </c>
      <c r="M595" s="82" t="n">
        <v>34.3155</v>
      </c>
      <c r="N595" s="82" t="n">
        <v>0</v>
      </c>
      <c r="O595" s="82" t="n">
        <v>2775.001</v>
      </c>
      <c r="P595" s="83" t="n">
        <v>26</v>
      </c>
      <c r="Q595" s="83" t="n">
        <v>2010</v>
      </c>
      <c r="R595" s="47" t="n">
        <v>21</v>
      </c>
      <c r="S595" s="66" t="s">
        <v>889</v>
      </c>
    </row>
    <row r="596" customFormat="false" ht="15" hidden="false" customHeight="false" outlineLevel="0" collapsed="false">
      <c r="A596" s="79" t="s">
        <v>867</v>
      </c>
      <c r="B596" s="79" t="s">
        <v>310</v>
      </c>
      <c r="C596" s="80" t="n">
        <v>2021</v>
      </c>
      <c r="D596" s="80" t="n">
        <v>1</v>
      </c>
      <c r="E596" s="81" t="n">
        <v>44286</v>
      </c>
      <c r="F596" s="79" t="s">
        <v>267</v>
      </c>
      <c r="G596" s="79" t="s">
        <v>268</v>
      </c>
      <c r="H596" s="79" t="s">
        <v>264</v>
      </c>
      <c r="I596" s="82" t="n">
        <v>750.515</v>
      </c>
      <c r="J596" s="82" t="n">
        <v>479.853</v>
      </c>
      <c r="K596" s="82" t="n">
        <v>246830000</v>
      </c>
      <c r="L596" s="83" t="n">
        <v>7.21</v>
      </c>
      <c r="M596" s="82" t="n">
        <v>34.3155</v>
      </c>
      <c r="N596" s="82" t="n">
        <v>0</v>
      </c>
      <c r="O596" s="82" t="n">
        <v>2470.795</v>
      </c>
      <c r="P596" s="83" t="n">
        <v>0</v>
      </c>
      <c r="Q596" s="83" t="n">
        <v>1725</v>
      </c>
      <c r="R596" s="47" t="n">
        <v>22</v>
      </c>
      <c r="S596" s="66" t="s">
        <v>890</v>
      </c>
    </row>
    <row r="597" customFormat="false" ht="15" hidden="false" customHeight="false" outlineLevel="0" collapsed="false">
      <c r="A597" s="79" t="s">
        <v>867</v>
      </c>
      <c r="B597" s="79" t="s">
        <v>312</v>
      </c>
      <c r="C597" s="80" t="n">
        <v>2020</v>
      </c>
      <c r="D597" s="80" t="n">
        <v>4</v>
      </c>
      <c r="E597" s="81" t="n">
        <v>44196</v>
      </c>
      <c r="F597" s="79" t="s">
        <v>267</v>
      </c>
      <c r="G597" s="79" t="s">
        <v>268</v>
      </c>
      <c r="H597" s="79" t="s">
        <v>264</v>
      </c>
      <c r="I597" s="82" t="n">
        <v>697.323</v>
      </c>
      <c r="J597" s="82" t="n">
        <v>449.787</v>
      </c>
      <c r="K597" s="82" t="n">
        <v>230588000</v>
      </c>
      <c r="L597" s="83" t="n">
        <v>6.74</v>
      </c>
      <c r="M597" s="82" t="n">
        <v>34.32</v>
      </c>
      <c r="N597" s="82" t="n">
        <v>0</v>
      </c>
      <c r="O597" s="82" t="n">
        <v>3003.678</v>
      </c>
      <c r="P597" s="83" t="n">
        <v>0</v>
      </c>
      <c r="Q597" s="83" t="n">
        <v>1715</v>
      </c>
      <c r="R597" s="47" t="n">
        <v>23</v>
      </c>
      <c r="S597" s="66" t="s">
        <v>891</v>
      </c>
    </row>
    <row r="598" customFormat="false" ht="15" hidden="false" customHeight="false" outlineLevel="0" collapsed="false">
      <c r="A598" s="79" t="s">
        <v>867</v>
      </c>
      <c r="B598" s="79" t="s">
        <v>314</v>
      </c>
      <c r="C598" s="80" t="n">
        <v>2020</v>
      </c>
      <c r="D598" s="80" t="n">
        <v>3</v>
      </c>
      <c r="E598" s="81" t="n">
        <v>44104</v>
      </c>
      <c r="F598" s="79" t="s">
        <v>267</v>
      </c>
      <c r="G598" s="79" t="s">
        <v>268</v>
      </c>
      <c r="H598" s="79" t="s">
        <v>264</v>
      </c>
      <c r="I598" s="82" t="n">
        <v>732.508</v>
      </c>
      <c r="J598" s="82" t="n">
        <v>466.322</v>
      </c>
      <c r="K598" s="82" t="n">
        <v>233130000</v>
      </c>
      <c r="L598" s="83" t="n">
        <v>6.82</v>
      </c>
      <c r="M598" s="82" t="n">
        <v>34.32</v>
      </c>
      <c r="N598" s="82" t="n">
        <v>0</v>
      </c>
      <c r="O598" s="82" t="n">
        <v>2766.632</v>
      </c>
      <c r="P598" s="83"/>
      <c r="Q598" s="83" t="n">
        <v>1135</v>
      </c>
      <c r="R598" s="47" t="n">
        <v>24</v>
      </c>
      <c r="S598" s="66" t="s">
        <v>892</v>
      </c>
    </row>
    <row r="599" customFormat="false" ht="15" hidden="false" customHeight="false" outlineLevel="0" collapsed="false">
      <c r="A599" s="79" t="s">
        <v>186</v>
      </c>
      <c r="B599" s="79" t="s">
        <v>261</v>
      </c>
      <c r="C599" s="80" t="n">
        <v>2026</v>
      </c>
      <c r="D599" s="80" t="n">
        <v>3</v>
      </c>
      <c r="E599" s="81" t="n">
        <v>46295</v>
      </c>
      <c r="F599" s="79" t="s">
        <v>262</v>
      </c>
      <c r="G599" s="79" t="s">
        <v>263</v>
      </c>
      <c r="H599" s="79" t="s">
        <v>264</v>
      </c>
      <c r="I599" s="82"/>
      <c r="J599" s="82"/>
      <c r="K599" s="82"/>
      <c r="L599" s="83" t="n">
        <v>99.01</v>
      </c>
      <c r="M599" s="82"/>
      <c r="N599" s="82"/>
      <c r="O599" s="82"/>
      <c r="P599" s="83"/>
      <c r="Q599" s="83"/>
      <c r="R599" s="47" t="n">
        <v>0</v>
      </c>
      <c r="S599" s="66" t="s">
        <v>893</v>
      </c>
    </row>
    <row r="600" customFormat="false" ht="15" hidden="false" customHeight="false" outlineLevel="0" collapsed="false">
      <c r="A600" s="79" t="s">
        <v>186</v>
      </c>
      <c r="B600" s="79" t="s">
        <v>266</v>
      </c>
      <c r="C600" s="80" t="n">
        <v>2026</v>
      </c>
      <c r="D600" s="80" t="n">
        <v>2</v>
      </c>
      <c r="E600" s="81" t="n">
        <v>46203</v>
      </c>
      <c r="F600" s="79" t="s">
        <v>267</v>
      </c>
      <c r="G600" s="79" t="s">
        <v>268</v>
      </c>
      <c r="H600" s="79" t="s">
        <v>264</v>
      </c>
      <c r="I600" s="82" t="n">
        <v>22443.411</v>
      </c>
      <c r="J600" s="82" t="n">
        <v>14589.612</v>
      </c>
      <c r="K600" s="82" t="n">
        <v>10368072000</v>
      </c>
      <c r="L600" s="83" t="n">
        <v>108.93</v>
      </c>
      <c r="M600" s="82" t="n">
        <v>96.3654</v>
      </c>
      <c r="N600" s="82" t="n">
        <v>0</v>
      </c>
      <c r="O600" s="82" t="n">
        <v>23288.098</v>
      </c>
      <c r="P600" s="83" t="n">
        <v>0</v>
      </c>
      <c r="Q600" s="83" t="n">
        <v>1615</v>
      </c>
      <c r="R600" s="47" t="n">
        <v>1</v>
      </c>
      <c r="S600" s="66" t="s">
        <v>894</v>
      </c>
    </row>
    <row r="601" customFormat="false" ht="15" hidden="false" customHeight="false" outlineLevel="0" collapsed="false">
      <c r="A601" s="79" t="s">
        <v>186</v>
      </c>
      <c r="B601" s="79" t="s">
        <v>270</v>
      </c>
      <c r="C601" s="80" t="n">
        <v>2026</v>
      </c>
      <c r="D601" s="80" t="n">
        <v>1</v>
      </c>
      <c r="E601" s="81" t="n">
        <v>46112</v>
      </c>
      <c r="F601" s="79" t="s">
        <v>267</v>
      </c>
      <c r="G601" s="79" t="s">
        <v>268</v>
      </c>
      <c r="H601" s="79" t="s">
        <v>264</v>
      </c>
      <c r="I601" s="82" t="n">
        <v>13182.608</v>
      </c>
      <c r="J601" s="82" t="n">
        <v>7791.357</v>
      </c>
      <c r="K601" s="82" t="n">
        <v>5466357000</v>
      </c>
      <c r="L601" s="83" t="n">
        <v>57.49</v>
      </c>
      <c r="M601" s="82" t="n">
        <v>96.3552</v>
      </c>
      <c r="N601" s="82" t="n">
        <v>0</v>
      </c>
      <c r="O601" s="82" t="n">
        <v>14500.386</v>
      </c>
      <c r="P601" s="83" t="n">
        <v>0</v>
      </c>
      <c r="Q601" s="83" t="n">
        <v>847</v>
      </c>
      <c r="R601" s="47" t="n">
        <v>2</v>
      </c>
      <c r="S601" s="66" t="s">
        <v>895</v>
      </c>
    </row>
    <row r="602" customFormat="false" ht="15" hidden="false" customHeight="false" outlineLevel="0" collapsed="false">
      <c r="A602" s="79" t="s">
        <v>186</v>
      </c>
      <c r="B602" s="79" t="s">
        <v>272</v>
      </c>
      <c r="C602" s="80" t="n">
        <v>2025</v>
      </c>
      <c r="D602" s="80" t="n">
        <v>4</v>
      </c>
      <c r="E602" s="81" t="n">
        <v>46022</v>
      </c>
      <c r="F602" s="79" t="s">
        <v>267</v>
      </c>
      <c r="G602" s="79" t="s">
        <v>268</v>
      </c>
      <c r="H602" s="79" t="s">
        <v>264</v>
      </c>
      <c r="I602" s="82" t="n">
        <v>4806.69</v>
      </c>
      <c r="J602" s="82" t="n">
        <v>1597.288</v>
      </c>
      <c r="K602" s="82" t="n">
        <v>870716000</v>
      </c>
      <c r="L602" s="83" t="n">
        <v>9.26</v>
      </c>
      <c r="M602" s="82" t="n">
        <v>96.0407</v>
      </c>
      <c r="N602" s="82" t="n">
        <v>0</v>
      </c>
      <c r="O602" s="82" t="n">
        <v>8940.787</v>
      </c>
      <c r="P602" s="83" t="n">
        <v>0</v>
      </c>
      <c r="Q602" s="83" t="n">
        <v>576</v>
      </c>
      <c r="R602" s="47" t="n">
        <v>3</v>
      </c>
      <c r="S602" s="66" t="s">
        <v>896</v>
      </c>
    </row>
    <row r="603" customFormat="false" ht="15" hidden="false" customHeight="false" outlineLevel="0" collapsed="false">
      <c r="A603" s="79" t="s">
        <v>186</v>
      </c>
      <c r="B603" s="79" t="s">
        <v>274</v>
      </c>
      <c r="C603" s="80" t="n">
        <v>2025</v>
      </c>
      <c r="D603" s="80" t="n">
        <v>3</v>
      </c>
      <c r="E603" s="81" t="n">
        <v>45930</v>
      </c>
      <c r="F603" s="79" t="s">
        <v>267</v>
      </c>
      <c r="G603" s="79" t="s">
        <v>268</v>
      </c>
      <c r="H603" s="79" t="s">
        <v>264</v>
      </c>
      <c r="I603" s="82" t="n">
        <v>3807.401</v>
      </c>
      <c r="J603" s="82" t="n">
        <v>1248.818</v>
      </c>
      <c r="K603" s="82" t="n">
        <v>643038000</v>
      </c>
      <c r="L603" s="83" t="n">
        <v>6.87</v>
      </c>
      <c r="M603" s="82" t="n">
        <v>95.3452</v>
      </c>
      <c r="N603" s="82" t="n">
        <v>0</v>
      </c>
      <c r="O603" s="82" t="n">
        <v>7932.37</v>
      </c>
      <c r="P603" s="83" t="n">
        <v>9.37723774</v>
      </c>
      <c r="Q603" s="83" t="n">
        <v>329.5</v>
      </c>
      <c r="R603" s="47" t="n">
        <v>4</v>
      </c>
      <c r="S603" s="66" t="s">
        <v>897</v>
      </c>
    </row>
    <row r="604" customFormat="false" ht="15" hidden="false" customHeight="false" outlineLevel="0" collapsed="false">
      <c r="A604" s="79" t="s">
        <v>186</v>
      </c>
      <c r="B604" s="79" t="s">
        <v>276</v>
      </c>
      <c r="C604" s="80" t="n">
        <v>2025</v>
      </c>
      <c r="D604" s="80" t="n">
        <v>2</v>
      </c>
      <c r="E604" s="81" t="n">
        <v>45838</v>
      </c>
      <c r="F604" s="79" t="s">
        <v>267</v>
      </c>
      <c r="G604" s="79" t="s">
        <v>268</v>
      </c>
      <c r="H604" s="79" t="s">
        <v>264</v>
      </c>
      <c r="I604" s="82" t="n">
        <v>3028.429</v>
      </c>
      <c r="J604" s="82" t="n">
        <v>785.089</v>
      </c>
      <c r="K604" s="82" t="n">
        <v>185349000</v>
      </c>
      <c r="L604" s="83" t="n">
        <v>2.02</v>
      </c>
      <c r="M604" s="82" t="n">
        <v>91.6411</v>
      </c>
      <c r="N604" s="82" t="n">
        <v>0</v>
      </c>
      <c r="O604" s="82" t="n">
        <v>7184.405</v>
      </c>
      <c r="P604" s="83" t="n">
        <v>0</v>
      </c>
      <c r="Q604" s="83" t="n">
        <v>237</v>
      </c>
      <c r="R604" s="47" t="n">
        <v>5</v>
      </c>
      <c r="S604" s="66" t="s">
        <v>898</v>
      </c>
    </row>
    <row r="605" customFormat="false" ht="15" hidden="false" customHeight="false" outlineLevel="0" collapsed="false">
      <c r="A605" s="79" t="s">
        <v>186</v>
      </c>
      <c r="B605" s="79" t="s">
        <v>278</v>
      </c>
      <c r="C605" s="80" t="n">
        <v>2025</v>
      </c>
      <c r="D605" s="80" t="n">
        <v>1</v>
      </c>
      <c r="E605" s="81" t="n">
        <v>45747</v>
      </c>
      <c r="F605" s="79" t="s">
        <v>267</v>
      </c>
      <c r="G605" s="79" t="s">
        <v>268</v>
      </c>
      <c r="H605" s="79" t="s">
        <v>264</v>
      </c>
      <c r="I605" s="82" t="n">
        <v>2618.742</v>
      </c>
      <c r="J605" s="82" t="n">
        <v>800.733</v>
      </c>
      <c r="K605" s="82" t="n">
        <v>336540000</v>
      </c>
      <c r="L605" s="83" t="n">
        <v>3.68</v>
      </c>
      <c r="M605" s="82" t="n">
        <v>91.5746</v>
      </c>
      <c r="N605" s="82" t="n">
        <v>0</v>
      </c>
      <c r="O605" s="82" t="n">
        <v>7854.351</v>
      </c>
      <c r="P605" s="83" t="n">
        <v>0</v>
      </c>
      <c r="Q605" s="83" t="n">
        <v>250.5</v>
      </c>
      <c r="R605" s="47" t="n">
        <v>6</v>
      </c>
      <c r="S605" s="66" t="s">
        <v>899</v>
      </c>
    </row>
    <row r="606" customFormat="false" ht="15" hidden="false" customHeight="false" outlineLevel="0" collapsed="false">
      <c r="A606" s="79" t="s">
        <v>186</v>
      </c>
      <c r="B606" s="79" t="s">
        <v>280</v>
      </c>
      <c r="C606" s="80" t="n">
        <v>2024</v>
      </c>
      <c r="D606" s="80" t="n">
        <v>4</v>
      </c>
      <c r="E606" s="81" t="n">
        <v>45657</v>
      </c>
      <c r="F606" s="79" t="s">
        <v>267</v>
      </c>
      <c r="G606" s="79" t="s">
        <v>268</v>
      </c>
      <c r="H606" s="79" t="s">
        <v>264</v>
      </c>
      <c r="I606" s="82" t="n">
        <v>2228.005</v>
      </c>
      <c r="J606" s="82" t="n">
        <v>648.956</v>
      </c>
      <c r="K606" s="82" t="n">
        <v>271532000</v>
      </c>
      <c r="L606" s="83" t="n">
        <v>2.97</v>
      </c>
      <c r="M606" s="82" t="n">
        <v>91.4561</v>
      </c>
      <c r="N606" s="82" t="n">
        <v>0</v>
      </c>
      <c r="O606" s="82" t="n">
        <v>7491.143</v>
      </c>
      <c r="P606" s="83" t="n">
        <v>0</v>
      </c>
      <c r="Q606" s="83" t="n">
        <v>218</v>
      </c>
      <c r="R606" s="47" t="n">
        <v>7</v>
      </c>
      <c r="S606" s="66" t="s">
        <v>900</v>
      </c>
    </row>
    <row r="607" customFormat="false" ht="15" hidden="false" customHeight="false" outlineLevel="0" collapsed="false">
      <c r="A607" s="79" t="s">
        <v>186</v>
      </c>
      <c r="B607" s="79" t="s">
        <v>282</v>
      </c>
      <c r="C607" s="80" t="n">
        <v>2024</v>
      </c>
      <c r="D607" s="80" t="n">
        <v>3</v>
      </c>
      <c r="E607" s="81" t="n">
        <v>45565</v>
      </c>
      <c r="F607" s="79" t="s">
        <v>267</v>
      </c>
      <c r="G607" s="79" t="s">
        <v>268</v>
      </c>
      <c r="H607" s="79" t="s">
        <v>264</v>
      </c>
      <c r="I607" s="82" t="n">
        <v>2321.419</v>
      </c>
      <c r="J607" s="82" t="n">
        <v>658.433</v>
      </c>
      <c r="K607" s="82" t="n">
        <v>188620000</v>
      </c>
      <c r="L607" s="83" t="n">
        <v>2.08</v>
      </c>
      <c r="M607" s="82" t="n">
        <v>91.3372</v>
      </c>
      <c r="N607" s="82" t="n">
        <v>0</v>
      </c>
      <c r="O607" s="82" t="n">
        <v>7196.228</v>
      </c>
      <c r="P607" s="83" t="n">
        <v>10.2</v>
      </c>
      <c r="Q607" s="83" t="n">
        <v>282</v>
      </c>
      <c r="R607" s="47" t="n">
        <v>8</v>
      </c>
      <c r="S607" s="66" t="s">
        <v>901</v>
      </c>
    </row>
    <row r="608" customFormat="false" ht="15" hidden="false" customHeight="false" outlineLevel="0" collapsed="false">
      <c r="A608" s="79" t="s">
        <v>186</v>
      </c>
      <c r="B608" s="79" t="s">
        <v>284</v>
      </c>
      <c r="C608" s="80" t="n">
        <v>2024</v>
      </c>
      <c r="D608" s="80" t="n">
        <v>2</v>
      </c>
      <c r="E608" s="81" t="n">
        <v>45473</v>
      </c>
      <c r="F608" s="79" t="s">
        <v>267</v>
      </c>
      <c r="G608" s="79" t="s">
        <v>268</v>
      </c>
      <c r="H608" s="79" t="s">
        <v>264</v>
      </c>
      <c r="I608" s="82" t="n">
        <v>2190.229</v>
      </c>
      <c r="J608" s="82" t="n">
        <v>759.289</v>
      </c>
      <c r="K608" s="82" t="n">
        <v>294050000</v>
      </c>
      <c r="L608" s="83" t="n">
        <v>3.26</v>
      </c>
      <c r="M608" s="82" t="n">
        <v>88.3977</v>
      </c>
      <c r="N608" s="82" t="n">
        <v>0</v>
      </c>
      <c r="O608" s="82" t="n">
        <v>6803.334</v>
      </c>
      <c r="P608" s="83" t="n">
        <v>0</v>
      </c>
      <c r="Q608" s="83" t="n">
        <v>302</v>
      </c>
      <c r="R608" s="47" t="n">
        <v>9</v>
      </c>
      <c r="S608" s="66" t="s">
        <v>902</v>
      </c>
    </row>
    <row r="609" customFormat="false" ht="15" hidden="false" customHeight="false" outlineLevel="0" collapsed="false">
      <c r="A609" s="79" t="s">
        <v>186</v>
      </c>
      <c r="B609" s="79" t="s">
        <v>286</v>
      </c>
      <c r="C609" s="80" t="n">
        <v>2024</v>
      </c>
      <c r="D609" s="80" t="n">
        <v>1</v>
      </c>
      <c r="E609" s="81" t="n">
        <v>45382</v>
      </c>
      <c r="F609" s="79" t="s">
        <v>267</v>
      </c>
      <c r="G609" s="79" t="s">
        <v>268</v>
      </c>
      <c r="H609" s="79" t="s">
        <v>264</v>
      </c>
      <c r="I609" s="82" t="n">
        <v>2175.989</v>
      </c>
      <c r="J609" s="82" t="n">
        <v>758.571</v>
      </c>
      <c r="K609" s="82" t="n">
        <v>351970000</v>
      </c>
      <c r="L609" s="83" t="n">
        <v>3.98</v>
      </c>
      <c r="M609" s="82" t="n">
        <v>88.3977</v>
      </c>
      <c r="N609" s="82" t="n">
        <v>0</v>
      </c>
      <c r="O609" s="82" t="n">
        <v>7398.652</v>
      </c>
      <c r="P609" s="83" t="n">
        <v>0</v>
      </c>
      <c r="Q609" s="83" t="n">
        <v>305.5</v>
      </c>
      <c r="R609" s="47" t="n">
        <v>10</v>
      </c>
      <c r="S609" s="66" t="s">
        <v>903</v>
      </c>
    </row>
    <row r="610" customFormat="false" ht="15" hidden="false" customHeight="false" outlineLevel="0" collapsed="false">
      <c r="A610" s="79" t="s">
        <v>186</v>
      </c>
      <c r="B610" s="79" t="s">
        <v>288</v>
      </c>
      <c r="C610" s="80" t="n">
        <v>2023</v>
      </c>
      <c r="D610" s="80" t="n">
        <v>4</v>
      </c>
      <c r="E610" s="81" t="n">
        <v>45291</v>
      </c>
      <c r="F610" s="79" t="s">
        <v>267</v>
      </c>
      <c r="G610" s="79" t="s">
        <v>268</v>
      </c>
      <c r="H610" s="79" t="s">
        <v>264</v>
      </c>
      <c r="I610" s="82" t="n">
        <v>2130.049</v>
      </c>
      <c r="J610" s="82" t="n">
        <v>707.384</v>
      </c>
      <c r="K610" s="82" t="n">
        <v>262238000</v>
      </c>
      <c r="L610" s="83" t="n">
        <v>2.96</v>
      </c>
      <c r="M610" s="82" t="n">
        <v>88.3977</v>
      </c>
      <c r="N610" s="82" t="n">
        <v>0</v>
      </c>
      <c r="O610" s="82" t="n">
        <v>7036.917</v>
      </c>
      <c r="P610" s="83" t="n">
        <v>0</v>
      </c>
      <c r="Q610" s="83" t="n">
        <v>312</v>
      </c>
      <c r="R610" s="47" t="n">
        <v>11</v>
      </c>
      <c r="S610" s="66" t="s">
        <v>904</v>
      </c>
    </row>
    <row r="611" customFormat="false" ht="15" hidden="false" customHeight="false" outlineLevel="0" collapsed="false">
      <c r="A611" s="79" t="s">
        <v>186</v>
      </c>
      <c r="B611" s="79" t="s">
        <v>290</v>
      </c>
      <c r="C611" s="80" t="n">
        <v>2023</v>
      </c>
      <c r="D611" s="80" t="n">
        <v>3</v>
      </c>
      <c r="E611" s="81" t="n">
        <v>45199</v>
      </c>
      <c r="F611" s="79" t="s">
        <v>267</v>
      </c>
      <c r="G611" s="79" t="s">
        <v>268</v>
      </c>
      <c r="H611" s="79" t="s">
        <v>264</v>
      </c>
      <c r="I611" s="82" t="n">
        <v>1993.007</v>
      </c>
      <c r="J611" s="82" t="n">
        <v>687.513</v>
      </c>
      <c r="K611" s="82" t="n">
        <v>306457000</v>
      </c>
      <c r="L611" s="83" t="n">
        <v>3.47</v>
      </c>
      <c r="M611" s="82" t="n">
        <v>88.3977</v>
      </c>
      <c r="N611" s="82" t="n">
        <v>0</v>
      </c>
      <c r="O611" s="82" t="n">
        <v>6756.961</v>
      </c>
      <c r="P611" s="83" t="n">
        <v>13.78192729</v>
      </c>
      <c r="Q611" s="83" t="n">
        <v>296.5</v>
      </c>
      <c r="R611" s="47" t="n">
        <v>12</v>
      </c>
      <c r="S611" s="66" t="s">
        <v>905</v>
      </c>
    </row>
    <row r="612" customFormat="false" ht="15" hidden="false" customHeight="false" outlineLevel="0" collapsed="false">
      <c r="A612" s="79" t="s">
        <v>186</v>
      </c>
      <c r="B612" s="79" t="s">
        <v>292</v>
      </c>
      <c r="C612" s="80" t="n">
        <v>2023</v>
      </c>
      <c r="D612" s="80" t="n">
        <v>2</v>
      </c>
      <c r="E612" s="81" t="n">
        <v>45107</v>
      </c>
      <c r="F612" s="79" t="s">
        <v>267</v>
      </c>
      <c r="G612" s="79" t="s">
        <v>268</v>
      </c>
      <c r="H612" s="79" t="s">
        <v>264</v>
      </c>
      <c r="I612" s="82" t="n">
        <v>1930.516</v>
      </c>
      <c r="J612" s="82" t="n">
        <v>636.105</v>
      </c>
      <c r="K612" s="82" t="n">
        <v>230718000</v>
      </c>
      <c r="L612" s="83" t="n">
        <v>2.66</v>
      </c>
      <c r="M612" s="82" t="n">
        <v>86.6666</v>
      </c>
      <c r="N612" s="82" t="n">
        <v>0</v>
      </c>
      <c r="O612" s="82" t="n">
        <v>6433.521</v>
      </c>
      <c r="P612" s="83" t="n">
        <v>0</v>
      </c>
      <c r="Q612" s="83" t="n">
        <v>324</v>
      </c>
      <c r="R612" s="47" t="n">
        <v>13</v>
      </c>
      <c r="S612" s="66" t="s">
        <v>906</v>
      </c>
    </row>
    <row r="613" customFormat="false" ht="15" hidden="false" customHeight="false" outlineLevel="0" collapsed="false">
      <c r="A613" s="79" t="s">
        <v>186</v>
      </c>
      <c r="B613" s="79" t="s">
        <v>294</v>
      </c>
      <c r="C613" s="80" t="n">
        <v>2023</v>
      </c>
      <c r="D613" s="80" t="n">
        <v>1</v>
      </c>
      <c r="E613" s="81" t="n">
        <v>45016</v>
      </c>
      <c r="F613" s="79" t="s">
        <v>267</v>
      </c>
      <c r="G613" s="79" t="s">
        <v>268</v>
      </c>
      <c r="H613" s="79" t="s">
        <v>264</v>
      </c>
      <c r="I613" s="82" t="n">
        <v>2260.206</v>
      </c>
      <c r="J613" s="82" t="n">
        <v>814.91</v>
      </c>
      <c r="K613" s="82" t="n">
        <v>348203000</v>
      </c>
      <c r="L613" s="83" t="n">
        <v>4.02</v>
      </c>
      <c r="M613" s="82" t="n">
        <v>86.6666</v>
      </c>
      <c r="N613" s="82" t="n">
        <v>0</v>
      </c>
      <c r="O613" s="82" t="n">
        <v>7382.85</v>
      </c>
      <c r="P613" s="83" t="n">
        <v>0</v>
      </c>
      <c r="Q613" s="83" t="n">
        <v>314</v>
      </c>
      <c r="R613" s="47" t="n">
        <v>14</v>
      </c>
      <c r="S613" s="66" t="s">
        <v>907</v>
      </c>
    </row>
    <row r="614" customFormat="false" ht="15" hidden="false" customHeight="false" outlineLevel="0" collapsed="false">
      <c r="A614" s="79" t="s">
        <v>186</v>
      </c>
      <c r="B614" s="79" t="s">
        <v>296</v>
      </c>
      <c r="C614" s="80" t="n">
        <v>2022</v>
      </c>
      <c r="D614" s="80" t="n">
        <v>4</v>
      </c>
      <c r="E614" s="81" t="n">
        <v>44926</v>
      </c>
      <c r="F614" s="79" t="s">
        <v>267</v>
      </c>
      <c r="G614" s="79" t="s">
        <v>268</v>
      </c>
      <c r="H614" s="79" t="s">
        <v>264</v>
      </c>
      <c r="I614" s="82" t="n">
        <v>2286.572</v>
      </c>
      <c r="J614" s="82" t="n">
        <v>860.807</v>
      </c>
      <c r="K614" s="82" t="n">
        <v>385061000</v>
      </c>
      <c r="L614" s="83" t="n">
        <v>4.44</v>
      </c>
      <c r="M614" s="82" t="n">
        <v>86.5531</v>
      </c>
      <c r="N614" s="82" t="n">
        <v>0</v>
      </c>
      <c r="O614" s="82" t="n">
        <v>7012.867</v>
      </c>
      <c r="P614" s="83" t="n">
        <v>0</v>
      </c>
      <c r="Q614" s="83" t="n">
        <v>185.5</v>
      </c>
      <c r="R614" s="47" t="n">
        <v>15</v>
      </c>
      <c r="S614" s="66" t="s">
        <v>908</v>
      </c>
    </row>
    <row r="615" customFormat="false" ht="15" hidden="false" customHeight="false" outlineLevel="0" collapsed="false">
      <c r="A615" s="79" t="s">
        <v>186</v>
      </c>
      <c r="B615" s="79" t="s">
        <v>298</v>
      </c>
      <c r="C615" s="80" t="n">
        <v>2022</v>
      </c>
      <c r="D615" s="80" t="n">
        <v>3</v>
      </c>
      <c r="E615" s="81" t="n">
        <v>44834</v>
      </c>
      <c r="F615" s="79" t="s">
        <v>267</v>
      </c>
      <c r="G615" s="79" t="s">
        <v>268</v>
      </c>
      <c r="H615" s="79" t="s">
        <v>264</v>
      </c>
      <c r="I615" s="82" t="n">
        <v>2560.341</v>
      </c>
      <c r="J615" s="82" t="n">
        <v>914.902</v>
      </c>
      <c r="K615" s="82" t="n">
        <v>542661000</v>
      </c>
      <c r="L615" s="83" t="n">
        <v>6.28</v>
      </c>
      <c r="M615" s="82" t="n">
        <v>86.4706</v>
      </c>
      <c r="N615" s="82" t="n">
        <v>0</v>
      </c>
      <c r="O615" s="82" t="n">
        <v>6611.975</v>
      </c>
      <c r="P615" s="83" t="n">
        <v>11.5240749</v>
      </c>
      <c r="Q615" s="83" t="n">
        <v>161.5</v>
      </c>
      <c r="R615" s="47" t="n">
        <v>16</v>
      </c>
      <c r="S615" s="66" t="s">
        <v>909</v>
      </c>
    </row>
    <row r="616" customFormat="false" ht="15" hidden="false" customHeight="false" outlineLevel="0" collapsed="false">
      <c r="A616" s="79" t="s">
        <v>186</v>
      </c>
      <c r="B616" s="79" t="s">
        <v>300</v>
      </c>
      <c r="C616" s="80" t="n">
        <v>2022</v>
      </c>
      <c r="D616" s="80" t="n">
        <v>2</v>
      </c>
      <c r="E616" s="81" t="n">
        <v>44742</v>
      </c>
      <c r="F616" s="79" t="s">
        <v>267</v>
      </c>
      <c r="G616" s="79" t="s">
        <v>268</v>
      </c>
      <c r="H616" s="79" t="s">
        <v>264</v>
      </c>
      <c r="I616" s="82" t="n">
        <v>2866.579</v>
      </c>
      <c r="J616" s="82" t="n">
        <v>947.502</v>
      </c>
      <c r="K616" s="82" t="n">
        <v>536500000</v>
      </c>
      <c r="L616" s="83" t="n">
        <v>6.41</v>
      </c>
      <c r="M616" s="82" t="n">
        <v>83.895</v>
      </c>
      <c r="N616" s="82" t="n">
        <v>0</v>
      </c>
      <c r="O616" s="82" t="n">
        <v>6043.861</v>
      </c>
      <c r="P616" s="83" t="n">
        <v>0</v>
      </c>
      <c r="Q616" s="83" t="n">
        <v>162.5</v>
      </c>
      <c r="R616" s="47" t="n">
        <v>17</v>
      </c>
      <c r="S616" s="66" t="s">
        <v>910</v>
      </c>
    </row>
    <row r="617" customFormat="false" ht="15" hidden="false" customHeight="false" outlineLevel="0" collapsed="false">
      <c r="A617" s="79" t="s">
        <v>186</v>
      </c>
      <c r="B617" s="79" t="s">
        <v>302</v>
      </c>
      <c r="C617" s="80" t="n">
        <v>2022</v>
      </c>
      <c r="D617" s="80" t="n">
        <v>1</v>
      </c>
      <c r="E617" s="81" t="n">
        <v>44651</v>
      </c>
      <c r="F617" s="79" t="s">
        <v>267</v>
      </c>
      <c r="G617" s="79" t="s">
        <v>268</v>
      </c>
      <c r="H617" s="79" t="s">
        <v>264</v>
      </c>
      <c r="I617" s="82" t="n">
        <v>2589.737</v>
      </c>
      <c r="J617" s="82" t="n">
        <v>735.407</v>
      </c>
      <c r="K617" s="82" t="n">
        <v>385967000</v>
      </c>
      <c r="L617" s="83" t="n">
        <v>4.64</v>
      </c>
      <c r="M617" s="82" t="n">
        <v>83.7225</v>
      </c>
      <c r="N617" s="82" t="n">
        <v>0</v>
      </c>
      <c r="O617" s="82" t="n">
        <v>6458.201</v>
      </c>
      <c r="P617" s="83" t="n">
        <v>0</v>
      </c>
      <c r="Q617" s="83" t="n">
        <v>215</v>
      </c>
      <c r="R617" s="47" t="n">
        <v>18</v>
      </c>
      <c r="S617" s="66" t="s">
        <v>911</v>
      </c>
    </row>
    <row r="618" customFormat="false" ht="15" hidden="false" customHeight="false" outlineLevel="0" collapsed="false">
      <c r="A618" s="79" t="s">
        <v>186</v>
      </c>
      <c r="B618" s="79" t="s">
        <v>304</v>
      </c>
      <c r="C618" s="80" t="n">
        <v>2021</v>
      </c>
      <c r="D618" s="80" t="n">
        <v>4</v>
      </c>
      <c r="E618" s="81" t="n">
        <v>44561</v>
      </c>
      <c r="F618" s="79" t="s">
        <v>267</v>
      </c>
      <c r="G618" s="79" t="s">
        <v>268</v>
      </c>
      <c r="H618" s="79" t="s">
        <v>264</v>
      </c>
      <c r="I618" s="82" t="n">
        <v>2396.847</v>
      </c>
      <c r="J618" s="82" t="n">
        <v>677.529</v>
      </c>
      <c r="K618" s="82" t="n">
        <v>290253000</v>
      </c>
      <c r="L618" s="83" t="n">
        <v>3.51</v>
      </c>
      <c r="M618" s="82" t="n">
        <v>82.668</v>
      </c>
      <c r="N618" s="82" t="n">
        <v>0</v>
      </c>
      <c r="O618" s="82" t="n">
        <v>5960.989</v>
      </c>
      <c r="P618" s="83" t="n">
        <v>0</v>
      </c>
      <c r="Q618" s="83" t="n">
        <v>204</v>
      </c>
      <c r="R618" s="47" t="n">
        <v>19</v>
      </c>
      <c r="S618" s="66" t="s">
        <v>912</v>
      </c>
    </row>
    <row r="619" customFormat="false" ht="15" hidden="false" customHeight="false" outlineLevel="0" collapsed="false">
      <c r="A619" s="79" t="s">
        <v>186</v>
      </c>
      <c r="B619" s="79" t="s">
        <v>306</v>
      </c>
      <c r="C619" s="80" t="n">
        <v>2021</v>
      </c>
      <c r="D619" s="80" t="n">
        <v>3</v>
      </c>
      <c r="E619" s="81" t="n">
        <v>44469</v>
      </c>
      <c r="F619" s="79" t="s">
        <v>267</v>
      </c>
      <c r="G619" s="79" t="s">
        <v>268</v>
      </c>
      <c r="H619" s="79" t="s">
        <v>264</v>
      </c>
      <c r="I619" s="82" t="n">
        <v>2973.845</v>
      </c>
      <c r="J619" s="82" t="n">
        <v>975.336</v>
      </c>
      <c r="K619" s="82" t="n">
        <v>533714000</v>
      </c>
      <c r="L619" s="83" t="n">
        <v>6.46</v>
      </c>
      <c r="M619" s="82" t="n">
        <v>82.628</v>
      </c>
      <c r="N619" s="82" t="n">
        <v>0</v>
      </c>
      <c r="O619" s="82" t="n">
        <v>5663.586</v>
      </c>
      <c r="P619" s="83" t="n">
        <v>6.69560253</v>
      </c>
      <c r="Q619" s="83" t="n">
        <v>182</v>
      </c>
      <c r="R619" s="47" t="n">
        <v>20</v>
      </c>
      <c r="S619" s="66" t="s">
        <v>913</v>
      </c>
    </row>
    <row r="620" customFormat="false" ht="15" hidden="false" customHeight="false" outlineLevel="0" collapsed="false">
      <c r="A620" s="79" t="s">
        <v>186</v>
      </c>
      <c r="B620" s="79" t="s">
        <v>308</v>
      </c>
      <c r="C620" s="80" t="n">
        <v>2021</v>
      </c>
      <c r="D620" s="80" t="n">
        <v>2</v>
      </c>
      <c r="E620" s="81" t="n">
        <v>44377</v>
      </c>
      <c r="F620" s="79" t="s">
        <v>267</v>
      </c>
      <c r="G620" s="79" t="s">
        <v>268</v>
      </c>
      <c r="H620" s="79" t="s">
        <v>264</v>
      </c>
      <c r="I620" s="82" t="n">
        <v>2885.046</v>
      </c>
      <c r="J620" s="82" t="n">
        <v>888.15</v>
      </c>
      <c r="K620" s="82" t="n">
        <v>477358000</v>
      </c>
      <c r="L620" s="83" t="n">
        <v>5.79</v>
      </c>
      <c r="M620" s="82" t="n">
        <v>82.516</v>
      </c>
      <c r="N620" s="82" t="n">
        <v>0</v>
      </c>
      <c r="O620" s="82" t="n">
        <v>5668.615</v>
      </c>
      <c r="P620" s="83" t="n">
        <v>0</v>
      </c>
      <c r="Q620" s="83" t="n">
        <v>190.5</v>
      </c>
      <c r="R620" s="47" t="n">
        <v>21</v>
      </c>
      <c r="S620" s="66" t="s">
        <v>914</v>
      </c>
    </row>
    <row r="621" customFormat="false" ht="15" hidden="false" customHeight="false" outlineLevel="0" collapsed="false">
      <c r="A621" s="79" t="s">
        <v>186</v>
      </c>
      <c r="B621" s="79" t="s">
        <v>310</v>
      </c>
      <c r="C621" s="80" t="n">
        <v>2021</v>
      </c>
      <c r="D621" s="80" t="n">
        <v>1</v>
      </c>
      <c r="E621" s="81" t="n">
        <v>44286</v>
      </c>
      <c r="F621" s="79" t="s">
        <v>267</v>
      </c>
      <c r="G621" s="79" t="s">
        <v>268</v>
      </c>
      <c r="H621" s="79" t="s">
        <v>264</v>
      </c>
      <c r="I621" s="82" t="n">
        <v>1939.92</v>
      </c>
      <c r="J621" s="82" t="n">
        <v>551.203</v>
      </c>
      <c r="K621" s="82" t="n">
        <v>259563000</v>
      </c>
      <c r="L621" s="83" t="n">
        <v>3.17</v>
      </c>
      <c r="M621" s="82" t="n">
        <v>82.459</v>
      </c>
      <c r="N621" s="82" t="n">
        <v>0</v>
      </c>
      <c r="O621" s="82" t="n">
        <v>5182.897</v>
      </c>
      <c r="P621" s="83" t="n">
        <v>0</v>
      </c>
      <c r="Q621" s="83" t="n">
        <v>170</v>
      </c>
      <c r="R621" s="47" t="n">
        <v>22</v>
      </c>
      <c r="S621" s="66" t="s">
        <v>915</v>
      </c>
    </row>
    <row r="622" customFormat="false" ht="15" hidden="false" customHeight="false" outlineLevel="0" collapsed="false">
      <c r="A622" s="79" t="s">
        <v>186</v>
      </c>
      <c r="B622" s="79" t="s">
        <v>312</v>
      </c>
      <c r="C622" s="80" t="n">
        <v>2020</v>
      </c>
      <c r="D622" s="80" t="n">
        <v>4</v>
      </c>
      <c r="E622" s="81" t="n">
        <v>44196</v>
      </c>
      <c r="F622" s="79" t="s">
        <v>267</v>
      </c>
      <c r="G622" s="79" t="s">
        <v>268</v>
      </c>
      <c r="H622" s="79" t="s">
        <v>264</v>
      </c>
      <c r="I622" s="82" t="n">
        <v>1575.49</v>
      </c>
      <c r="J622" s="82" t="n">
        <v>458.968</v>
      </c>
      <c r="K622" s="82" t="n">
        <v>175456000</v>
      </c>
      <c r="L622" s="83" t="n">
        <v>2.16</v>
      </c>
      <c r="M622" s="82" t="n">
        <v>81.324</v>
      </c>
      <c r="N622" s="82" t="n">
        <v>0</v>
      </c>
      <c r="O622" s="82" t="n">
        <v>4816.246</v>
      </c>
      <c r="P622" s="83" t="n">
        <v>0</v>
      </c>
      <c r="Q622" s="83" t="n">
        <v>166</v>
      </c>
      <c r="R622" s="47" t="n">
        <v>23</v>
      </c>
      <c r="S622" s="66" t="s">
        <v>916</v>
      </c>
    </row>
    <row r="623" customFormat="false" ht="15" hidden="false" customHeight="false" outlineLevel="0" collapsed="false">
      <c r="A623" s="79" t="s">
        <v>186</v>
      </c>
      <c r="B623" s="79" t="s">
        <v>314</v>
      </c>
      <c r="C623" s="80" t="n">
        <v>2020</v>
      </c>
      <c r="D623" s="80" t="n">
        <v>3</v>
      </c>
      <c r="E623" s="81" t="n">
        <v>44104</v>
      </c>
      <c r="F623" s="79" t="s">
        <v>267</v>
      </c>
      <c r="G623" s="79" t="s">
        <v>268</v>
      </c>
      <c r="H623" s="79" t="s">
        <v>264</v>
      </c>
      <c r="I623" s="82" t="n">
        <v>1627.205</v>
      </c>
      <c r="J623" s="82" t="n">
        <v>493.122</v>
      </c>
      <c r="K623" s="82" t="n">
        <v>194271000</v>
      </c>
      <c r="L623" s="83" t="n">
        <v>2.39</v>
      </c>
      <c r="M623" s="82" t="n">
        <v>81.324</v>
      </c>
      <c r="N623" s="82" t="n">
        <v>0</v>
      </c>
      <c r="O623" s="82" t="n">
        <v>4634.348</v>
      </c>
      <c r="P623" s="83"/>
      <c r="Q623" s="83" t="n">
        <v>158.5</v>
      </c>
      <c r="R623" s="47" t="n">
        <v>24</v>
      </c>
      <c r="S623" s="66" t="s">
        <v>917</v>
      </c>
    </row>
    <row r="624" customFormat="false" ht="15" hidden="false" customHeight="false" outlineLevel="0" collapsed="false">
      <c r="A624" s="79" t="s">
        <v>201</v>
      </c>
      <c r="B624" s="79" t="s">
        <v>261</v>
      </c>
      <c r="C624" s="80" t="n">
        <v>2026</v>
      </c>
      <c r="D624" s="80" t="n">
        <v>3</v>
      </c>
      <c r="E624" s="81" t="n">
        <v>46295</v>
      </c>
      <c r="F624" s="79" t="s">
        <v>262</v>
      </c>
      <c r="G624" s="79" t="s">
        <v>263</v>
      </c>
      <c r="H624" s="79" t="s">
        <v>264</v>
      </c>
      <c r="I624" s="82"/>
      <c r="J624" s="82"/>
      <c r="K624" s="82"/>
      <c r="L624" s="83" t="n">
        <v>7.90333</v>
      </c>
      <c r="M624" s="82"/>
      <c r="N624" s="82"/>
      <c r="O624" s="82"/>
      <c r="P624" s="83"/>
      <c r="Q624" s="83"/>
      <c r="R624" s="47" t="n">
        <v>0</v>
      </c>
      <c r="S624" s="66" t="s">
        <v>918</v>
      </c>
    </row>
    <row r="625" customFormat="false" ht="15" hidden="false" customHeight="false" outlineLevel="0" collapsed="false">
      <c r="A625" s="79" t="s">
        <v>201</v>
      </c>
      <c r="B625" s="79" t="s">
        <v>266</v>
      </c>
      <c r="C625" s="80" t="n">
        <v>2026</v>
      </c>
      <c r="D625" s="80" t="n">
        <v>2</v>
      </c>
      <c r="E625" s="81" t="n">
        <v>46203</v>
      </c>
      <c r="F625" s="79" t="s">
        <v>267</v>
      </c>
      <c r="G625" s="79" t="s">
        <v>268</v>
      </c>
      <c r="H625" s="79" t="s">
        <v>264</v>
      </c>
      <c r="I625" s="82" t="n">
        <v>20825.411</v>
      </c>
      <c r="J625" s="82" t="n">
        <v>2810.847</v>
      </c>
      <c r="K625" s="82" t="n">
        <v>1535124000</v>
      </c>
      <c r="L625" s="83" t="n">
        <v>7.92</v>
      </c>
      <c r="M625" s="82" t="n">
        <v>194.008</v>
      </c>
      <c r="N625" s="82" t="n">
        <v>0</v>
      </c>
      <c r="O625" s="82" t="n">
        <v>21975.278</v>
      </c>
      <c r="P625" s="83" t="n">
        <v>0</v>
      </c>
      <c r="Q625" s="83" t="n">
        <v>549</v>
      </c>
      <c r="R625" s="47" t="n">
        <v>1</v>
      </c>
      <c r="S625" s="66" t="s">
        <v>919</v>
      </c>
    </row>
    <row r="626" customFormat="false" ht="15" hidden="false" customHeight="false" outlineLevel="0" collapsed="false">
      <c r="A626" s="79" t="s">
        <v>201</v>
      </c>
      <c r="B626" s="79" t="s">
        <v>270</v>
      </c>
      <c r="C626" s="80" t="n">
        <v>2026</v>
      </c>
      <c r="D626" s="80" t="n">
        <v>1</v>
      </c>
      <c r="E626" s="81" t="n">
        <v>46112</v>
      </c>
      <c r="F626" s="79" t="s">
        <v>267</v>
      </c>
      <c r="G626" s="79" t="s">
        <v>268</v>
      </c>
      <c r="H626" s="79" t="s">
        <v>264</v>
      </c>
      <c r="I626" s="82" t="n">
        <v>18536.692</v>
      </c>
      <c r="J626" s="82" t="n">
        <v>2517.46</v>
      </c>
      <c r="K626" s="82" t="n">
        <v>1322921000</v>
      </c>
      <c r="L626" s="83" t="n">
        <v>6.86</v>
      </c>
      <c r="M626" s="82" t="n">
        <v>193.6577</v>
      </c>
      <c r="N626" s="82" t="n">
        <v>0</v>
      </c>
      <c r="O626" s="82" t="n">
        <v>19214.366</v>
      </c>
      <c r="P626" s="83" t="n">
        <v>0</v>
      </c>
      <c r="Q626" s="83" t="n">
        <v>304.5</v>
      </c>
      <c r="R626" s="47" t="n">
        <v>2</v>
      </c>
      <c r="S626" s="66" t="s">
        <v>920</v>
      </c>
    </row>
    <row r="627" customFormat="false" ht="15" hidden="false" customHeight="false" outlineLevel="0" collapsed="false">
      <c r="A627" s="79" t="s">
        <v>201</v>
      </c>
      <c r="B627" s="79" t="s">
        <v>272</v>
      </c>
      <c r="C627" s="80" t="n">
        <v>2025</v>
      </c>
      <c r="D627" s="80" t="n">
        <v>4</v>
      </c>
      <c r="E627" s="81" t="n">
        <v>46022</v>
      </c>
      <c r="F627" s="79" t="s">
        <v>267</v>
      </c>
      <c r="G627" s="79" t="s">
        <v>268</v>
      </c>
      <c r="H627" s="79" t="s">
        <v>264</v>
      </c>
      <c r="I627" s="82" t="n">
        <v>17298.641</v>
      </c>
      <c r="J627" s="82" t="n">
        <v>2303.334</v>
      </c>
      <c r="K627" s="82" t="n">
        <v>1223169000</v>
      </c>
      <c r="L627" s="83" t="n">
        <v>6.36</v>
      </c>
      <c r="M627" s="82" t="n">
        <v>192.3546</v>
      </c>
      <c r="N627" s="82" t="n">
        <v>0</v>
      </c>
      <c r="O627" s="82" t="n">
        <v>19999.753</v>
      </c>
      <c r="P627" s="83" t="n">
        <v>0</v>
      </c>
      <c r="Q627" s="83" t="n">
        <v>291</v>
      </c>
      <c r="R627" s="47" t="n">
        <v>3</v>
      </c>
      <c r="S627" s="66" t="s">
        <v>921</v>
      </c>
    </row>
    <row r="628" customFormat="false" ht="15" hidden="false" customHeight="false" outlineLevel="0" collapsed="false">
      <c r="A628" s="79" t="s">
        <v>201</v>
      </c>
      <c r="B628" s="79" t="s">
        <v>274</v>
      </c>
      <c r="C628" s="80" t="n">
        <v>2025</v>
      </c>
      <c r="D628" s="80" t="n">
        <v>3</v>
      </c>
      <c r="E628" s="81" t="n">
        <v>45930</v>
      </c>
      <c r="F628" s="79" t="s">
        <v>267</v>
      </c>
      <c r="G628" s="79" t="s">
        <v>268</v>
      </c>
      <c r="H628" s="79" t="s">
        <v>264</v>
      </c>
      <c r="I628" s="82" t="n">
        <v>17538.579</v>
      </c>
      <c r="J628" s="82" t="n">
        <v>2251.328</v>
      </c>
      <c r="K628" s="82" t="n">
        <v>1103412000</v>
      </c>
      <c r="L628" s="83" t="n">
        <v>5.75</v>
      </c>
      <c r="M628" s="82" t="n">
        <v>192.1998</v>
      </c>
      <c r="N628" s="82" t="n">
        <v>0</v>
      </c>
      <c r="O628" s="82" t="n">
        <v>18739.987</v>
      </c>
      <c r="P628" s="83" t="n">
        <v>11.98556796</v>
      </c>
      <c r="Q628" s="83" t="n">
        <v>314</v>
      </c>
      <c r="R628" s="47" t="n">
        <v>4</v>
      </c>
      <c r="S628" s="66" t="s">
        <v>922</v>
      </c>
    </row>
    <row r="629" customFormat="false" ht="15" hidden="false" customHeight="false" outlineLevel="0" collapsed="false">
      <c r="A629" s="79" t="s">
        <v>201</v>
      </c>
      <c r="B629" s="79" t="s">
        <v>276</v>
      </c>
      <c r="C629" s="80" t="n">
        <v>2025</v>
      </c>
      <c r="D629" s="80" t="n">
        <v>2</v>
      </c>
      <c r="E629" s="81" t="n">
        <v>45838</v>
      </c>
      <c r="F629" s="79" t="s">
        <v>267</v>
      </c>
      <c r="G629" s="79" t="s">
        <v>268</v>
      </c>
      <c r="H629" s="79" t="s">
        <v>264</v>
      </c>
      <c r="I629" s="82" t="n">
        <v>16986.85</v>
      </c>
      <c r="J629" s="82" t="n">
        <v>1988.366</v>
      </c>
      <c r="K629" s="82" t="n">
        <v>914696000</v>
      </c>
      <c r="L629" s="83" t="n">
        <v>4.78</v>
      </c>
      <c r="M629" s="82" t="n">
        <v>191.3427</v>
      </c>
      <c r="N629" s="82" t="n">
        <v>0</v>
      </c>
      <c r="O629" s="82" t="n">
        <v>17068.444</v>
      </c>
      <c r="P629" s="83" t="n">
        <v>0</v>
      </c>
      <c r="Q629" s="83" t="n">
        <v>274.5</v>
      </c>
      <c r="R629" s="47" t="n">
        <v>5</v>
      </c>
      <c r="S629" s="66" t="s">
        <v>923</v>
      </c>
    </row>
    <row r="630" customFormat="false" ht="15" hidden="false" customHeight="false" outlineLevel="0" collapsed="false">
      <c r="A630" s="79" t="s">
        <v>201</v>
      </c>
      <c r="B630" s="79" t="s">
        <v>278</v>
      </c>
      <c r="C630" s="80" t="n">
        <v>2025</v>
      </c>
      <c r="D630" s="80" t="n">
        <v>1</v>
      </c>
      <c r="E630" s="81" t="n">
        <v>45747</v>
      </c>
      <c r="F630" s="79" t="s">
        <v>267</v>
      </c>
      <c r="G630" s="79" t="s">
        <v>268</v>
      </c>
      <c r="H630" s="79" t="s">
        <v>264</v>
      </c>
      <c r="I630" s="82" t="n">
        <v>15759.461</v>
      </c>
      <c r="J630" s="82" t="n">
        <v>2107.35</v>
      </c>
      <c r="K630" s="82" t="n">
        <v>939170000</v>
      </c>
      <c r="L630" s="83" t="n">
        <v>4.91</v>
      </c>
      <c r="M630" s="82" t="n">
        <v>191.3323</v>
      </c>
      <c r="N630" s="82" t="n">
        <v>0</v>
      </c>
      <c r="O630" s="82" t="n">
        <v>16498.529</v>
      </c>
      <c r="P630" s="83" t="n">
        <v>0</v>
      </c>
      <c r="Q630" s="83" t="n">
        <v>261</v>
      </c>
      <c r="R630" s="47" t="n">
        <v>6</v>
      </c>
      <c r="S630" s="66" t="s">
        <v>924</v>
      </c>
    </row>
    <row r="631" customFormat="false" ht="15" hidden="false" customHeight="false" outlineLevel="0" collapsed="false">
      <c r="A631" s="79" t="s">
        <v>201</v>
      </c>
      <c r="B631" s="79" t="s">
        <v>280</v>
      </c>
      <c r="C631" s="80" t="n">
        <v>2024</v>
      </c>
      <c r="D631" s="80" t="n">
        <v>4</v>
      </c>
      <c r="E631" s="81" t="n">
        <v>45657</v>
      </c>
      <c r="F631" s="79" t="s">
        <v>267</v>
      </c>
      <c r="G631" s="79" t="s">
        <v>268</v>
      </c>
      <c r="H631" s="79" t="s">
        <v>264</v>
      </c>
      <c r="I631" s="82" t="n">
        <v>15907.231</v>
      </c>
      <c r="J631" s="82" t="n">
        <v>2057.74</v>
      </c>
      <c r="K631" s="82" t="n">
        <v>923666000</v>
      </c>
      <c r="L631" s="83" t="n">
        <v>4.84</v>
      </c>
      <c r="M631" s="82" t="n">
        <v>191.0393</v>
      </c>
      <c r="N631" s="82" t="n">
        <v>0</v>
      </c>
      <c r="O631" s="82" t="n">
        <v>17771.222</v>
      </c>
      <c r="P631" s="83" t="n">
        <v>0</v>
      </c>
      <c r="Q631" s="83" t="n">
        <v>280</v>
      </c>
      <c r="R631" s="47" t="n">
        <v>7</v>
      </c>
      <c r="S631" s="66" t="s">
        <v>925</v>
      </c>
    </row>
    <row r="632" customFormat="false" ht="15" hidden="false" customHeight="false" outlineLevel="0" collapsed="false">
      <c r="A632" s="79" t="s">
        <v>201</v>
      </c>
      <c r="B632" s="79" t="s">
        <v>282</v>
      </c>
      <c r="C632" s="80" t="n">
        <v>2024</v>
      </c>
      <c r="D632" s="80" t="n">
        <v>3</v>
      </c>
      <c r="E632" s="81" t="n">
        <v>45565</v>
      </c>
      <c r="F632" s="79" t="s">
        <v>267</v>
      </c>
      <c r="G632" s="79" t="s">
        <v>268</v>
      </c>
      <c r="H632" s="79" t="s">
        <v>264</v>
      </c>
      <c r="I632" s="82" t="n">
        <v>15366.525</v>
      </c>
      <c r="J632" s="82" t="n">
        <v>2043.096</v>
      </c>
      <c r="K632" s="82" t="n">
        <v>936620000</v>
      </c>
      <c r="L632" s="83" t="n">
        <v>4.93</v>
      </c>
      <c r="M632" s="82" t="n">
        <v>190.554</v>
      </c>
      <c r="N632" s="82" t="n">
        <v>0</v>
      </c>
      <c r="O632" s="82" t="n">
        <v>16789.65</v>
      </c>
      <c r="P632" s="83" t="n">
        <v>0</v>
      </c>
      <c r="Q632" s="83" t="n">
        <v>282</v>
      </c>
      <c r="R632" s="47" t="n">
        <v>8</v>
      </c>
      <c r="S632" s="66" t="s">
        <v>926</v>
      </c>
    </row>
    <row r="633" customFormat="false" ht="15" hidden="false" customHeight="false" outlineLevel="0" collapsed="false">
      <c r="A633" s="79" t="s">
        <v>201</v>
      </c>
      <c r="B633" s="79" t="s">
        <v>284</v>
      </c>
      <c r="C633" s="80" t="n">
        <v>2024</v>
      </c>
      <c r="D633" s="80" t="n">
        <v>2</v>
      </c>
      <c r="E633" s="81" t="n">
        <v>45473</v>
      </c>
      <c r="F633" s="79" t="s">
        <v>267</v>
      </c>
      <c r="G633" s="79" t="s">
        <v>268</v>
      </c>
      <c r="H633" s="79" t="s">
        <v>264</v>
      </c>
      <c r="I633" s="82" t="n">
        <v>13791.78</v>
      </c>
      <c r="J633" s="82" t="n">
        <v>1931.406</v>
      </c>
      <c r="K633" s="82" t="n">
        <v>1020612000</v>
      </c>
      <c r="L633" s="83" t="n">
        <v>5.41</v>
      </c>
      <c r="M633" s="82" t="n">
        <v>188.7641</v>
      </c>
      <c r="N633" s="82" t="n">
        <v>0</v>
      </c>
      <c r="O633" s="82" t="n">
        <v>15437.575</v>
      </c>
      <c r="P633" s="83" t="n">
        <v>9.99658303</v>
      </c>
      <c r="Q633" s="83" t="n">
        <v>275</v>
      </c>
      <c r="R633" s="47" t="n">
        <v>9</v>
      </c>
      <c r="S633" s="66" t="s">
        <v>927</v>
      </c>
    </row>
    <row r="634" customFormat="false" ht="15" hidden="false" customHeight="false" outlineLevel="0" collapsed="false">
      <c r="A634" s="79" t="s">
        <v>201</v>
      </c>
      <c r="B634" s="79" t="s">
        <v>286</v>
      </c>
      <c r="C634" s="80" t="n">
        <v>2024</v>
      </c>
      <c r="D634" s="80" t="n">
        <v>1</v>
      </c>
      <c r="E634" s="81" t="n">
        <v>45382</v>
      </c>
      <c r="F634" s="79" t="s">
        <v>267</v>
      </c>
      <c r="G634" s="79" t="s">
        <v>268</v>
      </c>
      <c r="H634" s="79" t="s">
        <v>264</v>
      </c>
      <c r="I634" s="82" t="n">
        <v>11931.577</v>
      </c>
      <c r="J634" s="82" t="n">
        <v>1685.728</v>
      </c>
      <c r="K634" s="82" t="n">
        <v>775037000</v>
      </c>
      <c r="L634" s="83" t="n">
        <v>4.11</v>
      </c>
      <c r="M634" s="82" t="n">
        <v>188.7001</v>
      </c>
      <c r="N634" s="82" t="n">
        <v>0</v>
      </c>
      <c r="O634" s="82" t="n">
        <v>14274.286</v>
      </c>
      <c r="P634" s="83" t="n">
        <v>0</v>
      </c>
      <c r="Q634" s="83" t="n">
        <v>219</v>
      </c>
      <c r="R634" s="47" t="n">
        <v>10</v>
      </c>
      <c r="S634" s="66" t="s">
        <v>928</v>
      </c>
    </row>
    <row r="635" customFormat="false" ht="15" hidden="false" customHeight="false" outlineLevel="0" collapsed="false">
      <c r="A635" s="79" t="s">
        <v>201</v>
      </c>
      <c r="B635" s="79" t="s">
        <v>288</v>
      </c>
      <c r="C635" s="80" t="n">
        <v>2023</v>
      </c>
      <c r="D635" s="80" t="n">
        <v>4</v>
      </c>
      <c r="E635" s="81" t="n">
        <v>45291</v>
      </c>
      <c r="F635" s="79" t="s">
        <v>267</v>
      </c>
      <c r="G635" s="79" t="s">
        <v>268</v>
      </c>
      <c r="H635" s="79" t="s">
        <v>264</v>
      </c>
      <c r="I635" s="82" t="n">
        <v>12233.421</v>
      </c>
      <c r="J635" s="82" t="n">
        <v>1593.449</v>
      </c>
      <c r="K635" s="82" t="n">
        <v>633558000</v>
      </c>
      <c r="L635" s="83" t="n">
        <v>3.35</v>
      </c>
      <c r="M635" s="82" t="n">
        <v>188.6996</v>
      </c>
      <c r="N635" s="82" t="n">
        <v>0</v>
      </c>
      <c r="O635" s="82" t="n">
        <v>15109.065</v>
      </c>
      <c r="P635" s="83" t="n">
        <v>0</v>
      </c>
      <c r="Q635" s="83" t="n">
        <v>182.5</v>
      </c>
      <c r="R635" s="47" t="n">
        <v>11</v>
      </c>
      <c r="S635" s="66" t="s">
        <v>929</v>
      </c>
    </row>
    <row r="636" customFormat="false" ht="15" hidden="false" customHeight="false" outlineLevel="0" collapsed="false">
      <c r="A636" s="79" t="s">
        <v>201</v>
      </c>
      <c r="B636" s="79" t="s">
        <v>290</v>
      </c>
      <c r="C636" s="80" t="n">
        <v>2023</v>
      </c>
      <c r="D636" s="80" t="n">
        <v>3</v>
      </c>
      <c r="E636" s="81" t="n">
        <v>45199</v>
      </c>
      <c r="F636" s="79" t="s">
        <v>267</v>
      </c>
      <c r="G636" s="79" t="s">
        <v>268</v>
      </c>
      <c r="H636" s="79" t="s">
        <v>264</v>
      </c>
      <c r="I636" s="82" t="n">
        <v>12492.338</v>
      </c>
      <c r="J636" s="82" t="n">
        <v>1743.119</v>
      </c>
      <c r="K636" s="82" t="n">
        <v>791913000</v>
      </c>
      <c r="L636" s="83" t="n">
        <v>4.25</v>
      </c>
      <c r="M636" s="82" t="n">
        <v>188.6996</v>
      </c>
      <c r="N636" s="82" t="n">
        <v>0</v>
      </c>
      <c r="O636" s="82" t="n">
        <v>14413.298</v>
      </c>
      <c r="P636" s="83" t="n">
        <v>0</v>
      </c>
      <c r="Q636" s="83" t="n">
        <v>169.5</v>
      </c>
      <c r="R636" s="47" t="n">
        <v>12</v>
      </c>
      <c r="S636" s="66" t="s">
        <v>930</v>
      </c>
    </row>
    <row r="637" customFormat="false" ht="15" hidden="false" customHeight="false" outlineLevel="0" collapsed="false">
      <c r="A637" s="79" t="s">
        <v>201</v>
      </c>
      <c r="B637" s="79" t="s">
        <v>292</v>
      </c>
      <c r="C637" s="80" t="n">
        <v>2023</v>
      </c>
      <c r="D637" s="80" t="n">
        <v>2</v>
      </c>
      <c r="E637" s="81" t="n">
        <v>45107</v>
      </c>
      <c r="F637" s="79" t="s">
        <v>267</v>
      </c>
      <c r="G637" s="79" t="s">
        <v>268</v>
      </c>
      <c r="H637" s="79" t="s">
        <v>264</v>
      </c>
      <c r="I637" s="82" t="n">
        <v>12055.351</v>
      </c>
      <c r="J637" s="82" t="n">
        <v>1581.488</v>
      </c>
      <c r="K637" s="82" t="n">
        <v>669619000</v>
      </c>
      <c r="L637" s="83" t="n">
        <v>3.69</v>
      </c>
      <c r="M637" s="82" t="n">
        <v>181.6996</v>
      </c>
      <c r="N637" s="82" t="n">
        <v>0</v>
      </c>
      <c r="O637" s="82" t="n">
        <v>12564.042</v>
      </c>
      <c r="P637" s="83" t="n">
        <v>10</v>
      </c>
      <c r="Q637" s="83" t="n">
        <v>182.5</v>
      </c>
      <c r="R637" s="47" t="n">
        <v>13</v>
      </c>
      <c r="S637" s="66" t="s">
        <v>931</v>
      </c>
    </row>
    <row r="638" customFormat="false" ht="15" hidden="false" customHeight="false" outlineLevel="0" collapsed="false">
      <c r="A638" s="79" t="s">
        <v>201</v>
      </c>
      <c r="B638" s="79" t="s">
        <v>294</v>
      </c>
      <c r="C638" s="80" t="n">
        <v>2023</v>
      </c>
      <c r="D638" s="80" t="n">
        <v>1</v>
      </c>
      <c r="E638" s="81" t="n">
        <v>45016</v>
      </c>
      <c r="F638" s="79" t="s">
        <v>267</v>
      </c>
      <c r="G638" s="79" t="s">
        <v>268</v>
      </c>
      <c r="H638" s="79" t="s">
        <v>264</v>
      </c>
      <c r="I638" s="82" t="n">
        <v>12492.345</v>
      </c>
      <c r="J638" s="82" t="n">
        <v>1500.744</v>
      </c>
      <c r="K638" s="82" t="n">
        <v>739934000</v>
      </c>
      <c r="L638" s="83" t="n">
        <v>4.07</v>
      </c>
      <c r="M638" s="82" t="n">
        <v>181.6996</v>
      </c>
      <c r="N638" s="82" t="n">
        <v>0</v>
      </c>
      <c r="O638" s="82" t="n">
        <v>11830.406</v>
      </c>
      <c r="P638" s="83" t="n">
        <v>0</v>
      </c>
      <c r="Q638" s="83" t="n">
        <v>189</v>
      </c>
      <c r="R638" s="47" t="n">
        <v>14</v>
      </c>
      <c r="S638" s="66" t="s">
        <v>932</v>
      </c>
    </row>
    <row r="639" customFormat="false" ht="15" hidden="false" customHeight="false" outlineLevel="0" collapsed="false">
      <c r="A639" s="79" t="s">
        <v>201</v>
      </c>
      <c r="B639" s="79" t="s">
        <v>296</v>
      </c>
      <c r="C639" s="80" t="n">
        <v>2022</v>
      </c>
      <c r="D639" s="80" t="n">
        <v>4</v>
      </c>
      <c r="E639" s="81" t="n">
        <v>44926</v>
      </c>
      <c r="F639" s="79" t="s">
        <v>267</v>
      </c>
      <c r="G639" s="79" t="s">
        <v>268</v>
      </c>
      <c r="H639" s="79" t="s">
        <v>264</v>
      </c>
      <c r="I639" s="82" t="n">
        <v>13377.459</v>
      </c>
      <c r="J639" s="82" t="n">
        <v>1601.395</v>
      </c>
      <c r="K639" s="82" t="n">
        <v>565094000</v>
      </c>
      <c r="L639" s="83" t="n">
        <v>3.11</v>
      </c>
      <c r="M639" s="82" t="n">
        <v>181.6996</v>
      </c>
      <c r="N639" s="82" t="n">
        <v>0</v>
      </c>
      <c r="O639" s="82" t="n">
        <v>12959.644</v>
      </c>
      <c r="P639" s="83" t="n">
        <v>0</v>
      </c>
      <c r="Q639" s="83" t="n">
        <v>164</v>
      </c>
      <c r="R639" s="47" t="n">
        <v>15</v>
      </c>
      <c r="S639" s="66" t="s">
        <v>933</v>
      </c>
    </row>
    <row r="640" customFormat="false" ht="15" hidden="false" customHeight="false" outlineLevel="0" collapsed="false">
      <c r="A640" s="79" t="s">
        <v>201</v>
      </c>
      <c r="B640" s="79" t="s">
        <v>298</v>
      </c>
      <c r="C640" s="80" t="n">
        <v>2022</v>
      </c>
      <c r="D640" s="80" t="n">
        <v>3</v>
      </c>
      <c r="E640" s="81" t="n">
        <v>44834</v>
      </c>
      <c r="F640" s="79" t="s">
        <v>267</v>
      </c>
      <c r="G640" s="79" t="s">
        <v>268</v>
      </c>
      <c r="H640" s="79" t="s">
        <v>264</v>
      </c>
      <c r="I640" s="82" t="n">
        <v>13792.845</v>
      </c>
      <c r="J640" s="82" t="n">
        <v>1840.106</v>
      </c>
      <c r="K640" s="82" t="n">
        <v>893203000</v>
      </c>
      <c r="L640" s="83" t="n">
        <v>4.92</v>
      </c>
      <c r="M640" s="82" t="n">
        <v>181.6996</v>
      </c>
      <c r="N640" s="82" t="n">
        <v>0</v>
      </c>
      <c r="O640" s="82" t="n">
        <v>12162.603</v>
      </c>
      <c r="P640" s="83" t="n">
        <v>0</v>
      </c>
      <c r="Q640" s="83" t="n">
        <v>154.5</v>
      </c>
      <c r="R640" s="47" t="n">
        <v>16</v>
      </c>
      <c r="S640" s="66" t="s">
        <v>934</v>
      </c>
    </row>
    <row r="641" customFormat="false" ht="15" hidden="false" customHeight="false" outlineLevel="0" collapsed="false">
      <c r="A641" s="79" t="s">
        <v>201</v>
      </c>
      <c r="B641" s="79" t="s">
        <v>300</v>
      </c>
      <c r="C641" s="80" t="n">
        <v>2022</v>
      </c>
      <c r="D641" s="80" t="n">
        <v>2</v>
      </c>
      <c r="E641" s="81" t="n">
        <v>44742</v>
      </c>
      <c r="F641" s="79" t="s">
        <v>267</v>
      </c>
      <c r="G641" s="79" t="s">
        <v>268</v>
      </c>
      <c r="H641" s="79" t="s">
        <v>264</v>
      </c>
      <c r="I641" s="82" t="n">
        <v>13225.334</v>
      </c>
      <c r="J641" s="82" t="n">
        <v>1622.386</v>
      </c>
      <c r="K641" s="82" t="n">
        <v>900267000</v>
      </c>
      <c r="L641" s="83" t="n">
        <v>4.96</v>
      </c>
      <c r="M641" s="82" t="n">
        <v>181.6996</v>
      </c>
      <c r="N641" s="82" t="n">
        <v>0</v>
      </c>
      <c r="O641" s="82" t="n">
        <v>11202.522</v>
      </c>
      <c r="P641" s="83" t="n">
        <v>8.8</v>
      </c>
      <c r="Q641" s="83" t="n">
        <v>138</v>
      </c>
      <c r="R641" s="47" t="n">
        <v>17</v>
      </c>
      <c r="S641" s="66" t="s">
        <v>935</v>
      </c>
    </row>
    <row r="642" customFormat="false" ht="15" hidden="false" customHeight="false" outlineLevel="0" collapsed="false">
      <c r="A642" s="79" t="s">
        <v>201</v>
      </c>
      <c r="B642" s="79" t="s">
        <v>302</v>
      </c>
      <c r="C642" s="80" t="n">
        <v>2022</v>
      </c>
      <c r="D642" s="80" t="n">
        <v>1</v>
      </c>
      <c r="E642" s="81" t="n">
        <v>44651</v>
      </c>
      <c r="F642" s="79" t="s">
        <v>267</v>
      </c>
      <c r="G642" s="79" t="s">
        <v>268</v>
      </c>
      <c r="H642" s="79" t="s">
        <v>264</v>
      </c>
      <c r="I642" s="82" t="n">
        <v>12582.577</v>
      </c>
      <c r="J642" s="82" t="n">
        <v>1461.477</v>
      </c>
      <c r="K642" s="82" t="n">
        <v>659914000</v>
      </c>
      <c r="L642" s="83" t="n">
        <v>3.63</v>
      </c>
      <c r="M642" s="82" t="n">
        <v>181.6996</v>
      </c>
      <c r="N642" s="82" t="n">
        <v>0</v>
      </c>
      <c r="O642" s="82" t="n">
        <v>10707.907</v>
      </c>
      <c r="P642" s="83" t="n">
        <v>0</v>
      </c>
      <c r="Q642" s="83" t="n">
        <v>170</v>
      </c>
      <c r="R642" s="47" t="n">
        <v>18</v>
      </c>
      <c r="S642" s="66" t="s">
        <v>936</v>
      </c>
    </row>
    <row r="643" customFormat="false" ht="15" hidden="false" customHeight="false" outlineLevel="0" collapsed="false">
      <c r="A643" s="79" t="s">
        <v>201</v>
      </c>
      <c r="B643" s="79" t="s">
        <v>304</v>
      </c>
      <c r="C643" s="80" t="n">
        <v>2021</v>
      </c>
      <c r="D643" s="80" t="n">
        <v>4</v>
      </c>
      <c r="E643" s="81" t="n">
        <v>44561</v>
      </c>
      <c r="F643" s="79" t="s">
        <v>267</v>
      </c>
      <c r="G643" s="79" t="s">
        <v>268</v>
      </c>
      <c r="H643" s="79" t="s">
        <v>264</v>
      </c>
      <c r="I643" s="82" t="n">
        <v>11766.16</v>
      </c>
      <c r="J643" s="82" t="n">
        <v>1498.856</v>
      </c>
      <c r="K643" s="82" t="n">
        <v>633208000</v>
      </c>
      <c r="L643" s="83" t="n">
        <v>3.49</v>
      </c>
      <c r="M643" s="82" t="n">
        <v>181.6996</v>
      </c>
      <c r="N643" s="82" t="n">
        <v>0</v>
      </c>
      <c r="O643" s="82" t="n">
        <v>11596.572</v>
      </c>
      <c r="P643" s="83" t="n">
        <v>0</v>
      </c>
      <c r="Q643" s="83" t="n">
        <v>158</v>
      </c>
      <c r="R643" s="47" t="n">
        <v>19</v>
      </c>
      <c r="S643" s="66" t="s">
        <v>937</v>
      </c>
    </row>
    <row r="644" customFormat="false" ht="15" hidden="false" customHeight="false" outlineLevel="0" collapsed="false">
      <c r="A644" s="79" t="s">
        <v>201</v>
      </c>
      <c r="B644" s="79" t="s">
        <v>306</v>
      </c>
      <c r="C644" s="80" t="n">
        <v>2021</v>
      </c>
      <c r="D644" s="80" t="n">
        <v>3</v>
      </c>
      <c r="E644" s="81" t="n">
        <v>44469</v>
      </c>
      <c r="F644" s="79" t="s">
        <v>267</v>
      </c>
      <c r="G644" s="79" t="s">
        <v>268</v>
      </c>
      <c r="H644" s="79" t="s">
        <v>264</v>
      </c>
      <c r="I644" s="82" t="n">
        <v>10988.763</v>
      </c>
      <c r="J644" s="82" t="n">
        <v>1338.868</v>
      </c>
      <c r="K644" s="82" t="n">
        <v>593514000</v>
      </c>
      <c r="L644" s="83" t="n">
        <v>3.26</v>
      </c>
      <c r="M644" s="82" t="n">
        <v>181.6996</v>
      </c>
      <c r="N644" s="82" t="n">
        <v>0</v>
      </c>
      <c r="O644" s="82" t="n">
        <v>10701.466</v>
      </c>
      <c r="P644" s="83" t="n">
        <v>0</v>
      </c>
      <c r="Q644" s="83" t="n">
        <v>137.5</v>
      </c>
      <c r="R644" s="47" t="n">
        <v>20</v>
      </c>
      <c r="S644" s="66" t="s">
        <v>938</v>
      </c>
    </row>
    <row r="645" customFormat="false" ht="15" hidden="false" customHeight="false" outlineLevel="0" collapsed="false">
      <c r="A645" s="79" t="s">
        <v>201</v>
      </c>
      <c r="B645" s="79" t="s">
        <v>308</v>
      </c>
      <c r="C645" s="80" t="n">
        <v>2021</v>
      </c>
      <c r="D645" s="80" t="n">
        <v>2</v>
      </c>
      <c r="E645" s="81" t="n">
        <v>44377</v>
      </c>
      <c r="F645" s="79" t="s">
        <v>267</v>
      </c>
      <c r="G645" s="79" t="s">
        <v>268</v>
      </c>
      <c r="H645" s="79" t="s">
        <v>264</v>
      </c>
      <c r="I645" s="82" t="n">
        <v>10381.154</v>
      </c>
      <c r="J645" s="82" t="n">
        <v>1276.802</v>
      </c>
      <c r="K645" s="82" t="n">
        <v>613334000</v>
      </c>
      <c r="L645" s="83" t="n">
        <v>3.38</v>
      </c>
      <c r="M645" s="82" t="n">
        <v>181.6996</v>
      </c>
      <c r="N645" s="82" t="n">
        <v>0</v>
      </c>
      <c r="O645" s="82" t="n">
        <v>10141.465</v>
      </c>
      <c r="P645" s="83" t="n">
        <v>8</v>
      </c>
      <c r="Q645" s="83" t="n">
        <v>125</v>
      </c>
      <c r="R645" s="47" t="n">
        <v>21</v>
      </c>
      <c r="S645" s="66" t="s">
        <v>939</v>
      </c>
    </row>
    <row r="646" customFormat="false" ht="15" hidden="false" customHeight="false" outlineLevel="0" collapsed="false">
      <c r="A646" s="79" t="s">
        <v>201</v>
      </c>
      <c r="B646" s="79" t="s">
        <v>310</v>
      </c>
      <c r="C646" s="80" t="n">
        <v>2021</v>
      </c>
      <c r="D646" s="80" t="n">
        <v>1</v>
      </c>
      <c r="E646" s="81" t="n">
        <v>44286</v>
      </c>
      <c r="F646" s="79" t="s">
        <v>267</v>
      </c>
      <c r="G646" s="79" t="s">
        <v>268</v>
      </c>
      <c r="H646" s="79" t="s">
        <v>264</v>
      </c>
      <c r="I646" s="82" t="n">
        <v>9532.889</v>
      </c>
      <c r="J646" s="82" t="n">
        <v>1097.678</v>
      </c>
      <c r="K646" s="82" t="n">
        <v>454402000</v>
      </c>
      <c r="L646" s="83" t="n">
        <v>2.5</v>
      </c>
      <c r="M646" s="82" t="n">
        <v>181.6996</v>
      </c>
      <c r="N646" s="82" t="n">
        <v>0</v>
      </c>
      <c r="O646" s="82" t="n">
        <v>9570.395</v>
      </c>
      <c r="P646" s="83" t="n">
        <v>0</v>
      </c>
      <c r="Q646" s="83" t="n">
        <v>136.5</v>
      </c>
      <c r="R646" s="47" t="n">
        <v>22</v>
      </c>
      <c r="S646" s="66" t="s">
        <v>940</v>
      </c>
    </row>
    <row r="647" customFormat="false" ht="15" hidden="false" customHeight="false" outlineLevel="0" collapsed="false">
      <c r="A647" s="79" t="s">
        <v>201</v>
      </c>
      <c r="B647" s="79" t="s">
        <v>312</v>
      </c>
      <c r="C647" s="80" t="n">
        <v>2020</v>
      </c>
      <c r="D647" s="80" t="n">
        <v>4</v>
      </c>
      <c r="E647" s="81" t="n">
        <v>44196</v>
      </c>
      <c r="F647" s="79" t="s">
        <v>267</v>
      </c>
      <c r="G647" s="79" t="s">
        <v>268</v>
      </c>
      <c r="H647" s="79" t="s">
        <v>264</v>
      </c>
      <c r="I647" s="82" t="n">
        <v>8938.602</v>
      </c>
      <c r="J647" s="82" t="n">
        <v>1094.556</v>
      </c>
      <c r="K647" s="82" t="n">
        <v>548182000</v>
      </c>
      <c r="L647" s="83" t="n">
        <v>3.01</v>
      </c>
      <c r="M647" s="82" t="n">
        <v>181.6996</v>
      </c>
      <c r="N647" s="82" t="n">
        <v>0</v>
      </c>
      <c r="O647" s="82" t="n">
        <v>10573.627</v>
      </c>
      <c r="P647" s="83" t="n">
        <v>0</v>
      </c>
      <c r="Q647" s="83" t="n">
        <v>119.5</v>
      </c>
      <c r="R647" s="47" t="n">
        <v>23</v>
      </c>
      <c r="S647" s="66" t="s">
        <v>941</v>
      </c>
    </row>
    <row r="648" customFormat="false" ht="15" hidden="false" customHeight="false" outlineLevel="0" collapsed="false">
      <c r="A648" s="79" t="s">
        <v>201</v>
      </c>
      <c r="B648" s="79" t="s">
        <v>314</v>
      </c>
      <c r="C648" s="80" t="n">
        <v>2020</v>
      </c>
      <c r="D648" s="80" t="n">
        <v>3</v>
      </c>
      <c r="E648" s="81" t="n">
        <v>44104</v>
      </c>
      <c r="F648" s="79" t="s">
        <v>267</v>
      </c>
      <c r="G648" s="79" t="s">
        <v>268</v>
      </c>
      <c r="H648" s="79" t="s">
        <v>264</v>
      </c>
      <c r="I648" s="82" t="n">
        <v>9067.715</v>
      </c>
      <c r="J648" s="82" t="n">
        <v>1028.467</v>
      </c>
      <c r="K648" s="82" t="n">
        <v>521666000</v>
      </c>
      <c r="L648" s="83" t="n">
        <v>2.87</v>
      </c>
      <c r="M648" s="82" t="n">
        <v>181.6996</v>
      </c>
      <c r="N648" s="82" t="n">
        <v>0</v>
      </c>
      <c r="O648" s="82" t="n">
        <v>9893.143</v>
      </c>
      <c r="P648" s="83"/>
      <c r="Q648" s="83" t="n">
        <v>114</v>
      </c>
      <c r="R648" s="47" t="n">
        <v>24</v>
      </c>
      <c r="S648" s="66" t="s">
        <v>942</v>
      </c>
    </row>
    <row r="649" customFormat="false" ht="15" hidden="false" customHeight="false" outlineLevel="0" collapsed="false">
      <c r="A649" s="79" t="s">
        <v>217</v>
      </c>
      <c r="B649" s="79" t="s">
        <v>261</v>
      </c>
      <c r="C649" s="80" t="n">
        <v>2026</v>
      </c>
      <c r="D649" s="80" t="n">
        <v>3</v>
      </c>
      <c r="E649" s="81" t="n">
        <v>46295</v>
      </c>
      <c r="F649" s="79" t="s">
        <v>262</v>
      </c>
      <c r="G649" s="79" t="s">
        <v>263</v>
      </c>
      <c r="H649" s="79" t="s">
        <v>264</v>
      </c>
      <c r="I649" s="82"/>
      <c r="J649" s="82"/>
      <c r="K649" s="82"/>
      <c r="L649" s="83" t="n">
        <v>13.49</v>
      </c>
      <c r="M649" s="82"/>
      <c r="N649" s="82"/>
      <c r="O649" s="82"/>
      <c r="P649" s="83"/>
      <c r="Q649" s="83"/>
      <c r="R649" s="47" t="n">
        <v>0</v>
      </c>
      <c r="S649" s="66" t="s">
        <v>943</v>
      </c>
    </row>
    <row r="650" customFormat="false" ht="15" hidden="false" customHeight="false" outlineLevel="0" collapsed="false">
      <c r="A650" s="79" t="s">
        <v>217</v>
      </c>
      <c r="B650" s="79" t="s">
        <v>266</v>
      </c>
      <c r="C650" s="80" t="n">
        <v>2026</v>
      </c>
      <c r="D650" s="80" t="n">
        <v>2</v>
      </c>
      <c r="E650" s="81" t="n">
        <v>46203</v>
      </c>
      <c r="F650" s="79" t="s">
        <v>267</v>
      </c>
      <c r="G650" s="79" t="s">
        <v>268</v>
      </c>
      <c r="H650" s="79" t="s">
        <v>264</v>
      </c>
      <c r="I650" s="82" t="n">
        <v>3680.968</v>
      </c>
      <c r="J650" s="82" t="n">
        <v>2301.025</v>
      </c>
      <c r="K650" s="82" t="n">
        <v>890415000</v>
      </c>
      <c r="L650" s="83" t="n">
        <v>11.21</v>
      </c>
      <c r="M650" s="82" t="n">
        <v>80.4502</v>
      </c>
      <c r="N650" s="82" t="n">
        <v>200000</v>
      </c>
      <c r="O650" s="82" t="n">
        <v>13590.598</v>
      </c>
      <c r="P650" s="83" t="n">
        <v>0</v>
      </c>
      <c r="Q650" s="83" t="n">
        <v>1640</v>
      </c>
      <c r="R650" s="47" t="n">
        <v>1</v>
      </c>
      <c r="S650" s="66" t="s">
        <v>944</v>
      </c>
    </row>
    <row r="651" customFormat="false" ht="15" hidden="false" customHeight="false" outlineLevel="0" collapsed="false">
      <c r="A651" s="79" t="s">
        <v>217</v>
      </c>
      <c r="B651" s="79" t="s">
        <v>270</v>
      </c>
      <c r="C651" s="80" t="n">
        <v>2026</v>
      </c>
      <c r="D651" s="80" t="n">
        <v>1</v>
      </c>
      <c r="E651" s="81" t="n">
        <v>46112</v>
      </c>
      <c r="F651" s="79" t="s">
        <v>267</v>
      </c>
      <c r="G651" s="79" t="s">
        <v>268</v>
      </c>
      <c r="H651" s="79" t="s">
        <v>264</v>
      </c>
      <c r="I651" s="82" t="n">
        <v>2705.681</v>
      </c>
      <c r="J651" s="82" t="n">
        <v>1499.18</v>
      </c>
      <c r="K651" s="82" t="n">
        <v>606763000</v>
      </c>
      <c r="L651" s="83" t="n">
        <v>7.82</v>
      </c>
      <c r="M651" s="82" t="n">
        <v>78.0733</v>
      </c>
      <c r="N651" s="82" t="n">
        <v>200000</v>
      </c>
      <c r="O651" s="82" t="n">
        <v>7048.699</v>
      </c>
      <c r="P651" s="83" t="n">
        <v>0</v>
      </c>
      <c r="Q651" s="83" t="n">
        <v>1900</v>
      </c>
      <c r="R651" s="47" t="n">
        <v>2</v>
      </c>
      <c r="S651" s="66" t="s">
        <v>945</v>
      </c>
    </row>
    <row r="652" customFormat="false" ht="15" hidden="false" customHeight="false" outlineLevel="0" collapsed="false">
      <c r="A652" s="79" t="s">
        <v>217</v>
      </c>
      <c r="B652" s="79" t="s">
        <v>272</v>
      </c>
      <c r="C652" s="80" t="n">
        <v>2025</v>
      </c>
      <c r="D652" s="80" t="n">
        <v>4</v>
      </c>
      <c r="E652" s="81" t="n">
        <v>46022</v>
      </c>
      <c r="F652" s="79" t="s">
        <v>267</v>
      </c>
      <c r="G652" s="79" t="s">
        <v>268</v>
      </c>
      <c r="H652" s="79" t="s">
        <v>264</v>
      </c>
      <c r="I652" s="82" t="n">
        <v>2999.698</v>
      </c>
      <c r="J652" s="82" t="n">
        <v>1727.031</v>
      </c>
      <c r="K652" s="82" t="n">
        <v>731967000</v>
      </c>
      <c r="L652" s="83" t="n">
        <v>9.59</v>
      </c>
      <c r="M652" s="82" t="n">
        <v>78.0733</v>
      </c>
      <c r="N652" s="82" t="n">
        <v>200000</v>
      </c>
      <c r="O652" s="82" t="n">
        <v>6844.831</v>
      </c>
      <c r="P652" s="83" t="n">
        <v>0</v>
      </c>
      <c r="Q652" s="83" t="n">
        <v>1360</v>
      </c>
      <c r="R652" s="47" t="n">
        <v>3</v>
      </c>
      <c r="S652" s="66" t="s">
        <v>946</v>
      </c>
    </row>
    <row r="653" customFormat="false" ht="15" hidden="false" customHeight="false" outlineLevel="0" collapsed="false">
      <c r="A653" s="79" t="s">
        <v>217</v>
      </c>
      <c r="B653" s="79" t="s">
        <v>274</v>
      </c>
      <c r="C653" s="80" t="n">
        <v>2025</v>
      </c>
      <c r="D653" s="80" t="n">
        <v>3</v>
      </c>
      <c r="E653" s="81" t="n">
        <v>45930</v>
      </c>
      <c r="F653" s="79" t="s">
        <v>267</v>
      </c>
      <c r="G653" s="79" t="s">
        <v>268</v>
      </c>
      <c r="H653" s="79" t="s">
        <v>264</v>
      </c>
      <c r="I653" s="82" t="n">
        <v>2514.032</v>
      </c>
      <c r="J653" s="82" t="n">
        <v>1517.758</v>
      </c>
      <c r="K653" s="82" t="n">
        <v>529792000</v>
      </c>
      <c r="L653" s="83" t="n">
        <v>7.03</v>
      </c>
      <c r="M653" s="82" t="n">
        <v>76.0002</v>
      </c>
      <c r="N653" s="82" t="n">
        <v>200000</v>
      </c>
      <c r="O653" s="82" t="n">
        <v>4097.937</v>
      </c>
      <c r="P653" s="83" t="n">
        <v>8.62269123</v>
      </c>
      <c r="Q653" s="83" t="n">
        <v>793</v>
      </c>
      <c r="R653" s="47" t="n">
        <v>4</v>
      </c>
      <c r="S653" s="66" t="s">
        <v>947</v>
      </c>
    </row>
    <row r="654" customFormat="false" ht="15" hidden="false" customHeight="false" outlineLevel="0" collapsed="false">
      <c r="A654" s="79" t="s">
        <v>217</v>
      </c>
      <c r="B654" s="79" t="s">
        <v>276</v>
      </c>
      <c r="C654" s="80" t="n">
        <v>2025</v>
      </c>
      <c r="D654" s="80" t="n">
        <v>2</v>
      </c>
      <c r="E654" s="81" t="n">
        <v>45838</v>
      </c>
      <c r="F654" s="79" t="s">
        <v>267</v>
      </c>
      <c r="G654" s="79" t="s">
        <v>268</v>
      </c>
      <c r="H654" s="79" t="s">
        <v>264</v>
      </c>
      <c r="I654" s="82" t="n">
        <v>2908.774</v>
      </c>
      <c r="J654" s="82" t="n">
        <v>1793.874</v>
      </c>
      <c r="K654" s="82" t="n">
        <v>195802000</v>
      </c>
      <c r="L654" s="83" t="n">
        <v>2.6</v>
      </c>
      <c r="M654" s="82" t="n">
        <v>76.0002</v>
      </c>
      <c r="N654" s="82" t="n">
        <v>200000</v>
      </c>
      <c r="O654" s="82" t="n">
        <v>3514.644</v>
      </c>
      <c r="P654" s="83" t="n">
        <v>0</v>
      </c>
      <c r="Q654" s="83" t="n">
        <v>464</v>
      </c>
      <c r="R654" s="47" t="n">
        <v>5</v>
      </c>
      <c r="S654" s="66" t="s">
        <v>948</v>
      </c>
    </row>
    <row r="655" customFormat="false" ht="15" hidden="false" customHeight="false" outlineLevel="0" collapsed="false">
      <c r="A655" s="79" t="s">
        <v>217</v>
      </c>
      <c r="B655" s="79" t="s">
        <v>278</v>
      </c>
      <c r="C655" s="80" t="n">
        <v>2025</v>
      </c>
      <c r="D655" s="80" t="n">
        <v>1</v>
      </c>
      <c r="E655" s="81" t="n">
        <v>45747</v>
      </c>
      <c r="F655" s="79" t="s">
        <v>267</v>
      </c>
      <c r="G655" s="79" t="s">
        <v>268</v>
      </c>
      <c r="H655" s="79" t="s">
        <v>264</v>
      </c>
      <c r="I655" s="82" t="n">
        <v>2104.723</v>
      </c>
      <c r="J655" s="82" t="n">
        <v>1040.2</v>
      </c>
      <c r="K655" s="82" t="n">
        <v>321702000</v>
      </c>
      <c r="L655" s="83" t="n">
        <v>4.26</v>
      </c>
      <c r="M655" s="82" t="n">
        <v>76</v>
      </c>
      <c r="N655" s="82" t="n">
        <v>0</v>
      </c>
      <c r="O655" s="82" t="n">
        <v>3568.399</v>
      </c>
      <c r="P655" s="83" t="n">
        <v>0</v>
      </c>
      <c r="Q655" s="83" t="n">
        <v>412.5</v>
      </c>
      <c r="R655" s="47" t="n">
        <v>6</v>
      </c>
      <c r="S655" s="66" t="s">
        <v>949</v>
      </c>
    </row>
    <row r="656" customFormat="false" ht="15" hidden="false" customHeight="false" outlineLevel="0" collapsed="false">
      <c r="A656" s="79" t="s">
        <v>217</v>
      </c>
      <c r="B656" s="79" t="s">
        <v>280</v>
      </c>
      <c r="C656" s="80" t="n">
        <v>2024</v>
      </c>
      <c r="D656" s="80" t="n">
        <v>4</v>
      </c>
      <c r="E656" s="81" t="n">
        <v>45657</v>
      </c>
      <c r="F656" s="79" t="s">
        <v>267</v>
      </c>
      <c r="G656" s="79" t="s">
        <v>268</v>
      </c>
      <c r="H656" s="79" t="s">
        <v>264</v>
      </c>
      <c r="I656" s="82" t="n">
        <v>2500.991</v>
      </c>
      <c r="J656" s="82" t="n">
        <v>1353.807</v>
      </c>
      <c r="K656" s="82" t="n">
        <v>432057000</v>
      </c>
      <c r="L656" s="83" t="n">
        <v>5.78</v>
      </c>
      <c r="M656" s="82" t="n">
        <v>76</v>
      </c>
      <c r="N656" s="82" t="n">
        <v>0</v>
      </c>
      <c r="O656" s="82" t="n">
        <v>3696.075</v>
      </c>
      <c r="P656" s="83" t="n">
        <v>0</v>
      </c>
      <c r="Q656" s="83" t="n">
        <v>650</v>
      </c>
      <c r="R656" s="47" t="n">
        <v>7</v>
      </c>
      <c r="S656" s="66" t="s">
        <v>950</v>
      </c>
    </row>
    <row r="657" customFormat="false" ht="15" hidden="false" customHeight="false" outlineLevel="0" collapsed="false">
      <c r="A657" s="79" t="s">
        <v>217</v>
      </c>
      <c r="B657" s="79" t="s">
        <v>282</v>
      </c>
      <c r="C657" s="80" t="n">
        <v>2024</v>
      </c>
      <c r="D657" s="80" t="n">
        <v>3</v>
      </c>
      <c r="E657" s="81" t="n">
        <v>45565</v>
      </c>
      <c r="F657" s="79" t="s">
        <v>267</v>
      </c>
      <c r="G657" s="79" t="s">
        <v>268</v>
      </c>
      <c r="H657" s="79" t="s">
        <v>264</v>
      </c>
      <c r="I657" s="82" t="n">
        <v>1641.247</v>
      </c>
      <c r="J657" s="82" t="n">
        <v>1038.896</v>
      </c>
      <c r="K657" s="82" t="n">
        <v>259156000</v>
      </c>
      <c r="L657" s="83" t="n">
        <v>3.43</v>
      </c>
      <c r="M657" s="82" t="n">
        <v>75.6</v>
      </c>
      <c r="N657" s="82" t="n">
        <v>0</v>
      </c>
      <c r="O657" s="82" t="n">
        <v>3137.906</v>
      </c>
      <c r="P657" s="83" t="n">
        <v>2.1</v>
      </c>
      <c r="Q657" s="83" t="n">
        <v>374</v>
      </c>
      <c r="R657" s="47" t="n">
        <v>8</v>
      </c>
      <c r="S657" s="66" t="s">
        <v>951</v>
      </c>
    </row>
    <row r="658" customFormat="false" ht="15" hidden="false" customHeight="false" outlineLevel="0" collapsed="false">
      <c r="A658" s="79" t="s">
        <v>217</v>
      </c>
      <c r="B658" s="79" t="s">
        <v>284</v>
      </c>
      <c r="C658" s="80" t="n">
        <v>2024</v>
      </c>
      <c r="D658" s="80" t="n">
        <v>2</v>
      </c>
      <c r="E658" s="81" t="n">
        <v>45473</v>
      </c>
      <c r="F658" s="79" t="s">
        <v>267</v>
      </c>
      <c r="G658" s="79" t="s">
        <v>268</v>
      </c>
      <c r="H658" s="79" t="s">
        <v>264</v>
      </c>
      <c r="I658" s="82" t="n">
        <v>1441.848</v>
      </c>
      <c r="J658" s="82" t="n">
        <v>766.439</v>
      </c>
      <c r="K658" s="82" t="n">
        <v>247463000</v>
      </c>
      <c r="L658" s="83" t="n">
        <v>3.27</v>
      </c>
      <c r="M658" s="82" t="n">
        <v>75.6</v>
      </c>
      <c r="N658" s="82" t="n">
        <v>0</v>
      </c>
      <c r="O658" s="82" t="n">
        <v>2859.876</v>
      </c>
      <c r="P658" s="83" t="n">
        <v>0</v>
      </c>
      <c r="Q658" s="83" t="n">
        <v>336.5</v>
      </c>
      <c r="R658" s="47" t="n">
        <v>9</v>
      </c>
      <c r="S658" s="66" t="s">
        <v>952</v>
      </c>
    </row>
    <row r="659" customFormat="false" ht="15" hidden="false" customHeight="false" outlineLevel="0" collapsed="false">
      <c r="A659" s="79" t="s">
        <v>217</v>
      </c>
      <c r="B659" s="79" t="s">
        <v>286</v>
      </c>
      <c r="C659" s="80" t="n">
        <v>2024</v>
      </c>
      <c r="D659" s="80" t="n">
        <v>1</v>
      </c>
      <c r="E659" s="81" t="n">
        <v>45382</v>
      </c>
      <c r="F659" s="79" t="s">
        <v>267</v>
      </c>
      <c r="G659" s="79" t="s">
        <v>268</v>
      </c>
      <c r="H659" s="79" t="s">
        <v>264</v>
      </c>
      <c r="I659" s="82" t="n">
        <v>826.319</v>
      </c>
      <c r="J659" s="82" t="n">
        <v>406.034</v>
      </c>
      <c r="K659" s="82" t="n">
        <v>118925000</v>
      </c>
      <c r="L659" s="83" t="n">
        <v>1.72</v>
      </c>
      <c r="M659" s="82" t="n">
        <v>75.6</v>
      </c>
      <c r="N659" s="82" t="n">
        <v>0</v>
      </c>
      <c r="O659" s="82" t="n">
        <v>2757.327</v>
      </c>
      <c r="P659" s="83" t="n">
        <v>0</v>
      </c>
      <c r="Q659" s="83" t="n">
        <v>140.5</v>
      </c>
      <c r="R659" s="47" t="n">
        <v>10</v>
      </c>
      <c r="S659" s="66" t="s">
        <v>953</v>
      </c>
    </row>
    <row r="660" customFormat="false" ht="15" hidden="false" customHeight="false" outlineLevel="0" collapsed="false">
      <c r="A660" s="79" t="s">
        <v>217</v>
      </c>
      <c r="B660" s="79" t="s">
        <v>288</v>
      </c>
      <c r="C660" s="80" t="n">
        <v>2023</v>
      </c>
      <c r="D660" s="80" t="n">
        <v>4</v>
      </c>
      <c r="E660" s="81" t="n">
        <v>45291</v>
      </c>
      <c r="F660" s="79" t="s">
        <v>267</v>
      </c>
      <c r="G660" s="79" t="s">
        <v>268</v>
      </c>
      <c r="H660" s="79" t="s">
        <v>264</v>
      </c>
      <c r="I660" s="82" t="n">
        <v>620.029</v>
      </c>
      <c r="J660" s="82" t="n">
        <v>288.46</v>
      </c>
      <c r="K660" s="82" t="n">
        <v>25907000</v>
      </c>
      <c r="L660" s="83" t="n">
        <v>0.39</v>
      </c>
      <c r="M660" s="82" t="n">
        <v>66.3</v>
      </c>
      <c r="N660" s="82" t="n">
        <v>0</v>
      </c>
      <c r="O660" s="82" t="n">
        <v>2050.726</v>
      </c>
      <c r="P660" s="83" t="n">
        <v>0</v>
      </c>
      <c r="Q660" s="83" t="n">
        <v>70.3</v>
      </c>
      <c r="R660" s="47" t="n">
        <v>11</v>
      </c>
      <c r="S660" s="66" t="s">
        <v>954</v>
      </c>
    </row>
    <row r="661" customFormat="false" ht="15" hidden="false" customHeight="false" outlineLevel="0" collapsed="false">
      <c r="A661" s="79" t="s">
        <v>217</v>
      </c>
      <c r="B661" s="79" t="s">
        <v>290</v>
      </c>
      <c r="C661" s="80" t="n">
        <v>2023</v>
      </c>
      <c r="D661" s="80" t="n">
        <v>3</v>
      </c>
      <c r="E661" s="81" t="n">
        <v>45199</v>
      </c>
      <c r="F661" s="79" t="s">
        <v>267</v>
      </c>
      <c r="G661" s="79" t="s">
        <v>268</v>
      </c>
      <c r="H661" s="79" t="s">
        <v>264</v>
      </c>
      <c r="I661" s="82" t="n">
        <v>666.543</v>
      </c>
      <c r="J661" s="82" t="n">
        <v>224.464</v>
      </c>
      <c r="K661" s="82" t="n">
        <v>67669000</v>
      </c>
      <c r="L661" s="83" t="n">
        <v>1.02</v>
      </c>
      <c r="M661" s="82" t="n">
        <v>66.3</v>
      </c>
      <c r="N661" s="82" t="n">
        <v>0</v>
      </c>
      <c r="O661" s="82" t="n">
        <v>2012.74</v>
      </c>
      <c r="P661" s="83" t="n">
        <v>2.1</v>
      </c>
      <c r="Q661" s="83" t="n">
        <v>76.1</v>
      </c>
      <c r="R661" s="47" t="n">
        <v>12</v>
      </c>
      <c r="S661" s="66" t="s">
        <v>955</v>
      </c>
    </row>
    <row r="662" customFormat="false" ht="15" hidden="false" customHeight="false" outlineLevel="0" collapsed="false">
      <c r="A662" s="79" t="s">
        <v>217</v>
      </c>
      <c r="B662" s="79" t="s">
        <v>292</v>
      </c>
      <c r="C662" s="80" t="n">
        <v>2023</v>
      </c>
      <c r="D662" s="80" t="n">
        <v>2</v>
      </c>
      <c r="E662" s="81" t="n">
        <v>45107</v>
      </c>
      <c r="F662" s="79" t="s">
        <v>267</v>
      </c>
      <c r="G662" s="79" t="s">
        <v>268</v>
      </c>
      <c r="H662" s="79" t="s">
        <v>264</v>
      </c>
      <c r="I662" s="82" t="n">
        <v>698.592</v>
      </c>
      <c r="J662" s="82" t="n">
        <v>250.312</v>
      </c>
      <c r="K662" s="82" t="n">
        <v>70949000</v>
      </c>
      <c r="L662" s="83" t="n">
        <v>1.07</v>
      </c>
      <c r="M662" s="82" t="n">
        <v>66.3</v>
      </c>
      <c r="N662" s="82" t="n">
        <v>0</v>
      </c>
      <c r="O662" s="82" t="n">
        <v>1911.408</v>
      </c>
      <c r="P662" s="83" t="n">
        <v>0</v>
      </c>
      <c r="Q662" s="83" t="n">
        <v>51.4</v>
      </c>
      <c r="R662" s="47" t="n">
        <v>13</v>
      </c>
      <c r="S662" s="66" t="s">
        <v>956</v>
      </c>
    </row>
    <row r="663" customFormat="false" ht="15" hidden="false" customHeight="false" outlineLevel="0" collapsed="false">
      <c r="A663" s="79" t="s">
        <v>217</v>
      </c>
      <c r="B663" s="79" t="s">
        <v>294</v>
      </c>
      <c r="C663" s="80" t="n">
        <v>2023</v>
      </c>
      <c r="D663" s="80" t="n">
        <v>1</v>
      </c>
      <c r="E663" s="81" t="n">
        <v>45016</v>
      </c>
      <c r="F663" s="79" t="s">
        <v>267</v>
      </c>
      <c r="G663" s="79" t="s">
        <v>268</v>
      </c>
      <c r="H663" s="79" t="s">
        <v>264</v>
      </c>
      <c r="I663" s="82" t="n">
        <v>632.221</v>
      </c>
      <c r="J663" s="82" t="n">
        <v>167.151</v>
      </c>
      <c r="K663" s="82" t="n">
        <v>3517000</v>
      </c>
      <c r="L663" s="83" t="n">
        <v>0.05</v>
      </c>
      <c r="M663" s="82" t="n">
        <v>66.3</v>
      </c>
      <c r="N663" s="82" t="n">
        <v>0</v>
      </c>
      <c r="O663" s="82" t="n">
        <v>1855.723</v>
      </c>
      <c r="P663" s="83" t="n">
        <v>0</v>
      </c>
      <c r="Q663" s="83" t="n">
        <v>53.9</v>
      </c>
      <c r="R663" s="47" t="n">
        <v>14</v>
      </c>
      <c r="S663" s="66" t="s">
        <v>957</v>
      </c>
    </row>
    <row r="664" customFormat="false" ht="15" hidden="false" customHeight="false" outlineLevel="0" collapsed="false">
      <c r="A664" s="79" t="s">
        <v>217</v>
      </c>
      <c r="B664" s="79" t="s">
        <v>296</v>
      </c>
      <c r="C664" s="80" t="n">
        <v>2022</v>
      </c>
      <c r="D664" s="80" t="n">
        <v>4</v>
      </c>
      <c r="E664" s="81" t="n">
        <v>44926</v>
      </c>
      <c r="F664" s="79" t="s">
        <v>267</v>
      </c>
      <c r="G664" s="79" t="s">
        <v>268</v>
      </c>
      <c r="H664" s="79" t="s">
        <v>264</v>
      </c>
      <c r="I664" s="82" t="n">
        <v>584.015</v>
      </c>
      <c r="J664" s="82" t="n">
        <v>165.938</v>
      </c>
      <c r="K664" s="82" t="n">
        <v>8688000</v>
      </c>
      <c r="L664" s="83" t="n">
        <v>0.13</v>
      </c>
      <c r="M664" s="82" t="n">
        <v>69.3</v>
      </c>
      <c r="N664" s="82" t="n">
        <v>3000000</v>
      </c>
      <c r="O664" s="82" t="n">
        <v>1992.251</v>
      </c>
      <c r="P664" s="83" t="n">
        <v>0</v>
      </c>
      <c r="Q664" s="83" t="n">
        <v>43.6</v>
      </c>
      <c r="R664" s="47" t="n">
        <v>15</v>
      </c>
      <c r="S664" s="66" t="s">
        <v>958</v>
      </c>
    </row>
    <row r="665" customFormat="false" ht="15" hidden="false" customHeight="false" outlineLevel="0" collapsed="false">
      <c r="A665" s="79" t="s">
        <v>217</v>
      </c>
      <c r="B665" s="79" t="s">
        <v>298</v>
      </c>
      <c r="C665" s="80" t="n">
        <v>2022</v>
      </c>
      <c r="D665" s="80" t="n">
        <v>3</v>
      </c>
      <c r="E665" s="81" t="n">
        <v>44834</v>
      </c>
      <c r="F665" s="79" t="s">
        <v>267</v>
      </c>
      <c r="G665" s="79" t="s">
        <v>268</v>
      </c>
      <c r="H665" s="79" t="s">
        <v>264</v>
      </c>
      <c r="I665" s="82" t="n">
        <v>879.51</v>
      </c>
      <c r="J665" s="82" t="n">
        <v>323.78</v>
      </c>
      <c r="K665" s="82" t="n">
        <v>155277000</v>
      </c>
      <c r="L665" s="83" t="n">
        <v>2.34</v>
      </c>
      <c r="M665" s="82" t="n">
        <v>69.3</v>
      </c>
      <c r="N665" s="82" t="n">
        <v>3000000</v>
      </c>
      <c r="O665" s="82" t="n">
        <v>1992.244</v>
      </c>
      <c r="P665" s="83" t="n">
        <v>1.2</v>
      </c>
      <c r="Q665" s="83" t="n">
        <v>46.9</v>
      </c>
      <c r="R665" s="47" t="n">
        <v>16</v>
      </c>
      <c r="S665" s="66" t="s">
        <v>959</v>
      </c>
    </row>
    <row r="666" customFormat="false" ht="15" hidden="false" customHeight="false" outlineLevel="0" collapsed="false">
      <c r="A666" s="79" t="s">
        <v>217</v>
      </c>
      <c r="B666" s="79" t="s">
        <v>300</v>
      </c>
      <c r="C666" s="80" t="n">
        <v>2022</v>
      </c>
      <c r="D666" s="80" t="n">
        <v>2</v>
      </c>
      <c r="E666" s="81" t="n">
        <v>44742</v>
      </c>
      <c r="F666" s="79" t="s">
        <v>267</v>
      </c>
      <c r="G666" s="79" t="s">
        <v>268</v>
      </c>
      <c r="H666" s="79" t="s">
        <v>264</v>
      </c>
      <c r="I666" s="82" t="n">
        <v>770.139</v>
      </c>
      <c r="J666" s="82" t="n">
        <v>243.689</v>
      </c>
      <c r="K666" s="82" t="n">
        <v>82775000</v>
      </c>
      <c r="L666" s="83" t="n">
        <v>1.25</v>
      </c>
      <c r="M666" s="82" t="n">
        <v>69.3</v>
      </c>
      <c r="N666" s="82" t="n">
        <v>3000000</v>
      </c>
      <c r="O666" s="82" t="n">
        <v>1828.554</v>
      </c>
      <c r="P666" s="83" t="n">
        <v>0</v>
      </c>
      <c r="Q666" s="83" t="n">
        <v>40.85</v>
      </c>
      <c r="R666" s="47" t="n">
        <v>17</v>
      </c>
      <c r="S666" s="66" t="s">
        <v>960</v>
      </c>
    </row>
    <row r="667" customFormat="false" ht="15" hidden="false" customHeight="false" outlineLevel="0" collapsed="false">
      <c r="A667" s="79" t="s">
        <v>217</v>
      </c>
      <c r="B667" s="79" t="s">
        <v>302</v>
      </c>
      <c r="C667" s="80" t="n">
        <v>2022</v>
      </c>
      <c r="D667" s="80" t="n">
        <v>1</v>
      </c>
      <c r="E667" s="81" t="n">
        <v>44651</v>
      </c>
      <c r="F667" s="79" t="s">
        <v>267</v>
      </c>
      <c r="G667" s="79" t="s">
        <v>268</v>
      </c>
      <c r="H667" s="79" t="s">
        <v>264</v>
      </c>
      <c r="I667" s="82" t="n">
        <v>706.524</v>
      </c>
      <c r="J667" s="82" t="n">
        <v>201.814</v>
      </c>
      <c r="K667" s="82" t="n">
        <v>74925000</v>
      </c>
      <c r="L667" s="83" t="n">
        <v>1.13</v>
      </c>
      <c r="M667" s="82" t="n">
        <v>69.3</v>
      </c>
      <c r="N667" s="82" t="n">
        <v>3000000</v>
      </c>
      <c r="O667" s="82" t="n">
        <v>1757.456</v>
      </c>
      <c r="P667" s="83" t="n">
        <v>0</v>
      </c>
      <c r="Q667" s="83" t="n">
        <v>36.25</v>
      </c>
      <c r="R667" s="47" t="n">
        <v>18</v>
      </c>
      <c r="S667" s="66" t="s">
        <v>961</v>
      </c>
    </row>
    <row r="668" customFormat="false" ht="15" hidden="false" customHeight="false" outlineLevel="0" collapsed="false">
      <c r="A668" s="79" t="s">
        <v>217</v>
      </c>
      <c r="B668" s="79" t="s">
        <v>304</v>
      </c>
      <c r="C668" s="80" t="n">
        <v>2021</v>
      </c>
      <c r="D668" s="80" t="n">
        <v>4</v>
      </c>
      <c r="E668" s="81" t="n">
        <v>44561</v>
      </c>
      <c r="F668" s="79" t="s">
        <v>267</v>
      </c>
      <c r="G668" s="79" t="s">
        <v>268</v>
      </c>
      <c r="H668" s="79" t="s">
        <v>264</v>
      </c>
      <c r="I668" s="82" t="n">
        <v>627.018</v>
      </c>
      <c r="J668" s="82" t="n">
        <v>145.045</v>
      </c>
      <c r="K668" s="82" t="n">
        <v>31592000</v>
      </c>
      <c r="L668" s="83" t="n">
        <v>0.48</v>
      </c>
      <c r="M668" s="82" t="n">
        <v>69.3</v>
      </c>
      <c r="N668" s="82" t="n">
        <v>3000000</v>
      </c>
      <c r="O668" s="82" t="n">
        <v>1737.529</v>
      </c>
      <c r="P668" s="83" t="n">
        <v>0</v>
      </c>
      <c r="Q668" s="83" t="n">
        <v>35.95</v>
      </c>
      <c r="R668" s="47" t="n">
        <v>19</v>
      </c>
      <c r="S668" s="66" t="s">
        <v>962</v>
      </c>
    </row>
    <row r="669" customFormat="false" ht="15" hidden="false" customHeight="false" outlineLevel="0" collapsed="false">
      <c r="A669" s="79" t="s">
        <v>217</v>
      </c>
      <c r="B669" s="79" t="s">
        <v>306</v>
      </c>
      <c r="C669" s="80" t="n">
        <v>2021</v>
      </c>
      <c r="D669" s="80" t="n">
        <v>3</v>
      </c>
      <c r="E669" s="81" t="n">
        <v>44469</v>
      </c>
      <c r="F669" s="79" t="s">
        <v>267</v>
      </c>
      <c r="G669" s="79" t="s">
        <v>268</v>
      </c>
      <c r="H669" s="79" t="s">
        <v>264</v>
      </c>
      <c r="I669" s="82" t="n">
        <v>768.611</v>
      </c>
      <c r="J669" s="82" t="n">
        <v>144.113</v>
      </c>
      <c r="K669" s="82" t="n">
        <v>22859000</v>
      </c>
      <c r="L669" s="83" t="n">
        <v>0.34</v>
      </c>
      <c r="M669" s="82" t="n">
        <v>69.3</v>
      </c>
      <c r="N669" s="82" t="n">
        <v>3000000</v>
      </c>
      <c r="O669" s="82" t="n">
        <v>1698.998</v>
      </c>
      <c r="P669" s="83" t="n">
        <v>1</v>
      </c>
      <c r="Q669" s="83" t="n">
        <v>34.9</v>
      </c>
      <c r="R669" s="47" t="n">
        <v>20</v>
      </c>
      <c r="S669" s="66" t="s">
        <v>963</v>
      </c>
    </row>
    <row r="670" customFormat="false" ht="15" hidden="false" customHeight="false" outlineLevel="0" collapsed="false">
      <c r="A670" s="79" t="s">
        <v>217</v>
      </c>
      <c r="B670" s="79" t="s">
        <v>308</v>
      </c>
      <c r="C670" s="80" t="n">
        <v>2021</v>
      </c>
      <c r="D670" s="80" t="n">
        <v>2</v>
      </c>
      <c r="E670" s="81" t="n">
        <v>44377</v>
      </c>
      <c r="F670" s="79" t="s">
        <v>267</v>
      </c>
      <c r="G670" s="79" t="s">
        <v>268</v>
      </c>
      <c r="H670" s="79" t="s">
        <v>264</v>
      </c>
      <c r="I670" s="82" t="n">
        <v>727.566</v>
      </c>
      <c r="J670" s="82" t="n">
        <v>177.768</v>
      </c>
      <c r="K670" s="82" t="n">
        <v>34779000</v>
      </c>
      <c r="L670" s="83" t="n">
        <v>0.53</v>
      </c>
      <c r="M670" s="82" t="n">
        <v>69.3</v>
      </c>
      <c r="N670" s="82" t="n">
        <v>3000000</v>
      </c>
      <c r="O670" s="82" t="n">
        <v>1680.253</v>
      </c>
      <c r="P670" s="83" t="n">
        <v>0</v>
      </c>
      <c r="Q670" s="83" t="n">
        <v>34.55</v>
      </c>
      <c r="R670" s="47" t="n">
        <v>21</v>
      </c>
      <c r="S670" s="66" t="s">
        <v>964</v>
      </c>
    </row>
    <row r="671" customFormat="false" ht="15" hidden="false" customHeight="false" outlineLevel="0" collapsed="false">
      <c r="A671" s="79" t="s">
        <v>217</v>
      </c>
      <c r="B671" s="79" t="s">
        <v>310</v>
      </c>
      <c r="C671" s="80" t="n">
        <v>2021</v>
      </c>
      <c r="D671" s="80" t="n">
        <v>1</v>
      </c>
      <c r="E671" s="81" t="n">
        <v>44286</v>
      </c>
      <c r="F671" s="79" t="s">
        <v>267</v>
      </c>
      <c r="G671" s="79" t="s">
        <v>268</v>
      </c>
      <c r="H671" s="79" t="s">
        <v>264</v>
      </c>
      <c r="I671" s="82" t="n">
        <v>689.821</v>
      </c>
      <c r="J671" s="82" t="n">
        <v>134.327</v>
      </c>
      <c r="K671" s="82" t="n">
        <v>14175000</v>
      </c>
      <c r="L671" s="83" t="n">
        <v>0.21</v>
      </c>
      <c r="M671" s="82" t="n">
        <v>69.3</v>
      </c>
      <c r="N671" s="82" t="n">
        <v>3000000</v>
      </c>
      <c r="O671" s="82" t="n">
        <v>1651.321</v>
      </c>
      <c r="P671" s="83" t="n">
        <v>0</v>
      </c>
      <c r="Q671" s="83" t="n">
        <v>31.75</v>
      </c>
      <c r="R671" s="47" t="n">
        <v>22</v>
      </c>
      <c r="S671" s="66" t="s">
        <v>965</v>
      </c>
    </row>
    <row r="672" customFormat="false" ht="15" hidden="false" customHeight="false" outlineLevel="0" collapsed="false">
      <c r="A672" s="79" t="s">
        <v>217</v>
      </c>
      <c r="B672" s="79" t="s">
        <v>312</v>
      </c>
      <c r="C672" s="80" t="n">
        <v>2020</v>
      </c>
      <c r="D672" s="80" t="n">
        <v>4</v>
      </c>
      <c r="E672" s="81" t="n">
        <v>44196</v>
      </c>
      <c r="F672" s="79" t="s">
        <v>267</v>
      </c>
      <c r="G672" s="79" t="s">
        <v>268</v>
      </c>
      <c r="H672" s="79" t="s">
        <v>264</v>
      </c>
      <c r="I672" s="82" t="n">
        <v>624.778</v>
      </c>
      <c r="J672" s="82" t="n">
        <v>104.654</v>
      </c>
      <c r="K672" s="82" t="n">
        <v>-17035000</v>
      </c>
      <c r="L672" s="83" t="n">
        <v>-0.26</v>
      </c>
      <c r="M672" s="82" t="n">
        <v>69.3</v>
      </c>
      <c r="N672" s="82" t="n">
        <v>3000000</v>
      </c>
      <c r="O672" s="82" t="n">
        <v>1709.033</v>
      </c>
      <c r="P672" s="83" t="n">
        <v>0</v>
      </c>
      <c r="Q672" s="83" t="n">
        <v>29.7</v>
      </c>
      <c r="R672" s="47" t="n">
        <v>23</v>
      </c>
      <c r="S672" s="66" t="s">
        <v>966</v>
      </c>
    </row>
    <row r="673" customFormat="false" ht="15" hidden="false" customHeight="false" outlineLevel="0" collapsed="false">
      <c r="A673" s="79" t="s">
        <v>217</v>
      </c>
      <c r="B673" s="79" t="s">
        <v>314</v>
      </c>
      <c r="C673" s="80" t="n">
        <v>2020</v>
      </c>
      <c r="D673" s="80" t="n">
        <v>3</v>
      </c>
      <c r="E673" s="81" t="n">
        <v>44104</v>
      </c>
      <c r="F673" s="79" t="s">
        <v>267</v>
      </c>
      <c r="G673" s="79" t="s">
        <v>268</v>
      </c>
      <c r="H673" s="79" t="s">
        <v>264</v>
      </c>
      <c r="I673" s="82" t="n">
        <v>652.44</v>
      </c>
      <c r="J673" s="82" t="n">
        <v>133.774</v>
      </c>
      <c r="K673" s="82" t="n">
        <v>8361000</v>
      </c>
      <c r="L673" s="83" t="n">
        <v>0.13</v>
      </c>
      <c r="M673" s="82" t="n">
        <v>69.3</v>
      </c>
      <c r="N673" s="82" t="n">
        <v>3000000</v>
      </c>
      <c r="O673" s="82" t="n">
        <v>1725.055</v>
      </c>
      <c r="P673" s="83"/>
      <c r="Q673" s="83" t="n">
        <v>30.1</v>
      </c>
      <c r="R673" s="47" t="n">
        <v>24</v>
      </c>
      <c r="S673" s="66" t="s">
        <v>967</v>
      </c>
    </row>
    <row r="674" customFormat="false" ht="15" hidden="false" customHeight="false" outlineLevel="0" collapsed="false">
      <c r="A674" s="79" t="s">
        <v>227</v>
      </c>
      <c r="B674" s="79" t="s">
        <v>261</v>
      </c>
      <c r="C674" s="80" t="n">
        <v>2026</v>
      </c>
      <c r="D674" s="80" t="n">
        <v>3</v>
      </c>
      <c r="E674" s="81" t="n">
        <v>46295</v>
      </c>
      <c r="F674" s="79" t="s">
        <v>262</v>
      </c>
      <c r="G674" s="79" t="s">
        <v>263</v>
      </c>
      <c r="H674" s="79" t="s">
        <v>264</v>
      </c>
      <c r="I674" s="82"/>
      <c r="J674" s="82"/>
      <c r="K674" s="82"/>
      <c r="L674" s="83" t="n">
        <v>119.73446</v>
      </c>
      <c r="M674" s="82"/>
      <c r="N674" s="82"/>
      <c r="O674" s="82"/>
      <c r="P674" s="83"/>
      <c r="Q674" s="83"/>
      <c r="R674" s="47" t="n">
        <v>0</v>
      </c>
      <c r="S674" s="66" t="s">
        <v>968</v>
      </c>
    </row>
    <row r="675" customFormat="false" ht="15" hidden="false" customHeight="false" outlineLevel="0" collapsed="false">
      <c r="A675" s="79" t="s">
        <v>227</v>
      </c>
      <c r="B675" s="79" t="s">
        <v>266</v>
      </c>
      <c r="C675" s="80" t="n">
        <v>2026</v>
      </c>
      <c r="D675" s="80" t="n">
        <v>2</v>
      </c>
      <c r="E675" s="81" t="n">
        <v>46203</v>
      </c>
      <c r="F675" s="79" t="s">
        <v>267</v>
      </c>
      <c r="G675" s="79" t="s">
        <v>268</v>
      </c>
      <c r="H675" s="79" t="s">
        <v>264</v>
      </c>
      <c r="I675" s="82" t="n">
        <v>67888.256</v>
      </c>
      <c r="J675" s="82" t="n">
        <v>44364.904</v>
      </c>
      <c r="K675" s="82" t="n">
        <v>26217208000</v>
      </c>
      <c r="L675" s="83" t="n">
        <v>118.57</v>
      </c>
      <c r="M675" s="82" t="n">
        <v>221.0857</v>
      </c>
      <c r="N675" s="82" t="n">
        <v>0</v>
      </c>
      <c r="O675" s="82" t="n">
        <v>102058.81</v>
      </c>
      <c r="P675" s="83" t="n">
        <v>16.96425749</v>
      </c>
      <c r="Q675" s="83" t="n">
        <v>2385</v>
      </c>
      <c r="R675" s="47" t="n">
        <v>1</v>
      </c>
      <c r="S675" s="66" t="s">
        <v>969</v>
      </c>
    </row>
    <row r="676" customFormat="false" ht="15" hidden="false" customHeight="false" outlineLevel="0" collapsed="false">
      <c r="A676" s="79" t="s">
        <v>227</v>
      </c>
      <c r="B676" s="79" t="s">
        <v>270</v>
      </c>
      <c r="C676" s="80" t="n">
        <v>2026</v>
      </c>
      <c r="D676" s="80" t="n">
        <v>1</v>
      </c>
      <c r="E676" s="81" t="n">
        <v>46112</v>
      </c>
      <c r="F676" s="79" t="s">
        <v>267</v>
      </c>
      <c r="G676" s="79" t="s">
        <v>268</v>
      </c>
      <c r="H676" s="79" t="s">
        <v>264</v>
      </c>
      <c r="I676" s="82" t="n">
        <v>40966.953</v>
      </c>
      <c r="J676" s="82" t="n">
        <v>25324.651</v>
      </c>
      <c r="K676" s="82" t="n">
        <v>15174020000</v>
      </c>
      <c r="L676" s="83" t="n">
        <v>68.8</v>
      </c>
      <c r="M676" s="82" t="n">
        <v>217.8343</v>
      </c>
      <c r="N676" s="82" t="n">
        <v>0</v>
      </c>
      <c r="O676" s="82" t="n">
        <v>74118.255</v>
      </c>
      <c r="P676" s="83" t="n">
        <v>0</v>
      </c>
      <c r="Q676" s="83" t="n">
        <v>1500</v>
      </c>
      <c r="R676" s="47" t="n">
        <v>2</v>
      </c>
      <c r="S676" s="66" t="s">
        <v>970</v>
      </c>
    </row>
    <row r="677" customFormat="false" ht="15" hidden="false" customHeight="false" outlineLevel="0" collapsed="false">
      <c r="A677" s="79" t="s">
        <v>227</v>
      </c>
      <c r="B677" s="79" t="s">
        <v>272</v>
      </c>
      <c r="C677" s="80" t="n">
        <v>2025</v>
      </c>
      <c r="D677" s="80" t="n">
        <v>4</v>
      </c>
      <c r="E677" s="81" t="n">
        <v>46022</v>
      </c>
      <c r="F677" s="79" t="s">
        <v>267</v>
      </c>
      <c r="G677" s="79" t="s">
        <v>268</v>
      </c>
      <c r="H677" s="79" t="s">
        <v>264</v>
      </c>
      <c r="I677" s="82" t="n">
        <v>22798.658</v>
      </c>
      <c r="J677" s="82" t="n">
        <v>9547.31</v>
      </c>
      <c r="K677" s="82" t="n">
        <v>4628548000</v>
      </c>
      <c r="L677" s="83" t="n">
        <v>22.08</v>
      </c>
      <c r="M677" s="82" t="n">
        <v>207.9733</v>
      </c>
      <c r="N677" s="82" t="n">
        <v>0</v>
      </c>
      <c r="O677" s="82" t="n">
        <v>60097.121</v>
      </c>
      <c r="P677" s="83" t="n">
        <v>6.2283164</v>
      </c>
      <c r="Q677" s="83" t="n">
        <v>1450</v>
      </c>
      <c r="R677" s="47" t="n">
        <v>3</v>
      </c>
      <c r="S677" s="66" t="s">
        <v>971</v>
      </c>
    </row>
    <row r="678" customFormat="false" ht="15" hidden="false" customHeight="false" outlineLevel="0" collapsed="false">
      <c r="A678" s="79" t="s">
        <v>227</v>
      </c>
      <c r="B678" s="79" t="s">
        <v>274</v>
      </c>
      <c r="C678" s="80" t="n">
        <v>2025</v>
      </c>
      <c r="D678" s="80" t="n">
        <v>3</v>
      </c>
      <c r="E678" s="81" t="n">
        <v>45930</v>
      </c>
      <c r="F678" s="79" t="s">
        <v>267</v>
      </c>
      <c r="G678" s="79" t="s">
        <v>268</v>
      </c>
      <c r="H678" s="79" t="s">
        <v>264</v>
      </c>
      <c r="I678" s="82" t="n">
        <v>18136.797</v>
      </c>
      <c r="J678" s="82" t="n">
        <v>5914.005</v>
      </c>
      <c r="K678" s="82" t="n">
        <v>2225486000</v>
      </c>
      <c r="L678" s="83" t="n">
        <v>10.75</v>
      </c>
      <c r="M678" s="82" t="n">
        <v>206.6278</v>
      </c>
      <c r="N678" s="82" t="n">
        <v>0</v>
      </c>
      <c r="O678" s="82" t="n">
        <v>50069.133</v>
      </c>
      <c r="P678" s="83" t="n">
        <v>11.95899874</v>
      </c>
      <c r="Q678" s="83" t="n">
        <v>706</v>
      </c>
      <c r="R678" s="47" t="n">
        <v>4</v>
      </c>
      <c r="S678" s="66" t="s">
        <v>972</v>
      </c>
    </row>
    <row r="679" customFormat="false" ht="15" hidden="false" customHeight="false" outlineLevel="0" collapsed="false">
      <c r="A679" s="79" t="s">
        <v>227</v>
      </c>
      <c r="B679" s="79" t="s">
        <v>276</v>
      </c>
      <c r="C679" s="80" t="n">
        <v>2025</v>
      </c>
      <c r="D679" s="80" t="n">
        <v>2</v>
      </c>
      <c r="E679" s="81" t="n">
        <v>45838</v>
      </c>
      <c r="F679" s="79" t="s">
        <v>267</v>
      </c>
      <c r="G679" s="79" t="s">
        <v>268</v>
      </c>
      <c r="H679" s="79" t="s">
        <v>264</v>
      </c>
      <c r="I679" s="82" t="n">
        <v>17890.071</v>
      </c>
      <c r="J679" s="82" t="n">
        <v>5224.402</v>
      </c>
      <c r="K679" s="82" t="n">
        <v>744576000</v>
      </c>
      <c r="L679" s="83" t="n">
        <v>3.6</v>
      </c>
      <c r="M679" s="82" t="n">
        <v>206.5528</v>
      </c>
      <c r="N679" s="82" t="n">
        <v>0</v>
      </c>
      <c r="O679" s="82" t="n">
        <v>48521.837</v>
      </c>
      <c r="P679" s="83" t="n">
        <v>0</v>
      </c>
      <c r="Q679" s="83" t="n">
        <v>503</v>
      </c>
      <c r="R679" s="47" t="n">
        <v>5</v>
      </c>
      <c r="S679" s="66" t="s">
        <v>973</v>
      </c>
    </row>
    <row r="680" customFormat="false" ht="15" hidden="false" customHeight="false" outlineLevel="0" collapsed="false">
      <c r="A680" s="79" t="s">
        <v>227</v>
      </c>
      <c r="B680" s="79" t="s">
        <v>278</v>
      </c>
      <c r="C680" s="80" t="n">
        <v>2025</v>
      </c>
      <c r="D680" s="80" t="n">
        <v>1</v>
      </c>
      <c r="E680" s="81" t="n">
        <v>45747</v>
      </c>
      <c r="F680" s="79" t="s">
        <v>267</v>
      </c>
      <c r="G680" s="79" t="s">
        <v>268</v>
      </c>
      <c r="H680" s="79" t="s">
        <v>264</v>
      </c>
      <c r="I680" s="82" t="n">
        <v>13838.565</v>
      </c>
      <c r="J680" s="82" t="n">
        <v>4312.936</v>
      </c>
      <c r="K680" s="82" t="n">
        <v>1140568000</v>
      </c>
      <c r="L680" s="83" t="n">
        <v>5.53</v>
      </c>
      <c r="M680" s="82" t="n">
        <v>205.8178</v>
      </c>
      <c r="N680" s="82" t="n">
        <v>0</v>
      </c>
      <c r="O680" s="82" t="n">
        <v>48217.191</v>
      </c>
      <c r="P680" s="83" t="n">
        <v>13.12356282</v>
      </c>
      <c r="Q680" s="83" t="n">
        <v>526</v>
      </c>
      <c r="R680" s="47" t="n">
        <v>6</v>
      </c>
      <c r="S680" s="66" t="s">
        <v>974</v>
      </c>
    </row>
    <row r="681" customFormat="false" ht="15" hidden="false" customHeight="false" outlineLevel="0" collapsed="false">
      <c r="A681" s="79" t="s">
        <v>227</v>
      </c>
      <c r="B681" s="79" t="s">
        <v>280</v>
      </c>
      <c r="C681" s="80" t="n">
        <v>2024</v>
      </c>
      <c r="D681" s="80" t="n">
        <v>4</v>
      </c>
      <c r="E681" s="81" t="n">
        <v>45657</v>
      </c>
      <c r="F681" s="79" t="s">
        <v>267</v>
      </c>
      <c r="G681" s="79" t="s">
        <v>268</v>
      </c>
      <c r="H681" s="79" t="s">
        <v>264</v>
      </c>
      <c r="I681" s="82" t="n">
        <v>12572.309</v>
      </c>
      <c r="J681" s="82" t="n">
        <v>3813.642</v>
      </c>
      <c r="K681" s="82" t="n">
        <v>2391195000</v>
      </c>
      <c r="L681" s="83" t="n">
        <v>11.64</v>
      </c>
      <c r="M681" s="82" t="n">
        <v>205.3341</v>
      </c>
      <c r="N681" s="82" t="n">
        <v>0</v>
      </c>
      <c r="O681" s="82" t="n">
        <v>49056.697</v>
      </c>
      <c r="P681" s="83" t="n">
        <v>0</v>
      </c>
      <c r="Q681" s="83" t="n">
        <v>534</v>
      </c>
      <c r="R681" s="47" t="n">
        <v>7</v>
      </c>
      <c r="S681" s="66" t="s">
        <v>975</v>
      </c>
    </row>
    <row r="682" customFormat="false" ht="15" hidden="false" customHeight="false" outlineLevel="0" collapsed="false">
      <c r="A682" s="79" t="s">
        <v>227</v>
      </c>
      <c r="B682" s="79" t="s">
        <v>282</v>
      </c>
      <c r="C682" s="80" t="n">
        <v>2024</v>
      </c>
      <c r="D682" s="80" t="n">
        <v>3</v>
      </c>
      <c r="E682" s="81" t="n">
        <v>45565</v>
      </c>
      <c r="F682" s="79" t="s">
        <v>267</v>
      </c>
      <c r="G682" s="79" t="s">
        <v>268</v>
      </c>
      <c r="H682" s="79" t="s">
        <v>264</v>
      </c>
      <c r="I682" s="82" t="n">
        <v>13942.559</v>
      </c>
      <c r="J682" s="82" t="n">
        <v>4082.04</v>
      </c>
      <c r="K682" s="82" t="n">
        <v>691424000</v>
      </c>
      <c r="L682" s="83" t="n">
        <v>3.37</v>
      </c>
      <c r="M682" s="82" t="n">
        <v>204.7811</v>
      </c>
      <c r="N682" s="82" t="n">
        <v>0</v>
      </c>
      <c r="O682" s="82" t="n">
        <v>47315.527</v>
      </c>
      <c r="P682" s="83" t="n">
        <v>8.65930424</v>
      </c>
      <c r="Q682" s="83" t="n">
        <v>494</v>
      </c>
      <c r="R682" s="47" t="n">
        <v>8</v>
      </c>
      <c r="S682" s="66" t="s">
        <v>976</v>
      </c>
    </row>
    <row r="683" customFormat="false" ht="15" hidden="false" customHeight="false" outlineLevel="0" collapsed="false">
      <c r="A683" s="79" t="s">
        <v>227</v>
      </c>
      <c r="B683" s="79" t="s">
        <v>284</v>
      </c>
      <c r="C683" s="80" t="n">
        <v>2024</v>
      </c>
      <c r="D683" s="80" t="n">
        <v>2</v>
      </c>
      <c r="E683" s="81" t="n">
        <v>45473</v>
      </c>
      <c r="F683" s="79" t="s">
        <v>267</v>
      </c>
      <c r="G683" s="79" t="s">
        <v>268</v>
      </c>
      <c r="H683" s="79" t="s">
        <v>264</v>
      </c>
      <c r="I683" s="82" t="n">
        <v>15894.768</v>
      </c>
      <c r="J683" s="82" t="n">
        <v>5604.201</v>
      </c>
      <c r="K683" s="82" t="n">
        <v>2450969000</v>
      </c>
      <c r="L683" s="83" t="n">
        <v>11.97</v>
      </c>
      <c r="M683" s="82" t="n">
        <v>204.7798</v>
      </c>
      <c r="N683" s="82" t="n">
        <v>0</v>
      </c>
      <c r="O683" s="82" t="n">
        <v>49094.506</v>
      </c>
      <c r="P683" s="83" t="n">
        <v>0</v>
      </c>
      <c r="Q683" s="83" t="n">
        <v>617</v>
      </c>
      <c r="R683" s="47" t="n">
        <v>9</v>
      </c>
      <c r="S683" s="66" t="s">
        <v>977</v>
      </c>
    </row>
    <row r="684" customFormat="false" ht="15" hidden="false" customHeight="false" outlineLevel="0" collapsed="false">
      <c r="A684" s="79" t="s">
        <v>227</v>
      </c>
      <c r="B684" s="79" t="s">
        <v>286</v>
      </c>
      <c r="C684" s="80" t="n">
        <v>2024</v>
      </c>
      <c r="D684" s="80" t="n">
        <v>1</v>
      </c>
      <c r="E684" s="81" t="n">
        <v>45382</v>
      </c>
      <c r="F684" s="79" t="s">
        <v>267</v>
      </c>
      <c r="G684" s="79" t="s">
        <v>268</v>
      </c>
      <c r="H684" s="79" t="s">
        <v>264</v>
      </c>
      <c r="I684" s="82" t="n">
        <v>16525.877</v>
      </c>
      <c r="J684" s="82" t="n">
        <v>5607.875</v>
      </c>
      <c r="K684" s="82" t="n">
        <v>2419618000</v>
      </c>
      <c r="L684" s="83" t="n">
        <v>12.02</v>
      </c>
      <c r="M684" s="82" t="n">
        <v>204.769</v>
      </c>
      <c r="N684" s="82" t="n">
        <v>0</v>
      </c>
      <c r="O684" s="82" t="n">
        <v>46537.677</v>
      </c>
      <c r="P684" s="83" t="n">
        <v>0</v>
      </c>
      <c r="Q684" s="83" t="n">
        <v>708</v>
      </c>
      <c r="R684" s="47" t="n">
        <v>10</v>
      </c>
      <c r="S684" s="66" t="s">
        <v>978</v>
      </c>
    </row>
    <row r="685" customFormat="false" ht="15" hidden="false" customHeight="false" outlineLevel="0" collapsed="false">
      <c r="A685" s="79" t="s">
        <v>227</v>
      </c>
      <c r="B685" s="79" t="s">
        <v>288</v>
      </c>
      <c r="C685" s="80" t="n">
        <v>2023</v>
      </c>
      <c r="D685" s="80" t="n">
        <v>4</v>
      </c>
      <c r="E685" s="81" t="n">
        <v>45291</v>
      </c>
      <c r="F685" s="79" t="s">
        <v>267</v>
      </c>
      <c r="G685" s="79" t="s">
        <v>268</v>
      </c>
      <c r="H685" s="79" t="s">
        <v>264</v>
      </c>
      <c r="I685" s="82" t="n">
        <v>15748</v>
      </c>
      <c r="J685" s="82" t="n">
        <v>5689.141</v>
      </c>
      <c r="K685" s="82" t="n">
        <v>2083624000</v>
      </c>
      <c r="L685" s="83" t="n">
        <v>10.57</v>
      </c>
      <c r="M685" s="82" t="n">
        <v>204.469</v>
      </c>
      <c r="N685" s="82" t="n">
        <v>4184500</v>
      </c>
      <c r="O685" s="82" t="n">
        <v>42788.153</v>
      </c>
      <c r="P685" s="83" t="n">
        <v>4.42484464</v>
      </c>
      <c r="Q685" s="83" t="n">
        <v>520</v>
      </c>
      <c r="R685" s="47" t="n">
        <v>11</v>
      </c>
      <c r="S685" s="66" t="s">
        <v>979</v>
      </c>
    </row>
    <row r="686" customFormat="false" ht="15" hidden="false" customHeight="false" outlineLevel="0" collapsed="false">
      <c r="A686" s="79" t="s">
        <v>227</v>
      </c>
      <c r="B686" s="79" t="s">
        <v>290</v>
      </c>
      <c r="C686" s="80" t="n">
        <v>2023</v>
      </c>
      <c r="D686" s="80" t="n">
        <v>3</v>
      </c>
      <c r="E686" s="81" t="n">
        <v>45199</v>
      </c>
      <c r="F686" s="79" t="s">
        <v>267</v>
      </c>
      <c r="G686" s="79" t="s">
        <v>268</v>
      </c>
      <c r="H686" s="79" t="s">
        <v>264</v>
      </c>
      <c r="I686" s="82" t="n">
        <v>12388.565</v>
      </c>
      <c r="J686" s="82" t="n">
        <v>4014.364</v>
      </c>
      <c r="K686" s="82" t="n">
        <v>858013000</v>
      </c>
      <c r="L686" s="83" t="n">
        <v>4.32</v>
      </c>
      <c r="M686" s="82" t="n">
        <v>201.4185</v>
      </c>
      <c r="N686" s="82" t="n">
        <v>4184500</v>
      </c>
      <c r="O686" s="82" t="n">
        <v>40761.054</v>
      </c>
      <c r="P686" s="83" t="n">
        <v>4.45090808</v>
      </c>
      <c r="Q686" s="83" t="n">
        <v>456</v>
      </c>
      <c r="R686" s="47" t="n">
        <v>12</v>
      </c>
      <c r="S686" s="66" t="s">
        <v>980</v>
      </c>
    </row>
    <row r="687" customFormat="false" ht="15" hidden="false" customHeight="false" outlineLevel="0" collapsed="false">
      <c r="A687" s="79" t="s">
        <v>227</v>
      </c>
      <c r="B687" s="79" t="s">
        <v>292</v>
      </c>
      <c r="C687" s="80" t="n">
        <v>2023</v>
      </c>
      <c r="D687" s="80" t="n">
        <v>2</v>
      </c>
      <c r="E687" s="81" t="n">
        <v>45107</v>
      </c>
      <c r="F687" s="79" t="s">
        <v>267</v>
      </c>
      <c r="G687" s="79" t="s">
        <v>268</v>
      </c>
      <c r="H687" s="79" t="s">
        <v>264</v>
      </c>
      <c r="I687" s="82" t="n">
        <v>10006.644</v>
      </c>
      <c r="J687" s="82" t="n">
        <v>3247.823</v>
      </c>
      <c r="K687" s="82" t="n">
        <v>440688000</v>
      </c>
      <c r="L687" s="83" t="n">
        <v>2.28</v>
      </c>
      <c r="M687" s="82" t="n">
        <v>199.6095</v>
      </c>
      <c r="N687" s="82" t="n">
        <v>6860000</v>
      </c>
      <c r="O687" s="82" t="n">
        <v>38588.071</v>
      </c>
      <c r="P687" s="83" t="n">
        <v>0</v>
      </c>
      <c r="Q687" s="83" t="n">
        <v>411.5</v>
      </c>
      <c r="R687" s="47" t="n">
        <v>13</v>
      </c>
      <c r="S687" s="66" t="s">
        <v>981</v>
      </c>
    </row>
    <row r="688" customFormat="false" ht="15" hidden="false" customHeight="false" outlineLevel="0" collapsed="false">
      <c r="A688" s="79" t="s">
        <v>227</v>
      </c>
      <c r="B688" s="79" t="s">
        <v>294</v>
      </c>
      <c r="C688" s="80" t="n">
        <v>2023</v>
      </c>
      <c r="D688" s="80" t="n">
        <v>1</v>
      </c>
      <c r="E688" s="81" t="n">
        <v>45016</v>
      </c>
      <c r="F688" s="79" t="s">
        <v>267</v>
      </c>
      <c r="G688" s="79" t="s">
        <v>268</v>
      </c>
      <c r="H688" s="79" t="s">
        <v>264</v>
      </c>
      <c r="I688" s="82" t="n">
        <v>10078.421</v>
      </c>
      <c r="J688" s="82" t="n">
        <v>3213.11</v>
      </c>
      <c r="K688" s="82" t="n">
        <v>242103000</v>
      </c>
      <c r="L688" s="83" t="n">
        <v>1.26</v>
      </c>
      <c r="M688" s="82" t="n">
        <v>198.6585</v>
      </c>
      <c r="N688" s="82" t="n">
        <v>6860000</v>
      </c>
      <c r="O688" s="82" t="n">
        <v>37401.417</v>
      </c>
      <c r="P688" s="83" t="n">
        <v>0</v>
      </c>
      <c r="Q688" s="83" t="n">
        <v>392</v>
      </c>
      <c r="R688" s="47" t="n">
        <v>14</v>
      </c>
      <c r="S688" s="66" t="s">
        <v>982</v>
      </c>
    </row>
    <row r="689" customFormat="false" ht="15" hidden="false" customHeight="false" outlineLevel="0" collapsed="false">
      <c r="A689" s="79" t="s">
        <v>227</v>
      </c>
      <c r="B689" s="79" t="s">
        <v>296</v>
      </c>
      <c r="C689" s="80" t="n">
        <v>2022</v>
      </c>
      <c r="D689" s="80" t="n">
        <v>4</v>
      </c>
      <c r="E689" s="81" t="n">
        <v>44926</v>
      </c>
      <c r="F689" s="79" t="s">
        <v>267</v>
      </c>
      <c r="G689" s="79" t="s">
        <v>268</v>
      </c>
      <c r="H689" s="79" t="s">
        <v>264</v>
      </c>
      <c r="I689" s="82" t="n">
        <v>12290.26</v>
      </c>
      <c r="J689" s="82" t="n">
        <v>3419.397</v>
      </c>
      <c r="K689" s="82" t="n">
        <v>217217000</v>
      </c>
      <c r="L689" s="83" t="n">
        <v>1.29</v>
      </c>
      <c r="M689" s="82" t="n">
        <v>197.074</v>
      </c>
      <c r="N689" s="82" t="n">
        <v>6860000</v>
      </c>
      <c r="O689" s="82" t="n">
        <v>37631.822</v>
      </c>
      <c r="P689" s="83" t="n">
        <v>10.27746561</v>
      </c>
      <c r="Q689" s="83" t="n">
        <v>315</v>
      </c>
      <c r="R689" s="47" t="n">
        <v>15</v>
      </c>
      <c r="S689" s="66" t="s">
        <v>983</v>
      </c>
    </row>
    <row r="690" customFormat="false" ht="15" hidden="false" customHeight="false" outlineLevel="0" collapsed="false">
      <c r="A690" s="79" t="s">
        <v>227</v>
      </c>
      <c r="B690" s="79" t="s">
        <v>298</v>
      </c>
      <c r="C690" s="80" t="n">
        <v>2022</v>
      </c>
      <c r="D690" s="80" t="n">
        <v>3</v>
      </c>
      <c r="E690" s="81" t="n">
        <v>44834</v>
      </c>
      <c r="F690" s="79" t="s">
        <v>267</v>
      </c>
      <c r="G690" s="79" t="s">
        <v>268</v>
      </c>
      <c r="H690" s="79" t="s">
        <v>264</v>
      </c>
      <c r="I690" s="82" t="n">
        <v>14574.608</v>
      </c>
      <c r="J690" s="82" t="n">
        <v>3532.661</v>
      </c>
      <c r="K690" s="82" t="n">
        <v>1192014000</v>
      </c>
      <c r="L690" s="83" t="n">
        <v>6.13</v>
      </c>
      <c r="M690" s="82" t="n">
        <v>197.074</v>
      </c>
      <c r="N690" s="82" t="n">
        <v>6860000</v>
      </c>
      <c r="O690" s="82" t="n">
        <v>36678.52</v>
      </c>
      <c r="P690" s="83" t="n">
        <v>0</v>
      </c>
      <c r="Q690" s="83" t="n">
        <v>265.5</v>
      </c>
      <c r="R690" s="47" t="n">
        <v>16</v>
      </c>
      <c r="S690" s="66" t="s">
        <v>984</v>
      </c>
    </row>
    <row r="691" customFormat="false" ht="15" hidden="false" customHeight="false" outlineLevel="0" collapsed="false">
      <c r="A691" s="79" t="s">
        <v>227</v>
      </c>
      <c r="B691" s="79" t="s">
        <v>300</v>
      </c>
      <c r="C691" s="80" t="n">
        <v>2022</v>
      </c>
      <c r="D691" s="80" t="n">
        <v>2</v>
      </c>
      <c r="E691" s="81" t="n">
        <v>44742</v>
      </c>
      <c r="F691" s="79" t="s">
        <v>267</v>
      </c>
      <c r="G691" s="79" t="s">
        <v>268</v>
      </c>
      <c r="H691" s="79" t="s">
        <v>264</v>
      </c>
      <c r="I691" s="82" t="n">
        <v>16285.415</v>
      </c>
      <c r="J691" s="82" t="n">
        <v>4991.058</v>
      </c>
      <c r="K691" s="82" t="n">
        <v>1806854000</v>
      </c>
      <c r="L691" s="83" t="n">
        <v>9.17</v>
      </c>
      <c r="M691" s="82" t="n">
        <v>197.074</v>
      </c>
      <c r="N691" s="82" t="n">
        <v>0</v>
      </c>
      <c r="O691" s="82" t="n">
        <v>38987.722</v>
      </c>
      <c r="P691" s="83" t="n">
        <v>13</v>
      </c>
      <c r="Q691" s="83" t="n">
        <v>271</v>
      </c>
      <c r="R691" s="47" t="n">
        <v>17</v>
      </c>
      <c r="S691" s="66" t="s">
        <v>985</v>
      </c>
    </row>
    <row r="692" customFormat="false" ht="15" hidden="false" customHeight="false" outlineLevel="0" collapsed="false">
      <c r="A692" s="79" t="s">
        <v>227</v>
      </c>
      <c r="B692" s="79" t="s">
        <v>302</v>
      </c>
      <c r="C692" s="80" t="n">
        <v>2022</v>
      </c>
      <c r="D692" s="80" t="n">
        <v>1</v>
      </c>
      <c r="E692" s="81" t="n">
        <v>44651</v>
      </c>
      <c r="F692" s="79" t="s">
        <v>267</v>
      </c>
      <c r="G692" s="79" t="s">
        <v>268</v>
      </c>
      <c r="H692" s="79" t="s">
        <v>264</v>
      </c>
      <c r="I692" s="82" t="n">
        <v>17105.859</v>
      </c>
      <c r="J692" s="82" t="n">
        <v>5389.499</v>
      </c>
      <c r="K692" s="82" t="n">
        <v>2185061000</v>
      </c>
      <c r="L692" s="83" t="n">
        <v>11.09</v>
      </c>
      <c r="M692" s="82" t="n">
        <v>197.074</v>
      </c>
      <c r="N692" s="82" t="n">
        <v>0</v>
      </c>
      <c r="O692" s="82" t="n">
        <v>37302.065</v>
      </c>
      <c r="P692" s="83" t="n">
        <v>0</v>
      </c>
      <c r="Q692" s="83" t="n">
        <v>475.5</v>
      </c>
      <c r="R692" s="47" t="n">
        <v>18</v>
      </c>
      <c r="S692" s="66" t="s">
        <v>986</v>
      </c>
    </row>
    <row r="693" customFormat="false" ht="15" hidden="false" customHeight="false" outlineLevel="0" collapsed="false">
      <c r="A693" s="79" t="s">
        <v>227</v>
      </c>
      <c r="B693" s="79" t="s">
        <v>304</v>
      </c>
      <c r="C693" s="80" t="n">
        <v>2021</v>
      </c>
      <c r="D693" s="80" t="n">
        <v>4</v>
      </c>
      <c r="E693" s="81" t="n">
        <v>44561</v>
      </c>
      <c r="F693" s="79" t="s">
        <v>267</v>
      </c>
      <c r="G693" s="79" t="s">
        <v>268</v>
      </c>
      <c r="H693" s="79" t="s">
        <v>264</v>
      </c>
      <c r="I693" s="82" t="n">
        <v>16832.72</v>
      </c>
      <c r="J693" s="82" t="n">
        <v>4763.261</v>
      </c>
      <c r="K693" s="82" t="n">
        <v>1811747000</v>
      </c>
      <c r="L693" s="83" t="n">
        <v>9.19</v>
      </c>
      <c r="M693" s="82" t="n">
        <v>197.074</v>
      </c>
      <c r="N693" s="82" t="n">
        <v>0</v>
      </c>
      <c r="O693" s="82" t="n">
        <v>37308.434</v>
      </c>
      <c r="P693" s="83" t="n">
        <v>10</v>
      </c>
      <c r="Q693" s="83" t="n">
        <v>512</v>
      </c>
      <c r="R693" s="47" t="n">
        <v>19</v>
      </c>
      <c r="S693" s="66" t="s">
        <v>987</v>
      </c>
    </row>
    <row r="694" customFormat="false" ht="15" hidden="false" customHeight="false" outlineLevel="0" collapsed="false">
      <c r="A694" s="79" t="s">
        <v>227</v>
      </c>
      <c r="B694" s="79" t="s">
        <v>306</v>
      </c>
      <c r="C694" s="80" t="n">
        <v>2021</v>
      </c>
      <c r="D694" s="80" t="n">
        <v>3</v>
      </c>
      <c r="E694" s="81" t="n">
        <v>44469</v>
      </c>
      <c r="F694" s="79" t="s">
        <v>267</v>
      </c>
      <c r="G694" s="79" t="s">
        <v>268</v>
      </c>
      <c r="H694" s="79" t="s">
        <v>264</v>
      </c>
      <c r="I694" s="82" t="n">
        <v>16926.546</v>
      </c>
      <c r="J694" s="82" t="n">
        <v>5375.6</v>
      </c>
      <c r="K694" s="82" t="n">
        <v>2383847000</v>
      </c>
      <c r="L694" s="83" t="n">
        <v>12.1</v>
      </c>
      <c r="M694" s="82" t="n">
        <v>197.074</v>
      </c>
      <c r="N694" s="82" t="n">
        <v>0</v>
      </c>
      <c r="O694" s="82" t="n">
        <v>34981.988</v>
      </c>
      <c r="P694" s="83" t="n">
        <v>23</v>
      </c>
      <c r="Q694" s="83" t="n">
        <v>377</v>
      </c>
      <c r="R694" s="47" t="n">
        <v>20</v>
      </c>
      <c r="S694" s="66" t="s">
        <v>988</v>
      </c>
    </row>
    <row r="695" customFormat="false" ht="15" hidden="false" customHeight="false" outlineLevel="0" collapsed="false">
      <c r="A695" s="79" t="s">
        <v>227</v>
      </c>
      <c r="B695" s="79" t="s">
        <v>308</v>
      </c>
      <c r="C695" s="80" t="n">
        <v>2021</v>
      </c>
      <c r="D695" s="80" t="n">
        <v>2</v>
      </c>
      <c r="E695" s="81" t="n">
        <v>44377</v>
      </c>
      <c r="F695" s="79" t="s">
        <v>267</v>
      </c>
      <c r="G695" s="79" t="s">
        <v>268</v>
      </c>
      <c r="H695" s="79" t="s">
        <v>264</v>
      </c>
      <c r="I695" s="82" t="n">
        <v>15909.976</v>
      </c>
      <c r="J695" s="82" t="n">
        <v>5186.681</v>
      </c>
      <c r="K695" s="82" t="n">
        <v>2264081000</v>
      </c>
      <c r="L695" s="83" t="n">
        <v>11.49</v>
      </c>
      <c r="M695" s="82" t="n">
        <v>197.074</v>
      </c>
      <c r="N695" s="82" t="n">
        <v>0</v>
      </c>
      <c r="O695" s="82" t="n">
        <v>34304.007</v>
      </c>
      <c r="P695" s="83" t="n">
        <v>0</v>
      </c>
      <c r="Q695" s="83" t="n">
        <v>480</v>
      </c>
      <c r="R695" s="47" t="n">
        <v>21</v>
      </c>
      <c r="S695" s="66" t="s">
        <v>989</v>
      </c>
    </row>
    <row r="696" customFormat="false" ht="15" hidden="false" customHeight="false" outlineLevel="0" collapsed="false">
      <c r="A696" s="79" t="s">
        <v>227</v>
      </c>
      <c r="B696" s="79" t="s">
        <v>310</v>
      </c>
      <c r="C696" s="80" t="n">
        <v>2021</v>
      </c>
      <c r="D696" s="80" t="n">
        <v>1</v>
      </c>
      <c r="E696" s="81" t="n">
        <v>44286</v>
      </c>
      <c r="F696" s="79" t="s">
        <v>267</v>
      </c>
      <c r="G696" s="79" t="s">
        <v>268</v>
      </c>
      <c r="H696" s="79" t="s">
        <v>264</v>
      </c>
      <c r="I696" s="82" t="n">
        <v>12887.95</v>
      </c>
      <c r="J696" s="82" t="n">
        <v>3828.838</v>
      </c>
      <c r="K696" s="82" t="n">
        <v>1687540000</v>
      </c>
      <c r="L696" s="83" t="n">
        <v>8.56</v>
      </c>
      <c r="M696" s="82" t="n">
        <v>197.074</v>
      </c>
      <c r="N696" s="82" t="n">
        <v>0</v>
      </c>
      <c r="O696" s="82" t="n">
        <v>36554.821</v>
      </c>
      <c r="P696" s="83" t="n">
        <v>0</v>
      </c>
      <c r="Q696" s="83" t="n">
        <v>488.5</v>
      </c>
      <c r="R696" s="47" t="n">
        <v>22</v>
      </c>
      <c r="S696" s="66" t="s">
        <v>990</v>
      </c>
    </row>
    <row r="697" customFormat="false" ht="15" hidden="false" customHeight="false" outlineLevel="0" collapsed="false">
      <c r="A697" s="79" t="s">
        <v>227</v>
      </c>
      <c r="B697" s="79" t="s">
        <v>312</v>
      </c>
      <c r="C697" s="80" t="n">
        <v>2020</v>
      </c>
      <c r="D697" s="80" t="n">
        <v>4</v>
      </c>
      <c r="E697" s="81" t="n">
        <v>44196</v>
      </c>
      <c r="F697" s="79" t="s">
        <v>267</v>
      </c>
      <c r="G697" s="79" t="s">
        <v>268</v>
      </c>
      <c r="H697" s="79" t="s">
        <v>264</v>
      </c>
      <c r="I697" s="82" t="n">
        <v>12840.973</v>
      </c>
      <c r="J697" s="82" t="n">
        <v>2959.936</v>
      </c>
      <c r="K697" s="82" t="n">
        <v>3783938000</v>
      </c>
      <c r="L697" s="83" t="n">
        <v>19.2</v>
      </c>
      <c r="M697" s="82" t="n">
        <v>197.074</v>
      </c>
      <c r="N697" s="82" t="n">
        <v>0</v>
      </c>
      <c r="O697" s="82" t="n">
        <v>35155.467</v>
      </c>
      <c r="P697" s="83" t="n">
        <v>0</v>
      </c>
      <c r="Q697" s="83" t="n">
        <v>332.5</v>
      </c>
      <c r="R697" s="47" t="n">
        <v>23</v>
      </c>
      <c r="S697" s="66" t="s">
        <v>991</v>
      </c>
    </row>
    <row r="698" customFormat="false" ht="15" hidden="false" customHeight="false" outlineLevel="0" collapsed="false">
      <c r="A698" s="79" t="s">
        <v>227</v>
      </c>
      <c r="B698" s="79" t="s">
        <v>314</v>
      </c>
      <c r="C698" s="80" t="n">
        <v>2020</v>
      </c>
      <c r="D698" s="80" t="n">
        <v>3</v>
      </c>
      <c r="E698" s="81" t="n">
        <v>44104</v>
      </c>
      <c r="F698" s="79" t="s">
        <v>267</v>
      </c>
      <c r="G698" s="79" t="s">
        <v>268</v>
      </c>
      <c r="H698" s="79" t="s">
        <v>264</v>
      </c>
      <c r="I698" s="82" t="n">
        <v>11933.997</v>
      </c>
      <c r="J698" s="82" t="n">
        <v>2697.699</v>
      </c>
      <c r="K698" s="82" t="n">
        <v>1833764000</v>
      </c>
      <c r="L698" s="83" t="n">
        <v>9.3</v>
      </c>
      <c r="M698" s="82" t="n">
        <v>197.074</v>
      </c>
      <c r="N698" s="82" t="n">
        <v>0</v>
      </c>
      <c r="O698" s="82" t="n">
        <v>31396.792</v>
      </c>
      <c r="P698" s="83"/>
      <c r="Q698" s="83" t="n">
        <v>264.5</v>
      </c>
      <c r="R698" s="47" t="n">
        <v>24</v>
      </c>
      <c r="S698" s="66" t="s">
        <v>992</v>
      </c>
    </row>
    <row r="700" customFormat="false" ht="15" hidden="false" customHeight="false" outlineLevel="0" collapsed="false">
      <c r="A700" s="84" t="s">
        <v>993</v>
      </c>
    </row>
    <row r="701" customFormat="false" ht="15" hidden="false" customHeight="false" outlineLevel="0" collapsed="false">
      <c r="A701" s="41" t="s">
        <v>994</v>
      </c>
    </row>
    <row r="702" customFormat="false" ht="15" hidden="false" customHeight="false" outlineLevel="0" collapsed="false">
      <c r="A702" s="85" t="s">
        <v>995</v>
      </c>
      <c r="C702" s="24" t="s">
        <v>996</v>
      </c>
    </row>
    <row r="703" customFormat="false" ht="15" hidden="false" customHeight="false" outlineLevel="0" collapsed="false">
      <c r="A703" s="85" t="s">
        <v>997</v>
      </c>
      <c r="C703" s="24" t="s">
        <v>996</v>
      </c>
    </row>
    <row r="704" customFormat="false" ht="15" hidden="false" customHeight="false" outlineLevel="0" collapsed="false">
      <c r="A704" s="85" t="s">
        <v>998</v>
      </c>
      <c r="C704" s="24" t="s">
        <v>996</v>
      </c>
    </row>
    <row r="705" customFormat="false" ht="15" hidden="false" customHeight="false" outlineLevel="0" collapsed="false">
      <c r="A705" s="85" t="s">
        <v>999</v>
      </c>
      <c r="C705" s="24" t="s">
        <v>996</v>
      </c>
    </row>
    <row r="706" customFormat="false" ht="15" hidden="false" customHeight="false" outlineLevel="0" collapsed="false">
      <c r="A706" s="85" t="s">
        <v>1000</v>
      </c>
      <c r="C706" s="24" t="s">
        <v>996</v>
      </c>
    </row>
    <row r="707" customFormat="false" ht="15" hidden="false" customHeight="false" outlineLevel="0" collapsed="false">
      <c r="A707" s="85" t="s">
        <v>1001</v>
      </c>
      <c r="C707" s="24" t="s">
        <v>1002</v>
      </c>
    </row>
    <row r="708" customFormat="false" ht="15" hidden="false" customHeight="false" outlineLevel="0" collapsed="false">
      <c r="A708" s="85" t="s">
        <v>1003</v>
      </c>
      <c r="C708" s="24" t="s">
        <v>1002</v>
      </c>
    </row>
    <row r="709" customFormat="false" ht="15" hidden="false" customHeight="false" outlineLevel="0" collapsed="false">
      <c r="A709" s="85" t="s">
        <v>1004</v>
      </c>
      <c r="C709" s="25" t="s">
        <v>1005</v>
      </c>
    </row>
    <row r="710" customFormat="false" ht="15" hidden="false" customHeight="false" outlineLevel="0" collapsed="false">
      <c r="A710" s="85" t="s">
        <v>1006</v>
      </c>
      <c r="C710" s="24" t="s">
        <v>1007</v>
      </c>
    </row>
    <row r="711" customFormat="false" ht="15" hidden="false" customHeight="false" outlineLevel="0" collapsed="false">
      <c r="A711" s="85" t="s">
        <v>1008</v>
      </c>
      <c r="C711" s="24" t="s">
        <v>1009</v>
      </c>
    </row>
    <row r="712" customFormat="false" ht="15" hidden="false" customHeight="false" outlineLevel="0" collapsed="false">
      <c r="A712" s="85" t="s">
        <v>1010</v>
      </c>
      <c r="C712" s="25" t="s">
        <v>1011</v>
      </c>
    </row>
    <row r="713" customFormat="false" ht="15" hidden="false" customHeight="false" outlineLevel="0" collapsed="false">
      <c r="A713" s="85" t="s">
        <v>1012</v>
      </c>
      <c r="C713" s="25" t="s">
        <v>1013</v>
      </c>
    </row>
    <row r="714" customFormat="false" ht="15" hidden="false" customHeight="false" outlineLevel="0" collapsed="false">
      <c r="A714" s="85" t="s">
        <v>1014</v>
      </c>
      <c r="C714" s="24" t="s">
        <v>1015</v>
      </c>
    </row>
    <row r="715" customFormat="false" ht="15" hidden="false" customHeight="false" outlineLevel="0" collapsed="false">
      <c r="A715" s="85" t="s">
        <v>1016</v>
      </c>
      <c r="C715" s="24" t="s">
        <v>1017</v>
      </c>
    </row>
    <row r="716" customFormat="false" ht="15" hidden="false" customHeight="false" outlineLevel="0" collapsed="false">
      <c r="A716" s="85" t="s">
        <v>1018</v>
      </c>
      <c r="C716" s="25" t="s">
        <v>1019</v>
      </c>
    </row>
    <row r="717" customFormat="false" ht="15" hidden="false" customHeight="false" outlineLevel="0" collapsed="false">
      <c r="A717" s="85" t="s">
        <v>1020</v>
      </c>
      <c r="C717" s="24" t="s">
        <v>51</v>
      </c>
    </row>
    <row r="718" customFormat="false" ht="15" hidden="false" customHeight="false" outlineLevel="0" collapsed="false">
      <c r="A718" s="85" t="s">
        <v>1021</v>
      </c>
      <c r="C718" s="24" t="s">
        <v>1022</v>
      </c>
    </row>
    <row r="720" customFormat="false" ht="15" hidden="false" customHeight="false" outlineLevel="0" collapsed="false">
      <c r="A720" s="24" t="s">
        <v>1023</v>
      </c>
    </row>
  </sheetData>
  <autoFilter ref="A1:S69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1024</v>
      </c>
      <c r="C1" s="15" t="s">
        <v>1025</v>
      </c>
      <c r="D1" s="15" t="s">
        <v>1026</v>
      </c>
      <c r="E1" s="15" t="s">
        <v>1027</v>
      </c>
      <c r="F1" s="15" t="s">
        <v>1028</v>
      </c>
      <c r="G1" s="15" t="s">
        <v>1029</v>
      </c>
    </row>
    <row r="2" customFormat="false" ht="15" hidden="false" customHeight="false" outlineLevel="0" collapsed="false">
      <c r="A2" s="79" t="s">
        <v>207</v>
      </c>
      <c r="B2" s="79" t="s">
        <v>1030</v>
      </c>
      <c r="C2" s="80" t="n">
        <v>202609</v>
      </c>
      <c r="D2" s="81" t="n">
        <v>46266</v>
      </c>
      <c r="E2" s="82" t="n">
        <v>6466.169</v>
      </c>
      <c r="F2" s="80" t="n">
        <v>1</v>
      </c>
      <c r="G2" s="79" t="s">
        <v>269</v>
      </c>
    </row>
    <row r="3" customFormat="false" ht="15" hidden="false" customHeight="false" outlineLevel="0" collapsed="false">
      <c r="A3" s="79" t="s">
        <v>207</v>
      </c>
      <c r="B3" s="79" t="s">
        <v>1031</v>
      </c>
      <c r="C3" s="80" t="n">
        <v>202608</v>
      </c>
      <c r="D3" s="81" t="n">
        <v>46235</v>
      </c>
      <c r="E3" s="82" t="n">
        <v>6407.256</v>
      </c>
      <c r="F3" s="80" t="n">
        <v>2</v>
      </c>
      <c r="G3" s="79" t="s">
        <v>271</v>
      </c>
    </row>
    <row r="4" customFormat="false" ht="15" hidden="false" customHeight="false" outlineLevel="0" collapsed="false">
      <c r="A4" s="79" t="s">
        <v>207</v>
      </c>
      <c r="B4" s="79" t="s">
        <v>1032</v>
      </c>
      <c r="C4" s="80" t="n">
        <v>202607</v>
      </c>
      <c r="D4" s="81" t="n">
        <v>46204</v>
      </c>
      <c r="E4" s="82" t="n">
        <v>4442.581</v>
      </c>
      <c r="F4" s="80" t="n">
        <v>3</v>
      </c>
      <c r="G4" s="79" t="s">
        <v>273</v>
      </c>
    </row>
    <row r="5" customFormat="false" ht="15" hidden="false" customHeight="false" outlineLevel="0" collapsed="false">
      <c r="A5" s="79" t="s">
        <v>207</v>
      </c>
      <c r="B5" s="79" t="s">
        <v>1033</v>
      </c>
      <c r="C5" s="80" t="n">
        <v>202606</v>
      </c>
      <c r="D5" s="81" t="n">
        <v>46174</v>
      </c>
      <c r="E5" s="82" t="n">
        <v>3791.303</v>
      </c>
      <c r="F5" s="80" t="n">
        <v>4</v>
      </c>
      <c r="G5" s="79" t="s">
        <v>275</v>
      </c>
    </row>
    <row r="6" customFormat="false" ht="15" hidden="false" customHeight="false" outlineLevel="0" collapsed="false">
      <c r="A6" s="79" t="s">
        <v>207</v>
      </c>
      <c r="B6" s="79" t="s">
        <v>1034</v>
      </c>
      <c r="C6" s="80" t="n">
        <v>202605</v>
      </c>
      <c r="D6" s="81" t="n">
        <v>46143</v>
      </c>
      <c r="E6" s="82" t="n">
        <v>2595.892</v>
      </c>
      <c r="F6" s="80" t="n">
        <v>5</v>
      </c>
      <c r="G6" s="79" t="s">
        <v>277</v>
      </c>
    </row>
    <row r="7" customFormat="false" ht="15" hidden="false" customHeight="false" outlineLevel="0" collapsed="false">
      <c r="A7" s="79" t="s">
        <v>207</v>
      </c>
      <c r="B7" s="79" t="s">
        <v>1035</v>
      </c>
      <c r="C7" s="80" t="n">
        <v>202604</v>
      </c>
      <c r="D7" s="81" t="n">
        <v>46113</v>
      </c>
      <c r="E7" s="82" t="n">
        <v>1918.166</v>
      </c>
      <c r="F7" s="80" t="n">
        <v>6</v>
      </c>
      <c r="G7" s="79" t="s">
        <v>279</v>
      </c>
    </row>
    <row r="8" customFormat="false" ht="15" hidden="false" customHeight="false" outlineLevel="0" collapsed="false">
      <c r="A8" s="79" t="s">
        <v>207</v>
      </c>
      <c r="B8" s="79" t="s">
        <v>1036</v>
      </c>
      <c r="C8" s="80" t="n">
        <v>202603</v>
      </c>
      <c r="D8" s="81" t="n">
        <v>46082</v>
      </c>
      <c r="E8" s="82" t="n">
        <v>1756.868</v>
      </c>
      <c r="F8" s="80" t="n">
        <v>7</v>
      </c>
      <c r="G8" s="79" t="s">
        <v>281</v>
      </c>
    </row>
    <row r="9" customFormat="false" ht="15" hidden="false" customHeight="false" outlineLevel="0" collapsed="false">
      <c r="A9" s="79" t="s">
        <v>207</v>
      </c>
      <c r="B9" s="79" t="s">
        <v>1037</v>
      </c>
      <c r="C9" s="80" t="n">
        <v>202602</v>
      </c>
      <c r="D9" s="81" t="n">
        <v>46054</v>
      </c>
      <c r="E9" s="82" t="n">
        <v>1774.956</v>
      </c>
      <c r="F9" s="80" t="n">
        <v>8</v>
      </c>
      <c r="G9" s="79" t="s">
        <v>283</v>
      </c>
    </row>
    <row r="10" customFormat="false" ht="15" hidden="false" customHeight="false" outlineLevel="0" collapsed="false">
      <c r="A10" s="79" t="s">
        <v>207</v>
      </c>
      <c r="B10" s="79" t="s">
        <v>1038</v>
      </c>
      <c r="C10" s="80" t="n">
        <v>202601</v>
      </c>
      <c r="D10" s="81" t="n">
        <v>46023</v>
      </c>
      <c r="E10" s="82" t="n">
        <v>1722.455</v>
      </c>
      <c r="F10" s="80" t="n">
        <v>9</v>
      </c>
      <c r="G10" s="79" t="s">
        <v>285</v>
      </c>
    </row>
    <row r="11" customFormat="false" ht="15" hidden="false" customHeight="false" outlineLevel="0" collapsed="false">
      <c r="A11" s="79" t="s">
        <v>207</v>
      </c>
      <c r="B11" s="79" t="s">
        <v>1039</v>
      </c>
      <c r="C11" s="80" t="n">
        <v>202512</v>
      </c>
      <c r="D11" s="81" t="n">
        <v>45992</v>
      </c>
      <c r="E11" s="82" t="n">
        <v>1659.348</v>
      </c>
      <c r="F11" s="80" t="n">
        <v>10</v>
      </c>
      <c r="G11" s="79" t="s">
        <v>287</v>
      </c>
    </row>
    <row r="12" customFormat="false" ht="15" hidden="false" customHeight="false" outlineLevel="0" collapsed="false">
      <c r="A12" s="79" t="s">
        <v>207</v>
      </c>
      <c r="B12" s="79" t="s">
        <v>1040</v>
      </c>
      <c r="C12" s="80" t="n">
        <v>202511</v>
      </c>
      <c r="D12" s="81" t="n">
        <v>45962</v>
      </c>
      <c r="E12" s="82" t="n">
        <v>1567.264</v>
      </c>
      <c r="F12" s="80" t="n">
        <v>11</v>
      </c>
      <c r="G12" s="79" t="s">
        <v>289</v>
      </c>
    </row>
    <row r="13" customFormat="false" ht="15" hidden="false" customHeight="false" outlineLevel="0" collapsed="false">
      <c r="A13" s="79" t="s">
        <v>207</v>
      </c>
      <c r="B13" s="79" t="s">
        <v>1041</v>
      </c>
      <c r="C13" s="80" t="n">
        <v>202510</v>
      </c>
      <c r="D13" s="81" t="n">
        <v>45931</v>
      </c>
      <c r="E13" s="82" t="n">
        <v>1507.097</v>
      </c>
      <c r="F13" s="80" t="n">
        <v>12</v>
      </c>
      <c r="G13" s="79" t="s">
        <v>291</v>
      </c>
    </row>
    <row r="14" customFormat="false" ht="15" hidden="false" customHeight="false" outlineLevel="0" collapsed="false">
      <c r="A14" s="79" t="s">
        <v>207</v>
      </c>
      <c r="B14" s="79" t="s">
        <v>1042</v>
      </c>
      <c r="C14" s="80" t="n">
        <v>202509</v>
      </c>
      <c r="D14" s="81" t="n">
        <v>45901</v>
      </c>
      <c r="E14" s="82" t="n">
        <v>1454.984</v>
      </c>
      <c r="F14" s="80" t="n">
        <v>13</v>
      </c>
      <c r="G14" s="79" t="s">
        <v>293</v>
      </c>
    </row>
    <row r="15" customFormat="false" ht="15" hidden="false" customHeight="false" outlineLevel="0" collapsed="false">
      <c r="A15" s="79" t="s">
        <v>207</v>
      </c>
      <c r="B15" s="79" t="s">
        <v>1043</v>
      </c>
      <c r="C15" s="80" t="n">
        <v>202508</v>
      </c>
      <c r="D15" s="81" t="n">
        <v>45870</v>
      </c>
      <c r="E15" s="82" t="n">
        <v>1406.573</v>
      </c>
      <c r="F15" s="80" t="n">
        <v>14</v>
      </c>
      <c r="G15" s="79" t="s">
        <v>295</v>
      </c>
    </row>
    <row r="16" customFormat="false" ht="15" hidden="false" customHeight="false" outlineLevel="0" collapsed="false">
      <c r="A16" s="79" t="s">
        <v>207</v>
      </c>
      <c r="B16" s="79" t="s">
        <v>1044</v>
      </c>
      <c r="C16" s="80" t="n">
        <v>202507</v>
      </c>
      <c r="D16" s="81" t="n">
        <v>45839</v>
      </c>
      <c r="E16" s="82" t="n">
        <v>1386.041</v>
      </c>
      <c r="F16" s="80" t="n">
        <v>15</v>
      </c>
      <c r="G16" s="79" t="s">
        <v>297</v>
      </c>
    </row>
    <row r="17" customFormat="false" ht="15" hidden="false" customHeight="false" outlineLevel="0" collapsed="false">
      <c r="A17" s="79" t="s">
        <v>207</v>
      </c>
      <c r="B17" s="79" t="s">
        <v>1045</v>
      </c>
      <c r="C17" s="80" t="n">
        <v>202506</v>
      </c>
      <c r="D17" s="81" t="n">
        <v>45809</v>
      </c>
      <c r="E17" s="82" t="n">
        <v>1393.592</v>
      </c>
      <c r="F17" s="80" t="n">
        <v>16</v>
      </c>
      <c r="G17" s="79" t="s">
        <v>299</v>
      </c>
    </row>
    <row r="18" customFormat="false" ht="15" hidden="false" customHeight="false" outlineLevel="0" collapsed="false">
      <c r="A18" s="79" t="s">
        <v>207</v>
      </c>
      <c r="B18" s="79" t="s">
        <v>1046</v>
      </c>
      <c r="C18" s="80" t="n">
        <v>202505</v>
      </c>
      <c r="D18" s="81" t="n">
        <v>45778</v>
      </c>
      <c r="E18" s="82" t="n">
        <v>1449.099</v>
      </c>
      <c r="F18" s="80" t="n">
        <v>17</v>
      </c>
      <c r="G18" s="79" t="s">
        <v>301</v>
      </c>
    </row>
    <row r="19" customFormat="false" ht="15" hidden="false" customHeight="false" outlineLevel="0" collapsed="false">
      <c r="A19" s="79" t="s">
        <v>207</v>
      </c>
      <c r="B19" s="79" t="s">
        <v>1047</v>
      </c>
      <c r="C19" s="80" t="n">
        <v>202504</v>
      </c>
      <c r="D19" s="81" t="n">
        <v>45748</v>
      </c>
      <c r="E19" s="82" t="n">
        <v>1381.226</v>
      </c>
      <c r="F19" s="80" t="n">
        <v>18</v>
      </c>
      <c r="G19" s="79" t="s">
        <v>303</v>
      </c>
    </row>
    <row r="20" customFormat="false" ht="15" hidden="false" customHeight="false" outlineLevel="0" collapsed="false">
      <c r="A20" s="79" t="s">
        <v>207</v>
      </c>
      <c r="B20" s="79" t="s">
        <v>1048</v>
      </c>
      <c r="C20" s="80" t="n">
        <v>202503</v>
      </c>
      <c r="D20" s="81" t="n">
        <v>45717</v>
      </c>
      <c r="E20" s="82" t="n">
        <v>1339.536</v>
      </c>
      <c r="F20" s="80" t="n">
        <v>19</v>
      </c>
      <c r="G20" s="79" t="s">
        <v>305</v>
      </c>
    </row>
    <row r="21" customFormat="false" ht="15" hidden="false" customHeight="false" outlineLevel="0" collapsed="false">
      <c r="A21" s="79" t="s">
        <v>207</v>
      </c>
      <c r="B21" s="79" t="s">
        <v>1049</v>
      </c>
      <c r="C21" s="80" t="n">
        <v>202502</v>
      </c>
      <c r="D21" s="81" t="n">
        <v>45689</v>
      </c>
      <c r="E21" s="82" t="n">
        <v>1233.439</v>
      </c>
      <c r="F21" s="80" t="n">
        <v>20</v>
      </c>
      <c r="G21" s="79" t="s">
        <v>307</v>
      </c>
    </row>
    <row r="22" customFormat="false" ht="15" hidden="false" customHeight="false" outlineLevel="0" collapsed="false">
      <c r="A22" s="79" t="s">
        <v>207</v>
      </c>
      <c r="B22" s="79" t="s">
        <v>1050</v>
      </c>
      <c r="C22" s="80" t="n">
        <v>202501</v>
      </c>
      <c r="D22" s="81" t="n">
        <v>45658</v>
      </c>
      <c r="E22" s="82" t="n">
        <v>1122.385</v>
      </c>
      <c r="F22" s="80" t="n">
        <v>21</v>
      </c>
      <c r="G22" s="79" t="s">
        <v>309</v>
      </c>
    </row>
    <row r="23" customFormat="false" ht="15" hidden="false" customHeight="false" outlineLevel="0" collapsed="false">
      <c r="A23" s="79" t="s">
        <v>207</v>
      </c>
      <c r="B23" s="79" t="s">
        <v>1051</v>
      </c>
      <c r="C23" s="80" t="n">
        <v>202412</v>
      </c>
      <c r="D23" s="81" t="n">
        <v>45627</v>
      </c>
      <c r="E23" s="82" t="n">
        <v>1013.472</v>
      </c>
      <c r="F23" s="80" t="n">
        <v>22</v>
      </c>
      <c r="G23" s="79" t="s">
        <v>311</v>
      </c>
    </row>
    <row r="24" customFormat="false" ht="15" hidden="false" customHeight="false" outlineLevel="0" collapsed="false">
      <c r="A24" s="79" t="s">
        <v>207</v>
      </c>
      <c r="B24" s="79" t="s">
        <v>1052</v>
      </c>
      <c r="C24" s="80" t="n">
        <v>202411</v>
      </c>
      <c r="D24" s="81" t="n">
        <v>45597</v>
      </c>
      <c r="E24" s="82" t="n">
        <v>962.289</v>
      </c>
      <c r="F24" s="80" t="n">
        <v>23</v>
      </c>
      <c r="G24" s="79" t="s">
        <v>313</v>
      </c>
    </row>
    <row r="25" customFormat="false" ht="15" hidden="false" customHeight="false" outlineLevel="0" collapsed="false">
      <c r="A25" s="79" t="s">
        <v>207</v>
      </c>
      <c r="B25" s="79" t="s">
        <v>1053</v>
      </c>
      <c r="C25" s="80" t="n">
        <v>202410</v>
      </c>
      <c r="D25" s="81" t="n">
        <v>45566</v>
      </c>
      <c r="E25" s="82" t="n">
        <v>821.999</v>
      </c>
      <c r="F25" s="80" t="n">
        <v>24</v>
      </c>
      <c r="G25" s="79" t="s">
        <v>315</v>
      </c>
    </row>
    <row r="26" customFormat="false" ht="15" hidden="false" customHeight="false" outlineLevel="0" collapsed="false">
      <c r="A26" s="79" t="s">
        <v>207</v>
      </c>
      <c r="B26" s="79" t="s">
        <v>1054</v>
      </c>
      <c r="C26" s="80" t="n">
        <v>202409</v>
      </c>
      <c r="D26" s="81" t="n">
        <v>45536</v>
      </c>
      <c r="E26" s="82" t="n">
        <v>868.862</v>
      </c>
      <c r="F26" s="80" t="n">
        <v>25</v>
      </c>
      <c r="G26" s="79" t="s">
        <v>1055</v>
      </c>
    </row>
    <row r="27" customFormat="false" ht="15" hidden="false" customHeight="false" outlineLevel="0" collapsed="false">
      <c r="A27" s="79" t="s">
        <v>207</v>
      </c>
      <c r="B27" s="79" t="s">
        <v>1056</v>
      </c>
      <c r="C27" s="80" t="n">
        <v>202408</v>
      </c>
      <c r="D27" s="81" t="n">
        <v>45505</v>
      </c>
      <c r="E27" s="82" t="n">
        <v>885.818</v>
      </c>
      <c r="F27" s="80" t="n">
        <v>26</v>
      </c>
      <c r="G27" s="79" t="s">
        <v>1057</v>
      </c>
    </row>
    <row r="28" customFormat="false" ht="15" hidden="false" customHeight="false" outlineLevel="0" collapsed="false">
      <c r="A28" s="79" t="s">
        <v>207</v>
      </c>
      <c r="B28" s="79" t="s">
        <v>1058</v>
      </c>
      <c r="C28" s="80" t="n">
        <v>202407</v>
      </c>
      <c r="D28" s="81" t="n">
        <v>45474</v>
      </c>
      <c r="E28" s="82" t="n">
        <v>853.539</v>
      </c>
      <c r="F28" s="80" t="n">
        <v>27</v>
      </c>
      <c r="G28" s="79" t="s">
        <v>1059</v>
      </c>
    </row>
    <row r="29" customFormat="false" ht="15" hidden="false" customHeight="false" outlineLevel="0" collapsed="false">
      <c r="A29" s="79" t="s">
        <v>207</v>
      </c>
      <c r="B29" s="79" t="s">
        <v>1060</v>
      </c>
      <c r="C29" s="80" t="n">
        <v>202406</v>
      </c>
      <c r="D29" s="81" t="n">
        <v>45444</v>
      </c>
      <c r="E29" s="82" t="n">
        <v>868.403</v>
      </c>
      <c r="F29" s="80" t="n">
        <v>28</v>
      </c>
      <c r="G29" s="79" t="s">
        <v>1061</v>
      </c>
    </row>
    <row r="30" customFormat="false" ht="15" hidden="false" customHeight="false" outlineLevel="0" collapsed="false">
      <c r="A30" s="79" t="s">
        <v>207</v>
      </c>
      <c r="B30" s="79" t="s">
        <v>1062</v>
      </c>
      <c r="C30" s="80" t="n">
        <v>202405</v>
      </c>
      <c r="D30" s="81" t="n">
        <v>45413</v>
      </c>
      <c r="E30" s="82" t="n">
        <v>794.727</v>
      </c>
      <c r="F30" s="80" t="n">
        <v>29</v>
      </c>
      <c r="G30" s="79" t="s">
        <v>1063</v>
      </c>
    </row>
    <row r="31" customFormat="false" ht="15" hidden="false" customHeight="false" outlineLevel="0" collapsed="false">
      <c r="A31" s="79" t="s">
        <v>207</v>
      </c>
      <c r="B31" s="79" t="s">
        <v>1064</v>
      </c>
      <c r="C31" s="80" t="n">
        <v>202404</v>
      </c>
      <c r="D31" s="81" t="n">
        <v>45383</v>
      </c>
      <c r="E31" s="82" t="n">
        <v>776.192</v>
      </c>
      <c r="F31" s="80" t="n">
        <v>30</v>
      </c>
      <c r="G31" s="79" t="s">
        <v>1065</v>
      </c>
    </row>
    <row r="32" customFormat="false" ht="15" hidden="false" customHeight="false" outlineLevel="0" collapsed="false">
      <c r="A32" s="79" t="s">
        <v>207</v>
      </c>
      <c r="B32" s="79" t="s">
        <v>1066</v>
      </c>
      <c r="C32" s="80" t="n">
        <v>202403</v>
      </c>
      <c r="D32" s="81" t="n">
        <v>45352</v>
      </c>
      <c r="E32" s="82" t="n">
        <v>506.067</v>
      </c>
      <c r="F32" s="80" t="n">
        <v>31</v>
      </c>
      <c r="G32" s="79" t="s">
        <v>1067</v>
      </c>
    </row>
    <row r="33" customFormat="false" ht="15" hidden="false" customHeight="false" outlineLevel="0" collapsed="false">
      <c r="A33" s="79" t="s">
        <v>207</v>
      </c>
      <c r="B33" s="79" t="s">
        <v>1068</v>
      </c>
      <c r="C33" s="80" t="n">
        <v>202402</v>
      </c>
      <c r="D33" s="81" t="n">
        <v>45323</v>
      </c>
      <c r="E33" s="82" t="n">
        <v>655.548</v>
      </c>
      <c r="F33" s="80" t="n">
        <v>32</v>
      </c>
      <c r="G33" s="79" t="s">
        <v>1069</v>
      </c>
    </row>
    <row r="34" customFormat="false" ht="15" hidden="false" customHeight="false" outlineLevel="0" collapsed="false">
      <c r="A34" s="79" t="s">
        <v>207</v>
      </c>
      <c r="B34" s="79" t="s">
        <v>1070</v>
      </c>
      <c r="C34" s="80" t="n">
        <v>202401</v>
      </c>
      <c r="D34" s="81" t="n">
        <v>45292</v>
      </c>
      <c r="E34" s="82" t="n">
        <v>639.013</v>
      </c>
      <c r="F34" s="80" t="n">
        <v>33</v>
      </c>
      <c r="G34" s="79" t="s">
        <v>1071</v>
      </c>
    </row>
    <row r="35" customFormat="false" ht="15" hidden="false" customHeight="false" outlineLevel="0" collapsed="false">
      <c r="A35" s="79" t="s">
        <v>207</v>
      </c>
      <c r="B35" s="79" t="s">
        <v>1072</v>
      </c>
      <c r="C35" s="80" t="n">
        <v>202312</v>
      </c>
      <c r="D35" s="81" t="n">
        <v>45261</v>
      </c>
      <c r="E35" s="82" t="n">
        <v>610.458</v>
      </c>
      <c r="F35" s="80" t="n">
        <v>34</v>
      </c>
      <c r="G35" s="79" t="s">
        <v>1073</v>
      </c>
    </row>
    <row r="36" customFormat="false" ht="15" hidden="false" customHeight="false" outlineLevel="0" collapsed="false">
      <c r="A36" s="79" t="s">
        <v>207</v>
      </c>
      <c r="B36" s="79" t="s">
        <v>1074</v>
      </c>
      <c r="C36" s="80" t="n">
        <v>202311</v>
      </c>
      <c r="D36" s="81" t="n">
        <v>45231</v>
      </c>
      <c r="E36" s="82" t="n">
        <v>615.32</v>
      </c>
      <c r="F36" s="80" t="n">
        <v>35</v>
      </c>
      <c r="G36" s="79" t="s">
        <v>1075</v>
      </c>
    </row>
    <row r="37" customFormat="false" ht="15" hidden="false" customHeight="false" outlineLevel="0" collapsed="false">
      <c r="A37" s="79" t="s">
        <v>207</v>
      </c>
      <c r="B37" s="79" t="s">
        <v>1076</v>
      </c>
      <c r="C37" s="80" t="n">
        <v>202310</v>
      </c>
      <c r="D37" s="81" t="n">
        <v>45200</v>
      </c>
      <c r="E37" s="82" t="n">
        <v>506.831</v>
      </c>
      <c r="F37" s="80" t="n">
        <v>36</v>
      </c>
      <c r="G37" s="79" t="s">
        <v>1077</v>
      </c>
    </row>
    <row r="38" customFormat="false" ht="15" hidden="false" customHeight="false" outlineLevel="0" collapsed="false">
      <c r="A38" s="79" t="s">
        <v>219</v>
      </c>
      <c r="B38" s="79" t="s">
        <v>1030</v>
      </c>
      <c r="C38" s="80" t="n">
        <v>202609</v>
      </c>
      <c r="D38" s="81" t="n">
        <v>46266</v>
      </c>
      <c r="E38" s="82" t="n">
        <v>25044.641</v>
      </c>
      <c r="F38" s="80" t="n">
        <v>1</v>
      </c>
      <c r="G38" s="79" t="s">
        <v>317</v>
      </c>
    </row>
    <row r="39" customFormat="false" ht="15" hidden="false" customHeight="false" outlineLevel="0" collapsed="false">
      <c r="A39" s="79" t="s">
        <v>219</v>
      </c>
      <c r="B39" s="79" t="s">
        <v>1031</v>
      </c>
      <c r="C39" s="80" t="n">
        <v>202608</v>
      </c>
      <c r="D39" s="81" t="n">
        <v>46235</v>
      </c>
      <c r="E39" s="82" t="n">
        <v>23844.045</v>
      </c>
      <c r="F39" s="80" t="n">
        <v>2</v>
      </c>
      <c r="G39" s="79" t="s">
        <v>318</v>
      </c>
    </row>
    <row r="40" customFormat="false" ht="15" hidden="false" customHeight="false" outlineLevel="0" collapsed="false">
      <c r="A40" s="79" t="s">
        <v>219</v>
      </c>
      <c r="B40" s="79" t="s">
        <v>1032</v>
      </c>
      <c r="C40" s="80" t="n">
        <v>202607</v>
      </c>
      <c r="D40" s="81" t="n">
        <v>46204</v>
      </c>
      <c r="E40" s="82" t="n">
        <v>23124.962</v>
      </c>
      <c r="F40" s="80" t="n">
        <v>3</v>
      </c>
      <c r="G40" s="79" t="s">
        <v>319</v>
      </c>
    </row>
    <row r="41" customFormat="false" ht="15" hidden="false" customHeight="false" outlineLevel="0" collapsed="false">
      <c r="A41" s="79" t="s">
        <v>219</v>
      </c>
      <c r="B41" s="79" t="s">
        <v>1033</v>
      </c>
      <c r="C41" s="80" t="n">
        <v>202606</v>
      </c>
      <c r="D41" s="81" t="n">
        <v>46174</v>
      </c>
      <c r="E41" s="82" t="n">
        <v>22943.755</v>
      </c>
      <c r="F41" s="80" t="n">
        <v>4</v>
      </c>
      <c r="G41" s="79" t="s">
        <v>320</v>
      </c>
    </row>
    <row r="42" customFormat="false" ht="15" hidden="false" customHeight="false" outlineLevel="0" collapsed="false">
      <c r="A42" s="79" t="s">
        <v>219</v>
      </c>
      <c r="B42" s="79" t="s">
        <v>1034</v>
      </c>
      <c r="C42" s="80" t="n">
        <v>202605</v>
      </c>
      <c r="D42" s="81" t="n">
        <v>46143</v>
      </c>
      <c r="E42" s="82" t="n">
        <v>22663.945</v>
      </c>
      <c r="F42" s="80" t="n">
        <v>5</v>
      </c>
      <c r="G42" s="79" t="s">
        <v>321</v>
      </c>
    </row>
    <row r="43" customFormat="false" ht="15" hidden="false" customHeight="false" outlineLevel="0" collapsed="false">
      <c r="A43" s="79" t="s">
        <v>219</v>
      </c>
      <c r="B43" s="79" t="s">
        <v>1035</v>
      </c>
      <c r="C43" s="80" t="n">
        <v>202604</v>
      </c>
      <c r="D43" s="81" t="n">
        <v>46113</v>
      </c>
      <c r="E43" s="82" t="n">
        <v>20830.626</v>
      </c>
      <c r="F43" s="80" t="n">
        <v>6</v>
      </c>
      <c r="G43" s="79" t="s">
        <v>322</v>
      </c>
    </row>
    <row r="44" customFormat="false" ht="15" hidden="false" customHeight="false" outlineLevel="0" collapsed="false">
      <c r="A44" s="79" t="s">
        <v>219</v>
      </c>
      <c r="B44" s="79" t="s">
        <v>1036</v>
      </c>
      <c r="C44" s="80" t="n">
        <v>202603</v>
      </c>
      <c r="D44" s="81" t="n">
        <v>46082</v>
      </c>
      <c r="E44" s="82" t="n">
        <v>19345.126</v>
      </c>
      <c r="F44" s="80" t="n">
        <v>7</v>
      </c>
      <c r="G44" s="79" t="s">
        <v>323</v>
      </c>
    </row>
    <row r="45" customFormat="false" ht="15" hidden="false" customHeight="false" outlineLevel="0" collapsed="false">
      <c r="A45" s="79" t="s">
        <v>219</v>
      </c>
      <c r="B45" s="79" t="s">
        <v>1037</v>
      </c>
      <c r="C45" s="80" t="n">
        <v>202602</v>
      </c>
      <c r="D45" s="81" t="n">
        <v>46054</v>
      </c>
      <c r="E45" s="82" t="n">
        <v>20862.15</v>
      </c>
      <c r="F45" s="80" t="n">
        <v>8</v>
      </c>
      <c r="G45" s="79" t="s">
        <v>324</v>
      </c>
    </row>
    <row r="46" customFormat="false" ht="15" hidden="false" customHeight="false" outlineLevel="0" collapsed="false">
      <c r="A46" s="79" t="s">
        <v>219</v>
      </c>
      <c r="B46" s="79" t="s">
        <v>1038</v>
      </c>
      <c r="C46" s="80" t="n">
        <v>202601</v>
      </c>
      <c r="D46" s="81" t="n">
        <v>46023</v>
      </c>
      <c r="E46" s="82" t="n">
        <v>19280.724</v>
      </c>
      <c r="F46" s="80" t="n">
        <v>9</v>
      </c>
      <c r="G46" s="79" t="s">
        <v>325</v>
      </c>
    </row>
    <row r="47" customFormat="false" ht="15" hidden="false" customHeight="false" outlineLevel="0" collapsed="false">
      <c r="A47" s="79" t="s">
        <v>219</v>
      </c>
      <c r="B47" s="79" t="s">
        <v>1039</v>
      </c>
      <c r="C47" s="80" t="n">
        <v>202512</v>
      </c>
      <c r="D47" s="81" t="n">
        <v>45992</v>
      </c>
      <c r="E47" s="82" t="n">
        <v>21233.847</v>
      </c>
      <c r="F47" s="80" t="n">
        <v>10</v>
      </c>
      <c r="G47" s="79" t="s">
        <v>326</v>
      </c>
    </row>
    <row r="48" customFormat="false" ht="15" hidden="false" customHeight="false" outlineLevel="0" collapsed="false">
      <c r="A48" s="79" t="s">
        <v>219</v>
      </c>
      <c r="B48" s="79" t="s">
        <v>1040</v>
      </c>
      <c r="C48" s="80" t="n">
        <v>202511</v>
      </c>
      <c r="D48" s="81" t="n">
        <v>45962</v>
      </c>
      <c r="E48" s="82" t="n">
        <v>21294.974</v>
      </c>
      <c r="F48" s="80" t="n">
        <v>11</v>
      </c>
      <c r="G48" s="79" t="s">
        <v>327</v>
      </c>
    </row>
    <row r="49" customFormat="false" ht="15" hidden="false" customHeight="false" outlineLevel="0" collapsed="false">
      <c r="A49" s="79" t="s">
        <v>219</v>
      </c>
      <c r="B49" s="79" t="s">
        <v>1041</v>
      </c>
      <c r="C49" s="80" t="n">
        <v>202510</v>
      </c>
      <c r="D49" s="81" t="n">
        <v>45931</v>
      </c>
      <c r="E49" s="82" t="n">
        <v>19927.175</v>
      </c>
      <c r="F49" s="80" t="n">
        <v>12</v>
      </c>
      <c r="G49" s="79" t="s">
        <v>328</v>
      </c>
    </row>
    <row r="50" customFormat="false" ht="15" hidden="false" customHeight="false" outlineLevel="0" collapsed="false">
      <c r="A50" s="79" t="s">
        <v>219</v>
      </c>
      <c r="B50" s="79" t="s">
        <v>1042</v>
      </c>
      <c r="C50" s="80" t="n">
        <v>202509</v>
      </c>
      <c r="D50" s="81" t="n">
        <v>45901</v>
      </c>
      <c r="E50" s="82" t="n">
        <v>19159.816</v>
      </c>
      <c r="F50" s="80" t="n">
        <v>13</v>
      </c>
      <c r="G50" s="79" t="s">
        <v>329</v>
      </c>
    </row>
    <row r="51" customFormat="false" ht="15" hidden="false" customHeight="false" outlineLevel="0" collapsed="false">
      <c r="A51" s="79" t="s">
        <v>219</v>
      </c>
      <c r="B51" s="79" t="s">
        <v>1043</v>
      </c>
      <c r="C51" s="80" t="n">
        <v>202508</v>
      </c>
      <c r="D51" s="81" t="n">
        <v>45870</v>
      </c>
      <c r="E51" s="82" t="n">
        <v>20040.049</v>
      </c>
      <c r="F51" s="80" t="n">
        <v>14</v>
      </c>
      <c r="G51" s="79" t="s">
        <v>330</v>
      </c>
    </row>
    <row r="52" customFormat="false" ht="15" hidden="false" customHeight="false" outlineLevel="0" collapsed="false">
      <c r="A52" s="79" t="s">
        <v>219</v>
      </c>
      <c r="B52" s="79" t="s">
        <v>1044</v>
      </c>
      <c r="C52" s="80" t="n">
        <v>202507</v>
      </c>
      <c r="D52" s="81" t="n">
        <v>45839</v>
      </c>
      <c r="E52" s="82" t="n">
        <v>18823.07</v>
      </c>
      <c r="F52" s="80" t="n">
        <v>15</v>
      </c>
      <c r="G52" s="79" t="s">
        <v>331</v>
      </c>
    </row>
    <row r="53" customFormat="false" ht="15" hidden="false" customHeight="false" outlineLevel="0" collapsed="false">
      <c r="A53" s="79" t="s">
        <v>219</v>
      </c>
      <c r="B53" s="79" t="s">
        <v>1045</v>
      </c>
      <c r="C53" s="80" t="n">
        <v>202506</v>
      </c>
      <c r="D53" s="81" t="n">
        <v>45809</v>
      </c>
      <c r="E53" s="82" t="n">
        <v>19480.057</v>
      </c>
      <c r="F53" s="80" t="n">
        <v>16</v>
      </c>
      <c r="G53" s="79" t="s">
        <v>332</v>
      </c>
    </row>
    <row r="54" customFormat="false" ht="15" hidden="false" customHeight="false" outlineLevel="0" collapsed="false">
      <c r="A54" s="79" t="s">
        <v>219</v>
      </c>
      <c r="B54" s="79" t="s">
        <v>1046</v>
      </c>
      <c r="C54" s="80" t="n">
        <v>202505</v>
      </c>
      <c r="D54" s="81" t="n">
        <v>45778</v>
      </c>
      <c r="E54" s="82" t="n">
        <v>20454.53</v>
      </c>
      <c r="F54" s="80" t="n">
        <v>17</v>
      </c>
      <c r="G54" s="79" t="s">
        <v>333</v>
      </c>
    </row>
    <row r="55" customFormat="false" ht="15" hidden="false" customHeight="false" outlineLevel="0" collapsed="false">
      <c r="A55" s="79" t="s">
        <v>219</v>
      </c>
      <c r="B55" s="79" t="s">
        <v>1047</v>
      </c>
      <c r="C55" s="80" t="n">
        <v>202504</v>
      </c>
      <c r="D55" s="81" t="n">
        <v>45748</v>
      </c>
      <c r="E55" s="82" t="n">
        <v>19858.647</v>
      </c>
      <c r="F55" s="80" t="n">
        <v>18</v>
      </c>
      <c r="G55" s="79" t="s">
        <v>334</v>
      </c>
    </row>
    <row r="56" customFormat="false" ht="15" hidden="false" customHeight="false" outlineLevel="0" collapsed="false">
      <c r="A56" s="79" t="s">
        <v>219</v>
      </c>
      <c r="B56" s="79" t="s">
        <v>1048</v>
      </c>
      <c r="C56" s="80" t="n">
        <v>202503</v>
      </c>
      <c r="D56" s="81" t="n">
        <v>45717</v>
      </c>
      <c r="E56" s="82" t="n">
        <v>18193.515</v>
      </c>
      <c r="F56" s="80" t="n">
        <v>19</v>
      </c>
      <c r="G56" s="79" t="s">
        <v>335</v>
      </c>
    </row>
    <row r="57" customFormat="false" ht="15" hidden="false" customHeight="false" outlineLevel="0" collapsed="false">
      <c r="A57" s="79" t="s">
        <v>219</v>
      </c>
      <c r="B57" s="79" t="s">
        <v>1049</v>
      </c>
      <c r="C57" s="80" t="n">
        <v>202502</v>
      </c>
      <c r="D57" s="81" t="n">
        <v>45689</v>
      </c>
      <c r="E57" s="82" t="n">
        <v>19806.795</v>
      </c>
      <c r="F57" s="80" t="n">
        <v>20</v>
      </c>
      <c r="G57" s="79" t="s">
        <v>336</v>
      </c>
    </row>
    <row r="58" customFormat="false" ht="15" hidden="false" customHeight="false" outlineLevel="0" collapsed="false">
      <c r="A58" s="79" t="s">
        <v>219</v>
      </c>
      <c r="B58" s="79" t="s">
        <v>1050</v>
      </c>
      <c r="C58" s="80" t="n">
        <v>202501</v>
      </c>
      <c r="D58" s="81" t="n">
        <v>45658</v>
      </c>
      <c r="E58" s="82" t="n">
        <v>18965.818</v>
      </c>
      <c r="F58" s="80" t="n">
        <v>21</v>
      </c>
      <c r="G58" s="79" t="s">
        <v>337</v>
      </c>
    </row>
    <row r="59" customFormat="false" ht="15" hidden="false" customHeight="false" outlineLevel="0" collapsed="false">
      <c r="A59" s="79" t="s">
        <v>219</v>
      </c>
      <c r="B59" s="79" t="s">
        <v>1051</v>
      </c>
      <c r="C59" s="80" t="n">
        <v>202412</v>
      </c>
      <c r="D59" s="81" t="n">
        <v>45627</v>
      </c>
      <c r="E59" s="82" t="n">
        <v>20049.182</v>
      </c>
      <c r="F59" s="80" t="n">
        <v>22</v>
      </c>
      <c r="G59" s="79" t="s">
        <v>338</v>
      </c>
    </row>
    <row r="60" customFormat="false" ht="15" hidden="false" customHeight="false" outlineLevel="0" collapsed="false">
      <c r="A60" s="79" t="s">
        <v>219</v>
      </c>
      <c r="B60" s="79" t="s">
        <v>1052</v>
      </c>
      <c r="C60" s="80" t="n">
        <v>202411</v>
      </c>
      <c r="D60" s="81" t="n">
        <v>45597</v>
      </c>
      <c r="E60" s="82" t="n">
        <v>21371.11</v>
      </c>
      <c r="F60" s="80" t="n">
        <v>23</v>
      </c>
      <c r="G60" s="79" t="s">
        <v>339</v>
      </c>
    </row>
    <row r="61" customFormat="false" ht="15" hidden="false" customHeight="false" outlineLevel="0" collapsed="false">
      <c r="A61" s="79" t="s">
        <v>219</v>
      </c>
      <c r="B61" s="79" t="s">
        <v>1053</v>
      </c>
      <c r="C61" s="80" t="n">
        <v>202410</v>
      </c>
      <c r="D61" s="81" t="n">
        <v>45566</v>
      </c>
      <c r="E61" s="82" t="n">
        <v>18942.714</v>
      </c>
      <c r="F61" s="80" t="n">
        <v>24</v>
      </c>
      <c r="G61" s="79" t="s">
        <v>340</v>
      </c>
    </row>
    <row r="62" customFormat="false" ht="15" hidden="false" customHeight="false" outlineLevel="0" collapsed="false">
      <c r="A62" s="79" t="s">
        <v>219</v>
      </c>
      <c r="B62" s="79" t="s">
        <v>1054</v>
      </c>
      <c r="C62" s="80" t="n">
        <v>202409</v>
      </c>
      <c r="D62" s="81" t="n">
        <v>45536</v>
      </c>
      <c r="E62" s="82" t="n">
        <v>20645.494</v>
      </c>
      <c r="F62" s="80" t="n">
        <v>25</v>
      </c>
      <c r="G62" s="79" t="s">
        <v>1078</v>
      </c>
    </row>
    <row r="63" customFormat="false" ht="15" hidden="false" customHeight="false" outlineLevel="0" collapsed="false">
      <c r="A63" s="79" t="s">
        <v>219</v>
      </c>
      <c r="B63" s="79" t="s">
        <v>1056</v>
      </c>
      <c r="C63" s="80" t="n">
        <v>202408</v>
      </c>
      <c r="D63" s="81" t="n">
        <v>45505</v>
      </c>
      <c r="E63" s="82" t="n">
        <v>20896.877</v>
      </c>
      <c r="F63" s="80" t="n">
        <v>26</v>
      </c>
      <c r="G63" s="79" t="s">
        <v>1079</v>
      </c>
    </row>
    <row r="64" customFormat="false" ht="15" hidden="false" customHeight="false" outlineLevel="0" collapsed="false">
      <c r="A64" s="79" t="s">
        <v>219</v>
      </c>
      <c r="B64" s="79" t="s">
        <v>1058</v>
      </c>
      <c r="C64" s="80" t="n">
        <v>202407</v>
      </c>
      <c r="D64" s="81" t="n">
        <v>45474</v>
      </c>
      <c r="E64" s="82" t="n">
        <v>17548.413</v>
      </c>
      <c r="F64" s="80" t="n">
        <v>27</v>
      </c>
      <c r="G64" s="79" t="s">
        <v>1080</v>
      </c>
    </row>
    <row r="65" customFormat="false" ht="15" hidden="false" customHeight="false" outlineLevel="0" collapsed="false">
      <c r="A65" s="79" t="s">
        <v>219</v>
      </c>
      <c r="B65" s="79" t="s">
        <v>1060</v>
      </c>
      <c r="C65" s="80" t="n">
        <v>202406</v>
      </c>
      <c r="D65" s="81" t="n">
        <v>45444</v>
      </c>
      <c r="E65" s="82" t="n">
        <v>19509.486</v>
      </c>
      <c r="F65" s="80" t="n">
        <v>28</v>
      </c>
      <c r="G65" s="79" t="s">
        <v>1081</v>
      </c>
    </row>
    <row r="66" customFormat="false" ht="15" hidden="false" customHeight="false" outlineLevel="0" collapsed="false">
      <c r="A66" s="79" t="s">
        <v>219</v>
      </c>
      <c r="B66" s="79" t="s">
        <v>1062</v>
      </c>
      <c r="C66" s="80" t="n">
        <v>202405</v>
      </c>
      <c r="D66" s="81" t="n">
        <v>45413</v>
      </c>
      <c r="E66" s="82" t="n">
        <v>19741.391</v>
      </c>
      <c r="F66" s="80" t="n">
        <v>29</v>
      </c>
      <c r="G66" s="79" t="s">
        <v>1082</v>
      </c>
    </row>
    <row r="67" customFormat="false" ht="15" hidden="false" customHeight="false" outlineLevel="0" collapsed="false">
      <c r="A67" s="79" t="s">
        <v>219</v>
      </c>
      <c r="B67" s="79" t="s">
        <v>1064</v>
      </c>
      <c r="C67" s="80" t="n">
        <v>202404</v>
      </c>
      <c r="D67" s="81" t="n">
        <v>45383</v>
      </c>
      <c r="E67" s="82" t="n">
        <v>18167.134</v>
      </c>
      <c r="F67" s="80" t="n">
        <v>30</v>
      </c>
      <c r="G67" s="79" t="s">
        <v>1083</v>
      </c>
    </row>
    <row r="68" customFormat="false" ht="15" hidden="false" customHeight="false" outlineLevel="0" collapsed="false">
      <c r="A68" s="79" t="s">
        <v>219</v>
      </c>
      <c r="B68" s="79" t="s">
        <v>1066</v>
      </c>
      <c r="C68" s="80" t="n">
        <v>202403</v>
      </c>
      <c r="D68" s="81" t="n">
        <v>45352</v>
      </c>
      <c r="E68" s="82" t="n">
        <v>17451.268</v>
      </c>
      <c r="F68" s="80" t="n">
        <v>31</v>
      </c>
      <c r="G68" s="79" t="s">
        <v>1084</v>
      </c>
    </row>
    <row r="69" customFormat="false" ht="15" hidden="false" customHeight="false" outlineLevel="0" collapsed="false">
      <c r="A69" s="79" t="s">
        <v>219</v>
      </c>
      <c r="B69" s="79" t="s">
        <v>1068</v>
      </c>
      <c r="C69" s="80" t="n">
        <v>202402</v>
      </c>
      <c r="D69" s="81" t="n">
        <v>45323</v>
      </c>
      <c r="E69" s="82" t="n">
        <v>19013.697</v>
      </c>
      <c r="F69" s="80" t="n">
        <v>32</v>
      </c>
      <c r="G69" s="79" t="s">
        <v>1085</v>
      </c>
    </row>
    <row r="70" customFormat="false" ht="15" hidden="false" customHeight="false" outlineLevel="0" collapsed="false">
      <c r="A70" s="79" t="s">
        <v>219</v>
      </c>
      <c r="B70" s="79" t="s">
        <v>1070</v>
      </c>
      <c r="C70" s="80" t="n">
        <v>202401</v>
      </c>
      <c r="D70" s="81" t="n">
        <v>45292</v>
      </c>
      <c r="E70" s="82" t="n">
        <v>16979.226</v>
      </c>
      <c r="F70" s="80" t="n">
        <v>33</v>
      </c>
      <c r="G70" s="79" t="s">
        <v>1086</v>
      </c>
    </row>
    <row r="71" customFormat="false" ht="15" hidden="false" customHeight="false" outlineLevel="0" collapsed="false">
      <c r="A71" s="79" t="s">
        <v>219</v>
      </c>
      <c r="B71" s="79" t="s">
        <v>1072</v>
      </c>
      <c r="C71" s="80" t="n">
        <v>202312</v>
      </c>
      <c r="D71" s="81" t="n">
        <v>45261</v>
      </c>
      <c r="E71" s="82" t="n">
        <v>18787.67</v>
      </c>
      <c r="F71" s="80" t="n">
        <v>34</v>
      </c>
      <c r="G71" s="79" t="s">
        <v>1087</v>
      </c>
    </row>
    <row r="72" customFormat="false" ht="15" hidden="false" customHeight="false" outlineLevel="0" collapsed="false">
      <c r="A72" s="79" t="s">
        <v>219</v>
      </c>
      <c r="B72" s="79" t="s">
        <v>1074</v>
      </c>
      <c r="C72" s="80" t="n">
        <v>202311</v>
      </c>
      <c r="D72" s="81" t="n">
        <v>45231</v>
      </c>
      <c r="E72" s="82" t="n">
        <v>19191.382</v>
      </c>
      <c r="F72" s="80" t="n">
        <v>35</v>
      </c>
      <c r="G72" s="79" t="s">
        <v>1088</v>
      </c>
    </row>
    <row r="73" customFormat="false" ht="15" hidden="false" customHeight="false" outlineLevel="0" collapsed="false">
      <c r="A73" s="79" t="s">
        <v>219</v>
      </c>
      <c r="B73" s="79" t="s">
        <v>1076</v>
      </c>
      <c r="C73" s="80" t="n">
        <v>202310</v>
      </c>
      <c r="D73" s="81" t="n">
        <v>45200</v>
      </c>
      <c r="E73" s="82" t="n">
        <v>19052.938</v>
      </c>
      <c r="F73" s="80" t="n">
        <v>36</v>
      </c>
      <c r="G73" s="79" t="s">
        <v>1089</v>
      </c>
    </row>
    <row r="74" customFormat="false" ht="15" hidden="false" customHeight="false" outlineLevel="0" collapsed="false">
      <c r="A74" s="79" t="s">
        <v>341</v>
      </c>
      <c r="B74" s="79" t="s">
        <v>1030</v>
      </c>
      <c r="C74" s="80" t="n">
        <v>202609</v>
      </c>
      <c r="D74" s="81" t="n">
        <v>46266</v>
      </c>
      <c r="E74" s="82" t="n">
        <v>16332.196</v>
      </c>
      <c r="F74" s="80" t="n">
        <v>1</v>
      </c>
      <c r="G74" s="79" t="s">
        <v>343</v>
      </c>
    </row>
    <row r="75" customFormat="false" ht="15" hidden="false" customHeight="false" outlineLevel="0" collapsed="false">
      <c r="A75" s="79" t="s">
        <v>341</v>
      </c>
      <c r="B75" s="79" t="s">
        <v>1031</v>
      </c>
      <c r="C75" s="80" t="n">
        <v>202608</v>
      </c>
      <c r="D75" s="81" t="n">
        <v>46235</v>
      </c>
      <c r="E75" s="82" t="n">
        <v>16131.188</v>
      </c>
      <c r="F75" s="80" t="n">
        <v>2</v>
      </c>
      <c r="G75" s="79" t="s">
        <v>344</v>
      </c>
    </row>
    <row r="76" customFormat="false" ht="15" hidden="false" customHeight="false" outlineLevel="0" collapsed="false">
      <c r="A76" s="79" t="s">
        <v>341</v>
      </c>
      <c r="B76" s="79" t="s">
        <v>1032</v>
      </c>
      <c r="C76" s="80" t="n">
        <v>202607</v>
      </c>
      <c r="D76" s="81" t="n">
        <v>46204</v>
      </c>
      <c r="E76" s="82" t="n">
        <v>15359.009</v>
      </c>
      <c r="F76" s="80" t="n">
        <v>3</v>
      </c>
      <c r="G76" s="79" t="s">
        <v>345</v>
      </c>
    </row>
    <row r="77" customFormat="false" ht="15" hidden="false" customHeight="false" outlineLevel="0" collapsed="false">
      <c r="A77" s="79" t="s">
        <v>341</v>
      </c>
      <c r="B77" s="79" t="s">
        <v>1033</v>
      </c>
      <c r="C77" s="80" t="n">
        <v>202606</v>
      </c>
      <c r="D77" s="81" t="n">
        <v>46174</v>
      </c>
      <c r="E77" s="82" t="n">
        <v>15058.22</v>
      </c>
      <c r="F77" s="80" t="n">
        <v>4</v>
      </c>
      <c r="G77" s="79" t="s">
        <v>346</v>
      </c>
    </row>
    <row r="78" customFormat="false" ht="15" hidden="false" customHeight="false" outlineLevel="0" collapsed="false">
      <c r="A78" s="79" t="s">
        <v>341</v>
      </c>
      <c r="B78" s="79" t="s">
        <v>1034</v>
      </c>
      <c r="C78" s="80" t="n">
        <v>202605</v>
      </c>
      <c r="D78" s="81" t="n">
        <v>46143</v>
      </c>
      <c r="E78" s="82" t="n">
        <v>14039.098</v>
      </c>
      <c r="F78" s="80" t="n">
        <v>5</v>
      </c>
      <c r="G78" s="79" t="s">
        <v>347</v>
      </c>
    </row>
    <row r="79" customFormat="false" ht="15" hidden="false" customHeight="false" outlineLevel="0" collapsed="false">
      <c r="A79" s="79" t="s">
        <v>341</v>
      </c>
      <c r="B79" s="79" t="s">
        <v>1035</v>
      </c>
      <c r="C79" s="80" t="n">
        <v>202604</v>
      </c>
      <c r="D79" s="81" t="n">
        <v>46113</v>
      </c>
      <c r="E79" s="82" t="n">
        <v>13630.196</v>
      </c>
      <c r="F79" s="80" t="n">
        <v>6</v>
      </c>
      <c r="G79" s="79" t="s">
        <v>348</v>
      </c>
    </row>
    <row r="80" customFormat="false" ht="15" hidden="false" customHeight="false" outlineLevel="0" collapsed="false">
      <c r="A80" s="79" t="s">
        <v>341</v>
      </c>
      <c r="B80" s="79" t="s">
        <v>1036</v>
      </c>
      <c r="C80" s="80" t="n">
        <v>202603</v>
      </c>
      <c r="D80" s="81" t="n">
        <v>46082</v>
      </c>
      <c r="E80" s="82" t="n">
        <v>11505.323</v>
      </c>
      <c r="F80" s="80" t="n">
        <v>7</v>
      </c>
      <c r="G80" s="79" t="s">
        <v>349</v>
      </c>
    </row>
    <row r="81" customFormat="false" ht="15" hidden="false" customHeight="false" outlineLevel="0" collapsed="false">
      <c r="A81" s="79" t="s">
        <v>341</v>
      </c>
      <c r="B81" s="79" t="s">
        <v>1037</v>
      </c>
      <c r="C81" s="80" t="n">
        <v>202602</v>
      </c>
      <c r="D81" s="81" t="n">
        <v>46054</v>
      </c>
      <c r="E81" s="82" t="n">
        <v>13030.129</v>
      </c>
      <c r="F81" s="80" t="n">
        <v>8</v>
      </c>
      <c r="G81" s="79" t="s">
        <v>350</v>
      </c>
    </row>
    <row r="82" customFormat="false" ht="15" hidden="false" customHeight="false" outlineLevel="0" collapsed="false">
      <c r="A82" s="79" t="s">
        <v>341</v>
      </c>
      <c r="B82" s="79" t="s">
        <v>1038</v>
      </c>
      <c r="C82" s="80" t="n">
        <v>202601</v>
      </c>
      <c r="D82" s="81" t="n">
        <v>46023</v>
      </c>
      <c r="E82" s="82" t="n">
        <v>12350.934</v>
      </c>
      <c r="F82" s="80" t="n">
        <v>9</v>
      </c>
      <c r="G82" s="79" t="s">
        <v>351</v>
      </c>
    </row>
    <row r="83" customFormat="false" ht="15" hidden="false" customHeight="false" outlineLevel="0" collapsed="false">
      <c r="A83" s="79" t="s">
        <v>341</v>
      </c>
      <c r="B83" s="79" t="s">
        <v>1039</v>
      </c>
      <c r="C83" s="80" t="n">
        <v>202512</v>
      </c>
      <c r="D83" s="81" t="n">
        <v>45992</v>
      </c>
      <c r="E83" s="82" t="n">
        <v>12264.829</v>
      </c>
      <c r="F83" s="80" t="n">
        <v>10</v>
      </c>
      <c r="G83" s="79" t="s">
        <v>352</v>
      </c>
    </row>
    <row r="84" customFormat="false" ht="15" hidden="false" customHeight="false" outlineLevel="0" collapsed="false">
      <c r="A84" s="79" t="s">
        <v>341</v>
      </c>
      <c r="B84" s="79" t="s">
        <v>1040</v>
      </c>
      <c r="C84" s="80" t="n">
        <v>202511</v>
      </c>
      <c r="D84" s="81" t="n">
        <v>45962</v>
      </c>
      <c r="E84" s="82" t="n">
        <v>11352.46</v>
      </c>
      <c r="F84" s="80" t="n">
        <v>11</v>
      </c>
      <c r="G84" s="79" t="s">
        <v>353</v>
      </c>
    </row>
    <row r="85" customFormat="false" ht="15" hidden="false" customHeight="false" outlineLevel="0" collapsed="false">
      <c r="A85" s="79" t="s">
        <v>341</v>
      </c>
      <c r="B85" s="79" t="s">
        <v>1041</v>
      </c>
      <c r="C85" s="80" t="n">
        <v>202510</v>
      </c>
      <c r="D85" s="81" t="n">
        <v>45931</v>
      </c>
      <c r="E85" s="82" t="n">
        <v>11680.869</v>
      </c>
      <c r="F85" s="80" t="n">
        <v>12</v>
      </c>
      <c r="G85" s="79" t="s">
        <v>354</v>
      </c>
    </row>
    <row r="86" customFormat="false" ht="15" hidden="false" customHeight="false" outlineLevel="0" collapsed="false">
      <c r="A86" s="79" t="s">
        <v>341</v>
      </c>
      <c r="B86" s="79" t="s">
        <v>1042</v>
      </c>
      <c r="C86" s="80" t="n">
        <v>202509</v>
      </c>
      <c r="D86" s="81" t="n">
        <v>45901</v>
      </c>
      <c r="E86" s="82" t="n">
        <v>10759.05</v>
      </c>
      <c r="F86" s="80" t="n">
        <v>13</v>
      </c>
      <c r="G86" s="79" t="s">
        <v>355</v>
      </c>
    </row>
    <row r="87" customFormat="false" ht="15" hidden="false" customHeight="false" outlineLevel="0" collapsed="false">
      <c r="A87" s="79" t="s">
        <v>341</v>
      </c>
      <c r="B87" s="79" t="s">
        <v>1043</v>
      </c>
      <c r="C87" s="80" t="n">
        <v>202508</v>
      </c>
      <c r="D87" s="81" t="n">
        <v>45870</v>
      </c>
      <c r="E87" s="82" t="n">
        <v>10646.791</v>
      </c>
      <c r="F87" s="80" t="n">
        <v>14</v>
      </c>
      <c r="G87" s="79" t="s">
        <v>356</v>
      </c>
    </row>
    <row r="88" customFormat="false" ht="15" hidden="false" customHeight="false" outlineLevel="0" collapsed="false">
      <c r="A88" s="79" t="s">
        <v>341</v>
      </c>
      <c r="B88" s="79" t="s">
        <v>1044</v>
      </c>
      <c r="C88" s="80" t="n">
        <v>202507</v>
      </c>
      <c r="D88" s="81" t="n">
        <v>45839</v>
      </c>
      <c r="E88" s="82" t="n">
        <v>11056.49</v>
      </c>
      <c r="F88" s="80" t="n">
        <v>15</v>
      </c>
      <c r="G88" s="79" t="s">
        <v>357</v>
      </c>
    </row>
    <row r="89" customFormat="false" ht="15" hidden="false" customHeight="false" outlineLevel="0" collapsed="false">
      <c r="A89" s="79" t="s">
        <v>341</v>
      </c>
      <c r="B89" s="79" t="s">
        <v>1045</v>
      </c>
      <c r="C89" s="80" t="n">
        <v>202506</v>
      </c>
      <c r="D89" s="81" t="n">
        <v>45809</v>
      </c>
      <c r="E89" s="82" t="n">
        <v>10211.491</v>
      </c>
      <c r="F89" s="80" t="n">
        <v>16</v>
      </c>
      <c r="G89" s="79" t="s">
        <v>358</v>
      </c>
    </row>
    <row r="90" customFormat="false" ht="15" hidden="false" customHeight="false" outlineLevel="0" collapsed="false">
      <c r="A90" s="79" t="s">
        <v>341</v>
      </c>
      <c r="B90" s="79" t="s">
        <v>1046</v>
      </c>
      <c r="C90" s="80" t="n">
        <v>202505</v>
      </c>
      <c r="D90" s="81" t="n">
        <v>45778</v>
      </c>
      <c r="E90" s="82" t="n">
        <v>11503.407</v>
      </c>
      <c r="F90" s="80" t="n">
        <v>17</v>
      </c>
      <c r="G90" s="79" t="s">
        <v>359</v>
      </c>
    </row>
    <row r="91" customFormat="false" ht="15" hidden="false" customHeight="false" outlineLevel="0" collapsed="false">
      <c r="A91" s="79" t="s">
        <v>341</v>
      </c>
      <c r="B91" s="79" t="s">
        <v>1047</v>
      </c>
      <c r="C91" s="80" t="n">
        <v>202504</v>
      </c>
      <c r="D91" s="81" t="n">
        <v>45748</v>
      </c>
      <c r="E91" s="82" t="n">
        <v>11101.274</v>
      </c>
      <c r="F91" s="80" t="n">
        <v>18</v>
      </c>
      <c r="G91" s="79" t="s">
        <v>360</v>
      </c>
    </row>
    <row r="92" customFormat="false" ht="15" hidden="false" customHeight="false" outlineLevel="0" collapsed="false">
      <c r="A92" s="79" t="s">
        <v>341</v>
      </c>
      <c r="B92" s="79" t="s">
        <v>1048</v>
      </c>
      <c r="C92" s="80" t="n">
        <v>202503</v>
      </c>
      <c r="D92" s="81" t="n">
        <v>45717</v>
      </c>
      <c r="E92" s="82" t="n">
        <v>9752.95</v>
      </c>
      <c r="F92" s="80" t="n">
        <v>19</v>
      </c>
      <c r="G92" s="79" t="s">
        <v>361</v>
      </c>
    </row>
    <row r="93" customFormat="false" ht="15" hidden="false" customHeight="false" outlineLevel="0" collapsed="false">
      <c r="A93" s="79" t="s">
        <v>341</v>
      </c>
      <c r="B93" s="79" t="s">
        <v>1049</v>
      </c>
      <c r="C93" s="80" t="n">
        <v>202502</v>
      </c>
      <c r="D93" s="81" t="n">
        <v>45689</v>
      </c>
      <c r="E93" s="82" t="n">
        <v>10249.471</v>
      </c>
      <c r="F93" s="80" t="n">
        <v>20</v>
      </c>
      <c r="G93" s="79" t="s">
        <v>362</v>
      </c>
    </row>
    <row r="94" customFormat="false" ht="15" hidden="false" customHeight="false" outlineLevel="0" collapsed="false">
      <c r="A94" s="79" t="s">
        <v>341</v>
      </c>
      <c r="B94" s="79" t="s">
        <v>1050</v>
      </c>
      <c r="C94" s="80" t="n">
        <v>202501</v>
      </c>
      <c r="D94" s="81" t="n">
        <v>45658</v>
      </c>
      <c r="E94" s="82" t="n">
        <v>9519.583</v>
      </c>
      <c r="F94" s="80" t="n">
        <v>21</v>
      </c>
      <c r="G94" s="79" t="s">
        <v>363</v>
      </c>
    </row>
    <row r="95" customFormat="false" ht="15" hidden="false" customHeight="false" outlineLevel="0" collapsed="false">
      <c r="A95" s="79" t="s">
        <v>341</v>
      </c>
      <c r="B95" s="79" t="s">
        <v>1051</v>
      </c>
      <c r="C95" s="80" t="n">
        <v>202412</v>
      </c>
      <c r="D95" s="81" t="n">
        <v>45627</v>
      </c>
      <c r="E95" s="82" t="n">
        <v>10020.442</v>
      </c>
      <c r="F95" s="80" t="n">
        <v>22</v>
      </c>
      <c r="G95" s="79" t="s">
        <v>364</v>
      </c>
    </row>
    <row r="96" customFormat="false" ht="15" hidden="false" customHeight="false" outlineLevel="0" collapsed="false">
      <c r="A96" s="79" t="s">
        <v>341</v>
      </c>
      <c r="B96" s="79" t="s">
        <v>1052</v>
      </c>
      <c r="C96" s="80" t="n">
        <v>202411</v>
      </c>
      <c r="D96" s="81" t="n">
        <v>45597</v>
      </c>
      <c r="E96" s="82" t="n">
        <v>10465.92</v>
      </c>
      <c r="F96" s="80" t="n">
        <v>23</v>
      </c>
      <c r="G96" s="79" t="s">
        <v>365</v>
      </c>
    </row>
    <row r="97" customFormat="false" ht="15" hidden="false" customHeight="false" outlineLevel="0" collapsed="false">
      <c r="A97" s="79" t="s">
        <v>341</v>
      </c>
      <c r="B97" s="79" t="s">
        <v>1053</v>
      </c>
      <c r="C97" s="80" t="n">
        <v>202410</v>
      </c>
      <c r="D97" s="81" t="n">
        <v>45566</v>
      </c>
      <c r="E97" s="82" t="n">
        <v>10415.225</v>
      </c>
      <c r="F97" s="80" t="n">
        <v>24</v>
      </c>
      <c r="G97" s="79" t="s">
        <v>366</v>
      </c>
    </row>
    <row r="98" customFormat="false" ht="15" hidden="false" customHeight="false" outlineLevel="0" collapsed="false">
      <c r="A98" s="79" t="s">
        <v>341</v>
      </c>
      <c r="B98" s="79" t="s">
        <v>1054</v>
      </c>
      <c r="C98" s="80" t="n">
        <v>202409</v>
      </c>
      <c r="D98" s="81" t="n">
        <v>45536</v>
      </c>
      <c r="E98" s="82" t="n">
        <v>10317.72</v>
      </c>
      <c r="F98" s="80" t="n">
        <v>25</v>
      </c>
      <c r="G98" s="79" t="s">
        <v>1090</v>
      </c>
    </row>
    <row r="99" customFormat="false" ht="15" hidden="false" customHeight="false" outlineLevel="0" collapsed="false">
      <c r="A99" s="79" t="s">
        <v>341</v>
      </c>
      <c r="B99" s="79" t="s">
        <v>1056</v>
      </c>
      <c r="C99" s="80" t="n">
        <v>202408</v>
      </c>
      <c r="D99" s="81" t="n">
        <v>45505</v>
      </c>
      <c r="E99" s="82" t="n">
        <v>11005.022</v>
      </c>
      <c r="F99" s="80" t="n">
        <v>26</v>
      </c>
      <c r="G99" s="79" t="s">
        <v>1091</v>
      </c>
    </row>
    <row r="100" customFormat="false" ht="15" hidden="false" customHeight="false" outlineLevel="0" collapsed="false">
      <c r="A100" s="79" t="s">
        <v>341</v>
      </c>
      <c r="B100" s="79" t="s">
        <v>1058</v>
      </c>
      <c r="C100" s="80" t="n">
        <v>202407</v>
      </c>
      <c r="D100" s="81" t="n">
        <v>45474</v>
      </c>
      <c r="E100" s="82" t="n">
        <v>10003.61</v>
      </c>
      <c r="F100" s="80" t="n">
        <v>27</v>
      </c>
      <c r="G100" s="79" t="s">
        <v>1092</v>
      </c>
    </row>
    <row r="101" customFormat="false" ht="15" hidden="false" customHeight="false" outlineLevel="0" collapsed="false">
      <c r="A101" s="79" t="s">
        <v>341</v>
      </c>
      <c r="B101" s="79" t="s">
        <v>1060</v>
      </c>
      <c r="C101" s="80" t="n">
        <v>202406</v>
      </c>
      <c r="D101" s="81" t="n">
        <v>45444</v>
      </c>
      <c r="E101" s="82" t="n">
        <v>10711.943</v>
      </c>
      <c r="F101" s="80" t="n">
        <v>28</v>
      </c>
      <c r="G101" s="79" t="s">
        <v>1093</v>
      </c>
    </row>
    <row r="102" customFormat="false" ht="15" hidden="false" customHeight="false" outlineLevel="0" collapsed="false">
      <c r="A102" s="79" t="s">
        <v>341</v>
      </c>
      <c r="B102" s="79" t="s">
        <v>1062</v>
      </c>
      <c r="C102" s="80" t="n">
        <v>202405</v>
      </c>
      <c r="D102" s="81" t="n">
        <v>45413</v>
      </c>
      <c r="E102" s="82" t="n">
        <v>10703.166</v>
      </c>
      <c r="F102" s="80" t="n">
        <v>29</v>
      </c>
      <c r="G102" s="79" t="s">
        <v>1094</v>
      </c>
    </row>
    <row r="103" customFormat="false" ht="15" hidden="false" customHeight="false" outlineLevel="0" collapsed="false">
      <c r="A103" s="79" t="s">
        <v>341</v>
      </c>
      <c r="B103" s="79" t="s">
        <v>1064</v>
      </c>
      <c r="C103" s="80" t="n">
        <v>202404</v>
      </c>
      <c r="D103" s="81" t="n">
        <v>45383</v>
      </c>
      <c r="E103" s="82" t="n">
        <v>10023.146</v>
      </c>
      <c r="F103" s="80" t="n">
        <v>30</v>
      </c>
      <c r="G103" s="79" t="s">
        <v>1095</v>
      </c>
    </row>
    <row r="104" customFormat="false" ht="15" hidden="false" customHeight="false" outlineLevel="0" collapsed="false">
      <c r="A104" s="79" t="s">
        <v>341</v>
      </c>
      <c r="B104" s="79" t="s">
        <v>1066</v>
      </c>
      <c r="C104" s="80" t="n">
        <v>202403</v>
      </c>
      <c r="D104" s="81" t="n">
        <v>45352</v>
      </c>
      <c r="E104" s="82" t="n">
        <v>8460.627</v>
      </c>
      <c r="F104" s="80" t="n">
        <v>31</v>
      </c>
      <c r="G104" s="79" t="s">
        <v>1096</v>
      </c>
    </row>
    <row r="105" customFormat="false" ht="15" hidden="false" customHeight="false" outlineLevel="0" collapsed="false">
      <c r="A105" s="79" t="s">
        <v>341</v>
      </c>
      <c r="B105" s="79" t="s">
        <v>1068</v>
      </c>
      <c r="C105" s="80" t="n">
        <v>202402</v>
      </c>
      <c r="D105" s="81" t="n">
        <v>45323</v>
      </c>
      <c r="E105" s="82" t="n">
        <v>10020.808</v>
      </c>
      <c r="F105" s="80" t="n">
        <v>32</v>
      </c>
      <c r="G105" s="79" t="s">
        <v>1097</v>
      </c>
    </row>
    <row r="106" customFormat="false" ht="15" hidden="false" customHeight="false" outlineLevel="0" collapsed="false">
      <c r="A106" s="79" t="s">
        <v>341</v>
      </c>
      <c r="B106" s="79" t="s">
        <v>1070</v>
      </c>
      <c r="C106" s="80" t="n">
        <v>202401</v>
      </c>
      <c r="D106" s="81" t="n">
        <v>45292</v>
      </c>
      <c r="E106" s="82" t="n">
        <v>8948.352</v>
      </c>
      <c r="F106" s="80" t="n">
        <v>33</v>
      </c>
      <c r="G106" s="79" t="s">
        <v>1098</v>
      </c>
    </row>
    <row r="107" customFormat="false" ht="15" hidden="false" customHeight="false" outlineLevel="0" collapsed="false">
      <c r="A107" s="79" t="s">
        <v>341</v>
      </c>
      <c r="B107" s="79" t="s">
        <v>1072</v>
      </c>
      <c r="C107" s="80" t="n">
        <v>202312</v>
      </c>
      <c r="D107" s="81" t="n">
        <v>45261</v>
      </c>
      <c r="E107" s="82" t="n">
        <v>9350.393</v>
      </c>
      <c r="F107" s="80" t="n">
        <v>34</v>
      </c>
      <c r="G107" s="79" t="s">
        <v>1099</v>
      </c>
    </row>
    <row r="108" customFormat="false" ht="15" hidden="false" customHeight="false" outlineLevel="0" collapsed="false">
      <c r="A108" s="79" t="s">
        <v>341</v>
      </c>
      <c r="B108" s="79" t="s">
        <v>1074</v>
      </c>
      <c r="C108" s="80" t="n">
        <v>202311</v>
      </c>
      <c r="D108" s="81" t="n">
        <v>45231</v>
      </c>
      <c r="E108" s="82" t="n">
        <v>9061.774</v>
      </c>
      <c r="F108" s="80" t="n">
        <v>35</v>
      </c>
      <c r="G108" s="79" t="s">
        <v>1100</v>
      </c>
    </row>
    <row r="109" customFormat="false" ht="15" hidden="false" customHeight="false" outlineLevel="0" collapsed="false">
      <c r="A109" s="79" t="s">
        <v>341</v>
      </c>
      <c r="B109" s="79" t="s">
        <v>1076</v>
      </c>
      <c r="C109" s="80" t="n">
        <v>202310</v>
      </c>
      <c r="D109" s="81" t="n">
        <v>45200</v>
      </c>
      <c r="E109" s="82" t="n">
        <v>9460.962</v>
      </c>
      <c r="F109" s="80" t="n">
        <v>36</v>
      </c>
      <c r="G109" s="79" t="s">
        <v>1101</v>
      </c>
    </row>
    <row r="110" customFormat="false" ht="15" hidden="false" customHeight="false" outlineLevel="0" collapsed="false">
      <c r="A110" s="79" t="s">
        <v>79</v>
      </c>
      <c r="B110" s="79" t="s">
        <v>1030</v>
      </c>
      <c r="C110" s="80" t="n">
        <v>202609</v>
      </c>
      <c r="D110" s="81" t="n">
        <v>46266</v>
      </c>
      <c r="E110" s="82" t="n">
        <v>514805.337</v>
      </c>
      <c r="F110" s="80" t="n">
        <v>1</v>
      </c>
      <c r="G110" s="79" t="s">
        <v>368</v>
      </c>
    </row>
    <row r="111" customFormat="false" ht="15" hidden="false" customHeight="false" outlineLevel="0" collapsed="false">
      <c r="A111" s="79" t="s">
        <v>79</v>
      </c>
      <c r="B111" s="79" t="s">
        <v>1031</v>
      </c>
      <c r="C111" s="80" t="n">
        <v>202608</v>
      </c>
      <c r="D111" s="81" t="n">
        <v>46235</v>
      </c>
      <c r="E111" s="82" t="n">
        <v>467580.548</v>
      </c>
      <c r="F111" s="80" t="n">
        <v>2</v>
      </c>
      <c r="G111" s="79" t="s">
        <v>369</v>
      </c>
    </row>
    <row r="112" customFormat="false" ht="15" hidden="false" customHeight="false" outlineLevel="0" collapsed="false">
      <c r="A112" s="79" t="s">
        <v>79</v>
      </c>
      <c r="B112" s="79" t="s">
        <v>1032</v>
      </c>
      <c r="C112" s="80" t="n">
        <v>202607</v>
      </c>
      <c r="D112" s="81" t="n">
        <v>46204</v>
      </c>
      <c r="E112" s="82" t="n">
        <v>442679.969</v>
      </c>
      <c r="F112" s="80" t="n">
        <v>3</v>
      </c>
      <c r="G112" s="79" t="s">
        <v>370</v>
      </c>
    </row>
    <row r="113" customFormat="false" ht="15" hidden="false" customHeight="false" outlineLevel="0" collapsed="false">
      <c r="A113" s="79" t="s">
        <v>79</v>
      </c>
      <c r="B113" s="79" t="s">
        <v>1033</v>
      </c>
      <c r="C113" s="80" t="n">
        <v>202606</v>
      </c>
      <c r="D113" s="81" t="n">
        <v>46174</v>
      </c>
      <c r="E113" s="82" t="n">
        <v>416975.163</v>
      </c>
      <c r="F113" s="80" t="n">
        <v>4</v>
      </c>
      <c r="G113" s="79" t="s">
        <v>371</v>
      </c>
    </row>
    <row r="114" customFormat="false" ht="15" hidden="false" customHeight="false" outlineLevel="0" collapsed="false">
      <c r="A114" s="79" t="s">
        <v>79</v>
      </c>
      <c r="B114" s="79" t="s">
        <v>1034</v>
      </c>
      <c r="C114" s="80" t="n">
        <v>202605</v>
      </c>
      <c r="D114" s="81" t="n">
        <v>46143</v>
      </c>
      <c r="E114" s="82" t="n">
        <v>410725.118</v>
      </c>
      <c r="F114" s="80" t="n">
        <v>5</v>
      </c>
      <c r="G114" s="79" t="s">
        <v>372</v>
      </c>
    </row>
    <row r="115" customFormat="false" ht="15" hidden="false" customHeight="false" outlineLevel="0" collapsed="false">
      <c r="A115" s="79" t="s">
        <v>79</v>
      </c>
      <c r="B115" s="79" t="s">
        <v>1035</v>
      </c>
      <c r="C115" s="80" t="n">
        <v>202604</v>
      </c>
      <c r="D115" s="81" t="n">
        <v>46113</v>
      </c>
      <c r="E115" s="82" t="n">
        <v>415191.699</v>
      </c>
      <c r="F115" s="80" t="n">
        <v>6</v>
      </c>
      <c r="G115" s="79" t="s">
        <v>373</v>
      </c>
    </row>
    <row r="116" customFormat="false" ht="15" hidden="false" customHeight="false" outlineLevel="0" collapsed="false">
      <c r="A116" s="79" t="s">
        <v>79</v>
      </c>
      <c r="B116" s="79" t="s">
        <v>1036</v>
      </c>
      <c r="C116" s="80" t="n">
        <v>202603</v>
      </c>
      <c r="D116" s="81" t="n">
        <v>46082</v>
      </c>
      <c r="E116" s="82" t="n">
        <v>317656.613</v>
      </c>
      <c r="F116" s="80" t="n">
        <v>7</v>
      </c>
      <c r="G116" s="79" t="s">
        <v>374</v>
      </c>
    </row>
    <row r="117" customFormat="false" ht="15" hidden="false" customHeight="false" outlineLevel="0" collapsed="false">
      <c r="A117" s="79" t="s">
        <v>79</v>
      </c>
      <c r="B117" s="79" t="s">
        <v>1037</v>
      </c>
      <c r="C117" s="80" t="n">
        <v>202602</v>
      </c>
      <c r="D117" s="81" t="n">
        <v>46054</v>
      </c>
      <c r="E117" s="82" t="n">
        <v>401255.128</v>
      </c>
      <c r="F117" s="80" t="n">
        <v>8</v>
      </c>
      <c r="G117" s="79" t="s">
        <v>375</v>
      </c>
    </row>
    <row r="118" customFormat="false" ht="15" hidden="false" customHeight="false" outlineLevel="0" collapsed="false">
      <c r="A118" s="79" t="s">
        <v>79</v>
      </c>
      <c r="B118" s="79" t="s">
        <v>1038</v>
      </c>
      <c r="C118" s="80" t="n">
        <v>202601</v>
      </c>
      <c r="D118" s="81" t="n">
        <v>46023</v>
      </c>
      <c r="E118" s="82" t="n">
        <v>335003.568</v>
      </c>
      <c r="F118" s="80" t="n">
        <v>9</v>
      </c>
      <c r="G118" s="79" t="s">
        <v>376</v>
      </c>
    </row>
    <row r="119" customFormat="false" ht="15" hidden="false" customHeight="false" outlineLevel="0" collapsed="false">
      <c r="A119" s="79" t="s">
        <v>79</v>
      </c>
      <c r="B119" s="79" t="s">
        <v>1039</v>
      </c>
      <c r="C119" s="80" t="n">
        <v>202512</v>
      </c>
      <c r="D119" s="81" t="n">
        <v>45992</v>
      </c>
      <c r="E119" s="82" t="n">
        <v>343613.802</v>
      </c>
      <c r="F119" s="80" t="n">
        <v>10</v>
      </c>
      <c r="G119" s="79" t="s">
        <v>377</v>
      </c>
    </row>
    <row r="120" customFormat="false" ht="15" hidden="false" customHeight="false" outlineLevel="0" collapsed="false">
      <c r="A120" s="79" t="s">
        <v>79</v>
      </c>
      <c r="B120" s="79" t="s">
        <v>1040</v>
      </c>
      <c r="C120" s="80" t="n">
        <v>202511</v>
      </c>
      <c r="D120" s="81" t="n">
        <v>45962</v>
      </c>
      <c r="E120" s="82" t="n">
        <v>367473.051</v>
      </c>
      <c r="F120" s="80" t="n">
        <v>11</v>
      </c>
      <c r="G120" s="79" t="s">
        <v>378</v>
      </c>
    </row>
    <row r="121" customFormat="false" ht="15" hidden="false" customHeight="false" outlineLevel="0" collapsed="false">
      <c r="A121" s="79" t="s">
        <v>79</v>
      </c>
      <c r="B121" s="79" t="s">
        <v>1041</v>
      </c>
      <c r="C121" s="80" t="n">
        <v>202510</v>
      </c>
      <c r="D121" s="81" t="n">
        <v>45931</v>
      </c>
      <c r="E121" s="82" t="n">
        <v>330980.92</v>
      </c>
      <c r="F121" s="80" t="n">
        <v>12</v>
      </c>
      <c r="G121" s="79" t="s">
        <v>379</v>
      </c>
    </row>
    <row r="122" customFormat="false" ht="15" hidden="false" customHeight="false" outlineLevel="0" collapsed="false">
      <c r="A122" s="79" t="s">
        <v>79</v>
      </c>
      <c r="B122" s="79" t="s">
        <v>1042</v>
      </c>
      <c r="C122" s="80" t="n">
        <v>202509</v>
      </c>
      <c r="D122" s="81" t="n">
        <v>45901</v>
      </c>
      <c r="E122" s="82" t="n">
        <v>335771.691</v>
      </c>
      <c r="F122" s="80" t="n">
        <v>13</v>
      </c>
      <c r="G122" s="79" t="s">
        <v>380</v>
      </c>
    </row>
    <row r="123" customFormat="false" ht="15" hidden="false" customHeight="false" outlineLevel="0" collapsed="false">
      <c r="A123" s="79" t="s">
        <v>79</v>
      </c>
      <c r="B123" s="79" t="s">
        <v>1043</v>
      </c>
      <c r="C123" s="80" t="n">
        <v>202508</v>
      </c>
      <c r="D123" s="81" t="n">
        <v>45870</v>
      </c>
      <c r="E123" s="82" t="n">
        <v>323165.707</v>
      </c>
      <c r="F123" s="80" t="n">
        <v>14</v>
      </c>
      <c r="G123" s="79" t="s">
        <v>381</v>
      </c>
    </row>
    <row r="124" customFormat="false" ht="15" hidden="false" customHeight="false" outlineLevel="0" collapsed="false">
      <c r="A124" s="79" t="s">
        <v>79</v>
      </c>
      <c r="B124" s="79" t="s">
        <v>1044</v>
      </c>
      <c r="C124" s="80" t="n">
        <v>202507</v>
      </c>
      <c r="D124" s="81" t="n">
        <v>45839</v>
      </c>
      <c r="E124" s="82" t="n">
        <v>263708.978</v>
      </c>
      <c r="F124" s="80" t="n">
        <v>15</v>
      </c>
      <c r="G124" s="79" t="s">
        <v>382</v>
      </c>
    </row>
    <row r="125" customFormat="false" ht="15" hidden="false" customHeight="false" outlineLevel="0" collapsed="false">
      <c r="A125" s="79" t="s">
        <v>79</v>
      </c>
      <c r="B125" s="79" t="s">
        <v>1045</v>
      </c>
      <c r="C125" s="80" t="n">
        <v>202506</v>
      </c>
      <c r="D125" s="81" t="n">
        <v>45809</v>
      </c>
      <c r="E125" s="82" t="n">
        <v>320515.951</v>
      </c>
      <c r="F125" s="80" t="n">
        <v>16</v>
      </c>
      <c r="G125" s="79" t="s">
        <v>383</v>
      </c>
    </row>
    <row r="126" customFormat="false" ht="15" hidden="false" customHeight="false" outlineLevel="0" collapsed="false">
      <c r="A126" s="79" t="s">
        <v>79</v>
      </c>
      <c r="B126" s="79" t="s">
        <v>1046</v>
      </c>
      <c r="C126" s="80" t="n">
        <v>202505</v>
      </c>
      <c r="D126" s="81" t="n">
        <v>45778</v>
      </c>
      <c r="E126" s="82" t="n">
        <v>349566.94</v>
      </c>
      <c r="F126" s="80" t="n">
        <v>17</v>
      </c>
      <c r="G126" s="79" t="s">
        <v>384</v>
      </c>
    </row>
    <row r="127" customFormat="false" ht="15" hidden="false" customHeight="false" outlineLevel="0" collapsed="false">
      <c r="A127" s="79" t="s">
        <v>79</v>
      </c>
      <c r="B127" s="79" t="s">
        <v>1047</v>
      </c>
      <c r="C127" s="80" t="n">
        <v>202504</v>
      </c>
      <c r="D127" s="81" t="n">
        <v>45748</v>
      </c>
      <c r="E127" s="82" t="n">
        <v>285956.83</v>
      </c>
      <c r="F127" s="80" t="n">
        <v>18</v>
      </c>
      <c r="G127" s="79" t="s">
        <v>385</v>
      </c>
    </row>
    <row r="128" customFormat="false" ht="15" hidden="false" customHeight="false" outlineLevel="0" collapsed="false">
      <c r="A128" s="79" t="s">
        <v>79</v>
      </c>
      <c r="B128" s="79" t="s">
        <v>1048</v>
      </c>
      <c r="C128" s="80" t="n">
        <v>202503</v>
      </c>
      <c r="D128" s="81" t="n">
        <v>45717</v>
      </c>
      <c r="E128" s="82" t="n">
        <v>260008.796</v>
      </c>
      <c r="F128" s="80" t="n">
        <v>19</v>
      </c>
      <c r="G128" s="79" t="s">
        <v>386</v>
      </c>
    </row>
    <row r="129" customFormat="false" ht="15" hidden="false" customHeight="false" outlineLevel="0" collapsed="false">
      <c r="A129" s="79" t="s">
        <v>79</v>
      </c>
      <c r="B129" s="79" t="s">
        <v>1049</v>
      </c>
      <c r="C129" s="80" t="n">
        <v>202502</v>
      </c>
      <c r="D129" s="81" t="n">
        <v>45689</v>
      </c>
      <c r="E129" s="82" t="n">
        <v>293288.038</v>
      </c>
      <c r="F129" s="80" t="n">
        <v>20</v>
      </c>
      <c r="G129" s="79" t="s">
        <v>387</v>
      </c>
    </row>
    <row r="130" customFormat="false" ht="15" hidden="false" customHeight="false" outlineLevel="0" collapsed="false">
      <c r="A130" s="79" t="s">
        <v>79</v>
      </c>
      <c r="B130" s="79" t="s">
        <v>1050</v>
      </c>
      <c r="C130" s="80" t="n">
        <v>202501</v>
      </c>
      <c r="D130" s="81" t="n">
        <v>45658</v>
      </c>
      <c r="E130" s="82" t="n">
        <v>278163.107</v>
      </c>
      <c r="F130" s="80" t="n">
        <v>21</v>
      </c>
      <c r="G130" s="79" t="s">
        <v>388</v>
      </c>
    </row>
    <row r="131" customFormat="false" ht="15" hidden="false" customHeight="false" outlineLevel="0" collapsed="false">
      <c r="A131" s="79" t="s">
        <v>79</v>
      </c>
      <c r="B131" s="79" t="s">
        <v>1051</v>
      </c>
      <c r="C131" s="80" t="n">
        <v>202412</v>
      </c>
      <c r="D131" s="81" t="n">
        <v>45627</v>
      </c>
      <c r="E131" s="82" t="n">
        <v>276058.358</v>
      </c>
      <c r="F131" s="80" t="n">
        <v>22</v>
      </c>
      <c r="G131" s="79" t="s">
        <v>389</v>
      </c>
    </row>
    <row r="132" customFormat="false" ht="15" hidden="false" customHeight="false" outlineLevel="0" collapsed="false">
      <c r="A132" s="79" t="s">
        <v>79</v>
      </c>
      <c r="B132" s="79" t="s">
        <v>1052</v>
      </c>
      <c r="C132" s="80" t="n">
        <v>202411</v>
      </c>
      <c r="D132" s="81" t="n">
        <v>45597</v>
      </c>
      <c r="E132" s="82" t="n">
        <v>314239.713</v>
      </c>
      <c r="F132" s="80" t="n">
        <v>23</v>
      </c>
      <c r="G132" s="79" t="s">
        <v>390</v>
      </c>
    </row>
    <row r="133" customFormat="false" ht="15" hidden="false" customHeight="false" outlineLevel="0" collapsed="false">
      <c r="A133" s="79" t="s">
        <v>79</v>
      </c>
      <c r="B133" s="79" t="s">
        <v>1053</v>
      </c>
      <c r="C133" s="80" t="n">
        <v>202410</v>
      </c>
      <c r="D133" s="81" t="n">
        <v>45566</v>
      </c>
      <c r="E133" s="82" t="n">
        <v>251872.717</v>
      </c>
      <c r="F133" s="80" t="n">
        <v>24</v>
      </c>
      <c r="G133" s="79" t="s">
        <v>391</v>
      </c>
    </row>
    <row r="134" customFormat="false" ht="15" hidden="false" customHeight="false" outlineLevel="0" collapsed="false">
      <c r="A134" s="79" t="s">
        <v>79</v>
      </c>
      <c r="B134" s="79" t="s">
        <v>1054</v>
      </c>
      <c r="C134" s="80" t="n">
        <v>202409</v>
      </c>
      <c r="D134" s="81" t="n">
        <v>45536</v>
      </c>
      <c r="E134" s="82" t="n">
        <v>250866.368</v>
      </c>
      <c r="F134" s="80" t="n">
        <v>25</v>
      </c>
      <c r="G134" s="79" t="s">
        <v>1102</v>
      </c>
    </row>
    <row r="135" customFormat="false" ht="15" hidden="false" customHeight="false" outlineLevel="0" collapsed="false">
      <c r="A135" s="79" t="s">
        <v>79</v>
      </c>
      <c r="B135" s="79" t="s">
        <v>1056</v>
      </c>
      <c r="C135" s="80" t="n">
        <v>202408</v>
      </c>
      <c r="D135" s="81" t="n">
        <v>45505</v>
      </c>
      <c r="E135" s="82" t="n">
        <v>256953.058</v>
      </c>
      <c r="F135" s="80" t="n">
        <v>26</v>
      </c>
      <c r="G135" s="79" t="s">
        <v>1103</v>
      </c>
    </row>
    <row r="136" customFormat="false" ht="15" hidden="false" customHeight="false" outlineLevel="0" collapsed="false">
      <c r="A136" s="79" t="s">
        <v>79</v>
      </c>
      <c r="B136" s="79" t="s">
        <v>1058</v>
      </c>
      <c r="C136" s="80" t="n">
        <v>202407</v>
      </c>
      <c r="D136" s="81" t="n">
        <v>45474</v>
      </c>
      <c r="E136" s="82" t="n">
        <v>207868.693</v>
      </c>
      <c r="F136" s="80" t="n">
        <v>27</v>
      </c>
      <c r="G136" s="79" t="s">
        <v>1104</v>
      </c>
    </row>
    <row r="137" customFormat="false" ht="15" hidden="false" customHeight="false" outlineLevel="0" collapsed="false">
      <c r="A137" s="79" t="s">
        <v>79</v>
      </c>
      <c r="B137" s="79" t="s">
        <v>1060</v>
      </c>
      <c r="C137" s="80" t="n">
        <v>202406</v>
      </c>
      <c r="D137" s="81" t="n">
        <v>45444</v>
      </c>
      <c r="E137" s="82" t="n">
        <v>229620.372</v>
      </c>
      <c r="F137" s="80" t="n">
        <v>28</v>
      </c>
      <c r="G137" s="79" t="s">
        <v>1105</v>
      </c>
    </row>
    <row r="138" customFormat="false" ht="15" hidden="false" customHeight="false" outlineLevel="0" collapsed="false">
      <c r="A138" s="79" t="s">
        <v>79</v>
      </c>
      <c r="B138" s="79" t="s">
        <v>1062</v>
      </c>
      <c r="C138" s="80" t="n">
        <v>202405</v>
      </c>
      <c r="D138" s="81" t="n">
        <v>45413</v>
      </c>
      <c r="E138" s="82" t="n">
        <v>236021.112</v>
      </c>
      <c r="F138" s="80" t="n">
        <v>29</v>
      </c>
      <c r="G138" s="79" t="s">
        <v>1106</v>
      </c>
    </row>
    <row r="139" customFormat="false" ht="15" hidden="false" customHeight="false" outlineLevel="0" collapsed="false">
      <c r="A139" s="79" t="s">
        <v>79</v>
      </c>
      <c r="B139" s="79" t="s">
        <v>1064</v>
      </c>
      <c r="C139" s="80" t="n">
        <v>202404</v>
      </c>
      <c r="D139" s="81" t="n">
        <v>45383</v>
      </c>
      <c r="E139" s="82" t="n">
        <v>195210.804</v>
      </c>
      <c r="F139" s="80" t="n">
        <v>30</v>
      </c>
      <c r="G139" s="79" t="s">
        <v>1107</v>
      </c>
    </row>
    <row r="140" customFormat="false" ht="15" hidden="false" customHeight="false" outlineLevel="0" collapsed="false">
      <c r="A140" s="79" t="s">
        <v>79</v>
      </c>
      <c r="B140" s="79" t="s">
        <v>1066</v>
      </c>
      <c r="C140" s="80" t="n">
        <v>202403</v>
      </c>
      <c r="D140" s="81" t="n">
        <v>45352</v>
      </c>
      <c r="E140" s="82" t="n">
        <v>181648.27</v>
      </c>
      <c r="F140" s="80" t="n">
        <v>31</v>
      </c>
      <c r="G140" s="79" t="s">
        <v>1108</v>
      </c>
    </row>
    <row r="141" customFormat="false" ht="15" hidden="false" customHeight="false" outlineLevel="0" collapsed="false">
      <c r="A141" s="79" t="s">
        <v>79</v>
      </c>
      <c r="B141" s="79" t="s">
        <v>1068</v>
      </c>
      <c r="C141" s="80" t="n">
        <v>202402</v>
      </c>
      <c r="D141" s="81" t="n">
        <v>45323</v>
      </c>
      <c r="E141" s="82" t="n">
        <v>215785.127</v>
      </c>
      <c r="F141" s="80" t="n">
        <v>32</v>
      </c>
      <c r="G141" s="79" t="s">
        <v>1109</v>
      </c>
    </row>
    <row r="142" customFormat="false" ht="15" hidden="false" customHeight="false" outlineLevel="0" collapsed="false">
      <c r="A142" s="79" t="s">
        <v>79</v>
      </c>
      <c r="B142" s="79" t="s">
        <v>1070</v>
      </c>
      <c r="C142" s="80" t="n">
        <v>202401</v>
      </c>
      <c r="D142" s="81" t="n">
        <v>45292</v>
      </c>
      <c r="E142" s="82" t="n">
        <v>176299.866</v>
      </c>
      <c r="F142" s="80" t="n">
        <v>33</v>
      </c>
      <c r="G142" s="79" t="s">
        <v>1110</v>
      </c>
    </row>
    <row r="143" customFormat="false" ht="15" hidden="false" customHeight="false" outlineLevel="0" collapsed="false">
      <c r="A143" s="79" t="s">
        <v>79</v>
      </c>
      <c r="B143" s="79" t="s">
        <v>1072</v>
      </c>
      <c r="C143" s="80" t="n">
        <v>202312</v>
      </c>
      <c r="D143" s="81" t="n">
        <v>45261</v>
      </c>
      <c r="E143" s="82" t="n">
        <v>206026.179</v>
      </c>
      <c r="F143" s="80" t="n">
        <v>34</v>
      </c>
      <c r="G143" s="79" t="s">
        <v>1111</v>
      </c>
    </row>
    <row r="144" customFormat="false" ht="15" hidden="false" customHeight="false" outlineLevel="0" collapsed="false">
      <c r="A144" s="79" t="s">
        <v>79</v>
      </c>
      <c r="B144" s="79" t="s">
        <v>1074</v>
      </c>
      <c r="C144" s="80" t="n">
        <v>202311</v>
      </c>
      <c r="D144" s="81" t="n">
        <v>45231</v>
      </c>
      <c r="E144" s="82" t="n">
        <v>243202.811</v>
      </c>
      <c r="F144" s="80" t="n">
        <v>35</v>
      </c>
      <c r="G144" s="79" t="s">
        <v>1112</v>
      </c>
    </row>
    <row r="145" customFormat="false" ht="15" hidden="false" customHeight="false" outlineLevel="0" collapsed="false">
      <c r="A145" s="79" t="s">
        <v>79</v>
      </c>
      <c r="B145" s="79" t="s">
        <v>1076</v>
      </c>
      <c r="C145" s="80" t="n">
        <v>202310</v>
      </c>
      <c r="D145" s="81" t="n">
        <v>45200</v>
      </c>
      <c r="E145" s="82" t="n">
        <v>180430.282</v>
      </c>
      <c r="F145" s="80" t="n">
        <v>36</v>
      </c>
      <c r="G145" s="79" t="s">
        <v>1113</v>
      </c>
    </row>
    <row r="146" customFormat="false" ht="15" hidden="false" customHeight="false" outlineLevel="0" collapsed="false">
      <c r="A146" s="79" t="s">
        <v>236</v>
      </c>
      <c r="B146" s="79" t="s">
        <v>1030</v>
      </c>
      <c r="C146" s="80" t="n">
        <v>202609</v>
      </c>
      <c r="D146" s="81" t="n">
        <v>46266</v>
      </c>
      <c r="E146" s="82" t="n">
        <v>27308.717</v>
      </c>
      <c r="F146" s="80" t="n">
        <v>1</v>
      </c>
      <c r="G146" s="79" t="s">
        <v>393</v>
      </c>
    </row>
    <row r="147" customFormat="false" ht="15" hidden="false" customHeight="false" outlineLevel="0" collapsed="false">
      <c r="A147" s="79" t="s">
        <v>236</v>
      </c>
      <c r="B147" s="79" t="s">
        <v>1031</v>
      </c>
      <c r="C147" s="80" t="n">
        <v>202608</v>
      </c>
      <c r="D147" s="81" t="n">
        <v>46235</v>
      </c>
      <c r="E147" s="82" t="n">
        <v>26773.179</v>
      </c>
      <c r="F147" s="80" t="n">
        <v>2</v>
      </c>
      <c r="G147" s="79" t="s">
        <v>394</v>
      </c>
    </row>
    <row r="148" customFormat="false" ht="15" hidden="false" customHeight="false" outlineLevel="0" collapsed="false">
      <c r="A148" s="79" t="s">
        <v>236</v>
      </c>
      <c r="B148" s="79" t="s">
        <v>1032</v>
      </c>
      <c r="C148" s="80" t="n">
        <v>202607</v>
      </c>
      <c r="D148" s="81" t="n">
        <v>46204</v>
      </c>
      <c r="E148" s="82" t="n">
        <v>20596.799</v>
      </c>
      <c r="F148" s="80" t="n">
        <v>3</v>
      </c>
      <c r="G148" s="79" t="s">
        <v>395</v>
      </c>
    </row>
    <row r="149" customFormat="false" ht="15" hidden="false" customHeight="false" outlineLevel="0" collapsed="false">
      <c r="A149" s="79" t="s">
        <v>236</v>
      </c>
      <c r="B149" s="79" t="s">
        <v>1033</v>
      </c>
      <c r="C149" s="80" t="n">
        <v>202606</v>
      </c>
      <c r="D149" s="81" t="n">
        <v>46174</v>
      </c>
      <c r="E149" s="82" t="n">
        <v>20001.444</v>
      </c>
      <c r="F149" s="80" t="n">
        <v>4</v>
      </c>
      <c r="G149" s="79" t="s">
        <v>396</v>
      </c>
    </row>
    <row r="150" customFormat="false" ht="15" hidden="false" customHeight="false" outlineLevel="0" collapsed="false">
      <c r="A150" s="79" t="s">
        <v>236</v>
      </c>
      <c r="B150" s="79" t="s">
        <v>1034</v>
      </c>
      <c r="C150" s="80" t="n">
        <v>202605</v>
      </c>
      <c r="D150" s="81" t="n">
        <v>46143</v>
      </c>
      <c r="E150" s="82" t="n">
        <v>19245.022</v>
      </c>
      <c r="F150" s="80" t="n">
        <v>5</v>
      </c>
      <c r="G150" s="79" t="s">
        <v>397</v>
      </c>
    </row>
    <row r="151" customFormat="false" ht="15" hidden="false" customHeight="false" outlineLevel="0" collapsed="false">
      <c r="A151" s="79" t="s">
        <v>236</v>
      </c>
      <c r="B151" s="79" t="s">
        <v>1035</v>
      </c>
      <c r="C151" s="80" t="n">
        <v>202604</v>
      </c>
      <c r="D151" s="81" t="n">
        <v>46113</v>
      </c>
      <c r="E151" s="82" t="n">
        <v>14501.399</v>
      </c>
      <c r="F151" s="80" t="n">
        <v>6</v>
      </c>
      <c r="G151" s="79" t="s">
        <v>398</v>
      </c>
    </row>
    <row r="152" customFormat="false" ht="15" hidden="false" customHeight="false" outlineLevel="0" collapsed="false">
      <c r="A152" s="79" t="s">
        <v>236</v>
      </c>
      <c r="B152" s="79" t="s">
        <v>1036</v>
      </c>
      <c r="C152" s="80" t="n">
        <v>202603</v>
      </c>
      <c r="D152" s="81" t="n">
        <v>46082</v>
      </c>
      <c r="E152" s="82" t="n">
        <v>11973.254</v>
      </c>
      <c r="F152" s="80" t="n">
        <v>7</v>
      </c>
      <c r="G152" s="79" t="s">
        <v>399</v>
      </c>
    </row>
    <row r="153" customFormat="false" ht="15" hidden="false" customHeight="false" outlineLevel="0" collapsed="false">
      <c r="A153" s="79" t="s">
        <v>236</v>
      </c>
      <c r="B153" s="79" t="s">
        <v>1037</v>
      </c>
      <c r="C153" s="80" t="n">
        <v>202602</v>
      </c>
      <c r="D153" s="81" t="n">
        <v>46054</v>
      </c>
      <c r="E153" s="82" t="n">
        <v>11778.411</v>
      </c>
      <c r="F153" s="80" t="n">
        <v>8</v>
      </c>
      <c r="G153" s="79" t="s">
        <v>400</v>
      </c>
    </row>
    <row r="154" customFormat="false" ht="15" hidden="false" customHeight="false" outlineLevel="0" collapsed="false">
      <c r="A154" s="79" t="s">
        <v>236</v>
      </c>
      <c r="B154" s="79" t="s">
        <v>1038</v>
      </c>
      <c r="C154" s="80" t="n">
        <v>202601</v>
      </c>
      <c r="D154" s="81" t="n">
        <v>46023</v>
      </c>
      <c r="E154" s="82" t="n">
        <v>9770.303</v>
      </c>
      <c r="F154" s="80" t="n">
        <v>9</v>
      </c>
      <c r="G154" s="79" t="s">
        <v>401</v>
      </c>
    </row>
    <row r="155" customFormat="false" ht="15" hidden="false" customHeight="false" outlineLevel="0" collapsed="false">
      <c r="A155" s="79" t="s">
        <v>236</v>
      </c>
      <c r="B155" s="79" t="s">
        <v>1039</v>
      </c>
      <c r="C155" s="80" t="n">
        <v>202512</v>
      </c>
      <c r="D155" s="81" t="n">
        <v>45992</v>
      </c>
      <c r="E155" s="82" t="n">
        <v>8629.567</v>
      </c>
      <c r="F155" s="80" t="n">
        <v>10</v>
      </c>
      <c r="G155" s="79" t="s">
        <v>402</v>
      </c>
    </row>
    <row r="156" customFormat="false" ht="15" hidden="false" customHeight="false" outlineLevel="0" collapsed="false">
      <c r="A156" s="79" t="s">
        <v>236</v>
      </c>
      <c r="B156" s="79" t="s">
        <v>1040</v>
      </c>
      <c r="C156" s="80" t="n">
        <v>202511</v>
      </c>
      <c r="D156" s="81" t="n">
        <v>45962</v>
      </c>
      <c r="E156" s="82" t="n">
        <v>8225.204</v>
      </c>
      <c r="F156" s="80" t="n">
        <v>11</v>
      </c>
      <c r="G156" s="79" t="s">
        <v>403</v>
      </c>
    </row>
    <row r="157" customFormat="false" ht="15" hidden="false" customHeight="false" outlineLevel="0" collapsed="false">
      <c r="A157" s="79" t="s">
        <v>236</v>
      </c>
      <c r="B157" s="79" t="s">
        <v>1041</v>
      </c>
      <c r="C157" s="80" t="n">
        <v>202510</v>
      </c>
      <c r="D157" s="81" t="n">
        <v>45931</v>
      </c>
      <c r="E157" s="82" t="n">
        <v>7920.21</v>
      </c>
      <c r="F157" s="80" t="n">
        <v>12</v>
      </c>
      <c r="G157" s="79" t="s">
        <v>404</v>
      </c>
    </row>
    <row r="158" customFormat="false" ht="15" hidden="false" customHeight="false" outlineLevel="0" collapsed="false">
      <c r="A158" s="79" t="s">
        <v>236</v>
      </c>
      <c r="B158" s="79" t="s">
        <v>1042</v>
      </c>
      <c r="C158" s="80" t="n">
        <v>202509</v>
      </c>
      <c r="D158" s="81" t="n">
        <v>45901</v>
      </c>
      <c r="E158" s="82" t="n">
        <v>7012.528</v>
      </c>
      <c r="F158" s="80" t="n">
        <v>13</v>
      </c>
      <c r="G158" s="79" t="s">
        <v>405</v>
      </c>
    </row>
    <row r="159" customFormat="false" ht="15" hidden="false" customHeight="false" outlineLevel="0" collapsed="false">
      <c r="A159" s="79" t="s">
        <v>236</v>
      </c>
      <c r="B159" s="79" t="s">
        <v>1043</v>
      </c>
      <c r="C159" s="80" t="n">
        <v>202508</v>
      </c>
      <c r="D159" s="81" t="n">
        <v>45870</v>
      </c>
      <c r="E159" s="82" t="n">
        <v>6837.785</v>
      </c>
      <c r="F159" s="80" t="n">
        <v>14</v>
      </c>
      <c r="G159" s="79" t="s">
        <v>406</v>
      </c>
    </row>
    <row r="160" customFormat="false" ht="15" hidden="false" customHeight="false" outlineLevel="0" collapsed="false">
      <c r="A160" s="79" t="s">
        <v>236</v>
      </c>
      <c r="B160" s="79" t="s">
        <v>1044</v>
      </c>
      <c r="C160" s="80" t="n">
        <v>202507</v>
      </c>
      <c r="D160" s="81" t="n">
        <v>45839</v>
      </c>
      <c r="E160" s="82" t="n">
        <v>7105.364</v>
      </c>
      <c r="F160" s="80" t="n">
        <v>15</v>
      </c>
      <c r="G160" s="79" t="s">
        <v>407</v>
      </c>
    </row>
    <row r="161" customFormat="false" ht="15" hidden="false" customHeight="false" outlineLevel="0" collapsed="false">
      <c r="A161" s="79" t="s">
        <v>236</v>
      </c>
      <c r="B161" s="79" t="s">
        <v>1045</v>
      </c>
      <c r="C161" s="80" t="n">
        <v>202506</v>
      </c>
      <c r="D161" s="81" t="n">
        <v>45809</v>
      </c>
      <c r="E161" s="82" t="n">
        <v>7093.516</v>
      </c>
      <c r="F161" s="80" t="n">
        <v>16</v>
      </c>
      <c r="G161" s="79" t="s">
        <v>408</v>
      </c>
    </row>
    <row r="162" customFormat="false" ht="15" hidden="false" customHeight="false" outlineLevel="0" collapsed="false">
      <c r="A162" s="79" t="s">
        <v>236</v>
      </c>
      <c r="B162" s="79" t="s">
        <v>1046</v>
      </c>
      <c r="C162" s="80" t="n">
        <v>202505</v>
      </c>
      <c r="D162" s="81" t="n">
        <v>45778</v>
      </c>
      <c r="E162" s="82" t="n">
        <v>6819.077</v>
      </c>
      <c r="F162" s="80" t="n">
        <v>17</v>
      </c>
      <c r="G162" s="79" t="s">
        <v>409</v>
      </c>
    </row>
    <row r="163" customFormat="false" ht="15" hidden="false" customHeight="false" outlineLevel="0" collapsed="false">
      <c r="A163" s="79" t="s">
        <v>236</v>
      </c>
      <c r="B163" s="79" t="s">
        <v>1047</v>
      </c>
      <c r="C163" s="80" t="n">
        <v>202504</v>
      </c>
      <c r="D163" s="81" t="n">
        <v>45748</v>
      </c>
      <c r="E163" s="82" t="n">
        <v>7572.802</v>
      </c>
      <c r="F163" s="80" t="n">
        <v>18</v>
      </c>
      <c r="G163" s="79" t="s">
        <v>410</v>
      </c>
    </row>
    <row r="164" customFormat="false" ht="15" hidden="false" customHeight="false" outlineLevel="0" collapsed="false">
      <c r="A164" s="79" t="s">
        <v>236</v>
      </c>
      <c r="B164" s="79" t="s">
        <v>1048</v>
      </c>
      <c r="C164" s="80" t="n">
        <v>202503</v>
      </c>
      <c r="D164" s="81" t="n">
        <v>45717</v>
      </c>
      <c r="E164" s="82" t="n">
        <v>6353.503</v>
      </c>
      <c r="F164" s="80" t="n">
        <v>19</v>
      </c>
      <c r="G164" s="79" t="s">
        <v>411</v>
      </c>
    </row>
    <row r="165" customFormat="false" ht="15" hidden="false" customHeight="false" outlineLevel="0" collapsed="false">
      <c r="A165" s="79" t="s">
        <v>236</v>
      </c>
      <c r="B165" s="79" t="s">
        <v>1049</v>
      </c>
      <c r="C165" s="80" t="n">
        <v>202502</v>
      </c>
      <c r="D165" s="81" t="n">
        <v>45689</v>
      </c>
      <c r="E165" s="82" t="n">
        <v>6066.312</v>
      </c>
      <c r="F165" s="80" t="n">
        <v>20</v>
      </c>
      <c r="G165" s="79" t="s">
        <v>412</v>
      </c>
    </row>
    <row r="166" customFormat="false" ht="15" hidden="false" customHeight="false" outlineLevel="0" collapsed="false">
      <c r="A166" s="79" t="s">
        <v>236</v>
      </c>
      <c r="B166" s="79" t="s">
        <v>1050</v>
      </c>
      <c r="C166" s="80" t="n">
        <v>202501</v>
      </c>
      <c r="D166" s="81" t="n">
        <v>45658</v>
      </c>
      <c r="E166" s="82" t="n">
        <v>6372.253</v>
      </c>
      <c r="F166" s="80" t="n">
        <v>21</v>
      </c>
      <c r="G166" s="79" t="s">
        <v>413</v>
      </c>
    </row>
    <row r="167" customFormat="false" ht="15" hidden="false" customHeight="false" outlineLevel="0" collapsed="false">
      <c r="A167" s="79" t="s">
        <v>236</v>
      </c>
      <c r="B167" s="79" t="s">
        <v>1051</v>
      </c>
      <c r="C167" s="80" t="n">
        <v>202412</v>
      </c>
      <c r="D167" s="81" t="n">
        <v>45627</v>
      </c>
      <c r="E167" s="82" t="n">
        <v>6221.805</v>
      </c>
      <c r="F167" s="80" t="n">
        <v>22</v>
      </c>
      <c r="G167" s="79" t="s">
        <v>414</v>
      </c>
    </row>
    <row r="168" customFormat="false" ht="15" hidden="false" customHeight="false" outlineLevel="0" collapsed="false">
      <c r="A168" s="79" t="s">
        <v>236</v>
      </c>
      <c r="B168" s="79" t="s">
        <v>1052</v>
      </c>
      <c r="C168" s="80" t="n">
        <v>202411</v>
      </c>
      <c r="D168" s="81" t="n">
        <v>45597</v>
      </c>
      <c r="E168" s="82" t="n">
        <v>6097.945</v>
      </c>
      <c r="F168" s="80" t="n">
        <v>23</v>
      </c>
      <c r="G168" s="79" t="s">
        <v>415</v>
      </c>
    </row>
    <row r="169" customFormat="false" ht="15" hidden="false" customHeight="false" outlineLevel="0" collapsed="false">
      <c r="A169" s="79" t="s">
        <v>236</v>
      </c>
      <c r="B169" s="79" t="s">
        <v>1053</v>
      </c>
      <c r="C169" s="80" t="n">
        <v>202410</v>
      </c>
      <c r="D169" s="81" t="n">
        <v>45566</v>
      </c>
      <c r="E169" s="82" t="n">
        <v>7231.483</v>
      </c>
      <c r="F169" s="80" t="n">
        <v>24</v>
      </c>
      <c r="G169" s="79" t="s">
        <v>416</v>
      </c>
    </row>
    <row r="170" customFormat="false" ht="15" hidden="false" customHeight="false" outlineLevel="0" collapsed="false">
      <c r="A170" s="79" t="s">
        <v>236</v>
      </c>
      <c r="B170" s="79" t="s">
        <v>1054</v>
      </c>
      <c r="C170" s="80" t="n">
        <v>202409</v>
      </c>
      <c r="D170" s="81" t="n">
        <v>45536</v>
      </c>
      <c r="E170" s="82" t="n">
        <v>6997.545</v>
      </c>
      <c r="F170" s="80" t="n">
        <v>25</v>
      </c>
      <c r="G170" s="79" t="s">
        <v>1114</v>
      </c>
    </row>
    <row r="171" customFormat="false" ht="15" hidden="false" customHeight="false" outlineLevel="0" collapsed="false">
      <c r="A171" s="79" t="s">
        <v>236</v>
      </c>
      <c r="B171" s="79" t="s">
        <v>1056</v>
      </c>
      <c r="C171" s="80" t="n">
        <v>202408</v>
      </c>
      <c r="D171" s="81" t="n">
        <v>45505</v>
      </c>
      <c r="E171" s="82" t="n">
        <v>7083.403</v>
      </c>
      <c r="F171" s="80" t="n">
        <v>26</v>
      </c>
      <c r="G171" s="79" t="s">
        <v>1115</v>
      </c>
    </row>
    <row r="172" customFormat="false" ht="15" hidden="false" customHeight="false" outlineLevel="0" collapsed="false">
      <c r="A172" s="79" t="s">
        <v>236</v>
      </c>
      <c r="B172" s="79" t="s">
        <v>1058</v>
      </c>
      <c r="C172" s="80" t="n">
        <v>202407</v>
      </c>
      <c r="D172" s="81" t="n">
        <v>45474</v>
      </c>
      <c r="E172" s="82" t="n">
        <v>7377.553</v>
      </c>
      <c r="F172" s="80" t="n">
        <v>27</v>
      </c>
      <c r="G172" s="79" t="s">
        <v>1116</v>
      </c>
    </row>
    <row r="173" customFormat="false" ht="15" hidden="false" customHeight="false" outlineLevel="0" collapsed="false">
      <c r="A173" s="79" t="s">
        <v>236</v>
      </c>
      <c r="B173" s="79" t="s">
        <v>1060</v>
      </c>
      <c r="C173" s="80" t="n">
        <v>202406</v>
      </c>
      <c r="D173" s="81" t="n">
        <v>45444</v>
      </c>
      <c r="E173" s="82" t="n">
        <v>7125.163</v>
      </c>
      <c r="F173" s="80" t="n">
        <v>28</v>
      </c>
      <c r="G173" s="79" t="s">
        <v>1117</v>
      </c>
    </row>
    <row r="174" customFormat="false" ht="15" hidden="false" customHeight="false" outlineLevel="0" collapsed="false">
      <c r="A174" s="79" t="s">
        <v>236</v>
      </c>
      <c r="B174" s="79" t="s">
        <v>1062</v>
      </c>
      <c r="C174" s="80" t="n">
        <v>202405</v>
      </c>
      <c r="D174" s="81" t="n">
        <v>45413</v>
      </c>
      <c r="E174" s="82" t="n">
        <v>6981.267</v>
      </c>
      <c r="F174" s="80" t="n">
        <v>29</v>
      </c>
      <c r="G174" s="79" t="s">
        <v>1118</v>
      </c>
    </row>
    <row r="175" customFormat="false" ht="15" hidden="false" customHeight="false" outlineLevel="0" collapsed="false">
      <c r="A175" s="79" t="s">
        <v>236</v>
      </c>
      <c r="B175" s="79" t="s">
        <v>1064</v>
      </c>
      <c r="C175" s="80" t="n">
        <v>202404</v>
      </c>
      <c r="D175" s="81" t="n">
        <v>45383</v>
      </c>
      <c r="E175" s="82" t="n">
        <v>7511.33</v>
      </c>
      <c r="F175" s="80" t="n">
        <v>30</v>
      </c>
      <c r="G175" s="79" t="s">
        <v>1119</v>
      </c>
    </row>
    <row r="176" customFormat="false" ht="15" hidden="false" customHeight="false" outlineLevel="0" collapsed="false">
      <c r="A176" s="79" t="s">
        <v>236</v>
      </c>
      <c r="B176" s="79" t="s">
        <v>1066</v>
      </c>
      <c r="C176" s="80" t="n">
        <v>202403</v>
      </c>
      <c r="D176" s="81" t="n">
        <v>45352</v>
      </c>
      <c r="E176" s="82" t="n">
        <v>6207.435</v>
      </c>
      <c r="F176" s="80" t="n">
        <v>31</v>
      </c>
      <c r="G176" s="79" t="s">
        <v>1120</v>
      </c>
    </row>
    <row r="177" customFormat="false" ht="15" hidden="false" customHeight="false" outlineLevel="0" collapsed="false">
      <c r="A177" s="79" t="s">
        <v>236</v>
      </c>
      <c r="B177" s="79" t="s">
        <v>1068</v>
      </c>
      <c r="C177" s="80" t="n">
        <v>202402</v>
      </c>
      <c r="D177" s="81" t="n">
        <v>45323</v>
      </c>
      <c r="E177" s="82" t="n">
        <v>6402.586</v>
      </c>
      <c r="F177" s="80" t="n">
        <v>32</v>
      </c>
      <c r="G177" s="79" t="s">
        <v>1121</v>
      </c>
    </row>
    <row r="178" customFormat="false" ht="15" hidden="false" customHeight="false" outlineLevel="0" collapsed="false">
      <c r="A178" s="79" t="s">
        <v>236</v>
      </c>
      <c r="B178" s="79" t="s">
        <v>1070</v>
      </c>
      <c r="C178" s="80" t="n">
        <v>202401</v>
      </c>
      <c r="D178" s="81" t="n">
        <v>45292</v>
      </c>
      <c r="E178" s="82" t="n">
        <v>6507.308</v>
      </c>
      <c r="F178" s="80" t="n">
        <v>33</v>
      </c>
      <c r="G178" s="79" t="s">
        <v>1122</v>
      </c>
    </row>
    <row r="179" customFormat="false" ht="15" hidden="false" customHeight="false" outlineLevel="0" collapsed="false">
      <c r="A179" s="79" t="s">
        <v>236</v>
      </c>
      <c r="B179" s="79" t="s">
        <v>1072</v>
      </c>
      <c r="C179" s="80" t="n">
        <v>202312</v>
      </c>
      <c r="D179" s="81" t="n">
        <v>45261</v>
      </c>
      <c r="E179" s="82" t="n">
        <v>6368.389</v>
      </c>
      <c r="F179" s="80" t="n">
        <v>34</v>
      </c>
      <c r="G179" s="79" t="s">
        <v>1123</v>
      </c>
    </row>
    <row r="180" customFormat="false" ht="15" hidden="false" customHeight="false" outlineLevel="0" collapsed="false">
      <c r="A180" s="79" t="s">
        <v>236</v>
      </c>
      <c r="B180" s="79" t="s">
        <v>1074</v>
      </c>
      <c r="C180" s="80" t="n">
        <v>202311</v>
      </c>
      <c r="D180" s="81" t="n">
        <v>45231</v>
      </c>
      <c r="E180" s="82" t="n">
        <v>6297.972</v>
      </c>
      <c r="F180" s="80" t="n">
        <v>35</v>
      </c>
      <c r="G180" s="79" t="s">
        <v>1124</v>
      </c>
    </row>
    <row r="181" customFormat="false" ht="15" hidden="false" customHeight="false" outlineLevel="0" collapsed="false">
      <c r="A181" s="79" t="s">
        <v>236</v>
      </c>
      <c r="B181" s="79" t="s">
        <v>1076</v>
      </c>
      <c r="C181" s="80" t="n">
        <v>202310</v>
      </c>
      <c r="D181" s="81" t="n">
        <v>45200</v>
      </c>
      <c r="E181" s="82" t="n">
        <v>6766.334</v>
      </c>
      <c r="F181" s="80" t="n">
        <v>36</v>
      </c>
      <c r="G181" s="79" t="s">
        <v>1125</v>
      </c>
    </row>
    <row r="182" customFormat="false" ht="15" hidden="false" customHeight="false" outlineLevel="0" collapsed="false">
      <c r="A182" s="79" t="s">
        <v>204</v>
      </c>
      <c r="B182" s="79" t="s">
        <v>1030</v>
      </c>
      <c r="C182" s="80" t="n">
        <v>202609</v>
      </c>
      <c r="D182" s="81" t="n">
        <v>46266</v>
      </c>
      <c r="E182" s="82" t="n">
        <v>47400.848</v>
      </c>
      <c r="F182" s="80" t="n">
        <v>1</v>
      </c>
      <c r="G182" s="79" t="s">
        <v>418</v>
      </c>
    </row>
    <row r="183" customFormat="false" ht="15" hidden="false" customHeight="false" outlineLevel="0" collapsed="false">
      <c r="A183" s="79" t="s">
        <v>204</v>
      </c>
      <c r="B183" s="79" t="s">
        <v>1031</v>
      </c>
      <c r="C183" s="80" t="n">
        <v>202608</v>
      </c>
      <c r="D183" s="81" t="n">
        <v>46235</v>
      </c>
      <c r="E183" s="82" t="n">
        <v>44213.037</v>
      </c>
      <c r="F183" s="80" t="n">
        <v>2</v>
      </c>
      <c r="G183" s="79" t="s">
        <v>419</v>
      </c>
    </row>
    <row r="184" customFormat="false" ht="15" hidden="false" customHeight="false" outlineLevel="0" collapsed="false">
      <c r="A184" s="79" t="s">
        <v>204</v>
      </c>
      <c r="B184" s="79" t="s">
        <v>1032</v>
      </c>
      <c r="C184" s="80" t="n">
        <v>202607</v>
      </c>
      <c r="D184" s="81" t="n">
        <v>46204</v>
      </c>
      <c r="E184" s="82" t="n">
        <v>42892.46</v>
      </c>
      <c r="F184" s="80" t="n">
        <v>3</v>
      </c>
      <c r="G184" s="79" t="s">
        <v>420</v>
      </c>
    </row>
    <row r="185" customFormat="false" ht="15" hidden="false" customHeight="false" outlineLevel="0" collapsed="false">
      <c r="A185" s="79" t="s">
        <v>204</v>
      </c>
      <c r="B185" s="79" t="s">
        <v>1033</v>
      </c>
      <c r="C185" s="80" t="n">
        <v>202606</v>
      </c>
      <c r="D185" s="81" t="n">
        <v>46174</v>
      </c>
      <c r="E185" s="82" t="n">
        <v>49053.47</v>
      </c>
      <c r="F185" s="80" t="n">
        <v>4</v>
      </c>
      <c r="G185" s="79" t="s">
        <v>421</v>
      </c>
    </row>
    <row r="186" customFormat="false" ht="15" hidden="false" customHeight="false" outlineLevel="0" collapsed="false">
      <c r="A186" s="79" t="s">
        <v>204</v>
      </c>
      <c r="B186" s="79" t="s">
        <v>1034</v>
      </c>
      <c r="C186" s="80" t="n">
        <v>202605</v>
      </c>
      <c r="D186" s="81" t="n">
        <v>46143</v>
      </c>
      <c r="E186" s="82" t="n">
        <v>52267.73</v>
      </c>
      <c r="F186" s="80" t="n">
        <v>5</v>
      </c>
      <c r="G186" s="79" t="s">
        <v>422</v>
      </c>
    </row>
    <row r="187" customFormat="false" ht="15" hidden="false" customHeight="false" outlineLevel="0" collapsed="false">
      <c r="A187" s="79" t="s">
        <v>204</v>
      </c>
      <c r="B187" s="79" t="s">
        <v>1035</v>
      </c>
      <c r="C187" s="80" t="n">
        <v>202604</v>
      </c>
      <c r="D187" s="81" t="n">
        <v>46113</v>
      </c>
      <c r="E187" s="82" t="n">
        <v>39028.8</v>
      </c>
      <c r="F187" s="80" t="n">
        <v>6</v>
      </c>
      <c r="G187" s="79" t="s">
        <v>423</v>
      </c>
    </row>
    <row r="188" customFormat="false" ht="15" hidden="false" customHeight="false" outlineLevel="0" collapsed="false">
      <c r="A188" s="79" t="s">
        <v>204</v>
      </c>
      <c r="B188" s="79" t="s">
        <v>1036</v>
      </c>
      <c r="C188" s="80" t="n">
        <v>202603</v>
      </c>
      <c r="D188" s="81" t="n">
        <v>46082</v>
      </c>
      <c r="E188" s="82" t="n">
        <v>32908.194</v>
      </c>
      <c r="F188" s="80" t="n">
        <v>7</v>
      </c>
      <c r="G188" s="79" t="s">
        <v>424</v>
      </c>
    </row>
    <row r="189" customFormat="false" ht="15" hidden="false" customHeight="false" outlineLevel="0" collapsed="false">
      <c r="A189" s="79" t="s">
        <v>204</v>
      </c>
      <c r="B189" s="79" t="s">
        <v>1037</v>
      </c>
      <c r="C189" s="80" t="n">
        <v>202602</v>
      </c>
      <c r="D189" s="81" t="n">
        <v>46054</v>
      </c>
      <c r="E189" s="82" t="n">
        <v>33118.551</v>
      </c>
      <c r="F189" s="80" t="n">
        <v>8</v>
      </c>
      <c r="G189" s="79" t="s">
        <v>425</v>
      </c>
    </row>
    <row r="190" customFormat="false" ht="15" hidden="false" customHeight="false" outlineLevel="0" collapsed="false">
      <c r="A190" s="79" t="s">
        <v>204</v>
      </c>
      <c r="B190" s="79" t="s">
        <v>1038</v>
      </c>
      <c r="C190" s="80" t="n">
        <v>202601</v>
      </c>
      <c r="D190" s="81" t="n">
        <v>46023</v>
      </c>
      <c r="E190" s="82" t="n">
        <v>30306.21</v>
      </c>
      <c r="F190" s="80" t="n">
        <v>9</v>
      </c>
      <c r="G190" s="79" t="s">
        <v>426</v>
      </c>
    </row>
    <row r="191" customFormat="false" ht="15" hidden="false" customHeight="false" outlineLevel="0" collapsed="false">
      <c r="A191" s="79" t="s">
        <v>204</v>
      </c>
      <c r="B191" s="79" t="s">
        <v>1039</v>
      </c>
      <c r="C191" s="80" t="n">
        <v>202512</v>
      </c>
      <c r="D191" s="81" t="n">
        <v>45992</v>
      </c>
      <c r="E191" s="82" t="n">
        <v>30729.748</v>
      </c>
      <c r="F191" s="80" t="n">
        <v>10</v>
      </c>
      <c r="G191" s="79" t="s">
        <v>427</v>
      </c>
    </row>
    <row r="192" customFormat="false" ht="15" hidden="false" customHeight="false" outlineLevel="0" collapsed="false">
      <c r="A192" s="79" t="s">
        <v>204</v>
      </c>
      <c r="B192" s="79" t="s">
        <v>1040</v>
      </c>
      <c r="C192" s="80" t="n">
        <v>202511</v>
      </c>
      <c r="D192" s="81" t="n">
        <v>45962</v>
      </c>
      <c r="E192" s="82" t="n">
        <v>28318.245</v>
      </c>
      <c r="F192" s="80" t="n">
        <v>11</v>
      </c>
      <c r="G192" s="79" t="s">
        <v>428</v>
      </c>
    </row>
    <row r="193" customFormat="false" ht="15" hidden="false" customHeight="false" outlineLevel="0" collapsed="false">
      <c r="A193" s="79" t="s">
        <v>204</v>
      </c>
      <c r="B193" s="79" t="s">
        <v>1041</v>
      </c>
      <c r="C193" s="80" t="n">
        <v>202510</v>
      </c>
      <c r="D193" s="81" t="n">
        <v>45931</v>
      </c>
      <c r="E193" s="82" t="n">
        <v>27988.237</v>
      </c>
      <c r="F193" s="80" t="n">
        <v>12</v>
      </c>
      <c r="G193" s="79" t="s">
        <v>429</v>
      </c>
    </row>
    <row r="194" customFormat="false" ht="15" hidden="false" customHeight="false" outlineLevel="0" collapsed="false">
      <c r="A194" s="79" t="s">
        <v>204</v>
      </c>
      <c r="B194" s="79" t="s">
        <v>1042</v>
      </c>
      <c r="C194" s="80" t="n">
        <v>202509</v>
      </c>
      <c r="D194" s="81" t="n">
        <v>45901</v>
      </c>
      <c r="E194" s="82" t="n">
        <v>23888.296</v>
      </c>
      <c r="F194" s="80" t="n">
        <v>13</v>
      </c>
      <c r="G194" s="79" t="s">
        <v>430</v>
      </c>
    </row>
    <row r="195" customFormat="false" ht="15" hidden="false" customHeight="false" outlineLevel="0" collapsed="false">
      <c r="A195" s="79" t="s">
        <v>204</v>
      </c>
      <c r="B195" s="79" t="s">
        <v>1043</v>
      </c>
      <c r="C195" s="80" t="n">
        <v>202508</v>
      </c>
      <c r="D195" s="81" t="n">
        <v>45870</v>
      </c>
      <c r="E195" s="82" t="n">
        <v>27690.083</v>
      </c>
      <c r="F195" s="80" t="n">
        <v>14</v>
      </c>
      <c r="G195" s="79" t="s">
        <v>431</v>
      </c>
    </row>
    <row r="196" customFormat="false" ht="15" hidden="false" customHeight="false" outlineLevel="0" collapsed="false">
      <c r="A196" s="79" t="s">
        <v>204</v>
      </c>
      <c r="B196" s="79" t="s">
        <v>1044</v>
      </c>
      <c r="C196" s="80" t="n">
        <v>202507</v>
      </c>
      <c r="D196" s="81" t="n">
        <v>45839</v>
      </c>
      <c r="E196" s="82" t="n">
        <v>25447.702</v>
      </c>
      <c r="F196" s="80" t="n">
        <v>15</v>
      </c>
      <c r="G196" s="79" t="s">
        <v>432</v>
      </c>
    </row>
    <row r="197" customFormat="false" ht="15" hidden="false" customHeight="false" outlineLevel="0" collapsed="false">
      <c r="A197" s="79" t="s">
        <v>204</v>
      </c>
      <c r="B197" s="79" t="s">
        <v>1045</v>
      </c>
      <c r="C197" s="80" t="n">
        <v>202506</v>
      </c>
      <c r="D197" s="81" t="n">
        <v>45809</v>
      </c>
      <c r="E197" s="82" t="n">
        <v>46728.346</v>
      </c>
      <c r="F197" s="80" t="n">
        <v>16</v>
      </c>
      <c r="G197" s="79" t="s">
        <v>433</v>
      </c>
    </row>
    <row r="198" customFormat="false" ht="15" hidden="false" customHeight="false" outlineLevel="0" collapsed="false">
      <c r="A198" s="79" t="s">
        <v>204</v>
      </c>
      <c r="B198" s="79" t="s">
        <v>1046</v>
      </c>
      <c r="C198" s="80" t="n">
        <v>202505</v>
      </c>
      <c r="D198" s="81" t="n">
        <v>45778</v>
      </c>
      <c r="E198" s="82" t="n">
        <v>30098.1</v>
      </c>
      <c r="F198" s="80" t="n">
        <v>17</v>
      </c>
      <c r="G198" s="79" t="s">
        <v>434</v>
      </c>
    </row>
    <row r="199" customFormat="false" ht="15" hidden="false" customHeight="false" outlineLevel="0" collapsed="false">
      <c r="A199" s="79" t="s">
        <v>204</v>
      </c>
      <c r="B199" s="79" t="s">
        <v>1047</v>
      </c>
      <c r="C199" s="80" t="n">
        <v>202504</v>
      </c>
      <c r="D199" s="81" t="n">
        <v>45748</v>
      </c>
      <c r="E199" s="82" t="n">
        <v>22322.801</v>
      </c>
      <c r="F199" s="80" t="n">
        <v>18</v>
      </c>
      <c r="G199" s="79" t="s">
        <v>435</v>
      </c>
    </row>
    <row r="200" customFormat="false" ht="15" hidden="false" customHeight="false" outlineLevel="0" collapsed="false">
      <c r="A200" s="79" t="s">
        <v>204</v>
      </c>
      <c r="B200" s="79" t="s">
        <v>1048</v>
      </c>
      <c r="C200" s="80" t="n">
        <v>202503</v>
      </c>
      <c r="D200" s="81" t="n">
        <v>45717</v>
      </c>
      <c r="E200" s="82" t="n">
        <v>22326.218</v>
      </c>
      <c r="F200" s="80" t="n">
        <v>19</v>
      </c>
      <c r="G200" s="79" t="s">
        <v>436</v>
      </c>
    </row>
    <row r="201" customFormat="false" ht="15" hidden="false" customHeight="false" outlineLevel="0" collapsed="false">
      <c r="A201" s="79" t="s">
        <v>204</v>
      </c>
      <c r="B201" s="79" t="s">
        <v>1049</v>
      </c>
      <c r="C201" s="80" t="n">
        <v>202502</v>
      </c>
      <c r="D201" s="81" t="n">
        <v>45689</v>
      </c>
      <c r="E201" s="82" t="n">
        <v>21091.561</v>
      </c>
      <c r="F201" s="80" t="n">
        <v>20</v>
      </c>
      <c r="G201" s="79" t="s">
        <v>437</v>
      </c>
    </row>
    <row r="202" customFormat="false" ht="15" hidden="false" customHeight="false" outlineLevel="0" collapsed="false">
      <c r="A202" s="79" t="s">
        <v>204</v>
      </c>
      <c r="B202" s="79" t="s">
        <v>1050</v>
      </c>
      <c r="C202" s="80" t="n">
        <v>202501</v>
      </c>
      <c r="D202" s="81" t="n">
        <v>45658</v>
      </c>
      <c r="E202" s="82" t="n">
        <v>17597.178</v>
      </c>
      <c r="F202" s="80" t="n">
        <v>21</v>
      </c>
      <c r="G202" s="79" t="s">
        <v>438</v>
      </c>
    </row>
    <row r="203" customFormat="false" ht="15" hidden="false" customHeight="false" outlineLevel="0" collapsed="false">
      <c r="A203" s="79" t="s">
        <v>204</v>
      </c>
      <c r="B203" s="79" t="s">
        <v>1051</v>
      </c>
      <c r="C203" s="80" t="n">
        <v>202412</v>
      </c>
      <c r="D203" s="81" t="n">
        <v>45627</v>
      </c>
      <c r="E203" s="82" t="n">
        <v>22242.93</v>
      </c>
      <c r="F203" s="80" t="n">
        <v>22</v>
      </c>
      <c r="G203" s="79" t="s">
        <v>439</v>
      </c>
    </row>
    <row r="204" customFormat="false" ht="15" hidden="false" customHeight="false" outlineLevel="0" collapsed="false">
      <c r="A204" s="79" t="s">
        <v>204</v>
      </c>
      <c r="B204" s="79" t="s">
        <v>1052</v>
      </c>
      <c r="C204" s="80" t="n">
        <v>202411</v>
      </c>
      <c r="D204" s="81" t="n">
        <v>45597</v>
      </c>
      <c r="E204" s="82" t="n">
        <v>25771.684</v>
      </c>
      <c r="F204" s="80" t="n">
        <v>23</v>
      </c>
      <c r="G204" s="79" t="s">
        <v>440</v>
      </c>
    </row>
    <row r="205" customFormat="false" ht="15" hidden="false" customHeight="false" outlineLevel="0" collapsed="false">
      <c r="A205" s="79" t="s">
        <v>204</v>
      </c>
      <c r="B205" s="79" t="s">
        <v>1053</v>
      </c>
      <c r="C205" s="80" t="n">
        <v>202410</v>
      </c>
      <c r="D205" s="81" t="n">
        <v>45566</v>
      </c>
      <c r="E205" s="82" t="n">
        <v>26735.874</v>
      </c>
      <c r="F205" s="80" t="n">
        <v>24</v>
      </c>
      <c r="G205" s="79" t="s">
        <v>441</v>
      </c>
    </row>
    <row r="206" customFormat="false" ht="15" hidden="false" customHeight="false" outlineLevel="0" collapsed="false">
      <c r="A206" s="79" t="s">
        <v>204</v>
      </c>
      <c r="B206" s="79" t="s">
        <v>1054</v>
      </c>
      <c r="C206" s="80" t="n">
        <v>202409</v>
      </c>
      <c r="D206" s="81" t="n">
        <v>45536</v>
      </c>
      <c r="E206" s="82" t="n">
        <v>24662.927</v>
      </c>
      <c r="F206" s="80" t="n">
        <v>25</v>
      </c>
      <c r="G206" s="79" t="s">
        <v>1126</v>
      </c>
    </row>
    <row r="207" customFormat="false" ht="15" hidden="false" customHeight="false" outlineLevel="0" collapsed="false">
      <c r="A207" s="79" t="s">
        <v>204</v>
      </c>
      <c r="B207" s="79" t="s">
        <v>1056</v>
      </c>
      <c r="C207" s="80" t="n">
        <v>202408</v>
      </c>
      <c r="D207" s="81" t="n">
        <v>45505</v>
      </c>
      <c r="E207" s="82" t="n">
        <v>19035.807</v>
      </c>
      <c r="F207" s="80" t="n">
        <v>26</v>
      </c>
      <c r="G207" s="79" t="s">
        <v>1127</v>
      </c>
    </row>
    <row r="208" customFormat="false" ht="15" hidden="false" customHeight="false" outlineLevel="0" collapsed="false">
      <c r="A208" s="79" t="s">
        <v>204</v>
      </c>
      <c r="B208" s="79" t="s">
        <v>1058</v>
      </c>
      <c r="C208" s="80" t="n">
        <v>202407</v>
      </c>
      <c r="D208" s="81" t="n">
        <v>45474</v>
      </c>
      <c r="E208" s="82" t="n">
        <v>22932.13</v>
      </c>
      <c r="F208" s="80" t="n">
        <v>27</v>
      </c>
      <c r="G208" s="79" t="s">
        <v>1128</v>
      </c>
    </row>
    <row r="209" customFormat="false" ht="15" hidden="false" customHeight="false" outlineLevel="0" collapsed="false">
      <c r="A209" s="79" t="s">
        <v>204</v>
      </c>
      <c r="B209" s="79" t="s">
        <v>1060</v>
      </c>
      <c r="C209" s="80" t="n">
        <v>202406</v>
      </c>
      <c r="D209" s="81" t="n">
        <v>45444</v>
      </c>
      <c r="E209" s="82" t="n">
        <v>22477.138</v>
      </c>
      <c r="F209" s="80" t="n">
        <v>28</v>
      </c>
      <c r="G209" s="79" t="s">
        <v>1129</v>
      </c>
    </row>
    <row r="210" customFormat="false" ht="15" hidden="false" customHeight="false" outlineLevel="0" collapsed="false">
      <c r="A210" s="79" t="s">
        <v>204</v>
      </c>
      <c r="B210" s="79" t="s">
        <v>1062</v>
      </c>
      <c r="C210" s="80" t="n">
        <v>202405</v>
      </c>
      <c r="D210" s="81" t="n">
        <v>45413</v>
      </c>
      <c r="E210" s="82" t="n">
        <v>28523.875</v>
      </c>
      <c r="F210" s="80" t="n">
        <v>29</v>
      </c>
      <c r="G210" s="79" t="s">
        <v>1130</v>
      </c>
    </row>
    <row r="211" customFormat="false" ht="15" hidden="false" customHeight="false" outlineLevel="0" collapsed="false">
      <c r="A211" s="79" t="s">
        <v>204</v>
      </c>
      <c r="B211" s="79" t="s">
        <v>1064</v>
      </c>
      <c r="C211" s="80" t="n">
        <v>202404</v>
      </c>
      <c r="D211" s="81" t="n">
        <v>45383</v>
      </c>
      <c r="E211" s="82" t="n">
        <v>24253.194</v>
      </c>
      <c r="F211" s="80" t="n">
        <v>30</v>
      </c>
      <c r="G211" s="79" t="s">
        <v>1131</v>
      </c>
    </row>
    <row r="212" customFormat="false" ht="15" hidden="false" customHeight="false" outlineLevel="0" collapsed="false">
      <c r="A212" s="79" t="s">
        <v>204</v>
      </c>
      <c r="B212" s="79" t="s">
        <v>1066</v>
      </c>
      <c r="C212" s="80" t="n">
        <v>202403</v>
      </c>
      <c r="D212" s="81" t="n">
        <v>45352</v>
      </c>
      <c r="E212" s="82" t="n">
        <v>13968.881</v>
      </c>
      <c r="F212" s="80" t="n">
        <v>31</v>
      </c>
      <c r="G212" s="79" t="s">
        <v>1132</v>
      </c>
    </row>
    <row r="213" customFormat="false" ht="15" hidden="false" customHeight="false" outlineLevel="0" collapsed="false">
      <c r="A213" s="79" t="s">
        <v>204</v>
      </c>
      <c r="B213" s="79" t="s">
        <v>1068</v>
      </c>
      <c r="C213" s="80" t="n">
        <v>202402</v>
      </c>
      <c r="D213" s="81" t="n">
        <v>45323</v>
      </c>
      <c r="E213" s="82" t="n">
        <v>16930.021</v>
      </c>
      <c r="F213" s="80" t="n">
        <v>32</v>
      </c>
      <c r="G213" s="79" t="s">
        <v>1133</v>
      </c>
    </row>
    <row r="214" customFormat="false" ht="15" hidden="false" customHeight="false" outlineLevel="0" collapsed="false">
      <c r="A214" s="79" t="s">
        <v>204</v>
      </c>
      <c r="B214" s="79" t="s">
        <v>1070</v>
      </c>
      <c r="C214" s="80" t="n">
        <v>202401</v>
      </c>
      <c r="D214" s="81" t="n">
        <v>45292</v>
      </c>
      <c r="E214" s="82" t="n">
        <v>12845.855</v>
      </c>
      <c r="F214" s="80" t="n">
        <v>33</v>
      </c>
      <c r="G214" s="79" t="s">
        <v>1134</v>
      </c>
    </row>
    <row r="215" customFormat="false" ht="15" hidden="false" customHeight="false" outlineLevel="0" collapsed="false">
      <c r="A215" s="79" t="s">
        <v>204</v>
      </c>
      <c r="B215" s="79" t="s">
        <v>1072</v>
      </c>
      <c r="C215" s="80" t="n">
        <v>202312</v>
      </c>
      <c r="D215" s="81" t="n">
        <v>45261</v>
      </c>
      <c r="E215" s="82" t="n">
        <v>15915.793</v>
      </c>
      <c r="F215" s="80" t="n">
        <v>34</v>
      </c>
      <c r="G215" s="79" t="s">
        <v>1135</v>
      </c>
    </row>
    <row r="216" customFormat="false" ht="15" hidden="false" customHeight="false" outlineLevel="0" collapsed="false">
      <c r="A216" s="79" t="s">
        <v>204</v>
      </c>
      <c r="B216" s="79" t="s">
        <v>1074</v>
      </c>
      <c r="C216" s="80" t="n">
        <v>202311</v>
      </c>
      <c r="D216" s="81" t="n">
        <v>45231</v>
      </c>
      <c r="E216" s="82" t="n">
        <v>16764.958</v>
      </c>
      <c r="F216" s="80" t="n">
        <v>35</v>
      </c>
      <c r="G216" s="79" t="s">
        <v>1136</v>
      </c>
    </row>
    <row r="217" customFormat="false" ht="15" hidden="false" customHeight="false" outlineLevel="0" collapsed="false">
      <c r="A217" s="79" t="s">
        <v>204</v>
      </c>
      <c r="B217" s="79" t="s">
        <v>1076</v>
      </c>
      <c r="C217" s="80" t="n">
        <v>202310</v>
      </c>
      <c r="D217" s="81" t="n">
        <v>45200</v>
      </c>
      <c r="E217" s="82" t="n">
        <v>16271.282</v>
      </c>
      <c r="F217" s="80" t="n">
        <v>36</v>
      </c>
      <c r="G217" s="79" t="s">
        <v>1137</v>
      </c>
    </row>
    <row r="218" customFormat="false" ht="15" hidden="false" customHeight="false" outlineLevel="0" collapsed="false">
      <c r="A218" s="79" t="s">
        <v>182</v>
      </c>
      <c r="B218" s="79" t="s">
        <v>1030</v>
      </c>
      <c r="C218" s="80" t="n">
        <v>202609</v>
      </c>
      <c r="D218" s="81" t="n">
        <v>46266</v>
      </c>
      <c r="E218" s="82" t="n">
        <v>44690.268</v>
      </c>
      <c r="F218" s="80" t="n">
        <v>1</v>
      </c>
      <c r="G218" s="79" t="s">
        <v>443</v>
      </c>
    </row>
    <row r="219" customFormat="false" ht="15" hidden="false" customHeight="false" outlineLevel="0" collapsed="false">
      <c r="A219" s="79" t="s">
        <v>182</v>
      </c>
      <c r="B219" s="79" t="s">
        <v>1031</v>
      </c>
      <c r="C219" s="80" t="n">
        <v>202608</v>
      </c>
      <c r="D219" s="81" t="n">
        <v>46235</v>
      </c>
      <c r="E219" s="82" t="n">
        <v>43867.609</v>
      </c>
      <c r="F219" s="80" t="n">
        <v>2</v>
      </c>
      <c r="G219" s="79" t="s">
        <v>444</v>
      </c>
    </row>
    <row r="220" customFormat="false" ht="15" hidden="false" customHeight="false" outlineLevel="0" collapsed="false">
      <c r="A220" s="79" t="s">
        <v>182</v>
      </c>
      <c r="B220" s="79" t="s">
        <v>1032</v>
      </c>
      <c r="C220" s="80" t="n">
        <v>202607</v>
      </c>
      <c r="D220" s="81" t="n">
        <v>46204</v>
      </c>
      <c r="E220" s="82" t="n">
        <v>29388.309</v>
      </c>
      <c r="F220" s="80" t="n">
        <v>3</v>
      </c>
      <c r="G220" s="79" t="s">
        <v>445</v>
      </c>
    </row>
    <row r="221" customFormat="false" ht="15" hidden="false" customHeight="false" outlineLevel="0" collapsed="false">
      <c r="A221" s="79" t="s">
        <v>182</v>
      </c>
      <c r="B221" s="79" t="s">
        <v>1033</v>
      </c>
      <c r="C221" s="80" t="n">
        <v>202606</v>
      </c>
      <c r="D221" s="81" t="n">
        <v>46174</v>
      </c>
      <c r="E221" s="82" t="n">
        <v>27669.563</v>
      </c>
      <c r="F221" s="80" t="n">
        <v>4</v>
      </c>
      <c r="G221" s="79" t="s">
        <v>446</v>
      </c>
    </row>
    <row r="222" customFormat="false" ht="15" hidden="false" customHeight="false" outlineLevel="0" collapsed="false">
      <c r="A222" s="79" t="s">
        <v>182</v>
      </c>
      <c r="B222" s="79" t="s">
        <v>1034</v>
      </c>
      <c r="C222" s="80" t="n">
        <v>202605</v>
      </c>
      <c r="D222" s="81" t="n">
        <v>46143</v>
      </c>
      <c r="E222" s="82" t="n">
        <v>25491.201</v>
      </c>
      <c r="F222" s="80" t="n">
        <v>5</v>
      </c>
      <c r="G222" s="79" t="s">
        <v>447</v>
      </c>
    </row>
    <row r="223" customFormat="false" ht="15" hidden="false" customHeight="false" outlineLevel="0" collapsed="false">
      <c r="A223" s="79" t="s">
        <v>182</v>
      </c>
      <c r="B223" s="79" t="s">
        <v>1035</v>
      </c>
      <c r="C223" s="80" t="n">
        <v>202604</v>
      </c>
      <c r="D223" s="81" t="n">
        <v>46113</v>
      </c>
      <c r="E223" s="82" t="n">
        <v>18169.76</v>
      </c>
      <c r="F223" s="80" t="n">
        <v>6</v>
      </c>
      <c r="G223" s="79" t="s">
        <v>448</v>
      </c>
    </row>
    <row r="224" customFormat="false" ht="15" hidden="false" customHeight="false" outlineLevel="0" collapsed="false">
      <c r="A224" s="79" t="s">
        <v>182</v>
      </c>
      <c r="B224" s="79" t="s">
        <v>1036</v>
      </c>
      <c r="C224" s="80" t="n">
        <v>202603</v>
      </c>
      <c r="D224" s="81" t="n">
        <v>46082</v>
      </c>
      <c r="E224" s="82" t="n">
        <v>15607.184</v>
      </c>
      <c r="F224" s="80" t="n">
        <v>7</v>
      </c>
      <c r="G224" s="79" t="s">
        <v>449</v>
      </c>
    </row>
    <row r="225" customFormat="false" ht="15" hidden="false" customHeight="false" outlineLevel="0" collapsed="false">
      <c r="A225" s="79" t="s">
        <v>182</v>
      </c>
      <c r="B225" s="79" t="s">
        <v>1037</v>
      </c>
      <c r="C225" s="80" t="n">
        <v>202602</v>
      </c>
      <c r="D225" s="81" t="n">
        <v>46054</v>
      </c>
      <c r="E225" s="82" t="n">
        <v>15309.988</v>
      </c>
      <c r="F225" s="80" t="n">
        <v>8</v>
      </c>
      <c r="G225" s="79" t="s">
        <v>450</v>
      </c>
    </row>
    <row r="226" customFormat="false" ht="15" hidden="false" customHeight="false" outlineLevel="0" collapsed="false">
      <c r="A226" s="79" t="s">
        <v>182</v>
      </c>
      <c r="B226" s="79" t="s">
        <v>1038</v>
      </c>
      <c r="C226" s="80" t="n">
        <v>202601</v>
      </c>
      <c r="D226" s="81" t="n">
        <v>46023</v>
      </c>
      <c r="E226" s="82" t="n">
        <v>12017.152</v>
      </c>
      <c r="F226" s="80" t="n">
        <v>9</v>
      </c>
      <c r="G226" s="79" t="s">
        <v>451</v>
      </c>
    </row>
    <row r="227" customFormat="false" ht="15" hidden="false" customHeight="false" outlineLevel="0" collapsed="false">
      <c r="A227" s="79" t="s">
        <v>182</v>
      </c>
      <c r="B227" s="79" t="s">
        <v>1039</v>
      </c>
      <c r="C227" s="80" t="n">
        <v>202512</v>
      </c>
      <c r="D227" s="81" t="n">
        <v>45992</v>
      </c>
      <c r="E227" s="82" t="n">
        <v>10168.737</v>
      </c>
      <c r="F227" s="80" t="n">
        <v>10</v>
      </c>
      <c r="G227" s="79" t="s">
        <v>452</v>
      </c>
    </row>
    <row r="228" customFormat="false" ht="15" hidden="false" customHeight="false" outlineLevel="0" collapsed="false">
      <c r="A228" s="79" t="s">
        <v>182</v>
      </c>
      <c r="B228" s="79" t="s">
        <v>1040</v>
      </c>
      <c r="C228" s="80" t="n">
        <v>202511</v>
      </c>
      <c r="D228" s="81" t="n">
        <v>45962</v>
      </c>
      <c r="E228" s="82" t="n">
        <v>7907.729</v>
      </c>
      <c r="F228" s="80" t="n">
        <v>11</v>
      </c>
      <c r="G228" s="79" t="s">
        <v>453</v>
      </c>
    </row>
    <row r="229" customFormat="false" ht="15" hidden="false" customHeight="false" outlineLevel="0" collapsed="false">
      <c r="A229" s="79" t="s">
        <v>182</v>
      </c>
      <c r="B229" s="79" t="s">
        <v>1041</v>
      </c>
      <c r="C229" s="80" t="n">
        <v>202510</v>
      </c>
      <c r="D229" s="81" t="n">
        <v>45931</v>
      </c>
      <c r="E229" s="82" t="n">
        <v>6664.14</v>
      </c>
      <c r="F229" s="80" t="n">
        <v>12</v>
      </c>
      <c r="G229" s="79" t="s">
        <v>454</v>
      </c>
    </row>
    <row r="230" customFormat="false" ht="15" hidden="false" customHeight="false" outlineLevel="0" collapsed="false">
      <c r="A230" s="79" t="s">
        <v>182</v>
      </c>
      <c r="B230" s="79" t="s">
        <v>1042</v>
      </c>
      <c r="C230" s="80" t="n">
        <v>202509</v>
      </c>
      <c r="D230" s="81" t="n">
        <v>45901</v>
      </c>
      <c r="E230" s="82" t="n">
        <v>6762.501</v>
      </c>
      <c r="F230" s="80" t="n">
        <v>13</v>
      </c>
      <c r="G230" s="79" t="s">
        <v>455</v>
      </c>
    </row>
    <row r="231" customFormat="false" ht="15" hidden="false" customHeight="false" outlineLevel="0" collapsed="false">
      <c r="A231" s="79" t="s">
        <v>182</v>
      </c>
      <c r="B231" s="79" t="s">
        <v>1043</v>
      </c>
      <c r="C231" s="80" t="n">
        <v>202508</v>
      </c>
      <c r="D231" s="81" t="n">
        <v>45870</v>
      </c>
      <c r="E231" s="82" t="n">
        <v>5352.227</v>
      </c>
      <c r="F231" s="80" t="n">
        <v>14</v>
      </c>
      <c r="G231" s="79" t="s">
        <v>456</v>
      </c>
    </row>
    <row r="232" customFormat="false" ht="15" hidden="false" customHeight="false" outlineLevel="0" collapsed="false">
      <c r="A232" s="79" t="s">
        <v>182</v>
      </c>
      <c r="B232" s="79" t="s">
        <v>1044</v>
      </c>
      <c r="C232" s="80" t="n">
        <v>202507</v>
      </c>
      <c r="D232" s="81" t="n">
        <v>45839</v>
      </c>
      <c r="E232" s="82" t="n">
        <v>4074.153</v>
      </c>
      <c r="F232" s="80" t="n">
        <v>15</v>
      </c>
      <c r="G232" s="79" t="s">
        <v>457</v>
      </c>
    </row>
    <row r="233" customFormat="false" ht="15" hidden="false" customHeight="false" outlineLevel="0" collapsed="false">
      <c r="A233" s="79" t="s">
        <v>182</v>
      </c>
      <c r="B233" s="79" t="s">
        <v>1045</v>
      </c>
      <c r="C233" s="80" t="n">
        <v>202506</v>
      </c>
      <c r="D233" s="81" t="n">
        <v>45809</v>
      </c>
      <c r="E233" s="82" t="n">
        <v>3333.121</v>
      </c>
      <c r="F233" s="80" t="n">
        <v>16</v>
      </c>
      <c r="G233" s="79" t="s">
        <v>458</v>
      </c>
    </row>
    <row r="234" customFormat="false" ht="15" hidden="false" customHeight="false" outlineLevel="0" collapsed="false">
      <c r="A234" s="79" t="s">
        <v>182</v>
      </c>
      <c r="B234" s="79" t="s">
        <v>1046</v>
      </c>
      <c r="C234" s="80" t="n">
        <v>202505</v>
      </c>
      <c r="D234" s="81" t="n">
        <v>45778</v>
      </c>
      <c r="E234" s="82" t="n">
        <v>3118.82</v>
      </c>
      <c r="F234" s="80" t="n">
        <v>17</v>
      </c>
      <c r="G234" s="79" t="s">
        <v>459</v>
      </c>
    </row>
    <row r="235" customFormat="false" ht="15" hidden="false" customHeight="false" outlineLevel="0" collapsed="false">
      <c r="A235" s="79" t="s">
        <v>182</v>
      </c>
      <c r="B235" s="79" t="s">
        <v>1047</v>
      </c>
      <c r="C235" s="80" t="n">
        <v>202504</v>
      </c>
      <c r="D235" s="81" t="n">
        <v>45748</v>
      </c>
      <c r="E235" s="82" t="n">
        <v>2752.833</v>
      </c>
      <c r="F235" s="80" t="n">
        <v>18</v>
      </c>
      <c r="G235" s="79" t="s">
        <v>460</v>
      </c>
    </row>
    <row r="236" customFormat="false" ht="15" hidden="false" customHeight="false" outlineLevel="0" collapsed="false">
      <c r="A236" s="79" t="s">
        <v>182</v>
      </c>
      <c r="B236" s="79" t="s">
        <v>1048</v>
      </c>
      <c r="C236" s="80" t="n">
        <v>202503</v>
      </c>
      <c r="D236" s="81" t="n">
        <v>45717</v>
      </c>
      <c r="E236" s="82" t="n">
        <v>2272.734</v>
      </c>
      <c r="F236" s="80" t="n">
        <v>19</v>
      </c>
      <c r="G236" s="79" t="s">
        <v>461</v>
      </c>
    </row>
    <row r="237" customFormat="false" ht="15" hidden="false" customHeight="false" outlineLevel="0" collapsed="false">
      <c r="A237" s="79" t="s">
        <v>182</v>
      </c>
      <c r="B237" s="79" t="s">
        <v>1049</v>
      </c>
      <c r="C237" s="80" t="n">
        <v>202502</v>
      </c>
      <c r="D237" s="81" t="n">
        <v>45689</v>
      </c>
      <c r="E237" s="82" t="n">
        <v>2162.373</v>
      </c>
      <c r="F237" s="80" t="n">
        <v>20</v>
      </c>
      <c r="G237" s="79" t="s">
        <v>462</v>
      </c>
    </row>
    <row r="238" customFormat="false" ht="15" hidden="false" customHeight="false" outlineLevel="0" collapsed="false">
      <c r="A238" s="79" t="s">
        <v>182</v>
      </c>
      <c r="B238" s="79" t="s">
        <v>1050</v>
      </c>
      <c r="C238" s="80" t="n">
        <v>202501</v>
      </c>
      <c r="D238" s="81" t="n">
        <v>45658</v>
      </c>
      <c r="E238" s="82" t="n">
        <v>2205.531</v>
      </c>
      <c r="F238" s="80" t="n">
        <v>21</v>
      </c>
      <c r="G238" s="79" t="s">
        <v>463</v>
      </c>
    </row>
    <row r="239" customFormat="false" ht="15" hidden="false" customHeight="false" outlineLevel="0" collapsed="false">
      <c r="A239" s="79" t="s">
        <v>182</v>
      </c>
      <c r="B239" s="79" t="s">
        <v>1051</v>
      </c>
      <c r="C239" s="80" t="n">
        <v>202412</v>
      </c>
      <c r="D239" s="81" t="n">
        <v>45627</v>
      </c>
      <c r="E239" s="82" t="n">
        <v>2187.326</v>
      </c>
      <c r="F239" s="80" t="n">
        <v>22</v>
      </c>
      <c r="G239" s="79" t="s">
        <v>464</v>
      </c>
    </row>
    <row r="240" customFormat="false" ht="15" hidden="false" customHeight="false" outlineLevel="0" collapsed="false">
      <c r="A240" s="79" t="s">
        <v>182</v>
      </c>
      <c r="B240" s="79" t="s">
        <v>1052</v>
      </c>
      <c r="C240" s="80" t="n">
        <v>202411</v>
      </c>
      <c r="D240" s="81" t="n">
        <v>45597</v>
      </c>
      <c r="E240" s="82" t="n">
        <v>2182.24</v>
      </c>
      <c r="F240" s="80" t="n">
        <v>23</v>
      </c>
      <c r="G240" s="79" t="s">
        <v>465</v>
      </c>
    </row>
    <row r="241" customFormat="false" ht="15" hidden="false" customHeight="false" outlineLevel="0" collapsed="false">
      <c r="A241" s="79" t="s">
        <v>182</v>
      </c>
      <c r="B241" s="79" t="s">
        <v>1053</v>
      </c>
      <c r="C241" s="80" t="n">
        <v>202410</v>
      </c>
      <c r="D241" s="81" t="n">
        <v>45566</v>
      </c>
      <c r="E241" s="82" t="n">
        <v>2584.927</v>
      </c>
      <c r="F241" s="80" t="n">
        <v>24</v>
      </c>
      <c r="G241" s="79" t="s">
        <v>466</v>
      </c>
    </row>
    <row r="242" customFormat="false" ht="15" hidden="false" customHeight="false" outlineLevel="0" collapsed="false">
      <c r="A242" s="79" t="s">
        <v>182</v>
      </c>
      <c r="B242" s="79" t="s">
        <v>1054</v>
      </c>
      <c r="C242" s="80" t="n">
        <v>202409</v>
      </c>
      <c r="D242" s="81" t="n">
        <v>45536</v>
      </c>
      <c r="E242" s="82" t="n">
        <v>2802.25</v>
      </c>
      <c r="F242" s="80" t="n">
        <v>25</v>
      </c>
      <c r="G242" s="79" t="s">
        <v>1138</v>
      </c>
    </row>
    <row r="243" customFormat="false" ht="15" hidden="false" customHeight="false" outlineLevel="0" collapsed="false">
      <c r="A243" s="79" t="s">
        <v>182</v>
      </c>
      <c r="B243" s="79" t="s">
        <v>1056</v>
      </c>
      <c r="C243" s="80" t="n">
        <v>202408</v>
      </c>
      <c r="D243" s="81" t="n">
        <v>45505</v>
      </c>
      <c r="E243" s="82" t="n">
        <v>2745.416</v>
      </c>
      <c r="F243" s="80" t="n">
        <v>26</v>
      </c>
      <c r="G243" s="79" t="s">
        <v>1139</v>
      </c>
    </row>
    <row r="244" customFormat="false" ht="15" hidden="false" customHeight="false" outlineLevel="0" collapsed="false">
      <c r="A244" s="79" t="s">
        <v>182</v>
      </c>
      <c r="B244" s="79" t="s">
        <v>1058</v>
      </c>
      <c r="C244" s="80" t="n">
        <v>202407</v>
      </c>
      <c r="D244" s="81" t="n">
        <v>45474</v>
      </c>
      <c r="E244" s="82" t="n">
        <v>3363.197</v>
      </c>
      <c r="F244" s="80" t="n">
        <v>27</v>
      </c>
      <c r="G244" s="79" t="s">
        <v>1140</v>
      </c>
    </row>
    <row r="245" customFormat="false" ht="15" hidden="false" customHeight="false" outlineLevel="0" collapsed="false">
      <c r="A245" s="79" t="s">
        <v>182</v>
      </c>
      <c r="B245" s="79" t="s">
        <v>1060</v>
      </c>
      <c r="C245" s="80" t="n">
        <v>202406</v>
      </c>
      <c r="D245" s="81" t="n">
        <v>45444</v>
      </c>
      <c r="E245" s="82" t="n">
        <v>3351.375</v>
      </c>
      <c r="F245" s="80" t="n">
        <v>28</v>
      </c>
      <c r="G245" s="79" t="s">
        <v>1141</v>
      </c>
    </row>
    <row r="246" customFormat="false" ht="15" hidden="false" customHeight="false" outlineLevel="0" collapsed="false">
      <c r="A246" s="79" t="s">
        <v>182</v>
      </c>
      <c r="B246" s="79" t="s">
        <v>1062</v>
      </c>
      <c r="C246" s="80" t="n">
        <v>202405</v>
      </c>
      <c r="D246" s="81" t="n">
        <v>45413</v>
      </c>
      <c r="E246" s="82" t="n">
        <v>3206.471</v>
      </c>
      <c r="F246" s="80" t="n">
        <v>29</v>
      </c>
      <c r="G246" s="79" t="s">
        <v>1142</v>
      </c>
    </row>
    <row r="247" customFormat="false" ht="15" hidden="false" customHeight="false" outlineLevel="0" collapsed="false">
      <c r="A247" s="79" t="s">
        <v>182</v>
      </c>
      <c r="B247" s="79" t="s">
        <v>1064</v>
      </c>
      <c r="C247" s="80" t="n">
        <v>202404</v>
      </c>
      <c r="D247" s="81" t="n">
        <v>45383</v>
      </c>
      <c r="E247" s="82" t="n">
        <v>3391.358</v>
      </c>
      <c r="F247" s="80" t="n">
        <v>30</v>
      </c>
      <c r="G247" s="79" t="s">
        <v>1143</v>
      </c>
    </row>
    <row r="248" customFormat="false" ht="15" hidden="false" customHeight="false" outlineLevel="0" collapsed="false">
      <c r="A248" s="79" t="s">
        <v>182</v>
      </c>
      <c r="B248" s="79" t="s">
        <v>1066</v>
      </c>
      <c r="C248" s="80" t="n">
        <v>202403</v>
      </c>
      <c r="D248" s="81" t="n">
        <v>45352</v>
      </c>
      <c r="E248" s="82" t="n">
        <v>3050.934</v>
      </c>
      <c r="F248" s="80" t="n">
        <v>31</v>
      </c>
      <c r="G248" s="79" t="s">
        <v>1144</v>
      </c>
    </row>
    <row r="249" customFormat="false" ht="15" hidden="false" customHeight="false" outlineLevel="0" collapsed="false">
      <c r="A249" s="79" t="s">
        <v>182</v>
      </c>
      <c r="B249" s="79" t="s">
        <v>1068</v>
      </c>
      <c r="C249" s="80" t="n">
        <v>202402</v>
      </c>
      <c r="D249" s="81" t="n">
        <v>45323</v>
      </c>
      <c r="E249" s="82" t="n">
        <v>3060.645</v>
      </c>
      <c r="F249" s="80" t="n">
        <v>32</v>
      </c>
      <c r="G249" s="79" t="s">
        <v>1145</v>
      </c>
    </row>
    <row r="250" customFormat="false" ht="15" hidden="false" customHeight="false" outlineLevel="0" collapsed="false">
      <c r="A250" s="79" t="s">
        <v>182</v>
      </c>
      <c r="B250" s="79" t="s">
        <v>1070</v>
      </c>
      <c r="C250" s="80" t="n">
        <v>202401</v>
      </c>
      <c r="D250" s="81" t="n">
        <v>45292</v>
      </c>
      <c r="E250" s="82" t="n">
        <v>3161.948</v>
      </c>
      <c r="F250" s="80" t="n">
        <v>33</v>
      </c>
      <c r="G250" s="79" t="s">
        <v>1146</v>
      </c>
    </row>
    <row r="251" customFormat="false" ht="15" hidden="false" customHeight="false" outlineLevel="0" collapsed="false">
      <c r="A251" s="79" t="s">
        <v>182</v>
      </c>
      <c r="B251" s="79" t="s">
        <v>1072</v>
      </c>
      <c r="C251" s="80" t="n">
        <v>202312</v>
      </c>
      <c r="D251" s="81" t="n">
        <v>45261</v>
      </c>
      <c r="E251" s="82" t="n">
        <v>2874</v>
      </c>
      <c r="F251" s="80" t="n">
        <v>34</v>
      </c>
      <c r="G251" s="79" t="s">
        <v>1147</v>
      </c>
    </row>
    <row r="252" customFormat="false" ht="15" hidden="false" customHeight="false" outlineLevel="0" collapsed="false">
      <c r="A252" s="79" t="s">
        <v>182</v>
      </c>
      <c r="B252" s="79" t="s">
        <v>1074</v>
      </c>
      <c r="C252" s="80" t="n">
        <v>202311</v>
      </c>
      <c r="D252" s="81" t="n">
        <v>45231</v>
      </c>
      <c r="E252" s="82" t="n">
        <v>2668.03</v>
      </c>
      <c r="F252" s="80" t="n">
        <v>35</v>
      </c>
      <c r="G252" s="79" t="s">
        <v>1148</v>
      </c>
    </row>
    <row r="253" customFormat="false" ht="15" hidden="false" customHeight="false" outlineLevel="0" collapsed="false">
      <c r="A253" s="79" t="s">
        <v>182</v>
      </c>
      <c r="B253" s="79" t="s">
        <v>1076</v>
      </c>
      <c r="C253" s="80" t="n">
        <v>202310</v>
      </c>
      <c r="D253" s="81" t="n">
        <v>45200</v>
      </c>
      <c r="E253" s="82" t="n">
        <v>2724.287</v>
      </c>
      <c r="F253" s="80" t="n">
        <v>36</v>
      </c>
      <c r="G253" s="79" t="s">
        <v>1149</v>
      </c>
    </row>
    <row r="254" customFormat="false" ht="15" hidden="false" customHeight="false" outlineLevel="0" collapsed="false">
      <c r="A254" s="79" t="s">
        <v>467</v>
      </c>
      <c r="B254" s="79" t="s">
        <v>1030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469</v>
      </c>
    </row>
    <row r="255" customFormat="false" ht="15" hidden="false" customHeight="false" outlineLevel="0" collapsed="false">
      <c r="A255" s="79" t="s">
        <v>467</v>
      </c>
      <c r="B255" s="79" t="s">
        <v>1031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470</v>
      </c>
    </row>
    <row r="256" customFormat="false" ht="15" hidden="false" customHeight="false" outlineLevel="0" collapsed="false">
      <c r="A256" s="79" t="s">
        <v>467</v>
      </c>
      <c r="B256" s="79" t="s">
        <v>1032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471</v>
      </c>
    </row>
    <row r="257" customFormat="false" ht="15" hidden="false" customHeight="false" outlineLevel="0" collapsed="false">
      <c r="A257" s="79" t="s">
        <v>467</v>
      </c>
      <c r="B257" s="79" t="s">
        <v>1033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472</v>
      </c>
    </row>
    <row r="258" customFormat="false" ht="15" hidden="false" customHeight="false" outlineLevel="0" collapsed="false">
      <c r="A258" s="79" t="s">
        <v>467</v>
      </c>
      <c r="B258" s="79" t="s">
        <v>1034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473</v>
      </c>
    </row>
    <row r="259" customFormat="false" ht="15" hidden="false" customHeight="false" outlineLevel="0" collapsed="false">
      <c r="A259" s="79" t="s">
        <v>467</v>
      </c>
      <c r="B259" s="79" t="s">
        <v>1035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474</v>
      </c>
    </row>
    <row r="260" customFormat="false" ht="15" hidden="false" customHeight="false" outlineLevel="0" collapsed="false">
      <c r="A260" s="79" t="s">
        <v>467</v>
      </c>
      <c r="B260" s="79" t="s">
        <v>1036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475</v>
      </c>
    </row>
    <row r="261" customFormat="false" ht="15" hidden="false" customHeight="false" outlineLevel="0" collapsed="false">
      <c r="A261" s="79" t="s">
        <v>467</v>
      </c>
      <c r="B261" s="79" t="s">
        <v>1037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476</v>
      </c>
    </row>
    <row r="262" customFormat="false" ht="15" hidden="false" customHeight="false" outlineLevel="0" collapsed="false">
      <c r="A262" s="79" t="s">
        <v>467</v>
      </c>
      <c r="B262" s="79" t="s">
        <v>1038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477</v>
      </c>
    </row>
    <row r="263" customFormat="false" ht="15" hidden="false" customHeight="false" outlineLevel="0" collapsed="false">
      <c r="A263" s="79" t="s">
        <v>467</v>
      </c>
      <c r="B263" s="79" t="s">
        <v>1039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478</v>
      </c>
    </row>
    <row r="264" customFormat="false" ht="15" hidden="false" customHeight="false" outlineLevel="0" collapsed="false">
      <c r="A264" s="79" t="s">
        <v>467</v>
      </c>
      <c r="B264" s="79" t="s">
        <v>1040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479</v>
      </c>
    </row>
    <row r="265" customFormat="false" ht="15" hidden="false" customHeight="false" outlineLevel="0" collapsed="false">
      <c r="A265" s="79" t="s">
        <v>467</v>
      </c>
      <c r="B265" s="79" t="s">
        <v>1041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480</v>
      </c>
    </row>
    <row r="266" customFormat="false" ht="15" hidden="false" customHeight="false" outlineLevel="0" collapsed="false">
      <c r="A266" s="79" t="s">
        <v>467</v>
      </c>
      <c r="B266" s="79" t="s">
        <v>1042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481</v>
      </c>
    </row>
    <row r="267" customFormat="false" ht="15" hidden="false" customHeight="false" outlineLevel="0" collapsed="false">
      <c r="A267" s="79" t="s">
        <v>467</v>
      </c>
      <c r="B267" s="79" t="s">
        <v>1043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482</v>
      </c>
    </row>
    <row r="268" customFormat="false" ht="15" hidden="false" customHeight="false" outlineLevel="0" collapsed="false">
      <c r="A268" s="79" t="s">
        <v>467</v>
      </c>
      <c r="B268" s="79" t="s">
        <v>1044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483</v>
      </c>
    </row>
    <row r="269" customFormat="false" ht="15" hidden="false" customHeight="false" outlineLevel="0" collapsed="false">
      <c r="A269" s="79" t="s">
        <v>467</v>
      </c>
      <c r="B269" s="79" t="s">
        <v>1045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484</v>
      </c>
    </row>
    <row r="270" customFormat="false" ht="15" hidden="false" customHeight="false" outlineLevel="0" collapsed="false">
      <c r="A270" s="79" t="s">
        <v>467</v>
      </c>
      <c r="B270" s="79" t="s">
        <v>1046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485</v>
      </c>
    </row>
    <row r="271" customFormat="false" ht="15" hidden="false" customHeight="false" outlineLevel="0" collapsed="false">
      <c r="A271" s="79" t="s">
        <v>467</v>
      </c>
      <c r="B271" s="79" t="s">
        <v>1047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486</v>
      </c>
    </row>
    <row r="272" customFormat="false" ht="15" hidden="false" customHeight="false" outlineLevel="0" collapsed="false">
      <c r="A272" s="79" t="s">
        <v>467</v>
      </c>
      <c r="B272" s="79" t="s">
        <v>1048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487</v>
      </c>
    </row>
    <row r="273" customFormat="false" ht="15" hidden="false" customHeight="false" outlineLevel="0" collapsed="false">
      <c r="A273" s="79" t="s">
        <v>467</v>
      </c>
      <c r="B273" s="79" t="s">
        <v>1049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488</v>
      </c>
    </row>
    <row r="274" customFormat="false" ht="15" hidden="false" customHeight="false" outlineLevel="0" collapsed="false">
      <c r="A274" s="79" t="s">
        <v>467</v>
      </c>
      <c r="B274" s="79" t="s">
        <v>1050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489</v>
      </c>
    </row>
    <row r="275" customFormat="false" ht="15" hidden="false" customHeight="false" outlineLevel="0" collapsed="false">
      <c r="A275" s="79" t="s">
        <v>467</v>
      </c>
      <c r="B275" s="79" t="s">
        <v>1051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490</v>
      </c>
    </row>
    <row r="276" customFormat="false" ht="15" hidden="false" customHeight="false" outlineLevel="0" collapsed="false">
      <c r="A276" s="79" t="s">
        <v>467</v>
      </c>
      <c r="B276" s="79" t="s">
        <v>1052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491</v>
      </c>
    </row>
    <row r="277" customFormat="false" ht="15" hidden="false" customHeight="false" outlineLevel="0" collapsed="false">
      <c r="A277" s="79" t="s">
        <v>467</v>
      </c>
      <c r="B277" s="79" t="s">
        <v>1053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492</v>
      </c>
    </row>
    <row r="278" customFormat="false" ht="15" hidden="false" customHeight="false" outlineLevel="0" collapsed="false">
      <c r="A278" s="79" t="s">
        <v>467</v>
      </c>
      <c r="B278" s="79" t="s">
        <v>1054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1150</v>
      </c>
    </row>
    <row r="279" customFormat="false" ht="15" hidden="false" customHeight="false" outlineLevel="0" collapsed="false">
      <c r="A279" s="79" t="s">
        <v>467</v>
      </c>
      <c r="B279" s="79" t="s">
        <v>1056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1151</v>
      </c>
    </row>
    <row r="280" customFormat="false" ht="15" hidden="false" customHeight="false" outlineLevel="0" collapsed="false">
      <c r="A280" s="79" t="s">
        <v>467</v>
      </c>
      <c r="B280" s="79" t="s">
        <v>1058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1152</v>
      </c>
    </row>
    <row r="281" customFormat="false" ht="15" hidden="false" customHeight="false" outlineLevel="0" collapsed="false">
      <c r="A281" s="79" t="s">
        <v>467</v>
      </c>
      <c r="B281" s="79" t="s">
        <v>1060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1153</v>
      </c>
    </row>
    <row r="282" customFormat="false" ht="15" hidden="false" customHeight="false" outlineLevel="0" collapsed="false">
      <c r="A282" s="79" t="s">
        <v>467</v>
      </c>
      <c r="B282" s="79" t="s">
        <v>1062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1154</v>
      </c>
    </row>
    <row r="283" customFormat="false" ht="15" hidden="false" customHeight="false" outlineLevel="0" collapsed="false">
      <c r="A283" s="79" t="s">
        <v>467</v>
      </c>
      <c r="B283" s="79" t="s">
        <v>1064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1155</v>
      </c>
    </row>
    <row r="284" customFormat="false" ht="15" hidden="false" customHeight="false" outlineLevel="0" collapsed="false">
      <c r="A284" s="79" t="s">
        <v>467</v>
      </c>
      <c r="B284" s="79" t="s">
        <v>1066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1156</v>
      </c>
    </row>
    <row r="285" customFormat="false" ht="15" hidden="false" customHeight="false" outlineLevel="0" collapsed="false">
      <c r="A285" s="79" t="s">
        <v>467</v>
      </c>
      <c r="B285" s="79" t="s">
        <v>1068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1157</v>
      </c>
    </row>
    <row r="286" customFormat="false" ht="15" hidden="false" customHeight="false" outlineLevel="0" collapsed="false">
      <c r="A286" s="79" t="s">
        <v>467</v>
      </c>
      <c r="B286" s="79" t="s">
        <v>1070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1158</v>
      </c>
    </row>
    <row r="287" customFormat="false" ht="15" hidden="false" customHeight="false" outlineLevel="0" collapsed="false">
      <c r="A287" s="79" t="s">
        <v>467</v>
      </c>
      <c r="B287" s="79" t="s">
        <v>1072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1159</v>
      </c>
    </row>
    <row r="288" customFormat="false" ht="15" hidden="false" customHeight="false" outlineLevel="0" collapsed="false">
      <c r="A288" s="79" t="s">
        <v>467</v>
      </c>
      <c r="B288" s="79" t="s">
        <v>1074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1160</v>
      </c>
    </row>
    <row r="289" customFormat="false" ht="15" hidden="false" customHeight="false" outlineLevel="0" collapsed="false">
      <c r="A289" s="79" t="s">
        <v>467</v>
      </c>
      <c r="B289" s="79" t="s">
        <v>1076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1161</v>
      </c>
    </row>
    <row r="290" customFormat="false" ht="15" hidden="false" customHeight="false" outlineLevel="0" collapsed="false">
      <c r="A290" s="79" t="s">
        <v>221</v>
      </c>
      <c r="B290" s="79" t="s">
        <v>1030</v>
      </c>
      <c r="C290" s="80" t="n">
        <v>202609</v>
      </c>
      <c r="D290" s="81" t="n">
        <v>46266</v>
      </c>
      <c r="E290" s="82" t="n">
        <v>64183.361</v>
      </c>
      <c r="F290" s="80" t="n">
        <v>1</v>
      </c>
      <c r="G290" s="79" t="s">
        <v>494</v>
      </c>
    </row>
    <row r="291" customFormat="false" ht="15" hidden="false" customHeight="false" outlineLevel="0" collapsed="false">
      <c r="A291" s="79" t="s">
        <v>221</v>
      </c>
      <c r="B291" s="79" t="s">
        <v>1031</v>
      </c>
      <c r="C291" s="80" t="n">
        <v>202608</v>
      </c>
      <c r="D291" s="81" t="n">
        <v>46235</v>
      </c>
      <c r="E291" s="82" t="n">
        <v>48474.93</v>
      </c>
      <c r="F291" s="80" t="n">
        <v>2</v>
      </c>
      <c r="G291" s="79" t="s">
        <v>495</v>
      </c>
    </row>
    <row r="292" customFormat="false" ht="15" hidden="false" customHeight="false" outlineLevel="0" collapsed="false">
      <c r="A292" s="79" t="s">
        <v>221</v>
      </c>
      <c r="B292" s="79" t="s">
        <v>1032</v>
      </c>
      <c r="C292" s="80" t="n">
        <v>202607</v>
      </c>
      <c r="D292" s="81" t="n">
        <v>46204</v>
      </c>
      <c r="E292" s="82" t="n">
        <v>58011.756</v>
      </c>
      <c r="F292" s="80" t="n">
        <v>3</v>
      </c>
      <c r="G292" s="79" t="s">
        <v>496</v>
      </c>
    </row>
    <row r="293" customFormat="false" ht="15" hidden="false" customHeight="false" outlineLevel="0" collapsed="false">
      <c r="A293" s="79" t="s">
        <v>221</v>
      </c>
      <c r="B293" s="79" t="s">
        <v>1033</v>
      </c>
      <c r="C293" s="80" t="n">
        <v>202606</v>
      </c>
      <c r="D293" s="81" t="n">
        <v>46174</v>
      </c>
      <c r="E293" s="82" t="n">
        <v>47434.191</v>
      </c>
      <c r="F293" s="80" t="n">
        <v>4</v>
      </c>
      <c r="G293" s="79" t="s">
        <v>497</v>
      </c>
    </row>
    <row r="294" customFormat="false" ht="15" hidden="false" customHeight="false" outlineLevel="0" collapsed="false">
      <c r="A294" s="79" t="s">
        <v>221</v>
      </c>
      <c r="B294" s="79" t="s">
        <v>1034</v>
      </c>
      <c r="C294" s="80" t="n">
        <v>202605</v>
      </c>
      <c r="D294" s="81" t="n">
        <v>46143</v>
      </c>
      <c r="E294" s="82" t="n">
        <v>46736.664</v>
      </c>
      <c r="F294" s="80" t="n">
        <v>5</v>
      </c>
      <c r="G294" s="79" t="s">
        <v>498</v>
      </c>
    </row>
    <row r="295" customFormat="false" ht="15" hidden="false" customHeight="false" outlineLevel="0" collapsed="false">
      <c r="A295" s="79" t="s">
        <v>221</v>
      </c>
      <c r="B295" s="79" t="s">
        <v>1035</v>
      </c>
      <c r="C295" s="80" t="n">
        <v>202604</v>
      </c>
      <c r="D295" s="81" t="n">
        <v>46113</v>
      </c>
      <c r="E295" s="82" t="n">
        <v>63219.184</v>
      </c>
      <c r="F295" s="80" t="n">
        <v>6</v>
      </c>
      <c r="G295" s="79" t="s">
        <v>499</v>
      </c>
    </row>
    <row r="296" customFormat="false" ht="15" hidden="false" customHeight="false" outlineLevel="0" collapsed="false">
      <c r="A296" s="79" t="s">
        <v>221</v>
      </c>
      <c r="B296" s="79" t="s">
        <v>1036</v>
      </c>
      <c r="C296" s="80" t="n">
        <v>202603</v>
      </c>
      <c r="D296" s="81" t="n">
        <v>46082</v>
      </c>
      <c r="E296" s="82" t="n">
        <v>38954.271</v>
      </c>
      <c r="F296" s="80" t="n">
        <v>7</v>
      </c>
      <c r="G296" s="79" t="s">
        <v>500</v>
      </c>
    </row>
    <row r="297" customFormat="false" ht="15" hidden="false" customHeight="false" outlineLevel="0" collapsed="false">
      <c r="A297" s="79" t="s">
        <v>221</v>
      </c>
      <c r="B297" s="79" t="s">
        <v>1037</v>
      </c>
      <c r="C297" s="80" t="n">
        <v>202602</v>
      </c>
      <c r="D297" s="81" t="n">
        <v>46054</v>
      </c>
      <c r="E297" s="82" t="n">
        <v>46977.055</v>
      </c>
      <c r="F297" s="80" t="n">
        <v>8</v>
      </c>
      <c r="G297" s="79" t="s">
        <v>501</v>
      </c>
    </row>
    <row r="298" customFormat="false" ht="15" hidden="false" customHeight="false" outlineLevel="0" collapsed="false">
      <c r="A298" s="79" t="s">
        <v>221</v>
      </c>
      <c r="B298" s="79" t="s">
        <v>1038</v>
      </c>
      <c r="C298" s="80" t="n">
        <v>202601</v>
      </c>
      <c r="D298" s="81" t="n">
        <v>46023</v>
      </c>
      <c r="E298" s="82" t="n">
        <v>51266.079</v>
      </c>
      <c r="F298" s="80" t="n">
        <v>9</v>
      </c>
      <c r="G298" s="79" t="s">
        <v>502</v>
      </c>
    </row>
    <row r="299" customFormat="false" ht="15" hidden="false" customHeight="false" outlineLevel="0" collapsed="false">
      <c r="A299" s="79" t="s">
        <v>221</v>
      </c>
      <c r="B299" s="79" t="s">
        <v>1039</v>
      </c>
      <c r="C299" s="80" t="n">
        <v>202512</v>
      </c>
      <c r="D299" s="81" t="n">
        <v>45992</v>
      </c>
      <c r="E299" s="82" t="n">
        <v>46895.68</v>
      </c>
      <c r="F299" s="80" t="n">
        <v>10</v>
      </c>
      <c r="G299" s="79" t="s">
        <v>503</v>
      </c>
    </row>
    <row r="300" customFormat="false" ht="15" hidden="false" customHeight="false" outlineLevel="0" collapsed="false">
      <c r="A300" s="79" t="s">
        <v>221</v>
      </c>
      <c r="B300" s="79" t="s">
        <v>1040</v>
      </c>
      <c r="C300" s="80" t="n">
        <v>202511</v>
      </c>
      <c r="D300" s="81" t="n">
        <v>45962</v>
      </c>
      <c r="E300" s="82" t="n">
        <v>52026.251</v>
      </c>
      <c r="F300" s="80" t="n">
        <v>11</v>
      </c>
      <c r="G300" s="79" t="s">
        <v>504</v>
      </c>
    </row>
    <row r="301" customFormat="false" ht="15" hidden="false" customHeight="false" outlineLevel="0" collapsed="false">
      <c r="A301" s="79" t="s">
        <v>221</v>
      </c>
      <c r="B301" s="79" t="s">
        <v>1041</v>
      </c>
      <c r="C301" s="80" t="n">
        <v>202510</v>
      </c>
      <c r="D301" s="81" t="n">
        <v>45931</v>
      </c>
      <c r="E301" s="82" t="n">
        <v>54330.057</v>
      </c>
      <c r="F301" s="80" t="n">
        <v>12</v>
      </c>
      <c r="G301" s="79" t="s">
        <v>505</v>
      </c>
    </row>
    <row r="302" customFormat="false" ht="15" hidden="false" customHeight="false" outlineLevel="0" collapsed="false">
      <c r="A302" s="79" t="s">
        <v>221</v>
      </c>
      <c r="B302" s="79" t="s">
        <v>1042</v>
      </c>
      <c r="C302" s="80" t="n">
        <v>202509</v>
      </c>
      <c r="D302" s="81" t="n">
        <v>45901</v>
      </c>
      <c r="E302" s="82" t="n">
        <v>44546.643</v>
      </c>
      <c r="F302" s="80" t="n">
        <v>13</v>
      </c>
      <c r="G302" s="79" t="s">
        <v>506</v>
      </c>
    </row>
    <row r="303" customFormat="false" ht="15" hidden="false" customHeight="false" outlineLevel="0" collapsed="false">
      <c r="A303" s="79" t="s">
        <v>221</v>
      </c>
      <c r="B303" s="79" t="s">
        <v>1043</v>
      </c>
      <c r="C303" s="80" t="n">
        <v>202508</v>
      </c>
      <c r="D303" s="81" t="n">
        <v>45870</v>
      </c>
      <c r="E303" s="82" t="n">
        <v>43220.164</v>
      </c>
      <c r="F303" s="80" t="n">
        <v>14</v>
      </c>
      <c r="G303" s="79" t="s">
        <v>507</v>
      </c>
    </row>
    <row r="304" customFormat="false" ht="15" hidden="false" customHeight="false" outlineLevel="0" collapsed="false">
      <c r="A304" s="79" t="s">
        <v>221</v>
      </c>
      <c r="B304" s="79" t="s">
        <v>1044</v>
      </c>
      <c r="C304" s="80" t="n">
        <v>202507</v>
      </c>
      <c r="D304" s="81" t="n">
        <v>45839</v>
      </c>
      <c r="E304" s="82" t="n">
        <v>56433.621</v>
      </c>
      <c r="F304" s="80" t="n">
        <v>15</v>
      </c>
      <c r="G304" s="79" t="s">
        <v>508</v>
      </c>
    </row>
    <row r="305" customFormat="false" ht="15" hidden="false" customHeight="false" outlineLevel="0" collapsed="false">
      <c r="A305" s="79" t="s">
        <v>221</v>
      </c>
      <c r="B305" s="79" t="s">
        <v>1045</v>
      </c>
      <c r="C305" s="80" t="n">
        <v>202506</v>
      </c>
      <c r="D305" s="81" t="n">
        <v>45809</v>
      </c>
      <c r="E305" s="82" t="n">
        <v>45180.526</v>
      </c>
      <c r="F305" s="80" t="n">
        <v>16</v>
      </c>
      <c r="G305" s="79" t="s">
        <v>509</v>
      </c>
    </row>
    <row r="306" customFormat="false" ht="15" hidden="false" customHeight="false" outlineLevel="0" collapsed="false">
      <c r="A306" s="79" t="s">
        <v>221</v>
      </c>
      <c r="B306" s="79" t="s">
        <v>1046</v>
      </c>
      <c r="C306" s="80" t="n">
        <v>202505</v>
      </c>
      <c r="D306" s="81" t="n">
        <v>45778</v>
      </c>
      <c r="E306" s="82" t="n">
        <v>48754.424</v>
      </c>
      <c r="F306" s="80" t="n">
        <v>17</v>
      </c>
      <c r="G306" s="79" t="s">
        <v>510</v>
      </c>
    </row>
    <row r="307" customFormat="false" ht="15" hidden="false" customHeight="false" outlineLevel="0" collapsed="false">
      <c r="A307" s="79" t="s">
        <v>221</v>
      </c>
      <c r="B307" s="79" t="s">
        <v>1047</v>
      </c>
      <c r="C307" s="80" t="n">
        <v>202504</v>
      </c>
      <c r="D307" s="81" t="n">
        <v>45748</v>
      </c>
      <c r="E307" s="82" t="n">
        <v>55996.226</v>
      </c>
      <c r="F307" s="80" t="n">
        <v>18</v>
      </c>
      <c r="G307" s="79" t="s">
        <v>511</v>
      </c>
    </row>
    <row r="308" customFormat="false" ht="15" hidden="false" customHeight="false" outlineLevel="0" collapsed="false">
      <c r="A308" s="79" t="s">
        <v>221</v>
      </c>
      <c r="B308" s="79" t="s">
        <v>1048</v>
      </c>
      <c r="C308" s="80" t="n">
        <v>202503</v>
      </c>
      <c r="D308" s="81" t="n">
        <v>45717</v>
      </c>
      <c r="E308" s="82" t="n">
        <v>46171.723</v>
      </c>
      <c r="F308" s="80" t="n">
        <v>19</v>
      </c>
      <c r="G308" s="79" t="s">
        <v>512</v>
      </c>
    </row>
    <row r="309" customFormat="false" ht="15" hidden="false" customHeight="false" outlineLevel="0" collapsed="false">
      <c r="A309" s="79" t="s">
        <v>221</v>
      </c>
      <c r="B309" s="79" t="s">
        <v>1049</v>
      </c>
      <c r="C309" s="80" t="n">
        <v>202502</v>
      </c>
      <c r="D309" s="81" t="n">
        <v>45689</v>
      </c>
      <c r="E309" s="82" t="n">
        <v>51144.288</v>
      </c>
      <c r="F309" s="80" t="n">
        <v>20</v>
      </c>
      <c r="G309" s="79" t="s">
        <v>513</v>
      </c>
    </row>
    <row r="310" customFormat="false" ht="15" hidden="false" customHeight="false" outlineLevel="0" collapsed="false">
      <c r="A310" s="79" t="s">
        <v>221</v>
      </c>
      <c r="B310" s="79" t="s">
        <v>1050</v>
      </c>
      <c r="C310" s="80" t="n">
        <v>202501</v>
      </c>
      <c r="D310" s="81" t="n">
        <v>45658</v>
      </c>
      <c r="E310" s="82" t="n">
        <v>41683.43</v>
      </c>
      <c r="F310" s="80" t="n">
        <v>21</v>
      </c>
      <c r="G310" s="79" t="s">
        <v>514</v>
      </c>
    </row>
    <row r="311" customFormat="false" ht="15" hidden="false" customHeight="false" outlineLevel="0" collapsed="false">
      <c r="A311" s="79" t="s">
        <v>221</v>
      </c>
      <c r="B311" s="79" t="s">
        <v>1051</v>
      </c>
      <c r="C311" s="80" t="n">
        <v>202412</v>
      </c>
      <c r="D311" s="81" t="n">
        <v>45627</v>
      </c>
      <c r="E311" s="82" t="n">
        <v>45242.346</v>
      </c>
      <c r="F311" s="80" t="n">
        <v>22</v>
      </c>
      <c r="G311" s="79" t="s">
        <v>515</v>
      </c>
    </row>
    <row r="312" customFormat="false" ht="15" hidden="false" customHeight="false" outlineLevel="0" collapsed="false">
      <c r="A312" s="79" t="s">
        <v>221</v>
      </c>
      <c r="B312" s="79" t="s">
        <v>1052</v>
      </c>
      <c r="C312" s="80" t="n">
        <v>202411</v>
      </c>
      <c r="D312" s="81" t="n">
        <v>45597</v>
      </c>
      <c r="E312" s="82" t="n">
        <v>51117.348</v>
      </c>
      <c r="F312" s="80" t="n">
        <v>23</v>
      </c>
      <c r="G312" s="79" t="s">
        <v>516</v>
      </c>
    </row>
    <row r="313" customFormat="false" ht="15" hidden="false" customHeight="false" outlineLevel="0" collapsed="false">
      <c r="A313" s="79" t="s">
        <v>221</v>
      </c>
      <c r="B313" s="79" t="s">
        <v>1053</v>
      </c>
      <c r="C313" s="80" t="n">
        <v>202410</v>
      </c>
      <c r="D313" s="81" t="n">
        <v>45566</v>
      </c>
      <c r="E313" s="82" t="n">
        <v>44675.936</v>
      </c>
      <c r="F313" s="80" t="n">
        <v>24</v>
      </c>
      <c r="G313" s="79" t="s">
        <v>517</v>
      </c>
    </row>
    <row r="314" customFormat="false" ht="15" hidden="false" customHeight="false" outlineLevel="0" collapsed="false">
      <c r="A314" s="79" t="s">
        <v>221</v>
      </c>
      <c r="B314" s="79" t="s">
        <v>1054</v>
      </c>
      <c r="C314" s="80" t="n">
        <v>202409</v>
      </c>
      <c r="D314" s="81" t="n">
        <v>45536</v>
      </c>
      <c r="E314" s="82" t="n">
        <v>41527.835</v>
      </c>
      <c r="F314" s="80" t="n">
        <v>25</v>
      </c>
      <c r="G314" s="79" t="s">
        <v>1162</v>
      </c>
    </row>
    <row r="315" customFormat="false" ht="15" hidden="false" customHeight="false" outlineLevel="0" collapsed="false">
      <c r="A315" s="79" t="s">
        <v>221</v>
      </c>
      <c r="B315" s="79" t="s">
        <v>1056</v>
      </c>
      <c r="C315" s="80" t="n">
        <v>202408</v>
      </c>
      <c r="D315" s="81" t="n">
        <v>45505</v>
      </c>
      <c r="E315" s="82" t="n">
        <v>45609.723</v>
      </c>
      <c r="F315" s="80" t="n">
        <v>26</v>
      </c>
      <c r="G315" s="79" t="s">
        <v>1163</v>
      </c>
    </row>
    <row r="316" customFormat="false" ht="15" hidden="false" customHeight="false" outlineLevel="0" collapsed="false">
      <c r="A316" s="79" t="s">
        <v>221</v>
      </c>
      <c r="B316" s="79" t="s">
        <v>1058</v>
      </c>
      <c r="C316" s="80" t="n">
        <v>202407</v>
      </c>
      <c r="D316" s="81" t="n">
        <v>45474</v>
      </c>
      <c r="E316" s="82" t="n">
        <v>43092.056</v>
      </c>
      <c r="F316" s="80" t="n">
        <v>27</v>
      </c>
      <c r="G316" s="79" t="s">
        <v>1164</v>
      </c>
    </row>
    <row r="317" customFormat="false" ht="15" hidden="false" customHeight="false" outlineLevel="0" collapsed="false">
      <c r="A317" s="79" t="s">
        <v>221</v>
      </c>
      <c r="B317" s="79" t="s">
        <v>1060</v>
      </c>
      <c r="C317" s="80" t="n">
        <v>202406</v>
      </c>
      <c r="D317" s="81" t="n">
        <v>45444</v>
      </c>
      <c r="E317" s="82" t="n">
        <v>42151.178</v>
      </c>
      <c r="F317" s="80" t="n">
        <v>28</v>
      </c>
      <c r="G317" s="79" t="s">
        <v>1165</v>
      </c>
    </row>
    <row r="318" customFormat="false" ht="15" hidden="false" customHeight="false" outlineLevel="0" collapsed="false">
      <c r="A318" s="79" t="s">
        <v>221</v>
      </c>
      <c r="B318" s="79" t="s">
        <v>1062</v>
      </c>
      <c r="C318" s="80" t="n">
        <v>202405</v>
      </c>
      <c r="D318" s="81" t="n">
        <v>45413</v>
      </c>
      <c r="E318" s="82" t="n">
        <v>42027.887</v>
      </c>
      <c r="F318" s="80" t="n">
        <v>29</v>
      </c>
      <c r="G318" s="79" t="s">
        <v>1166</v>
      </c>
    </row>
    <row r="319" customFormat="false" ht="15" hidden="false" customHeight="false" outlineLevel="0" collapsed="false">
      <c r="A319" s="79" t="s">
        <v>221</v>
      </c>
      <c r="B319" s="79" t="s">
        <v>1064</v>
      </c>
      <c r="C319" s="80" t="n">
        <v>202404</v>
      </c>
      <c r="D319" s="81" t="n">
        <v>45383</v>
      </c>
      <c r="E319" s="82" t="n">
        <v>50479.987</v>
      </c>
      <c r="F319" s="80" t="n">
        <v>30</v>
      </c>
      <c r="G319" s="79" t="s">
        <v>1167</v>
      </c>
    </row>
    <row r="320" customFormat="false" ht="15" hidden="false" customHeight="false" outlineLevel="0" collapsed="false">
      <c r="A320" s="79" t="s">
        <v>221</v>
      </c>
      <c r="B320" s="79" t="s">
        <v>1066</v>
      </c>
      <c r="C320" s="80" t="n">
        <v>202403</v>
      </c>
      <c r="D320" s="81" t="n">
        <v>45352</v>
      </c>
      <c r="E320" s="82" t="n">
        <v>38481.87</v>
      </c>
      <c r="F320" s="80" t="n">
        <v>31</v>
      </c>
      <c r="G320" s="79" t="s">
        <v>1168</v>
      </c>
    </row>
    <row r="321" customFormat="false" ht="15" hidden="false" customHeight="false" outlineLevel="0" collapsed="false">
      <c r="A321" s="79" t="s">
        <v>221</v>
      </c>
      <c r="B321" s="79" t="s">
        <v>1068</v>
      </c>
      <c r="C321" s="80" t="n">
        <v>202402</v>
      </c>
      <c r="D321" s="81" t="n">
        <v>45323</v>
      </c>
      <c r="E321" s="82" t="n">
        <v>44496.29</v>
      </c>
      <c r="F321" s="80" t="n">
        <v>32</v>
      </c>
      <c r="G321" s="79" t="s">
        <v>1169</v>
      </c>
    </row>
    <row r="322" customFormat="false" ht="15" hidden="false" customHeight="false" outlineLevel="0" collapsed="false">
      <c r="A322" s="79" t="s">
        <v>221</v>
      </c>
      <c r="B322" s="79" t="s">
        <v>1070</v>
      </c>
      <c r="C322" s="80" t="n">
        <v>202401</v>
      </c>
      <c r="D322" s="81" t="n">
        <v>45292</v>
      </c>
      <c r="E322" s="82" t="n">
        <v>43679.986</v>
      </c>
      <c r="F322" s="80" t="n">
        <v>33</v>
      </c>
      <c r="G322" s="79" t="s">
        <v>1170</v>
      </c>
    </row>
    <row r="323" customFormat="false" ht="15" hidden="false" customHeight="false" outlineLevel="0" collapsed="false">
      <c r="A323" s="79" t="s">
        <v>221</v>
      </c>
      <c r="B323" s="79" t="s">
        <v>1072</v>
      </c>
      <c r="C323" s="80" t="n">
        <v>202312</v>
      </c>
      <c r="D323" s="81" t="n">
        <v>45261</v>
      </c>
      <c r="E323" s="82" t="n">
        <v>43071.172</v>
      </c>
      <c r="F323" s="80" t="n">
        <v>34</v>
      </c>
      <c r="G323" s="79" t="s">
        <v>1171</v>
      </c>
    </row>
    <row r="324" customFormat="false" ht="15" hidden="false" customHeight="false" outlineLevel="0" collapsed="false">
      <c r="A324" s="79" t="s">
        <v>221</v>
      </c>
      <c r="B324" s="79" t="s">
        <v>1074</v>
      </c>
      <c r="C324" s="80" t="n">
        <v>202311</v>
      </c>
      <c r="D324" s="81" t="n">
        <v>45231</v>
      </c>
      <c r="E324" s="82" t="n">
        <v>42810.847</v>
      </c>
      <c r="F324" s="80" t="n">
        <v>35</v>
      </c>
      <c r="G324" s="79" t="s">
        <v>1172</v>
      </c>
    </row>
    <row r="325" customFormat="false" ht="15" hidden="false" customHeight="false" outlineLevel="0" collapsed="false">
      <c r="A325" s="79" t="s">
        <v>221</v>
      </c>
      <c r="B325" s="79" t="s">
        <v>1076</v>
      </c>
      <c r="C325" s="80" t="n">
        <v>202310</v>
      </c>
      <c r="D325" s="81" t="n">
        <v>45200</v>
      </c>
      <c r="E325" s="82" t="n">
        <v>36078.033</v>
      </c>
      <c r="F325" s="80" t="n">
        <v>36</v>
      </c>
      <c r="G325" s="79" t="s">
        <v>1173</v>
      </c>
    </row>
    <row r="326" customFormat="false" ht="15" hidden="false" customHeight="false" outlineLevel="0" collapsed="false">
      <c r="A326" s="79" t="s">
        <v>190</v>
      </c>
      <c r="B326" s="79" t="s">
        <v>1030</v>
      </c>
      <c r="C326" s="80" t="n">
        <v>202609</v>
      </c>
      <c r="D326" s="81" t="n">
        <v>46266</v>
      </c>
      <c r="E326" s="82" t="n">
        <v>470.904</v>
      </c>
      <c r="F326" s="80" t="n">
        <v>1</v>
      </c>
      <c r="G326" s="79" t="s">
        <v>519</v>
      </c>
    </row>
    <row r="327" customFormat="false" ht="15" hidden="false" customHeight="false" outlineLevel="0" collapsed="false">
      <c r="A327" s="79" t="s">
        <v>190</v>
      </c>
      <c r="B327" s="79" t="s">
        <v>1031</v>
      </c>
      <c r="C327" s="80" t="n">
        <v>202608</v>
      </c>
      <c r="D327" s="81" t="n">
        <v>46235</v>
      </c>
      <c r="E327" s="82" t="n">
        <v>422.106</v>
      </c>
      <c r="F327" s="80" t="n">
        <v>2</v>
      </c>
      <c r="G327" s="79" t="s">
        <v>520</v>
      </c>
    </row>
    <row r="328" customFormat="false" ht="15" hidden="false" customHeight="false" outlineLevel="0" collapsed="false">
      <c r="A328" s="79" t="s">
        <v>190</v>
      </c>
      <c r="B328" s="79" t="s">
        <v>1032</v>
      </c>
      <c r="C328" s="80" t="n">
        <v>202607</v>
      </c>
      <c r="D328" s="81" t="n">
        <v>46204</v>
      </c>
      <c r="E328" s="82" t="n">
        <v>325.993</v>
      </c>
      <c r="F328" s="80" t="n">
        <v>3</v>
      </c>
      <c r="G328" s="79" t="s">
        <v>521</v>
      </c>
    </row>
    <row r="329" customFormat="false" ht="15" hidden="false" customHeight="false" outlineLevel="0" collapsed="false">
      <c r="A329" s="79" t="s">
        <v>190</v>
      </c>
      <c r="B329" s="79" t="s">
        <v>1033</v>
      </c>
      <c r="C329" s="80" t="n">
        <v>202606</v>
      </c>
      <c r="D329" s="81" t="n">
        <v>46174</v>
      </c>
      <c r="E329" s="82" t="n">
        <v>320.785</v>
      </c>
      <c r="F329" s="80" t="n">
        <v>4</v>
      </c>
      <c r="G329" s="79" t="s">
        <v>522</v>
      </c>
    </row>
    <row r="330" customFormat="false" ht="15" hidden="false" customHeight="false" outlineLevel="0" collapsed="false">
      <c r="A330" s="79" t="s">
        <v>190</v>
      </c>
      <c r="B330" s="79" t="s">
        <v>1034</v>
      </c>
      <c r="C330" s="80" t="n">
        <v>202605</v>
      </c>
      <c r="D330" s="81" t="n">
        <v>46143</v>
      </c>
      <c r="E330" s="82" t="n">
        <v>318.595</v>
      </c>
      <c r="F330" s="80" t="n">
        <v>5</v>
      </c>
      <c r="G330" s="79" t="s">
        <v>523</v>
      </c>
    </row>
    <row r="331" customFormat="false" ht="15" hidden="false" customHeight="false" outlineLevel="0" collapsed="false">
      <c r="A331" s="79" t="s">
        <v>190</v>
      </c>
      <c r="B331" s="79" t="s">
        <v>1035</v>
      </c>
      <c r="C331" s="80" t="n">
        <v>202604</v>
      </c>
      <c r="D331" s="81" t="n">
        <v>46113</v>
      </c>
      <c r="E331" s="82" t="n">
        <v>311.246</v>
      </c>
      <c r="F331" s="80" t="n">
        <v>6</v>
      </c>
      <c r="G331" s="79" t="s">
        <v>524</v>
      </c>
    </row>
    <row r="332" customFormat="false" ht="15" hidden="false" customHeight="false" outlineLevel="0" collapsed="false">
      <c r="A332" s="79" t="s">
        <v>190</v>
      </c>
      <c r="B332" s="79" t="s">
        <v>1036</v>
      </c>
      <c r="C332" s="80" t="n">
        <v>202603</v>
      </c>
      <c r="D332" s="81" t="n">
        <v>46082</v>
      </c>
      <c r="E332" s="82" t="n">
        <v>307.741</v>
      </c>
      <c r="F332" s="80" t="n">
        <v>7</v>
      </c>
      <c r="G332" s="79" t="s">
        <v>525</v>
      </c>
    </row>
    <row r="333" customFormat="false" ht="15" hidden="false" customHeight="false" outlineLevel="0" collapsed="false">
      <c r="A333" s="79" t="s">
        <v>190</v>
      </c>
      <c r="B333" s="79" t="s">
        <v>1037</v>
      </c>
      <c r="C333" s="80" t="n">
        <v>202602</v>
      </c>
      <c r="D333" s="81" t="n">
        <v>46054</v>
      </c>
      <c r="E333" s="82" t="n">
        <v>340.323</v>
      </c>
      <c r="F333" s="80" t="n">
        <v>8</v>
      </c>
      <c r="G333" s="79" t="s">
        <v>526</v>
      </c>
    </row>
    <row r="334" customFormat="false" ht="15" hidden="false" customHeight="false" outlineLevel="0" collapsed="false">
      <c r="A334" s="79" t="s">
        <v>190</v>
      </c>
      <c r="B334" s="79" t="s">
        <v>1038</v>
      </c>
      <c r="C334" s="80" t="n">
        <v>202601</v>
      </c>
      <c r="D334" s="81" t="n">
        <v>46023</v>
      </c>
      <c r="E334" s="82" t="n">
        <v>319.238</v>
      </c>
      <c r="F334" s="80" t="n">
        <v>9</v>
      </c>
      <c r="G334" s="79" t="s">
        <v>527</v>
      </c>
    </row>
    <row r="335" customFormat="false" ht="15" hidden="false" customHeight="false" outlineLevel="0" collapsed="false">
      <c r="A335" s="79" t="s">
        <v>190</v>
      </c>
      <c r="B335" s="79" t="s">
        <v>1039</v>
      </c>
      <c r="C335" s="80" t="n">
        <v>202512</v>
      </c>
      <c r="D335" s="81" t="n">
        <v>45992</v>
      </c>
      <c r="E335" s="82" t="n">
        <v>285.178</v>
      </c>
      <c r="F335" s="80" t="n">
        <v>10</v>
      </c>
      <c r="G335" s="79" t="s">
        <v>528</v>
      </c>
    </row>
    <row r="336" customFormat="false" ht="15" hidden="false" customHeight="false" outlineLevel="0" collapsed="false">
      <c r="A336" s="79" t="s">
        <v>190</v>
      </c>
      <c r="B336" s="79" t="s">
        <v>1040</v>
      </c>
      <c r="C336" s="80" t="n">
        <v>202511</v>
      </c>
      <c r="D336" s="81" t="n">
        <v>45962</v>
      </c>
      <c r="E336" s="82" t="n">
        <v>355.173</v>
      </c>
      <c r="F336" s="80" t="n">
        <v>11</v>
      </c>
      <c r="G336" s="79" t="s">
        <v>529</v>
      </c>
    </row>
    <row r="337" customFormat="false" ht="15" hidden="false" customHeight="false" outlineLevel="0" collapsed="false">
      <c r="A337" s="79" t="s">
        <v>190</v>
      </c>
      <c r="B337" s="79" t="s">
        <v>1041</v>
      </c>
      <c r="C337" s="80" t="n">
        <v>202510</v>
      </c>
      <c r="D337" s="81" t="n">
        <v>45931</v>
      </c>
      <c r="E337" s="82" t="n">
        <v>346.803</v>
      </c>
      <c r="F337" s="80" t="n">
        <v>12</v>
      </c>
      <c r="G337" s="79" t="s">
        <v>530</v>
      </c>
    </row>
    <row r="338" customFormat="false" ht="15" hidden="false" customHeight="false" outlineLevel="0" collapsed="false">
      <c r="A338" s="79" t="s">
        <v>190</v>
      </c>
      <c r="B338" s="79" t="s">
        <v>1042</v>
      </c>
      <c r="C338" s="80" t="n">
        <v>202509</v>
      </c>
      <c r="D338" s="81" t="n">
        <v>45901</v>
      </c>
      <c r="E338" s="82" t="n">
        <v>275.126</v>
      </c>
      <c r="F338" s="80" t="n">
        <v>13</v>
      </c>
      <c r="G338" s="79" t="s">
        <v>531</v>
      </c>
    </row>
    <row r="339" customFormat="false" ht="15" hidden="false" customHeight="false" outlineLevel="0" collapsed="false">
      <c r="A339" s="79" t="s">
        <v>190</v>
      </c>
      <c r="B339" s="79" t="s">
        <v>1043</v>
      </c>
      <c r="C339" s="80" t="n">
        <v>202508</v>
      </c>
      <c r="D339" s="81" t="n">
        <v>45870</v>
      </c>
      <c r="E339" s="82" t="n">
        <v>290.875</v>
      </c>
      <c r="F339" s="80" t="n">
        <v>14</v>
      </c>
      <c r="G339" s="79" t="s">
        <v>532</v>
      </c>
    </row>
    <row r="340" customFormat="false" ht="15" hidden="false" customHeight="false" outlineLevel="0" collapsed="false">
      <c r="A340" s="79" t="s">
        <v>190</v>
      </c>
      <c r="B340" s="79" t="s">
        <v>1044</v>
      </c>
      <c r="C340" s="80" t="n">
        <v>202507</v>
      </c>
      <c r="D340" s="81" t="n">
        <v>45839</v>
      </c>
      <c r="E340" s="82" t="n">
        <v>263.848</v>
      </c>
      <c r="F340" s="80" t="n">
        <v>15</v>
      </c>
      <c r="G340" s="79" t="s">
        <v>533</v>
      </c>
    </row>
    <row r="341" customFormat="false" ht="15" hidden="false" customHeight="false" outlineLevel="0" collapsed="false">
      <c r="A341" s="79" t="s">
        <v>190</v>
      </c>
      <c r="B341" s="79" t="s">
        <v>1045</v>
      </c>
      <c r="C341" s="80" t="n">
        <v>202506</v>
      </c>
      <c r="D341" s="81" t="n">
        <v>45809</v>
      </c>
      <c r="E341" s="82" t="n">
        <v>218.948</v>
      </c>
      <c r="F341" s="80" t="n">
        <v>16</v>
      </c>
      <c r="G341" s="79" t="s">
        <v>534</v>
      </c>
    </row>
    <row r="342" customFormat="false" ht="15" hidden="false" customHeight="false" outlineLevel="0" collapsed="false">
      <c r="A342" s="79" t="s">
        <v>190</v>
      </c>
      <c r="B342" s="79" t="s">
        <v>1046</v>
      </c>
      <c r="C342" s="80" t="n">
        <v>202505</v>
      </c>
      <c r="D342" s="81" t="n">
        <v>45778</v>
      </c>
      <c r="E342" s="82" t="n">
        <v>231.292</v>
      </c>
      <c r="F342" s="80" t="n">
        <v>17</v>
      </c>
      <c r="G342" s="79" t="s">
        <v>535</v>
      </c>
    </row>
    <row r="343" customFormat="false" ht="15" hidden="false" customHeight="false" outlineLevel="0" collapsed="false">
      <c r="A343" s="79" t="s">
        <v>190</v>
      </c>
      <c r="B343" s="79" t="s">
        <v>1047</v>
      </c>
      <c r="C343" s="80" t="n">
        <v>202504</v>
      </c>
      <c r="D343" s="81" t="n">
        <v>45748</v>
      </c>
      <c r="E343" s="82" t="n">
        <v>266.842</v>
      </c>
      <c r="F343" s="80" t="n">
        <v>18</v>
      </c>
      <c r="G343" s="79" t="s">
        <v>536</v>
      </c>
    </row>
    <row r="344" customFormat="false" ht="15" hidden="false" customHeight="false" outlineLevel="0" collapsed="false">
      <c r="A344" s="79" t="s">
        <v>190</v>
      </c>
      <c r="B344" s="79" t="s">
        <v>1048</v>
      </c>
      <c r="C344" s="80" t="n">
        <v>202503</v>
      </c>
      <c r="D344" s="81" t="n">
        <v>45717</v>
      </c>
      <c r="E344" s="82" t="n">
        <v>265.548</v>
      </c>
      <c r="F344" s="80" t="n">
        <v>19</v>
      </c>
      <c r="G344" s="79" t="s">
        <v>537</v>
      </c>
    </row>
    <row r="345" customFormat="false" ht="15" hidden="false" customHeight="false" outlineLevel="0" collapsed="false">
      <c r="A345" s="79" t="s">
        <v>190</v>
      </c>
      <c r="B345" s="79" t="s">
        <v>1049</v>
      </c>
      <c r="C345" s="80" t="n">
        <v>202502</v>
      </c>
      <c r="D345" s="81" t="n">
        <v>45689</v>
      </c>
      <c r="E345" s="82" t="n">
        <v>261.272</v>
      </c>
      <c r="F345" s="80" t="n">
        <v>20</v>
      </c>
      <c r="G345" s="79" t="s">
        <v>538</v>
      </c>
    </row>
    <row r="346" customFormat="false" ht="15" hidden="false" customHeight="false" outlineLevel="0" collapsed="false">
      <c r="A346" s="79" t="s">
        <v>190</v>
      </c>
      <c r="B346" s="79" t="s">
        <v>1050</v>
      </c>
      <c r="C346" s="80" t="n">
        <v>202501</v>
      </c>
      <c r="D346" s="81" t="n">
        <v>45658</v>
      </c>
      <c r="E346" s="82" t="n">
        <v>248.868</v>
      </c>
      <c r="F346" s="80" t="n">
        <v>21</v>
      </c>
      <c r="G346" s="79" t="s">
        <v>539</v>
      </c>
    </row>
    <row r="347" customFormat="false" ht="15" hidden="false" customHeight="false" outlineLevel="0" collapsed="false">
      <c r="A347" s="79" t="s">
        <v>190</v>
      </c>
      <c r="B347" s="79" t="s">
        <v>1051</v>
      </c>
      <c r="C347" s="80" t="n">
        <v>202412</v>
      </c>
      <c r="D347" s="81" t="n">
        <v>45627</v>
      </c>
      <c r="E347" s="82" t="n">
        <v>237.339</v>
      </c>
      <c r="F347" s="80" t="n">
        <v>22</v>
      </c>
      <c r="G347" s="79" t="s">
        <v>540</v>
      </c>
    </row>
    <row r="348" customFormat="false" ht="15" hidden="false" customHeight="false" outlineLevel="0" collapsed="false">
      <c r="A348" s="79" t="s">
        <v>190</v>
      </c>
      <c r="B348" s="79" t="s">
        <v>1052</v>
      </c>
      <c r="C348" s="80" t="n">
        <v>202411</v>
      </c>
      <c r="D348" s="81" t="n">
        <v>45597</v>
      </c>
      <c r="E348" s="82" t="n">
        <v>236.267</v>
      </c>
      <c r="F348" s="80" t="n">
        <v>23</v>
      </c>
      <c r="G348" s="79" t="s">
        <v>541</v>
      </c>
    </row>
    <row r="349" customFormat="false" ht="15" hidden="false" customHeight="false" outlineLevel="0" collapsed="false">
      <c r="A349" s="79" t="s">
        <v>190</v>
      </c>
      <c r="B349" s="79" t="s">
        <v>1053</v>
      </c>
      <c r="C349" s="80" t="n">
        <v>202410</v>
      </c>
      <c r="D349" s="81" t="n">
        <v>45566</v>
      </c>
      <c r="E349" s="82" t="n">
        <v>269.294</v>
      </c>
      <c r="F349" s="80" t="n">
        <v>24</v>
      </c>
      <c r="G349" s="79" t="s">
        <v>542</v>
      </c>
    </row>
    <row r="350" customFormat="false" ht="15" hidden="false" customHeight="false" outlineLevel="0" collapsed="false">
      <c r="A350" s="79" t="s">
        <v>190</v>
      </c>
      <c r="B350" s="79" t="s">
        <v>1054</v>
      </c>
      <c r="C350" s="80" t="n">
        <v>202409</v>
      </c>
      <c r="D350" s="81" t="n">
        <v>45536</v>
      </c>
      <c r="E350" s="82" t="n">
        <v>273.961</v>
      </c>
      <c r="F350" s="80" t="n">
        <v>25</v>
      </c>
      <c r="G350" s="79" t="s">
        <v>1174</v>
      </c>
    </row>
    <row r="351" customFormat="false" ht="15" hidden="false" customHeight="false" outlineLevel="0" collapsed="false">
      <c r="A351" s="79" t="s">
        <v>190</v>
      </c>
      <c r="B351" s="79" t="s">
        <v>1056</v>
      </c>
      <c r="C351" s="80" t="n">
        <v>202408</v>
      </c>
      <c r="D351" s="81" t="n">
        <v>45505</v>
      </c>
      <c r="E351" s="82" t="n">
        <v>262.493</v>
      </c>
      <c r="F351" s="80" t="n">
        <v>26</v>
      </c>
      <c r="G351" s="79" t="s">
        <v>1175</v>
      </c>
    </row>
    <row r="352" customFormat="false" ht="15" hidden="false" customHeight="false" outlineLevel="0" collapsed="false">
      <c r="A352" s="79" t="s">
        <v>190</v>
      </c>
      <c r="B352" s="79" t="s">
        <v>1058</v>
      </c>
      <c r="C352" s="80" t="n">
        <v>202407</v>
      </c>
      <c r="D352" s="81" t="n">
        <v>45474</v>
      </c>
      <c r="E352" s="82" t="n">
        <v>296.919</v>
      </c>
      <c r="F352" s="80" t="n">
        <v>27</v>
      </c>
      <c r="G352" s="79" t="s">
        <v>1176</v>
      </c>
    </row>
    <row r="353" customFormat="false" ht="15" hidden="false" customHeight="false" outlineLevel="0" collapsed="false">
      <c r="A353" s="79" t="s">
        <v>190</v>
      </c>
      <c r="B353" s="79" t="s">
        <v>1060</v>
      </c>
      <c r="C353" s="80" t="n">
        <v>202406</v>
      </c>
      <c r="D353" s="81" t="n">
        <v>45444</v>
      </c>
      <c r="E353" s="82" t="n">
        <v>291.927</v>
      </c>
      <c r="F353" s="80" t="n">
        <v>28</v>
      </c>
      <c r="G353" s="79" t="s">
        <v>1177</v>
      </c>
    </row>
    <row r="354" customFormat="false" ht="15" hidden="false" customHeight="false" outlineLevel="0" collapsed="false">
      <c r="A354" s="79" t="s">
        <v>190</v>
      </c>
      <c r="B354" s="79" t="s">
        <v>1062</v>
      </c>
      <c r="C354" s="80" t="n">
        <v>202405</v>
      </c>
      <c r="D354" s="81" t="n">
        <v>45413</v>
      </c>
      <c r="E354" s="82" t="n">
        <v>286.755</v>
      </c>
      <c r="F354" s="80" t="n">
        <v>29</v>
      </c>
      <c r="G354" s="79" t="s">
        <v>1178</v>
      </c>
    </row>
    <row r="355" customFormat="false" ht="15" hidden="false" customHeight="false" outlineLevel="0" collapsed="false">
      <c r="A355" s="79" t="s">
        <v>190</v>
      </c>
      <c r="B355" s="79" t="s">
        <v>1064</v>
      </c>
      <c r="C355" s="80" t="n">
        <v>202404</v>
      </c>
      <c r="D355" s="81" t="n">
        <v>45383</v>
      </c>
      <c r="E355" s="82" t="n">
        <v>295.997</v>
      </c>
      <c r="F355" s="80" t="n">
        <v>30</v>
      </c>
      <c r="G355" s="79" t="s">
        <v>1179</v>
      </c>
    </row>
    <row r="356" customFormat="false" ht="15" hidden="false" customHeight="false" outlineLevel="0" collapsed="false">
      <c r="A356" s="79" t="s">
        <v>190</v>
      </c>
      <c r="B356" s="79" t="s">
        <v>1066</v>
      </c>
      <c r="C356" s="80" t="n">
        <v>202403</v>
      </c>
      <c r="D356" s="81" t="n">
        <v>45352</v>
      </c>
      <c r="E356" s="82" t="n">
        <v>263.703</v>
      </c>
      <c r="F356" s="80" t="n">
        <v>31</v>
      </c>
      <c r="G356" s="79" t="s">
        <v>1180</v>
      </c>
    </row>
    <row r="357" customFormat="false" ht="15" hidden="false" customHeight="false" outlineLevel="0" collapsed="false">
      <c r="A357" s="79" t="s">
        <v>190</v>
      </c>
      <c r="B357" s="79" t="s">
        <v>1068</v>
      </c>
      <c r="C357" s="80" t="n">
        <v>202402</v>
      </c>
      <c r="D357" s="81" t="n">
        <v>45323</v>
      </c>
      <c r="E357" s="82" t="n">
        <v>277.694</v>
      </c>
      <c r="F357" s="80" t="n">
        <v>32</v>
      </c>
      <c r="G357" s="79" t="s">
        <v>1181</v>
      </c>
    </row>
    <row r="358" customFormat="false" ht="15" hidden="false" customHeight="false" outlineLevel="0" collapsed="false">
      <c r="A358" s="79" t="s">
        <v>190</v>
      </c>
      <c r="B358" s="79" t="s">
        <v>1070</v>
      </c>
      <c r="C358" s="80" t="n">
        <v>202401</v>
      </c>
      <c r="D358" s="81" t="n">
        <v>45292</v>
      </c>
      <c r="E358" s="82" t="n">
        <v>294.549</v>
      </c>
      <c r="F358" s="80" t="n">
        <v>33</v>
      </c>
      <c r="G358" s="79" t="s">
        <v>1182</v>
      </c>
    </row>
    <row r="359" customFormat="false" ht="15" hidden="false" customHeight="false" outlineLevel="0" collapsed="false">
      <c r="A359" s="79" t="s">
        <v>190</v>
      </c>
      <c r="B359" s="79" t="s">
        <v>1072</v>
      </c>
      <c r="C359" s="80" t="n">
        <v>202312</v>
      </c>
      <c r="D359" s="81" t="n">
        <v>45261</v>
      </c>
      <c r="E359" s="82" t="n">
        <v>325.709</v>
      </c>
      <c r="F359" s="80" t="n">
        <v>34</v>
      </c>
      <c r="G359" s="79" t="s">
        <v>1183</v>
      </c>
    </row>
    <row r="360" customFormat="false" ht="15" hidden="false" customHeight="false" outlineLevel="0" collapsed="false">
      <c r="A360" s="79" t="s">
        <v>190</v>
      </c>
      <c r="B360" s="79" t="s">
        <v>1074</v>
      </c>
      <c r="C360" s="80" t="n">
        <v>202311</v>
      </c>
      <c r="D360" s="81" t="n">
        <v>45231</v>
      </c>
      <c r="E360" s="82" t="n">
        <v>316.68</v>
      </c>
      <c r="F360" s="80" t="n">
        <v>35</v>
      </c>
      <c r="G360" s="79" t="s">
        <v>1184</v>
      </c>
    </row>
    <row r="361" customFormat="false" ht="15" hidden="false" customHeight="false" outlineLevel="0" collapsed="false">
      <c r="A361" s="79" t="s">
        <v>190</v>
      </c>
      <c r="B361" s="79" t="s">
        <v>1076</v>
      </c>
      <c r="C361" s="80" t="n">
        <v>202310</v>
      </c>
      <c r="D361" s="81" t="n">
        <v>45200</v>
      </c>
      <c r="E361" s="82" t="n">
        <v>286.93</v>
      </c>
      <c r="F361" s="80" t="n">
        <v>36</v>
      </c>
      <c r="G361" s="79" t="s">
        <v>1185</v>
      </c>
    </row>
    <row r="362" customFormat="false" ht="15" hidden="false" customHeight="false" outlineLevel="0" collapsed="false">
      <c r="A362" s="79" t="s">
        <v>223</v>
      </c>
      <c r="B362" s="79" t="s">
        <v>1030</v>
      </c>
      <c r="C362" s="80" t="n">
        <v>202609</v>
      </c>
      <c r="D362" s="81" t="n">
        <v>46266</v>
      </c>
      <c r="E362" s="82" t="n">
        <v>1180.621</v>
      </c>
      <c r="F362" s="80" t="n">
        <v>1</v>
      </c>
      <c r="G362" s="79" t="s">
        <v>543</v>
      </c>
    </row>
    <row r="363" customFormat="false" ht="15" hidden="false" customHeight="false" outlineLevel="0" collapsed="false">
      <c r="A363" s="79" t="s">
        <v>223</v>
      </c>
      <c r="B363" s="79" t="s">
        <v>1031</v>
      </c>
      <c r="C363" s="80" t="n">
        <v>202608</v>
      </c>
      <c r="D363" s="81" t="n">
        <v>46235</v>
      </c>
      <c r="E363" s="82" t="n">
        <v>1070.629</v>
      </c>
      <c r="F363" s="80" t="n">
        <v>2</v>
      </c>
      <c r="G363" s="79" t="s">
        <v>544</v>
      </c>
    </row>
    <row r="364" customFormat="false" ht="15" hidden="false" customHeight="false" outlineLevel="0" collapsed="false">
      <c r="A364" s="79" t="s">
        <v>223</v>
      </c>
      <c r="B364" s="79" t="s">
        <v>1032</v>
      </c>
      <c r="C364" s="80" t="n">
        <v>202607</v>
      </c>
      <c r="D364" s="81" t="n">
        <v>46204</v>
      </c>
      <c r="E364" s="82" t="n">
        <v>937.969</v>
      </c>
      <c r="F364" s="80" t="n">
        <v>3</v>
      </c>
      <c r="G364" s="79" t="s">
        <v>545</v>
      </c>
    </row>
    <row r="365" customFormat="false" ht="15" hidden="false" customHeight="false" outlineLevel="0" collapsed="false">
      <c r="A365" s="79" t="s">
        <v>223</v>
      </c>
      <c r="B365" s="79" t="s">
        <v>1033</v>
      </c>
      <c r="C365" s="80" t="n">
        <v>202606</v>
      </c>
      <c r="D365" s="81" t="n">
        <v>46174</v>
      </c>
      <c r="E365" s="82" t="n">
        <v>704.375</v>
      </c>
      <c r="F365" s="80" t="n">
        <v>4</v>
      </c>
      <c r="G365" s="79" t="s">
        <v>546</v>
      </c>
    </row>
    <row r="366" customFormat="false" ht="15" hidden="false" customHeight="false" outlineLevel="0" collapsed="false">
      <c r="A366" s="79" t="s">
        <v>223</v>
      </c>
      <c r="B366" s="79" t="s">
        <v>1034</v>
      </c>
      <c r="C366" s="80" t="n">
        <v>202605</v>
      </c>
      <c r="D366" s="81" t="n">
        <v>46143</v>
      </c>
      <c r="E366" s="82" t="n">
        <v>863.341</v>
      </c>
      <c r="F366" s="80" t="n">
        <v>5</v>
      </c>
      <c r="G366" s="79" t="s">
        <v>547</v>
      </c>
    </row>
    <row r="367" customFormat="false" ht="15" hidden="false" customHeight="false" outlineLevel="0" collapsed="false">
      <c r="A367" s="79" t="s">
        <v>223</v>
      </c>
      <c r="B367" s="79" t="s">
        <v>1035</v>
      </c>
      <c r="C367" s="80" t="n">
        <v>202604</v>
      </c>
      <c r="D367" s="81" t="n">
        <v>46113</v>
      </c>
      <c r="E367" s="82" t="n">
        <v>624.91</v>
      </c>
      <c r="F367" s="80" t="n">
        <v>6</v>
      </c>
      <c r="G367" s="79" t="s">
        <v>548</v>
      </c>
    </row>
    <row r="368" customFormat="false" ht="15" hidden="false" customHeight="false" outlineLevel="0" collapsed="false">
      <c r="A368" s="79" t="s">
        <v>223</v>
      </c>
      <c r="B368" s="79" t="s">
        <v>1036</v>
      </c>
      <c r="C368" s="80" t="n">
        <v>202603</v>
      </c>
      <c r="D368" s="81" t="n">
        <v>46082</v>
      </c>
      <c r="E368" s="82" t="n">
        <v>477.648</v>
      </c>
      <c r="F368" s="80" t="n">
        <v>7</v>
      </c>
      <c r="G368" s="79" t="s">
        <v>549</v>
      </c>
    </row>
    <row r="369" customFormat="false" ht="15" hidden="false" customHeight="false" outlineLevel="0" collapsed="false">
      <c r="A369" s="79" t="s">
        <v>223</v>
      </c>
      <c r="B369" s="79" t="s">
        <v>1037</v>
      </c>
      <c r="C369" s="80" t="n">
        <v>202602</v>
      </c>
      <c r="D369" s="81" t="n">
        <v>46054</v>
      </c>
      <c r="E369" s="82" t="n">
        <v>466.63</v>
      </c>
      <c r="F369" s="80" t="n">
        <v>8</v>
      </c>
      <c r="G369" s="79" t="s">
        <v>550</v>
      </c>
    </row>
    <row r="370" customFormat="false" ht="15" hidden="false" customHeight="false" outlineLevel="0" collapsed="false">
      <c r="A370" s="79" t="s">
        <v>223</v>
      </c>
      <c r="B370" s="79" t="s">
        <v>1038</v>
      </c>
      <c r="C370" s="80" t="n">
        <v>202601</v>
      </c>
      <c r="D370" s="81" t="n">
        <v>46023</v>
      </c>
      <c r="E370" s="82" t="n">
        <v>360.721</v>
      </c>
      <c r="F370" s="80" t="n">
        <v>9</v>
      </c>
      <c r="G370" s="79" t="s">
        <v>551</v>
      </c>
    </row>
    <row r="371" customFormat="false" ht="15" hidden="false" customHeight="false" outlineLevel="0" collapsed="false">
      <c r="A371" s="79" t="s">
        <v>223</v>
      </c>
      <c r="B371" s="79" t="s">
        <v>1039</v>
      </c>
      <c r="C371" s="80" t="n">
        <v>202512</v>
      </c>
      <c r="D371" s="81" t="n">
        <v>45992</v>
      </c>
      <c r="E371" s="82" t="n">
        <v>307.434</v>
      </c>
      <c r="F371" s="80" t="n">
        <v>10</v>
      </c>
      <c r="G371" s="79" t="s">
        <v>552</v>
      </c>
    </row>
    <row r="372" customFormat="false" ht="15" hidden="false" customHeight="false" outlineLevel="0" collapsed="false">
      <c r="A372" s="79" t="s">
        <v>223</v>
      </c>
      <c r="B372" s="79" t="s">
        <v>1040</v>
      </c>
      <c r="C372" s="80" t="n">
        <v>202511</v>
      </c>
      <c r="D372" s="81" t="n">
        <v>45962</v>
      </c>
      <c r="E372" s="82" t="n">
        <v>259.818</v>
      </c>
      <c r="F372" s="80" t="n">
        <v>11</v>
      </c>
      <c r="G372" s="79" t="s">
        <v>553</v>
      </c>
    </row>
    <row r="373" customFormat="false" ht="15" hidden="false" customHeight="false" outlineLevel="0" collapsed="false">
      <c r="A373" s="79" t="s">
        <v>223</v>
      </c>
      <c r="B373" s="79" t="s">
        <v>1041</v>
      </c>
      <c r="C373" s="80" t="n">
        <v>202510</v>
      </c>
      <c r="D373" s="81" t="n">
        <v>45931</v>
      </c>
      <c r="E373" s="82" t="n">
        <v>1426.276</v>
      </c>
      <c r="F373" s="80" t="n">
        <v>12</v>
      </c>
      <c r="G373" s="79" t="s">
        <v>554</v>
      </c>
    </row>
    <row r="374" customFormat="false" ht="15" hidden="false" customHeight="false" outlineLevel="0" collapsed="false">
      <c r="A374" s="79" t="s">
        <v>223</v>
      </c>
      <c r="B374" s="79" t="s">
        <v>1042</v>
      </c>
      <c r="C374" s="80" t="n">
        <v>202509</v>
      </c>
      <c r="D374" s="81" t="n">
        <v>45901</v>
      </c>
      <c r="E374" s="82" t="n">
        <v>244.302</v>
      </c>
      <c r="F374" s="80" t="n">
        <v>13</v>
      </c>
      <c r="G374" s="79" t="s">
        <v>555</v>
      </c>
    </row>
    <row r="375" customFormat="false" ht="15" hidden="false" customHeight="false" outlineLevel="0" collapsed="false">
      <c r="A375" s="79" t="s">
        <v>223</v>
      </c>
      <c r="B375" s="79" t="s">
        <v>1043</v>
      </c>
      <c r="C375" s="80" t="n">
        <v>202508</v>
      </c>
      <c r="D375" s="81" t="n">
        <v>45870</v>
      </c>
      <c r="E375" s="82" t="n">
        <v>281.096</v>
      </c>
      <c r="F375" s="80" t="n">
        <v>14</v>
      </c>
      <c r="G375" s="79" t="s">
        <v>556</v>
      </c>
    </row>
    <row r="376" customFormat="false" ht="15" hidden="false" customHeight="false" outlineLevel="0" collapsed="false">
      <c r="A376" s="79" t="s">
        <v>223</v>
      </c>
      <c r="B376" s="79" t="s">
        <v>1044</v>
      </c>
      <c r="C376" s="80" t="n">
        <v>202507</v>
      </c>
      <c r="D376" s="81" t="n">
        <v>45839</v>
      </c>
      <c r="E376" s="82" t="n">
        <v>145.673</v>
      </c>
      <c r="F376" s="80" t="n">
        <v>15</v>
      </c>
      <c r="G376" s="79" t="s">
        <v>557</v>
      </c>
    </row>
    <row r="377" customFormat="false" ht="15" hidden="false" customHeight="false" outlineLevel="0" collapsed="false">
      <c r="A377" s="79" t="s">
        <v>223</v>
      </c>
      <c r="B377" s="79" t="s">
        <v>1045</v>
      </c>
      <c r="C377" s="80" t="n">
        <v>202506</v>
      </c>
      <c r="D377" s="81" t="n">
        <v>45809</v>
      </c>
      <c r="E377" s="82" t="n">
        <v>299.296</v>
      </c>
      <c r="F377" s="80" t="n">
        <v>16</v>
      </c>
      <c r="G377" s="79" t="s">
        <v>558</v>
      </c>
    </row>
    <row r="378" customFormat="false" ht="15" hidden="false" customHeight="false" outlineLevel="0" collapsed="false">
      <c r="A378" s="79" t="s">
        <v>223</v>
      </c>
      <c r="B378" s="79" t="s">
        <v>1046</v>
      </c>
      <c r="C378" s="80" t="n">
        <v>202505</v>
      </c>
      <c r="D378" s="81" t="n">
        <v>45778</v>
      </c>
      <c r="E378" s="82" t="n">
        <v>313.034</v>
      </c>
      <c r="F378" s="80" t="n">
        <v>17</v>
      </c>
      <c r="G378" s="79" t="s">
        <v>559</v>
      </c>
    </row>
    <row r="379" customFormat="false" ht="15" hidden="false" customHeight="false" outlineLevel="0" collapsed="false">
      <c r="A379" s="79" t="s">
        <v>223</v>
      </c>
      <c r="B379" s="79" t="s">
        <v>1047</v>
      </c>
      <c r="C379" s="80" t="n">
        <v>202504</v>
      </c>
      <c r="D379" s="81" t="n">
        <v>45748</v>
      </c>
      <c r="E379" s="82" t="n">
        <v>341.205</v>
      </c>
      <c r="F379" s="80" t="n">
        <v>18</v>
      </c>
      <c r="G379" s="79" t="s">
        <v>560</v>
      </c>
    </row>
    <row r="380" customFormat="false" ht="15" hidden="false" customHeight="false" outlineLevel="0" collapsed="false">
      <c r="A380" s="79" t="s">
        <v>223</v>
      </c>
      <c r="B380" s="79" t="s">
        <v>1048</v>
      </c>
      <c r="C380" s="80" t="n">
        <v>202503</v>
      </c>
      <c r="D380" s="81" t="n">
        <v>45717</v>
      </c>
      <c r="E380" s="82" t="n">
        <v>210.023</v>
      </c>
      <c r="F380" s="80" t="n">
        <v>19</v>
      </c>
      <c r="G380" s="79" t="s">
        <v>561</v>
      </c>
    </row>
    <row r="381" customFormat="false" ht="15" hidden="false" customHeight="false" outlineLevel="0" collapsed="false">
      <c r="A381" s="79" t="s">
        <v>223</v>
      </c>
      <c r="B381" s="79" t="s">
        <v>1049</v>
      </c>
      <c r="C381" s="80" t="n">
        <v>202502</v>
      </c>
      <c r="D381" s="81" t="n">
        <v>45689</v>
      </c>
      <c r="E381" s="82" t="n">
        <v>269.109</v>
      </c>
      <c r="F381" s="80" t="n">
        <v>20</v>
      </c>
      <c r="G381" s="79" t="s">
        <v>562</v>
      </c>
    </row>
    <row r="382" customFormat="false" ht="15" hidden="false" customHeight="false" outlineLevel="0" collapsed="false">
      <c r="A382" s="79" t="s">
        <v>223</v>
      </c>
      <c r="B382" s="79" t="s">
        <v>1050</v>
      </c>
      <c r="C382" s="80" t="n">
        <v>202501</v>
      </c>
      <c r="D382" s="81" t="n">
        <v>45658</v>
      </c>
      <c r="E382" s="82" t="n">
        <v>938.899</v>
      </c>
      <c r="F382" s="80" t="n">
        <v>21</v>
      </c>
      <c r="G382" s="79" t="s">
        <v>563</v>
      </c>
    </row>
    <row r="383" customFormat="false" ht="15" hidden="false" customHeight="false" outlineLevel="0" collapsed="false">
      <c r="A383" s="79" t="s">
        <v>223</v>
      </c>
      <c r="B383" s="79" t="s">
        <v>1051</v>
      </c>
      <c r="C383" s="80" t="n">
        <v>202412</v>
      </c>
      <c r="D383" s="81" t="n">
        <v>45627</v>
      </c>
      <c r="E383" s="82" t="n">
        <v>340.838</v>
      </c>
      <c r="F383" s="80" t="n">
        <v>22</v>
      </c>
      <c r="G383" s="79" t="s">
        <v>564</v>
      </c>
    </row>
    <row r="384" customFormat="false" ht="15" hidden="false" customHeight="false" outlineLevel="0" collapsed="false">
      <c r="A384" s="79" t="s">
        <v>223</v>
      </c>
      <c r="B384" s="79" t="s">
        <v>1052</v>
      </c>
      <c r="C384" s="80" t="n">
        <v>202411</v>
      </c>
      <c r="D384" s="81" t="n">
        <v>45597</v>
      </c>
      <c r="E384" s="82" t="n">
        <v>348.625</v>
      </c>
      <c r="F384" s="80" t="n">
        <v>23</v>
      </c>
      <c r="G384" s="79" t="s">
        <v>565</v>
      </c>
    </row>
    <row r="385" customFormat="false" ht="15" hidden="false" customHeight="false" outlineLevel="0" collapsed="false">
      <c r="A385" s="79" t="s">
        <v>223</v>
      </c>
      <c r="B385" s="79" t="s">
        <v>1053</v>
      </c>
      <c r="C385" s="80" t="n">
        <v>202410</v>
      </c>
      <c r="D385" s="81" t="n">
        <v>45566</v>
      </c>
      <c r="E385" s="82" t="n">
        <v>325.865</v>
      </c>
      <c r="F385" s="80" t="n">
        <v>24</v>
      </c>
      <c r="G385" s="79" t="s">
        <v>566</v>
      </c>
    </row>
    <row r="386" customFormat="false" ht="15" hidden="false" customHeight="false" outlineLevel="0" collapsed="false">
      <c r="A386" s="79" t="s">
        <v>223</v>
      </c>
      <c r="B386" s="79" t="s">
        <v>1054</v>
      </c>
      <c r="C386" s="80" t="n">
        <v>202409</v>
      </c>
      <c r="D386" s="81" t="n">
        <v>45536</v>
      </c>
      <c r="E386" s="82" t="n">
        <v>427.36</v>
      </c>
      <c r="F386" s="80" t="n">
        <v>25</v>
      </c>
      <c r="G386" s="79" t="s">
        <v>1186</v>
      </c>
    </row>
    <row r="387" customFormat="false" ht="15" hidden="false" customHeight="false" outlineLevel="0" collapsed="false">
      <c r="A387" s="79" t="s">
        <v>223</v>
      </c>
      <c r="B387" s="79" t="s">
        <v>1056</v>
      </c>
      <c r="C387" s="80" t="n">
        <v>202408</v>
      </c>
      <c r="D387" s="81" t="n">
        <v>45505</v>
      </c>
      <c r="E387" s="82" t="n">
        <v>255.025</v>
      </c>
      <c r="F387" s="80" t="n">
        <v>26</v>
      </c>
      <c r="G387" s="79" t="s">
        <v>1187</v>
      </c>
    </row>
    <row r="388" customFormat="false" ht="15" hidden="false" customHeight="false" outlineLevel="0" collapsed="false">
      <c r="A388" s="79" t="s">
        <v>223</v>
      </c>
      <c r="B388" s="79" t="s">
        <v>1058</v>
      </c>
      <c r="C388" s="80" t="n">
        <v>202407</v>
      </c>
      <c r="D388" s="81" t="n">
        <v>45474</v>
      </c>
      <c r="E388" s="82" t="n">
        <v>211.274</v>
      </c>
      <c r="F388" s="80" t="n">
        <v>27</v>
      </c>
      <c r="G388" s="79" t="s">
        <v>1188</v>
      </c>
    </row>
    <row r="389" customFormat="false" ht="15" hidden="false" customHeight="false" outlineLevel="0" collapsed="false">
      <c r="A389" s="79" t="s">
        <v>223</v>
      </c>
      <c r="B389" s="79" t="s">
        <v>1060</v>
      </c>
      <c r="C389" s="80" t="n">
        <v>202406</v>
      </c>
      <c r="D389" s="81" t="n">
        <v>45444</v>
      </c>
      <c r="E389" s="82" t="n">
        <v>260.814</v>
      </c>
      <c r="F389" s="80" t="n">
        <v>28</v>
      </c>
      <c r="G389" s="79" t="s">
        <v>1189</v>
      </c>
    </row>
    <row r="390" customFormat="false" ht="15" hidden="false" customHeight="false" outlineLevel="0" collapsed="false">
      <c r="A390" s="79" t="s">
        <v>223</v>
      </c>
      <c r="B390" s="79" t="s">
        <v>1062</v>
      </c>
      <c r="C390" s="80" t="n">
        <v>202405</v>
      </c>
      <c r="D390" s="81" t="n">
        <v>45413</v>
      </c>
      <c r="E390" s="82" t="n">
        <v>247.293</v>
      </c>
      <c r="F390" s="80" t="n">
        <v>29</v>
      </c>
      <c r="G390" s="79" t="s">
        <v>1190</v>
      </c>
    </row>
    <row r="391" customFormat="false" ht="15" hidden="false" customHeight="false" outlineLevel="0" collapsed="false">
      <c r="A391" s="79" t="s">
        <v>223</v>
      </c>
      <c r="B391" s="79" t="s">
        <v>1064</v>
      </c>
      <c r="C391" s="80" t="n">
        <v>202404</v>
      </c>
      <c r="D391" s="81" t="n">
        <v>45383</v>
      </c>
      <c r="E391" s="82" t="n">
        <v>383.428</v>
      </c>
      <c r="F391" s="80" t="n">
        <v>30</v>
      </c>
      <c r="G391" s="79" t="s">
        <v>1191</v>
      </c>
    </row>
    <row r="392" customFormat="false" ht="15" hidden="false" customHeight="false" outlineLevel="0" collapsed="false">
      <c r="A392" s="79" t="s">
        <v>223</v>
      </c>
      <c r="B392" s="79" t="s">
        <v>1066</v>
      </c>
      <c r="C392" s="80" t="n">
        <v>202403</v>
      </c>
      <c r="D392" s="81" t="n">
        <v>45352</v>
      </c>
      <c r="E392" s="82" t="n">
        <v>223.093</v>
      </c>
      <c r="F392" s="80" t="n">
        <v>31</v>
      </c>
      <c r="G392" s="79" t="s">
        <v>1192</v>
      </c>
    </row>
    <row r="393" customFormat="false" ht="15" hidden="false" customHeight="false" outlineLevel="0" collapsed="false">
      <c r="A393" s="79" t="s">
        <v>223</v>
      </c>
      <c r="B393" s="79" t="s">
        <v>1068</v>
      </c>
      <c r="C393" s="80" t="n">
        <v>202402</v>
      </c>
      <c r="D393" s="81" t="n">
        <v>45323</v>
      </c>
      <c r="E393" s="82" t="n">
        <v>333.294</v>
      </c>
      <c r="F393" s="80" t="n">
        <v>32</v>
      </c>
      <c r="G393" s="79" t="s">
        <v>1193</v>
      </c>
    </row>
    <row r="394" customFormat="false" ht="15" hidden="false" customHeight="false" outlineLevel="0" collapsed="false">
      <c r="A394" s="79" t="s">
        <v>223</v>
      </c>
      <c r="B394" s="79" t="s">
        <v>1070</v>
      </c>
      <c r="C394" s="80" t="n">
        <v>202401</v>
      </c>
      <c r="D394" s="81" t="n">
        <v>45292</v>
      </c>
      <c r="E394" s="82" t="n">
        <v>591.964</v>
      </c>
      <c r="F394" s="80" t="n">
        <v>33</v>
      </c>
      <c r="G394" s="79" t="s">
        <v>1194</v>
      </c>
    </row>
    <row r="395" customFormat="false" ht="15" hidden="false" customHeight="false" outlineLevel="0" collapsed="false">
      <c r="A395" s="79" t="s">
        <v>223</v>
      </c>
      <c r="B395" s="79" t="s">
        <v>1072</v>
      </c>
      <c r="C395" s="80" t="n">
        <v>202312</v>
      </c>
      <c r="D395" s="81" t="n">
        <v>45261</v>
      </c>
      <c r="E395" s="82" t="n">
        <v>710.103</v>
      </c>
      <c r="F395" s="80" t="n">
        <v>34</v>
      </c>
      <c r="G395" s="79" t="s">
        <v>1195</v>
      </c>
    </row>
    <row r="396" customFormat="false" ht="15" hidden="false" customHeight="false" outlineLevel="0" collapsed="false">
      <c r="A396" s="79" t="s">
        <v>223</v>
      </c>
      <c r="B396" s="79" t="s">
        <v>1074</v>
      </c>
      <c r="C396" s="80" t="n">
        <v>202311</v>
      </c>
      <c r="D396" s="81" t="n">
        <v>45231</v>
      </c>
      <c r="E396" s="82" t="n">
        <v>419.757</v>
      </c>
      <c r="F396" s="80" t="n">
        <v>35</v>
      </c>
      <c r="G396" s="79" t="s">
        <v>1196</v>
      </c>
    </row>
    <row r="397" customFormat="false" ht="15" hidden="false" customHeight="false" outlineLevel="0" collapsed="false">
      <c r="A397" s="79" t="s">
        <v>223</v>
      </c>
      <c r="B397" s="79" t="s">
        <v>1076</v>
      </c>
      <c r="C397" s="80" t="n">
        <v>202310</v>
      </c>
      <c r="D397" s="81" t="n">
        <v>45200</v>
      </c>
      <c r="E397" s="82" t="n">
        <v>442.025</v>
      </c>
      <c r="F397" s="80" t="n">
        <v>36</v>
      </c>
      <c r="G397" s="79" t="s">
        <v>1197</v>
      </c>
    </row>
    <row r="398" customFormat="false" ht="15" hidden="false" customHeight="false" outlineLevel="0" collapsed="false">
      <c r="A398" s="79" t="s">
        <v>195</v>
      </c>
      <c r="B398" s="79" t="s">
        <v>1030</v>
      </c>
      <c r="C398" s="80" t="n">
        <v>202609</v>
      </c>
      <c r="D398" s="81" t="n">
        <v>46266</v>
      </c>
      <c r="E398" s="82" t="n">
        <v>10327.444</v>
      </c>
      <c r="F398" s="80" t="n">
        <v>1</v>
      </c>
      <c r="G398" s="79" t="s">
        <v>568</v>
      </c>
    </row>
    <row r="399" customFormat="false" ht="15" hidden="false" customHeight="false" outlineLevel="0" collapsed="false">
      <c r="A399" s="79" t="s">
        <v>195</v>
      </c>
      <c r="B399" s="79" t="s">
        <v>1031</v>
      </c>
      <c r="C399" s="80" t="n">
        <v>202608</v>
      </c>
      <c r="D399" s="81" t="n">
        <v>46235</v>
      </c>
      <c r="E399" s="82" t="n">
        <v>10296.332</v>
      </c>
      <c r="F399" s="80" t="n">
        <v>2</v>
      </c>
      <c r="G399" s="79" t="s">
        <v>569</v>
      </c>
    </row>
    <row r="400" customFormat="false" ht="15" hidden="false" customHeight="false" outlineLevel="0" collapsed="false">
      <c r="A400" s="79" t="s">
        <v>195</v>
      </c>
      <c r="B400" s="79" t="s">
        <v>1032</v>
      </c>
      <c r="C400" s="80" t="n">
        <v>202607</v>
      </c>
      <c r="D400" s="81" t="n">
        <v>46204</v>
      </c>
      <c r="E400" s="82" t="n">
        <v>10022.596</v>
      </c>
      <c r="F400" s="80" t="n">
        <v>3</v>
      </c>
      <c r="G400" s="79" t="s">
        <v>570</v>
      </c>
    </row>
    <row r="401" customFormat="false" ht="15" hidden="false" customHeight="false" outlineLevel="0" collapsed="false">
      <c r="A401" s="79" t="s">
        <v>195</v>
      </c>
      <c r="B401" s="79" t="s">
        <v>1033</v>
      </c>
      <c r="C401" s="80" t="n">
        <v>202606</v>
      </c>
      <c r="D401" s="81" t="n">
        <v>46174</v>
      </c>
      <c r="E401" s="82" t="n">
        <v>9412.486</v>
      </c>
      <c r="F401" s="80" t="n">
        <v>4</v>
      </c>
      <c r="G401" s="79" t="s">
        <v>571</v>
      </c>
    </row>
    <row r="402" customFormat="false" ht="15" hidden="false" customHeight="false" outlineLevel="0" collapsed="false">
      <c r="A402" s="79" t="s">
        <v>195</v>
      </c>
      <c r="B402" s="79" t="s">
        <v>1034</v>
      </c>
      <c r="C402" s="80" t="n">
        <v>202605</v>
      </c>
      <c r="D402" s="81" t="n">
        <v>46143</v>
      </c>
      <c r="E402" s="82" t="n">
        <v>9225.016</v>
      </c>
      <c r="F402" s="80" t="n">
        <v>5</v>
      </c>
      <c r="G402" s="79" t="s">
        <v>572</v>
      </c>
    </row>
    <row r="403" customFormat="false" ht="15" hidden="false" customHeight="false" outlineLevel="0" collapsed="false">
      <c r="A403" s="79" t="s">
        <v>195</v>
      </c>
      <c r="B403" s="79" t="s">
        <v>1035</v>
      </c>
      <c r="C403" s="80" t="n">
        <v>202604</v>
      </c>
      <c r="D403" s="81" t="n">
        <v>46113</v>
      </c>
      <c r="E403" s="82" t="n">
        <v>8468.607</v>
      </c>
      <c r="F403" s="80" t="n">
        <v>6</v>
      </c>
      <c r="G403" s="79" t="s">
        <v>573</v>
      </c>
    </row>
    <row r="404" customFormat="false" ht="15" hidden="false" customHeight="false" outlineLevel="0" collapsed="false">
      <c r="A404" s="79" t="s">
        <v>195</v>
      </c>
      <c r="B404" s="79" t="s">
        <v>1036</v>
      </c>
      <c r="C404" s="80" t="n">
        <v>202603</v>
      </c>
      <c r="D404" s="81" t="n">
        <v>46082</v>
      </c>
      <c r="E404" s="82" t="n">
        <v>7059.376</v>
      </c>
      <c r="F404" s="80" t="n">
        <v>7</v>
      </c>
      <c r="G404" s="79" t="s">
        <v>574</v>
      </c>
    </row>
    <row r="405" customFormat="false" ht="15" hidden="false" customHeight="false" outlineLevel="0" collapsed="false">
      <c r="A405" s="79" t="s">
        <v>195</v>
      </c>
      <c r="B405" s="79" t="s">
        <v>1037</v>
      </c>
      <c r="C405" s="80" t="n">
        <v>202602</v>
      </c>
      <c r="D405" s="81" t="n">
        <v>46054</v>
      </c>
      <c r="E405" s="82" t="n">
        <v>7617.321</v>
      </c>
      <c r="F405" s="80" t="n">
        <v>8</v>
      </c>
      <c r="G405" s="79" t="s">
        <v>575</v>
      </c>
    </row>
    <row r="406" customFormat="false" ht="15" hidden="false" customHeight="false" outlineLevel="0" collapsed="false">
      <c r="A406" s="79" t="s">
        <v>195</v>
      </c>
      <c r="B406" s="79" t="s">
        <v>1038</v>
      </c>
      <c r="C406" s="80" t="n">
        <v>202601</v>
      </c>
      <c r="D406" s="81" t="n">
        <v>46023</v>
      </c>
      <c r="E406" s="82" t="n">
        <v>7319.722</v>
      </c>
      <c r="F406" s="80" t="n">
        <v>9</v>
      </c>
      <c r="G406" s="79" t="s">
        <v>576</v>
      </c>
    </row>
    <row r="407" customFormat="false" ht="15" hidden="false" customHeight="false" outlineLevel="0" collapsed="false">
      <c r="A407" s="79" t="s">
        <v>195</v>
      </c>
      <c r="B407" s="79" t="s">
        <v>1039</v>
      </c>
      <c r="C407" s="80" t="n">
        <v>202512</v>
      </c>
      <c r="D407" s="81" t="n">
        <v>45992</v>
      </c>
      <c r="E407" s="82" t="n">
        <v>7618.617</v>
      </c>
      <c r="F407" s="80" t="n">
        <v>10</v>
      </c>
      <c r="G407" s="79" t="s">
        <v>577</v>
      </c>
    </row>
    <row r="408" customFormat="false" ht="15" hidden="false" customHeight="false" outlineLevel="0" collapsed="false">
      <c r="A408" s="79" t="s">
        <v>195</v>
      </c>
      <c r="B408" s="79" t="s">
        <v>1040</v>
      </c>
      <c r="C408" s="80" t="n">
        <v>202511</v>
      </c>
      <c r="D408" s="81" t="n">
        <v>45962</v>
      </c>
      <c r="E408" s="82" t="n">
        <v>7878.87</v>
      </c>
      <c r="F408" s="80" t="n">
        <v>11</v>
      </c>
      <c r="G408" s="79" t="s">
        <v>578</v>
      </c>
    </row>
    <row r="409" customFormat="false" ht="15" hidden="false" customHeight="false" outlineLevel="0" collapsed="false">
      <c r="A409" s="79" t="s">
        <v>195</v>
      </c>
      <c r="B409" s="79" t="s">
        <v>1041</v>
      </c>
      <c r="C409" s="80" t="n">
        <v>202510</v>
      </c>
      <c r="D409" s="81" t="n">
        <v>45931</v>
      </c>
      <c r="E409" s="82" t="n">
        <v>8278.299</v>
      </c>
      <c r="F409" s="80" t="n">
        <v>12</v>
      </c>
      <c r="G409" s="79" t="s">
        <v>579</v>
      </c>
    </row>
    <row r="410" customFormat="false" ht="15" hidden="false" customHeight="false" outlineLevel="0" collapsed="false">
      <c r="A410" s="79" t="s">
        <v>195</v>
      </c>
      <c r="B410" s="79" t="s">
        <v>1042</v>
      </c>
      <c r="C410" s="80" t="n">
        <v>202509</v>
      </c>
      <c r="D410" s="81" t="n">
        <v>45901</v>
      </c>
      <c r="E410" s="82" t="n">
        <v>8174.953</v>
      </c>
      <c r="F410" s="80" t="n">
        <v>13</v>
      </c>
      <c r="G410" s="79" t="s">
        <v>580</v>
      </c>
    </row>
    <row r="411" customFormat="false" ht="15" hidden="false" customHeight="false" outlineLevel="0" collapsed="false">
      <c r="A411" s="79" t="s">
        <v>195</v>
      </c>
      <c r="B411" s="79" t="s">
        <v>1043</v>
      </c>
      <c r="C411" s="80" t="n">
        <v>202508</v>
      </c>
      <c r="D411" s="81" t="n">
        <v>45870</v>
      </c>
      <c r="E411" s="82" t="n">
        <v>8120.418</v>
      </c>
      <c r="F411" s="80" t="n">
        <v>14</v>
      </c>
      <c r="G411" s="79" t="s">
        <v>581</v>
      </c>
    </row>
    <row r="412" customFormat="false" ht="15" hidden="false" customHeight="false" outlineLevel="0" collapsed="false">
      <c r="A412" s="79" t="s">
        <v>195</v>
      </c>
      <c r="B412" s="79" t="s">
        <v>1044</v>
      </c>
      <c r="C412" s="80" t="n">
        <v>202507</v>
      </c>
      <c r="D412" s="81" t="n">
        <v>45839</v>
      </c>
      <c r="E412" s="82" t="n">
        <v>8425.263</v>
      </c>
      <c r="F412" s="80" t="n">
        <v>15</v>
      </c>
      <c r="G412" s="79" t="s">
        <v>582</v>
      </c>
    </row>
    <row r="413" customFormat="false" ht="15" hidden="false" customHeight="false" outlineLevel="0" collapsed="false">
      <c r="A413" s="79" t="s">
        <v>195</v>
      </c>
      <c r="B413" s="79" t="s">
        <v>1045</v>
      </c>
      <c r="C413" s="80" t="n">
        <v>202506</v>
      </c>
      <c r="D413" s="81" t="n">
        <v>45809</v>
      </c>
      <c r="E413" s="82" t="n">
        <v>8607.337</v>
      </c>
      <c r="F413" s="80" t="n">
        <v>16</v>
      </c>
      <c r="G413" s="79" t="s">
        <v>583</v>
      </c>
    </row>
    <row r="414" customFormat="false" ht="15" hidden="false" customHeight="false" outlineLevel="0" collapsed="false">
      <c r="A414" s="79" t="s">
        <v>195</v>
      </c>
      <c r="B414" s="79" t="s">
        <v>1046</v>
      </c>
      <c r="C414" s="80" t="n">
        <v>202505</v>
      </c>
      <c r="D414" s="81" t="n">
        <v>45778</v>
      </c>
      <c r="E414" s="82" t="n">
        <v>9119.463</v>
      </c>
      <c r="F414" s="80" t="n">
        <v>17</v>
      </c>
      <c r="G414" s="79" t="s">
        <v>584</v>
      </c>
    </row>
    <row r="415" customFormat="false" ht="15" hidden="false" customHeight="false" outlineLevel="0" collapsed="false">
      <c r="A415" s="79" t="s">
        <v>195</v>
      </c>
      <c r="B415" s="79" t="s">
        <v>1047</v>
      </c>
      <c r="C415" s="80" t="n">
        <v>202504</v>
      </c>
      <c r="D415" s="81" t="n">
        <v>45748</v>
      </c>
      <c r="E415" s="82" t="n">
        <v>9372.1</v>
      </c>
      <c r="F415" s="80" t="n">
        <v>18</v>
      </c>
      <c r="G415" s="79" t="s">
        <v>585</v>
      </c>
    </row>
    <row r="416" customFormat="false" ht="15" hidden="false" customHeight="false" outlineLevel="0" collapsed="false">
      <c r="A416" s="79" t="s">
        <v>195</v>
      </c>
      <c r="B416" s="79" t="s">
        <v>1048</v>
      </c>
      <c r="C416" s="80" t="n">
        <v>202503</v>
      </c>
      <c r="D416" s="81" t="n">
        <v>45717</v>
      </c>
      <c r="E416" s="82" t="n">
        <v>9267.233</v>
      </c>
      <c r="F416" s="80" t="n">
        <v>19</v>
      </c>
      <c r="G416" s="79" t="s">
        <v>586</v>
      </c>
    </row>
    <row r="417" customFormat="false" ht="15" hidden="false" customHeight="false" outlineLevel="0" collapsed="false">
      <c r="A417" s="79" t="s">
        <v>195</v>
      </c>
      <c r="B417" s="79" t="s">
        <v>1049</v>
      </c>
      <c r="C417" s="80" t="n">
        <v>202502</v>
      </c>
      <c r="D417" s="81" t="n">
        <v>45689</v>
      </c>
      <c r="E417" s="82" t="n">
        <v>8480.869</v>
      </c>
      <c r="F417" s="80" t="n">
        <v>20</v>
      </c>
      <c r="G417" s="79" t="s">
        <v>587</v>
      </c>
    </row>
    <row r="418" customFormat="false" ht="15" hidden="false" customHeight="false" outlineLevel="0" collapsed="false">
      <c r="A418" s="79" t="s">
        <v>195</v>
      </c>
      <c r="B418" s="79" t="s">
        <v>1050</v>
      </c>
      <c r="C418" s="80" t="n">
        <v>202501</v>
      </c>
      <c r="D418" s="81" t="n">
        <v>45658</v>
      </c>
      <c r="E418" s="82" t="n">
        <v>8527.147</v>
      </c>
      <c r="F418" s="80" t="n">
        <v>21</v>
      </c>
      <c r="G418" s="79" t="s">
        <v>588</v>
      </c>
    </row>
    <row r="419" customFormat="false" ht="15" hidden="false" customHeight="false" outlineLevel="0" collapsed="false">
      <c r="A419" s="79" t="s">
        <v>195</v>
      </c>
      <c r="B419" s="79" t="s">
        <v>1051</v>
      </c>
      <c r="C419" s="80" t="n">
        <v>202412</v>
      </c>
      <c r="D419" s="81" t="n">
        <v>45627</v>
      </c>
      <c r="E419" s="82" t="n">
        <v>8212.667</v>
      </c>
      <c r="F419" s="80" t="n">
        <v>22</v>
      </c>
      <c r="G419" s="79" t="s">
        <v>589</v>
      </c>
    </row>
    <row r="420" customFormat="false" ht="15" hidden="false" customHeight="false" outlineLevel="0" collapsed="false">
      <c r="A420" s="79" t="s">
        <v>195</v>
      </c>
      <c r="B420" s="79" t="s">
        <v>1052</v>
      </c>
      <c r="C420" s="80" t="n">
        <v>202411</v>
      </c>
      <c r="D420" s="81" t="n">
        <v>45597</v>
      </c>
      <c r="E420" s="82" t="n">
        <v>8522.705</v>
      </c>
      <c r="F420" s="80" t="n">
        <v>23</v>
      </c>
      <c r="G420" s="79" t="s">
        <v>590</v>
      </c>
    </row>
    <row r="421" customFormat="false" ht="15" hidden="false" customHeight="false" outlineLevel="0" collapsed="false">
      <c r="A421" s="79" t="s">
        <v>195</v>
      </c>
      <c r="B421" s="79" t="s">
        <v>1053</v>
      </c>
      <c r="C421" s="80" t="n">
        <v>202410</v>
      </c>
      <c r="D421" s="81" t="n">
        <v>45566</v>
      </c>
      <c r="E421" s="82" t="n">
        <v>8918.212</v>
      </c>
      <c r="F421" s="80" t="n">
        <v>24</v>
      </c>
      <c r="G421" s="79" t="s">
        <v>591</v>
      </c>
    </row>
    <row r="422" customFormat="false" ht="15" hidden="false" customHeight="false" outlineLevel="0" collapsed="false">
      <c r="A422" s="79" t="s">
        <v>195</v>
      </c>
      <c r="B422" s="79" t="s">
        <v>1054</v>
      </c>
      <c r="C422" s="80" t="n">
        <v>202409</v>
      </c>
      <c r="D422" s="81" t="n">
        <v>45536</v>
      </c>
      <c r="E422" s="82" t="n">
        <v>9680.155</v>
      </c>
      <c r="F422" s="80" t="n">
        <v>25</v>
      </c>
      <c r="G422" s="79" t="s">
        <v>1198</v>
      </c>
    </row>
    <row r="423" customFormat="false" ht="15" hidden="false" customHeight="false" outlineLevel="0" collapsed="false">
      <c r="A423" s="79" t="s">
        <v>195</v>
      </c>
      <c r="B423" s="79" t="s">
        <v>1056</v>
      </c>
      <c r="C423" s="80" t="n">
        <v>202408</v>
      </c>
      <c r="D423" s="81" t="n">
        <v>45505</v>
      </c>
      <c r="E423" s="82" t="n">
        <v>9267.96</v>
      </c>
      <c r="F423" s="80" t="n">
        <v>26</v>
      </c>
      <c r="G423" s="79" t="s">
        <v>1199</v>
      </c>
    </row>
    <row r="424" customFormat="false" ht="15" hidden="false" customHeight="false" outlineLevel="0" collapsed="false">
      <c r="A424" s="79" t="s">
        <v>195</v>
      </c>
      <c r="B424" s="79" t="s">
        <v>1058</v>
      </c>
      <c r="C424" s="80" t="n">
        <v>202407</v>
      </c>
      <c r="D424" s="81" t="n">
        <v>45474</v>
      </c>
      <c r="E424" s="82" t="n">
        <v>8463.25</v>
      </c>
      <c r="F424" s="80" t="n">
        <v>27</v>
      </c>
      <c r="G424" s="79" t="s">
        <v>1200</v>
      </c>
    </row>
    <row r="425" customFormat="false" ht="15" hidden="false" customHeight="false" outlineLevel="0" collapsed="false">
      <c r="A425" s="79" t="s">
        <v>195</v>
      </c>
      <c r="B425" s="79" t="s">
        <v>1060</v>
      </c>
      <c r="C425" s="80" t="n">
        <v>202406</v>
      </c>
      <c r="D425" s="81" t="n">
        <v>45444</v>
      </c>
      <c r="E425" s="82" t="n">
        <v>8438.693</v>
      </c>
      <c r="F425" s="80" t="n">
        <v>28</v>
      </c>
      <c r="G425" s="79" t="s">
        <v>1201</v>
      </c>
    </row>
    <row r="426" customFormat="false" ht="15" hidden="false" customHeight="false" outlineLevel="0" collapsed="false">
      <c r="A426" s="79" t="s">
        <v>195</v>
      </c>
      <c r="B426" s="79" t="s">
        <v>1062</v>
      </c>
      <c r="C426" s="80" t="n">
        <v>202405</v>
      </c>
      <c r="D426" s="81" t="n">
        <v>45413</v>
      </c>
      <c r="E426" s="82" t="n">
        <v>8329.076</v>
      </c>
      <c r="F426" s="80" t="n">
        <v>29</v>
      </c>
      <c r="G426" s="79" t="s">
        <v>1202</v>
      </c>
    </row>
    <row r="427" customFormat="false" ht="15" hidden="false" customHeight="false" outlineLevel="0" collapsed="false">
      <c r="A427" s="79" t="s">
        <v>195</v>
      </c>
      <c r="B427" s="79" t="s">
        <v>1064</v>
      </c>
      <c r="C427" s="80" t="n">
        <v>202404</v>
      </c>
      <c r="D427" s="81" t="n">
        <v>45383</v>
      </c>
      <c r="E427" s="82" t="n">
        <v>8575.205</v>
      </c>
      <c r="F427" s="80" t="n">
        <v>30</v>
      </c>
      <c r="G427" s="79" t="s">
        <v>1203</v>
      </c>
    </row>
    <row r="428" customFormat="false" ht="15" hidden="false" customHeight="false" outlineLevel="0" collapsed="false">
      <c r="A428" s="79" t="s">
        <v>195</v>
      </c>
      <c r="B428" s="79" t="s">
        <v>1066</v>
      </c>
      <c r="C428" s="80" t="n">
        <v>202403</v>
      </c>
      <c r="D428" s="81" t="n">
        <v>45352</v>
      </c>
      <c r="E428" s="82" t="n">
        <v>7132.911</v>
      </c>
      <c r="F428" s="80" t="n">
        <v>31</v>
      </c>
      <c r="G428" s="79" t="s">
        <v>1204</v>
      </c>
    </row>
    <row r="429" customFormat="false" ht="15" hidden="false" customHeight="false" outlineLevel="0" collapsed="false">
      <c r="A429" s="79" t="s">
        <v>195</v>
      </c>
      <c r="B429" s="79" t="s">
        <v>1068</v>
      </c>
      <c r="C429" s="80" t="n">
        <v>202402</v>
      </c>
      <c r="D429" s="81" t="n">
        <v>45323</v>
      </c>
      <c r="E429" s="82" t="n">
        <v>8719.77</v>
      </c>
      <c r="F429" s="80" t="n">
        <v>32</v>
      </c>
      <c r="G429" s="79" t="s">
        <v>1205</v>
      </c>
    </row>
    <row r="430" customFormat="false" ht="15" hidden="false" customHeight="false" outlineLevel="0" collapsed="false">
      <c r="A430" s="79" t="s">
        <v>195</v>
      </c>
      <c r="B430" s="79" t="s">
        <v>1070</v>
      </c>
      <c r="C430" s="80" t="n">
        <v>202401</v>
      </c>
      <c r="D430" s="81" t="n">
        <v>45292</v>
      </c>
      <c r="E430" s="82" t="n">
        <v>8679.433</v>
      </c>
      <c r="F430" s="80" t="n">
        <v>33</v>
      </c>
      <c r="G430" s="79" t="s">
        <v>1206</v>
      </c>
    </row>
    <row r="431" customFormat="false" ht="15" hidden="false" customHeight="false" outlineLevel="0" collapsed="false">
      <c r="A431" s="79" t="s">
        <v>195</v>
      </c>
      <c r="B431" s="79" t="s">
        <v>1072</v>
      </c>
      <c r="C431" s="80" t="n">
        <v>202312</v>
      </c>
      <c r="D431" s="81" t="n">
        <v>45261</v>
      </c>
      <c r="E431" s="82" t="n">
        <v>8948.713</v>
      </c>
      <c r="F431" s="80" t="n">
        <v>34</v>
      </c>
      <c r="G431" s="79" t="s">
        <v>1207</v>
      </c>
    </row>
    <row r="432" customFormat="false" ht="15" hidden="false" customHeight="false" outlineLevel="0" collapsed="false">
      <c r="A432" s="79" t="s">
        <v>195</v>
      </c>
      <c r="B432" s="79" t="s">
        <v>1074</v>
      </c>
      <c r="C432" s="80" t="n">
        <v>202311</v>
      </c>
      <c r="D432" s="81" t="n">
        <v>45231</v>
      </c>
      <c r="E432" s="82" t="n">
        <v>9525.678</v>
      </c>
      <c r="F432" s="80" t="n">
        <v>35</v>
      </c>
      <c r="G432" s="79" t="s">
        <v>1208</v>
      </c>
    </row>
    <row r="433" customFormat="false" ht="15" hidden="false" customHeight="false" outlineLevel="0" collapsed="false">
      <c r="A433" s="79" t="s">
        <v>195</v>
      </c>
      <c r="B433" s="79" t="s">
        <v>1076</v>
      </c>
      <c r="C433" s="80" t="n">
        <v>202310</v>
      </c>
      <c r="D433" s="81" t="n">
        <v>45200</v>
      </c>
      <c r="E433" s="82" t="n">
        <v>9560.688</v>
      </c>
      <c r="F433" s="80" t="n">
        <v>36</v>
      </c>
      <c r="G433" s="79" t="s">
        <v>1209</v>
      </c>
    </row>
    <row r="434" customFormat="false" ht="15" hidden="false" customHeight="false" outlineLevel="0" collapsed="false">
      <c r="A434" s="79" t="s">
        <v>209</v>
      </c>
      <c r="B434" s="79" t="s">
        <v>1030</v>
      </c>
      <c r="C434" s="80" t="n">
        <v>202609</v>
      </c>
      <c r="D434" s="81" t="n">
        <v>46266</v>
      </c>
      <c r="E434" s="82" t="n">
        <v>520.469</v>
      </c>
      <c r="F434" s="80" t="n">
        <v>1</v>
      </c>
      <c r="G434" s="79" t="s">
        <v>593</v>
      </c>
    </row>
    <row r="435" customFormat="false" ht="15" hidden="false" customHeight="false" outlineLevel="0" collapsed="false">
      <c r="A435" s="79" t="s">
        <v>209</v>
      </c>
      <c r="B435" s="79" t="s">
        <v>1031</v>
      </c>
      <c r="C435" s="80" t="n">
        <v>202608</v>
      </c>
      <c r="D435" s="81" t="n">
        <v>46235</v>
      </c>
      <c r="E435" s="82" t="n">
        <v>501.21</v>
      </c>
      <c r="F435" s="80" t="n">
        <v>2</v>
      </c>
      <c r="G435" s="79" t="s">
        <v>594</v>
      </c>
    </row>
    <row r="436" customFormat="false" ht="15" hidden="false" customHeight="false" outlineLevel="0" collapsed="false">
      <c r="A436" s="79" t="s">
        <v>209</v>
      </c>
      <c r="B436" s="79" t="s">
        <v>1032</v>
      </c>
      <c r="C436" s="80" t="n">
        <v>202607</v>
      </c>
      <c r="D436" s="81" t="n">
        <v>46204</v>
      </c>
      <c r="E436" s="82" t="n">
        <v>420.507</v>
      </c>
      <c r="F436" s="80" t="n">
        <v>3</v>
      </c>
      <c r="G436" s="79" t="s">
        <v>595</v>
      </c>
    </row>
    <row r="437" customFormat="false" ht="15" hidden="false" customHeight="false" outlineLevel="0" collapsed="false">
      <c r="A437" s="79" t="s">
        <v>209</v>
      </c>
      <c r="B437" s="79" t="s">
        <v>1033</v>
      </c>
      <c r="C437" s="80" t="n">
        <v>202606</v>
      </c>
      <c r="D437" s="81" t="n">
        <v>46174</v>
      </c>
      <c r="E437" s="82" t="n">
        <v>405.322</v>
      </c>
      <c r="F437" s="80" t="n">
        <v>4</v>
      </c>
      <c r="G437" s="79" t="s">
        <v>596</v>
      </c>
    </row>
    <row r="438" customFormat="false" ht="15" hidden="false" customHeight="false" outlineLevel="0" collapsed="false">
      <c r="A438" s="79" t="s">
        <v>209</v>
      </c>
      <c r="B438" s="79" t="s">
        <v>1034</v>
      </c>
      <c r="C438" s="80" t="n">
        <v>202605</v>
      </c>
      <c r="D438" s="81" t="n">
        <v>46143</v>
      </c>
      <c r="E438" s="82" t="n">
        <v>395.349</v>
      </c>
      <c r="F438" s="80" t="n">
        <v>5</v>
      </c>
      <c r="G438" s="79" t="s">
        <v>597</v>
      </c>
    </row>
    <row r="439" customFormat="false" ht="15" hidden="false" customHeight="false" outlineLevel="0" collapsed="false">
      <c r="A439" s="79" t="s">
        <v>209</v>
      </c>
      <c r="B439" s="79" t="s">
        <v>1035</v>
      </c>
      <c r="C439" s="80" t="n">
        <v>202604</v>
      </c>
      <c r="D439" s="81" t="n">
        <v>46113</v>
      </c>
      <c r="E439" s="82" t="n">
        <v>343.319</v>
      </c>
      <c r="F439" s="80" t="n">
        <v>6</v>
      </c>
      <c r="G439" s="79" t="s">
        <v>598</v>
      </c>
    </row>
    <row r="440" customFormat="false" ht="15" hidden="false" customHeight="false" outlineLevel="0" collapsed="false">
      <c r="A440" s="79" t="s">
        <v>209</v>
      </c>
      <c r="B440" s="79" t="s">
        <v>1036</v>
      </c>
      <c r="C440" s="80" t="n">
        <v>202603</v>
      </c>
      <c r="D440" s="81" t="n">
        <v>46082</v>
      </c>
      <c r="E440" s="82" t="n">
        <v>290.3</v>
      </c>
      <c r="F440" s="80" t="n">
        <v>7</v>
      </c>
      <c r="G440" s="79" t="s">
        <v>599</v>
      </c>
    </row>
    <row r="441" customFormat="false" ht="15" hidden="false" customHeight="false" outlineLevel="0" collapsed="false">
      <c r="A441" s="79" t="s">
        <v>209</v>
      </c>
      <c r="B441" s="79" t="s">
        <v>1037</v>
      </c>
      <c r="C441" s="80" t="n">
        <v>202602</v>
      </c>
      <c r="D441" s="81" t="n">
        <v>46054</v>
      </c>
      <c r="E441" s="82" t="n">
        <v>270.77</v>
      </c>
      <c r="F441" s="80" t="n">
        <v>8</v>
      </c>
      <c r="G441" s="79" t="s">
        <v>600</v>
      </c>
    </row>
    <row r="442" customFormat="false" ht="15" hidden="false" customHeight="false" outlineLevel="0" collapsed="false">
      <c r="A442" s="79" t="s">
        <v>209</v>
      </c>
      <c r="B442" s="79" t="s">
        <v>1038</v>
      </c>
      <c r="C442" s="80" t="n">
        <v>202601</v>
      </c>
      <c r="D442" s="81" t="n">
        <v>46023</v>
      </c>
      <c r="E442" s="82" t="n">
        <v>230.664</v>
      </c>
      <c r="F442" s="80" t="n">
        <v>9</v>
      </c>
      <c r="G442" s="79" t="s">
        <v>601</v>
      </c>
    </row>
    <row r="443" customFormat="false" ht="15" hidden="false" customHeight="false" outlineLevel="0" collapsed="false">
      <c r="A443" s="79" t="s">
        <v>209</v>
      </c>
      <c r="B443" s="79" t="s">
        <v>1039</v>
      </c>
      <c r="C443" s="80" t="n">
        <v>202512</v>
      </c>
      <c r="D443" s="81" t="n">
        <v>45992</v>
      </c>
      <c r="E443" s="82" t="n">
        <v>210.28</v>
      </c>
      <c r="F443" s="80" t="n">
        <v>10</v>
      </c>
      <c r="G443" s="79" t="s">
        <v>602</v>
      </c>
    </row>
    <row r="444" customFormat="false" ht="15" hidden="false" customHeight="false" outlineLevel="0" collapsed="false">
      <c r="A444" s="79" t="s">
        <v>209</v>
      </c>
      <c r="B444" s="79" t="s">
        <v>1040</v>
      </c>
      <c r="C444" s="80" t="n">
        <v>202511</v>
      </c>
      <c r="D444" s="81" t="n">
        <v>45962</v>
      </c>
      <c r="E444" s="82" t="n">
        <v>201.479</v>
      </c>
      <c r="F444" s="80" t="n">
        <v>11</v>
      </c>
      <c r="G444" s="79" t="s">
        <v>603</v>
      </c>
    </row>
    <row r="445" customFormat="false" ht="15" hidden="false" customHeight="false" outlineLevel="0" collapsed="false">
      <c r="A445" s="79" t="s">
        <v>209</v>
      </c>
      <c r="B445" s="79" t="s">
        <v>1041</v>
      </c>
      <c r="C445" s="80" t="n">
        <v>202510</v>
      </c>
      <c r="D445" s="81" t="n">
        <v>45931</v>
      </c>
      <c r="E445" s="82" t="n">
        <v>186.272</v>
      </c>
      <c r="F445" s="80" t="n">
        <v>12</v>
      </c>
      <c r="G445" s="79" t="s">
        <v>604</v>
      </c>
    </row>
    <row r="446" customFormat="false" ht="15" hidden="false" customHeight="false" outlineLevel="0" collapsed="false">
      <c r="A446" s="79" t="s">
        <v>209</v>
      </c>
      <c r="B446" s="79" t="s">
        <v>1042</v>
      </c>
      <c r="C446" s="80" t="n">
        <v>202509</v>
      </c>
      <c r="D446" s="81" t="n">
        <v>45901</v>
      </c>
      <c r="E446" s="82" t="n">
        <v>185.285</v>
      </c>
      <c r="F446" s="80" t="n">
        <v>13</v>
      </c>
      <c r="G446" s="79" t="s">
        <v>605</v>
      </c>
    </row>
    <row r="447" customFormat="false" ht="15" hidden="false" customHeight="false" outlineLevel="0" collapsed="false">
      <c r="A447" s="79" t="s">
        <v>209</v>
      </c>
      <c r="B447" s="79" t="s">
        <v>1043</v>
      </c>
      <c r="C447" s="80" t="n">
        <v>202508</v>
      </c>
      <c r="D447" s="81" t="n">
        <v>45870</v>
      </c>
      <c r="E447" s="82" t="n">
        <v>181.246</v>
      </c>
      <c r="F447" s="80" t="n">
        <v>14</v>
      </c>
      <c r="G447" s="79" t="s">
        <v>606</v>
      </c>
    </row>
    <row r="448" customFormat="false" ht="15" hidden="false" customHeight="false" outlineLevel="0" collapsed="false">
      <c r="A448" s="79" t="s">
        <v>209</v>
      </c>
      <c r="B448" s="79" t="s">
        <v>1044</v>
      </c>
      <c r="C448" s="80" t="n">
        <v>202507</v>
      </c>
      <c r="D448" s="81" t="n">
        <v>45839</v>
      </c>
      <c r="E448" s="82" t="n">
        <v>184.322</v>
      </c>
      <c r="F448" s="80" t="n">
        <v>15</v>
      </c>
      <c r="G448" s="79" t="s">
        <v>607</v>
      </c>
    </row>
    <row r="449" customFormat="false" ht="15" hidden="false" customHeight="false" outlineLevel="0" collapsed="false">
      <c r="A449" s="79" t="s">
        <v>209</v>
      </c>
      <c r="B449" s="79" t="s">
        <v>1045</v>
      </c>
      <c r="C449" s="80" t="n">
        <v>202506</v>
      </c>
      <c r="D449" s="81" t="n">
        <v>45809</v>
      </c>
      <c r="E449" s="82" t="n">
        <v>185.217</v>
      </c>
      <c r="F449" s="80" t="n">
        <v>16</v>
      </c>
      <c r="G449" s="79" t="s">
        <v>608</v>
      </c>
    </row>
    <row r="450" customFormat="false" ht="15" hidden="false" customHeight="false" outlineLevel="0" collapsed="false">
      <c r="A450" s="79" t="s">
        <v>209</v>
      </c>
      <c r="B450" s="79" t="s">
        <v>1046</v>
      </c>
      <c r="C450" s="80" t="n">
        <v>202505</v>
      </c>
      <c r="D450" s="81" t="n">
        <v>45778</v>
      </c>
      <c r="E450" s="82" t="n">
        <v>183.555</v>
      </c>
      <c r="F450" s="80" t="n">
        <v>17</v>
      </c>
      <c r="G450" s="79" t="s">
        <v>609</v>
      </c>
    </row>
    <row r="451" customFormat="false" ht="15" hidden="false" customHeight="false" outlineLevel="0" collapsed="false">
      <c r="A451" s="79" t="s">
        <v>209</v>
      </c>
      <c r="B451" s="79" t="s">
        <v>1047</v>
      </c>
      <c r="C451" s="80" t="n">
        <v>202504</v>
      </c>
      <c r="D451" s="81" t="n">
        <v>45748</v>
      </c>
      <c r="E451" s="82" t="n">
        <v>181.318</v>
      </c>
      <c r="F451" s="80" t="n">
        <v>18</v>
      </c>
      <c r="G451" s="79" t="s">
        <v>610</v>
      </c>
    </row>
    <row r="452" customFormat="false" ht="15" hidden="false" customHeight="false" outlineLevel="0" collapsed="false">
      <c r="A452" s="79" t="s">
        <v>209</v>
      </c>
      <c r="B452" s="79" t="s">
        <v>1048</v>
      </c>
      <c r="C452" s="80" t="n">
        <v>202503</v>
      </c>
      <c r="D452" s="81" t="n">
        <v>45717</v>
      </c>
      <c r="E452" s="82" t="n">
        <v>151.644</v>
      </c>
      <c r="F452" s="80" t="n">
        <v>19</v>
      </c>
      <c r="G452" s="79" t="s">
        <v>611</v>
      </c>
    </row>
    <row r="453" customFormat="false" ht="15" hidden="false" customHeight="false" outlineLevel="0" collapsed="false">
      <c r="A453" s="79" t="s">
        <v>209</v>
      </c>
      <c r="B453" s="79" t="s">
        <v>1049</v>
      </c>
      <c r="C453" s="80" t="n">
        <v>202502</v>
      </c>
      <c r="D453" s="81" t="n">
        <v>45689</v>
      </c>
      <c r="E453" s="82" t="n">
        <v>121.54</v>
      </c>
      <c r="F453" s="80" t="n">
        <v>20</v>
      </c>
      <c r="G453" s="79" t="s">
        <v>612</v>
      </c>
    </row>
    <row r="454" customFormat="false" ht="15" hidden="false" customHeight="false" outlineLevel="0" collapsed="false">
      <c r="A454" s="79" t="s">
        <v>209</v>
      </c>
      <c r="B454" s="79" t="s">
        <v>1050</v>
      </c>
      <c r="C454" s="80" t="n">
        <v>202501</v>
      </c>
      <c r="D454" s="81" t="n">
        <v>45658</v>
      </c>
      <c r="E454" s="82" t="n">
        <v>89.084</v>
      </c>
      <c r="F454" s="80" t="n">
        <v>21</v>
      </c>
      <c r="G454" s="79" t="s">
        <v>613</v>
      </c>
    </row>
    <row r="455" customFormat="false" ht="15" hidden="false" customHeight="false" outlineLevel="0" collapsed="false">
      <c r="A455" s="79" t="s">
        <v>209</v>
      </c>
      <c r="B455" s="79" t="s">
        <v>1051</v>
      </c>
      <c r="C455" s="80" t="n">
        <v>202412</v>
      </c>
      <c r="D455" s="81" t="n">
        <v>45627</v>
      </c>
      <c r="E455" s="82" t="n">
        <v>85.131</v>
      </c>
      <c r="F455" s="80" t="n">
        <v>22</v>
      </c>
      <c r="G455" s="79" t="s">
        <v>614</v>
      </c>
    </row>
    <row r="456" customFormat="false" ht="15" hidden="false" customHeight="false" outlineLevel="0" collapsed="false">
      <c r="A456" s="79" t="s">
        <v>209</v>
      </c>
      <c r="B456" s="79" t="s">
        <v>1052</v>
      </c>
      <c r="C456" s="80" t="n">
        <v>202411</v>
      </c>
      <c r="D456" s="81" t="n">
        <v>45597</v>
      </c>
      <c r="E456" s="82" t="n">
        <v>114.595</v>
      </c>
      <c r="F456" s="80" t="n">
        <v>23</v>
      </c>
      <c r="G456" s="79" t="s">
        <v>615</v>
      </c>
    </row>
    <row r="457" customFormat="false" ht="15" hidden="false" customHeight="false" outlineLevel="0" collapsed="false">
      <c r="A457" s="79" t="s">
        <v>209</v>
      </c>
      <c r="B457" s="79" t="s">
        <v>1053</v>
      </c>
      <c r="C457" s="80" t="n">
        <v>202410</v>
      </c>
      <c r="D457" s="81" t="n">
        <v>45566</v>
      </c>
      <c r="E457" s="82" t="n">
        <v>110.497</v>
      </c>
      <c r="F457" s="80" t="n">
        <v>24</v>
      </c>
      <c r="G457" s="79" t="s">
        <v>616</v>
      </c>
    </row>
    <row r="458" customFormat="false" ht="15" hidden="false" customHeight="false" outlineLevel="0" collapsed="false">
      <c r="A458" s="79" t="s">
        <v>209</v>
      </c>
      <c r="B458" s="79" t="s">
        <v>1054</v>
      </c>
      <c r="C458" s="80" t="n">
        <v>202409</v>
      </c>
      <c r="D458" s="81" t="n">
        <v>45536</v>
      </c>
      <c r="E458" s="82" t="n">
        <v>107.291</v>
      </c>
      <c r="F458" s="80" t="n">
        <v>25</v>
      </c>
      <c r="G458" s="79" t="s">
        <v>1210</v>
      </c>
    </row>
    <row r="459" customFormat="false" ht="15" hidden="false" customHeight="false" outlineLevel="0" collapsed="false">
      <c r="A459" s="79" t="s">
        <v>209</v>
      </c>
      <c r="B459" s="79" t="s">
        <v>1056</v>
      </c>
      <c r="C459" s="80" t="n">
        <v>202408</v>
      </c>
      <c r="D459" s="81" t="n">
        <v>45505</v>
      </c>
      <c r="E459" s="82" t="n">
        <v>105.257</v>
      </c>
      <c r="F459" s="80" t="n">
        <v>26</v>
      </c>
      <c r="G459" s="79" t="s">
        <v>1211</v>
      </c>
    </row>
    <row r="460" customFormat="false" ht="15" hidden="false" customHeight="false" outlineLevel="0" collapsed="false">
      <c r="A460" s="79" t="s">
        <v>209</v>
      </c>
      <c r="B460" s="79" t="s">
        <v>1058</v>
      </c>
      <c r="C460" s="80" t="n">
        <v>202407</v>
      </c>
      <c r="D460" s="81" t="n">
        <v>45474</v>
      </c>
      <c r="E460" s="82" t="n">
        <v>101.56</v>
      </c>
      <c r="F460" s="80" t="n">
        <v>27</v>
      </c>
      <c r="G460" s="79" t="s">
        <v>1212</v>
      </c>
    </row>
    <row r="461" customFormat="false" ht="15" hidden="false" customHeight="false" outlineLevel="0" collapsed="false">
      <c r="A461" s="79" t="s">
        <v>209</v>
      </c>
      <c r="B461" s="79" t="s">
        <v>1060</v>
      </c>
      <c r="C461" s="80" t="n">
        <v>202406</v>
      </c>
      <c r="D461" s="81" t="n">
        <v>45444</v>
      </c>
      <c r="E461" s="82" t="n">
        <v>68.682</v>
      </c>
      <c r="F461" s="80" t="n">
        <v>28</v>
      </c>
      <c r="G461" s="79" t="s">
        <v>1213</v>
      </c>
    </row>
    <row r="462" customFormat="false" ht="15" hidden="false" customHeight="false" outlineLevel="0" collapsed="false">
      <c r="A462" s="79" t="s">
        <v>209</v>
      </c>
      <c r="B462" s="79" t="s">
        <v>1062</v>
      </c>
      <c r="C462" s="80" t="n">
        <v>202405</v>
      </c>
      <c r="D462" s="81" t="n">
        <v>45413</v>
      </c>
      <c r="E462" s="82" t="n">
        <v>102.346</v>
      </c>
      <c r="F462" s="80" t="n">
        <v>29</v>
      </c>
      <c r="G462" s="79" t="s">
        <v>1214</v>
      </c>
    </row>
    <row r="463" customFormat="false" ht="15" hidden="false" customHeight="false" outlineLevel="0" collapsed="false">
      <c r="A463" s="79" t="s">
        <v>209</v>
      </c>
      <c r="B463" s="79" t="s">
        <v>1064</v>
      </c>
      <c r="C463" s="80" t="n">
        <v>202404</v>
      </c>
      <c r="D463" s="81" t="n">
        <v>45383</v>
      </c>
      <c r="E463" s="82" t="n">
        <v>110.324</v>
      </c>
      <c r="F463" s="80" t="n">
        <v>30</v>
      </c>
      <c r="G463" s="79" t="s">
        <v>1215</v>
      </c>
    </row>
    <row r="464" customFormat="false" ht="15" hidden="false" customHeight="false" outlineLevel="0" collapsed="false">
      <c r="A464" s="79" t="s">
        <v>209</v>
      </c>
      <c r="B464" s="79" t="s">
        <v>1066</v>
      </c>
      <c r="C464" s="80" t="n">
        <v>202403</v>
      </c>
      <c r="D464" s="81" t="n">
        <v>45352</v>
      </c>
      <c r="E464" s="82" t="n">
        <v>100.496</v>
      </c>
      <c r="F464" s="80" t="n">
        <v>31</v>
      </c>
      <c r="G464" s="79" t="s">
        <v>1216</v>
      </c>
    </row>
    <row r="465" customFormat="false" ht="15" hidden="false" customHeight="false" outlineLevel="0" collapsed="false">
      <c r="A465" s="79" t="s">
        <v>209</v>
      </c>
      <c r="B465" s="79" t="s">
        <v>1068</v>
      </c>
      <c r="C465" s="80" t="n">
        <v>202402</v>
      </c>
      <c r="D465" s="81" t="n">
        <v>45323</v>
      </c>
      <c r="E465" s="82" t="n">
        <v>113.159</v>
      </c>
      <c r="F465" s="80" t="n">
        <v>32</v>
      </c>
      <c r="G465" s="79" t="s">
        <v>1217</v>
      </c>
    </row>
    <row r="466" customFormat="false" ht="15" hidden="false" customHeight="false" outlineLevel="0" collapsed="false">
      <c r="A466" s="79" t="s">
        <v>209</v>
      </c>
      <c r="B466" s="79" t="s">
        <v>1070</v>
      </c>
      <c r="C466" s="80" t="n">
        <v>202401</v>
      </c>
      <c r="D466" s="81" t="n">
        <v>45292</v>
      </c>
      <c r="E466" s="82" t="n">
        <v>110.473</v>
      </c>
      <c r="F466" s="80" t="n">
        <v>33</v>
      </c>
      <c r="G466" s="79" t="s">
        <v>1218</v>
      </c>
    </row>
    <row r="467" customFormat="false" ht="15" hidden="false" customHeight="false" outlineLevel="0" collapsed="false">
      <c r="A467" s="79" t="s">
        <v>209</v>
      </c>
      <c r="B467" s="79" t="s">
        <v>1072</v>
      </c>
      <c r="C467" s="80" t="n">
        <v>202312</v>
      </c>
      <c r="D467" s="81" t="n">
        <v>45261</v>
      </c>
      <c r="E467" s="82" t="n">
        <v>105.453</v>
      </c>
      <c r="F467" s="80" t="n">
        <v>34</v>
      </c>
      <c r="G467" s="79" t="s">
        <v>1219</v>
      </c>
    </row>
    <row r="468" customFormat="false" ht="15" hidden="false" customHeight="false" outlineLevel="0" collapsed="false">
      <c r="A468" s="79" t="s">
        <v>209</v>
      </c>
      <c r="B468" s="79" t="s">
        <v>1074</v>
      </c>
      <c r="C468" s="80" t="n">
        <v>202311</v>
      </c>
      <c r="D468" s="81" t="n">
        <v>45231</v>
      </c>
      <c r="E468" s="82" t="n">
        <v>80.821</v>
      </c>
      <c r="F468" s="80" t="n">
        <v>35</v>
      </c>
      <c r="G468" s="79" t="s">
        <v>1220</v>
      </c>
    </row>
    <row r="469" customFormat="false" ht="15" hidden="false" customHeight="false" outlineLevel="0" collapsed="false">
      <c r="A469" s="79" t="s">
        <v>209</v>
      </c>
      <c r="B469" s="79" t="s">
        <v>1076</v>
      </c>
      <c r="C469" s="80" t="n">
        <v>202310</v>
      </c>
      <c r="D469" s="81" t="n">
        <v>45200</v>
      </c>
      <c r="E469" s="82" t="n">
        <v>62.746</v>
      </c>
      <c r="F469" s="80" t="n">
        <v>36</v>
      </c>
      <c r="G469" s="79" t="s">
        <v>1221</v>
      </c>
    </row>
    <row r="470" customFormat="false" ht="15" hidden="false" customHeight="false" outlineLevel="0" collapsed="false">
      <c r="A470" s="79" t="s">
        <v>229</v>
      </c>
      <c r="B470" s="79" t="s">
        <v>1030</v>
      </c>
      <c r="C470" s="80" t="n">
        <v>202609</v>
      </c>
      <c r="D470" s="81" t="n">
        <v>46266</v>
      </c>
      <c r="E470" s="82" t="n">
        <v>1937.397</v>
      </c>
      <c r="F470" s="80" t="n">
        <v>1</v>
      </c>
      <c r="G470" s="79" t="s">
        <v>618</v>
      </c>
    </row>
    <row r="471" customFormat="false" ht="15" hidden="false" customHeight="false" outlineLevel="0" collapsed="false">
      <c r="A471" s="79" t="s">
        <v>229</v>
      </c>
      <c r="B471" s="79" t="s">
        <v>1031</v>
      </c>
      <c r="C471" s="80" t="n">
        <v>202608</v>
      </c>
      <c r="D471" s="81" t="n">
        <v>46235</v>
      </c>
      <c r="E471" s="82" t="n">
        <v>1892.049</v>
      </c>
      <c r="F471" s="80" t="n">
        <v>2</v>
      </c>
      <c r="G471" s="79" t="s">
        <v>619</v>
      </c>
    </row>
    <row r="472" customFormat="false" ht="15" hidden="false" customHeight="false" outlineLevel="0" collapsed="false">
      <c r="A472" s="79" t="s">
        <v>229</v>
      </c>
      <c r="B472" s="79" t="s">
        <v>1032</v>
      </c>
      <c r="C472" s="80" t="n">
        <v>202607</v>
      </c>
      <c r="D472" s="81" t="n">
        <v>46204</v>
      </c>
      <c r="E472" s="82" t="n">
        <v>1767.694</v>
      </c>
      <c r="F472" s="80" t="n">
        <v>3</v>
      </c>
      <c r="G472" s="79" t="s">
        <v>620</v>
      </c>
    </row>
    <row r="473" customFormat="false" ht="15" hidden="false" customHeight="false" outlineLevel="0" collapsed="false">
      <c r="A473" s="79" t="s">
        <v>229</v>
      </c>
      <c r="B473" s="79" t="s">
        <v>1033</v>
      </c>
      <c r="C473" s="80" t="n">
        <v>202606</v>
      </c>
      <c r="D473" s="81" t="n">
        <v>46174</v>
      </c>
      <c r="E473" s="82" t="n">
        <v>1755.488</v>
      </c>
      <c r="F473" s="80" t="n">
        <v>4</v>
      </c>
      <c r="G473" s="79" t="s">
        <v>621</v>
      </c>
    </row>
    <row r="474" customFormat="false" ht="15" hidden="false" customHeight="false" outlineLevel="0" collapsed="false">
      <c r="A474" s="79" t="s">
        <v>229</v>
      </c>
      <c r="B474" s="79" t="s">
        <v>1034</v>
      </c>
      <c r="C474" s="80" t="n">
        <v>202605</v>
      </c>
      <c r="D474" s="81" t="n">
        <v>46143</v>
      </c>
      <c r="E474" s="82" t="n">
        <v>1734.086</v>
      </c>
      <c r="F474" s="80" t="n">
        <v>5</v>
      </c>
      <c r="G474" s="79" t="s">
        <v>622</v>
      </c>
    </row>
    <row r="475" customFormat="false" ht="15" hidden="false" customHeight="false" outlineLevel="0" collapsed="false">
      <c r="A475" s="79" t="s">
        <v>229</v>
      </c>
      <c r="B475" s="79" t="s">
        <v>1035</v>
      </c>
      <c r="C475" s="80" t="n">
        <v>202604</v>
      </c>
      <c r="D475" s="81" t="n">
        <v>46113</v>
      </c>
      <c r="E475" s="82" t="n">
        <v>1648.656</v>
      </c>
      <c r="F475" s="80" t="n">
        <v>6</v>
      </c>
      <c r="G475" s="79" t="s">
        <v>623</v>
      </c>
    </row>
    <row r="476" customFormat="false" ht="15" hidden="false" customHeight="false" outlineLevel="0" collapsed="false">
      <c r="A476" s="79" t="s">
        <v>229</v>
      </c>
      <c r="B476" s="79" t="s">
        <v>1036</v>
      </c>
      <c r="C476" s="80" t="n">
        <v>202603</v>
      </c>
      <c r="D476" s="81" t="n">
        <v>46082</v>
      </c>
      <c r="E476" s="82" t="n">
        <v>1473.703</v>
      </c>
      <c r="F476" s="80" t="n">
        <v>7</v>
      </c>
      <c r="G476" s="79" t="s">
        <v>624</v>
      </c>
    </row>
    <row r="477" customFormat="false" ht="15" hidden="false" customHeight="false" outlineLevel="0" collapsed="false">
      <c r="A477" s="79" t="s">
        <v>229</v>
      </c>
      <c r="B477" s="79" t="s">
        <v>1037</v>
      </c>
      <c r="C477" s="80" t="n">
        <v>202602</v>
      </c>
      <c r="D477" s="81" t="n">
        <v>46054</v>
      </c>
      <c r="E477" s="82" t="n">
        <v>1467.701</v>
      </c>
      <c r="F477" s="80" t="n">
        <v>8</v>
      </c>
      <c r="G477" s="79" t="s">
        <v>625</v>
      </c>
    </row>
    <row r="478" customFormat="false" ht="15" hidden="false" customHeight="false" outlineLevel="0" collapsed="false">
      <c r="A478" s="79" t="s">
        <v>229</v>
      </c>
      <c r="B478" s="79" t="s">
        <v>1038</v>
      </c>
      <c r="C478" s="80" t="n">
        <v>202601</v>
      </c>
      <c r="D478" s="81" t="n">
        <v>46023</v>
      </c>
      <c r="E478" s="82" t="n">
        <v>1614.459</v>
      </c>
      <c r="F478" s="80" t="n">
        <v>9</v>
      </c>
      <c r="G478" s="79" t="s">
        <v>626</v>
      </c>
    </row>
    <row r="479" customFormat="false" ht="15" hidden="false" customHeight="false" outlineLevel="0" collapsed="false">
      <c r="A479" s="79" t="s">
        <v>229</v>
      </c>
      <c r="B479" s="79" t="s">
        <v>1039</v>
      </c>
      <c r="C479" s="80" t="n">
        <v>202512</v>
      </c>
      <c r="D479" s="81" t="n">
        <v>45992</v>
      </c>
      <c r="E479" s="82" t="n">
        <v>1620.599</v>
      </c>
      <c r="F479" s="80" t="n">
        <v>10</v>
      </c>
      <c r="G479" s="79" t="s">
        <v>627</v>
      </c>
    </row>
    <row r="480" customFormat="false" ht="15" hidden="false" customHeight="false" outlineLevel="0" collapsed="false">
      <c r="A480" s="79" t="s">
        <v>229</v>
      </c>
      <c r="B480" s="79" t="s">
        <v>1040</v>
      </c>
      <c r="C480" s="80" t="n">
        <v>202511</v>
      </c>
      <c r="D480" s="81" t="n">
        <v>45962</v>
      </c>
      <c r="E480" s="82" t="n">
        <v>1559.396</v>
      </c>
      <c r="F480" s="80" t="n">
        <v>11</v>
      </c>
      <c r="G480" s="79" t="s">
        <v>628</v>
      </c>
    </row>
    <row r="481" customFormat="false" ht="15" hidden="false" customHeight="false" outlineLevel="0" collapsed="false">
      <c r="A481" s="79" t="s">
        <v>229</v>
      </c>
      <c r="B481" s="79" t="s">
        <v>1041</v>
      </c>
      <c r="C481" s="80" t="n">
        <v>202510</v>
      </c>
      <c r="D481" s="81" t="n">
        <v>45931</v>
      </c>
      <c r="E481" s="82" t="n">
        <v>1560.931</v>
      </c>
      <c r="F481" s="80" t="n">
        <v>12</v>
      </c>
      <c r="G481" s="79" t="s">
        <v>629</v>
      </c>
    </row>
    <row r="482" customFormat="false" ht="15" hidden="false" customHeight="false" outlineLevel="0" collapsed="false">
      <c r="A482" s="79" t="s">
        <v>229</v>
      </c>
      <c r="B482" s="79" t="s">
        <v>1042</v>
      </c>
      <c r="C482" s="80" t="n">
        <v>202509</v>
      </c>
      <c r="D482" s="81" t="n">
        <v>45901</v>
      </c>
      <c r="E482" s="82" t="n">
        <v>1484.003</v>
      </c>
      <c r="F482" s="80" t="n">
        <v>13</v>
      </c>
      <c r="G482" s="79" t="s">
        <v>630</v>
      </c>
    </row>
    <row r="483" customFormat="false" ht="15" hidden="false" customHeight="false" outlineLevel="0" collapsed="false">
      <c r="A483" s="79" t="s">
        <v>229</v>
      </c>
      <c r="B483" s="79" t="s">
        <v>1043</v>
      </c>
      <c r="C483" s="80" t="n">
        <v>202508</v>
      </c>
      <c r="D483" s="81" t="n">
        <v>45870</v>
      </c>
      <c r="E483" s="82" t="n">
        <v>1442.357</v>
      </c>
      <c r="F483" s="80" t="n">
        <v>14</v>
      </c>
      <c r="G483" s="79" t="s">
        <v>631</v>
      </c>
    </row>
    <row r="484" customFormat="false" ht="15" hidden="false" customHeight="false" outlineLevel="0" collapsed="false">
      <c r="A484" s="79" t="s">
        <v>229</v>
      </c>
      <c r="B484" s="79" t="s">
        <v>1044</v>
      </c>
      <c r="C484" s="80" t="n">
        <v>202507</v>
      </c>
      <c r="D484" s="81" t="n">
        <v>45839</v>
      </c>
      <c r="E484" s="82" t="n">
        <v>1364.461</v>
      </c>
      <c r="F484" s="80" t="n">
        <v>15</v>
      </c>
      <c r="G484" s="79" t="s">
        <v>632</v>
      </c>
    </row>
    <row r="485" customFormat="false" ht="15" hidden="false" customHeight="false" outlineLevel="0" collapsed="false">
      <c r="A485" s="79" t="s">
        <v>229</v>
      </c>
      <c r="B485" s="79" t="s">
        <v>1045</v>
      </c>
      <c r="C485" s="80" t="n">
        <v>202506</v>
      </c>
      <c r="D485" s="81" t="n">
        <v>45809</v>
      </c>
      <c r="E485" s="82" t="n">
        <v>1251.261</v>
      </c>
      <c r="F485" s="80" t="n">
        <v>16</v>
      </c>
      <c r="G485" s="79" t="s">
        <v>633</v>
      </c>
    </row>
    <row r="486" customFormat="false" ht="15" hidden="false" customHeight="false" outlineLevel="0" collapsed="false">
      <c r="A486" s="79" t="s">
        <v>229</v>
      </c>
      <c r="B486" s="79" t="s">
        <v>1046</v>
      </c>
      <c r="C486" s="80" t="n">
        <v>202505</v>
      </c>
      <c r="D486" s="81" t="n">
        <v>45778</v>
      </c>
      <c r="E486" s="82" t="n">
        <v>1164.676</v>
      </c>
      <c r="F486" s="80" t="n">
        <v>17</v>
      </c>
      <c r="G486" s="79" t="s">
        <v>634</v>
      </c>
    </row>
    <row r="487" customFormat="false" ht="15" hidden="false" customHeight="false" outlineLevel="0" collapsed="false">
      <c r="A487" s="79" t="s">
        <v>229</v>
      </c>
      <c r="B487" s="79" t="s">
        <v>1047</v>
      </c>
      <c r="C487" s="80" t="n">
        <v>202504</v>
      </c>
      <c r="D487" s="81" t="n">
        <v>45748</v>
      </c>
      <c r="E487" s="82" t="n">
        <v>1228.088</v>
      </c>
      <c r="F487" s="80" t="n">
        <v>18</v>
      </c>
      <c r="G487" s="79" t="s">
        <v>635</v>
      </c>
    </row>
    <row r="488" customFormat="false" ht="15" hidden="false" customHeight="false" outlineLevel="0" collapsed="false">
      <c r="A488" s="79" t="s">
        <v>229</v>
      </c>
      <c r="B488" s="79" t="s">
        <v>1048</v>
      </c>
      <c r="C488" s="80" t="n">
        <v>202503</v>
      </c>
      <c r="D488" s="81" t="n">
        <v>45717</v>
      </c>
      <c r="E488" s="82" t="n">
        <v>1170.381</v>
      </c>
      <c r="F488" s="80" t="n">
        <v>19</v>
      </c>
      <c r="G488" s="79" t="s">
        <v>636</v>
      </c>
    </row>
    <row r="489" customFormat="false" ht="15" hidden="false" customHeight="false" outlineLevel="0" collapsed="false">
      <c r="A489" s="79" t="s">
        <v>229</v>
      </c>
      <c r="B489" s="79" t="s">
        <v>1049</v>
      </c>
      <c r="C489" s="80" t="n">
        <v>202502</v>
      </c>
      <c r="D489" s="81" t="n">
        <v>45689</v>
      </c>
      <c r="E489" s="82" t="n">
        <v>1177.334</v>
      </c>
      <c r="F489" s="80" t="n">
        <v>20</v>
      </c>
      <c r="G489" s="79" t="s">
        <v>637</v>
      </c>
    </row>
    <row r="490" customFormat="false" ht="15" hidden="false" customHeight="false" outlineLevel="0" collapsed="false">
      <c r="A490" s="79" t="s">
        <v>229</v>
      </c>
      <c r="B490" s="79" t="s">
        <v>1050</v>
      </c>
      <c r="C490" s="80" t="n">
        <v>202501</v>
      </c>
      <c r="D490" s="81" t="n">
        <v>45658</v>
      </c>
      <c r="E490" s="82" t="n">
        <v>1229.948</v>
      </c>
      <c r="F490" s="80" t="n">
        <v>21</v>
      </c>
      <c r="G490" s="79" t="s">
        <v>638</v>
      </c>
    </row>
    <row r="491" customFormat="false" ht="15" hidden="false" customHeight="false" outlineLevel="0" collapsed="false">
      <c r="A491" s="79" t="s">
        <v>229</v>
      </c>
      <c r="B491" s="79" t="s">
        <v>1051</v>
      </c>
      <c r="C491" s="80" t="n">
        <v>202412</v>
      </c>
      <c r="D491" s="81" t="n">
        <v>45627</v>
      </c>
      <c r="E491" s="82" t="n">
        <v>1250.441</v>
      </c>
      <c r="F491" s="80" t="n">
        <v>22</v>
      </c>
      <c r="G491" s="79" t="s">
        <v>639</v>
      </c>
    </row>
    <row r="492" customFormat="false" ht="15" hidden="false" customHeight="false" outlineLevel="0" collapsed="false">
      <c r="A492" s="79" t="s">
        <v>229</v>
      </c>
      <c r="B492" s="79" t="s">
        <v>1052</v>
      </c>
      <c r="C492" s="80" t="n">
        <v>202411</v>
      </c>
      <c r="D492" s="81" t="n">
        <v>45597</v>
      </c>
      <c r="E492" s="82" t="n">
        <v>1225.676</v>
      </c>
      <c r="F492" s="80" t="n">
        <v>23</v>
      </c>
      <c r="G492" s="79" t="s">
        <v>640</v>
      </c>
    </row>
    <row r="493" customFormat="false" ht="15" hidden="false" customHeight="false" outlineLevel="0" collapsed="false">
      <c r="A493" s="79" t="s">
        <v>229</v>
      </c>
      <c r="B493" s="79" t="s">
        <v>1053</v>
      </c>
      <c r="C493" s="80" t="n">
        <v>202410</v>
      </c>
      <c r="D493" s="81" t="n">
        <v>45566</v>
      </c>
      <c r="E493" s="82" t="n">
        <v>1235.694</v>
      </c>
      <c r="F493" s="80" t="n">
        <v>24</v>
      </c>
      <c r="G493" s="79" t="s">
        <v>641</v>
      </c>
    </row>
    <row r="494" customFormat="false" ht="15" hidden="false" customHeight="false" outlineLevel="0" collapsed="false">
      <c r="A494" s="79" t="s">
        <v>229</v>
      </c>
      <c r="B494" s="79" t="s">
        <v>1054</v>
      </c>
      <c r="C494" s="80" t="n">
        <v>202409</v>
      </c>
      <c r="D494" s="81" t="n">
        <v>45536</v>
      </c>
      <c r="E494" s="82" t="n">
        <v>1501.179</v>
      </c>
      <c r="F494" s="80" t="n">
        <v>25</v>
      </c>
      <c r="G494" s="79" t="s">
        <v>1222</v>
      </c>
    </row>
    <row r="495" customFormat="false" ht="15" hidden="false" customHeight="false" outlineLevel="0" collapsed="false">
      <c r="A495" s="79" t="s">
        <v>229</v>
      </c>
      <c r="B495" s="79" t="s">
        <v>1056</v>
      </c>
      <c r="C495" s="80" t="n">
        <v>202408</v>
      </c>
      <c r="D495" s="81" t="n">
        <v>45505</v>
      </c>
      <c r="E495" s="82" t="n">
        <v>1610.948</v>
      </c>
      <c r="F495" s="80" t="n">
        <v>26</v>
      </c>
      <c r="G495" s="79" t="s">
        <v>1223</v>
      </c>
    </row>
    <row r="496" customFormat="false" ht="15" hidden="false" customHeight="false" outlineLevel="0" collapsed="false">
      <c r="A496" s="79" t="s">
        <v>229</v>
      </c>
      <c r="B496" s="79" t="s">
        <v>1058</v>
      </c>
      <c r="C496" s="80" t="n">
        <v>202407</v>
      </c>
      <c r="D496" s="81" t="n">
        <v>45474</v>
      </c>
      <c r="E496" s="82" t="n">
        <v>1665.949</v>
      </c>
      <c r="F496" s="80" t="n">
        <v>27</v>
      </c>
      <c r="G496" s="79" t="s">
        <v>1224</v>
      </c>
    </row>
    <row r="497" customFormat="false" ht="15" hidden="false" customHeight="false" outlineLevel="0" collapsed="false">
      <c r="A497" s="79" t="s">
        <v>229</v>
      </c>
      <c r="B497" s="79" t="s">
        <v>1060</v>
      </c>
      <c r="C497" s="80" t="n">
        <v>202406</v>
      </c>
      <c r="D497" s="81" t="n">
        <v>45444</v>
      </c>
      <c r="E497" s="82" t="n">
        <v>1653.217</v>
      </c>
      <c r="F497" s="80" t="n">
        <v>28</v>
      </c>
      <c r="G497" s="79" t="s">
        <v>1225</v>
      </c>
    </row>
    <row r="498" customFormat="false" ht="15" hidden="false" customHeight="false" outlineLevel="0" collapsed="false">
      <c r="A498" s="79" t="s">
        <v>229</v>
      </c>
      <c r="B498" s="79" t="s">
        <v>1062</v>
      </c>
      <c r="C498" s="80" t="n">
        <v>202405</v>
      </c>
      <c r="D498" s="81" t="n">
        <v>45413</v>
      </c>
      <c r="E498" s="82" t="n">
        <v>1642.26</v>
      </c>
      <c r="F498" s="80" t="n">
        <v>29</v>
      </c>
      <c r="G498" s="79" t="s">
        <v>1226</v>
      </c>
    </row>
    <row r="499" customFormat="false" ht="15" hidden="false" customHeight="false" outlineLevel="0" collapsed="false">
      <c r="A499" s="79" t="s">
        <v>229</v>
      </c>
      <c r="B499" s="79" t="s">
        <v>1064</v>
      </c>
      <c r="C499" s="80" t="n">
        <v>202404</v>
      </c>
      <c r="D499" s="81" t="n">
        <v>45383</v>
      </c>
      <c r="E499" s="82" t="n">
        <v>1613.349</v>
      </c>
      <c r="F499" s="80" t="n">
        <v>30</v>
      </c>
      <c r="G499" s="79" t="s">
        <v>1227</v>
      </c>
    </row>
    <row r="500" customFormat="false" ht="15" hidden="false" customHeight="false" outlineLevel="0" collapsed="false">
      <c r="A500" s="79" t="s">
        <v>229</v>
      </c>
      <c r="B500" s="79" t="s">
        <v>1066</v>
      </c>
      <c r="C500" s="80" t="n">
        <v>202403</v>
      </c>
      <c r="D500" s="81" t="n">
        <v>45352</v>
      </c>
      <c r="E500" s="82" t="n">
        <v>1315.488</v>
      </c>
      <c r="F500" s="80" t="n">
        <v>31</v>
      </c>
      <c r="G500" s="79" t="s">
        <v>1228</v>
      </c>
    </row>
    <row r="501" customFormat="false" ht="15" hidden="false" customHeight="false" outlineLevel="0" collapsed="false">
      <c r="A501" s="79" t="s">
        <v>229</v>
      </c>
      <c r="B501" s="79" t="s">
        <v>1068</v>
      </c>
      <c r="C501" s="80" t="n">
        <v>202402</v>
      </c>
      <c r="D501" s="81" t="n">
        <v>45323</v>
      </c>
      <c r="E501" s="82" t="n">
        <v>1514.003</v>
      </c>
      <c r="F501" s="80" t="n">
        <v>32</v>
      </c>
      <c r="G501" s="79" t="s">
        <v>1229</v>
      </c>
    </row>
    <row r="502" customFormat="false" ht="15" hidden="false" customHeight="false" outlineLevel="0" collapsed="false">
      <c r="A502" s="79" t="s">
        <v>229</v>
      </c>
      <c r="B502" s="79" t="s">
        <v>1070</v>
      </c>
      <c r="C502" s="80" t="n">
        <v>202401</v>
      </c>
      <c r="D502" s="81" t="n">
        <v>45292</v>
      </c>
      <c r="E502" s="82" t="n">
        <v>1667.234</v>
      </c>
      <c r="F502" s="80" t="n">
        <v>33</v>
      </c>
      <c r="G502" s="79" t="s">
        <v>1230</v>
      </c>
    </row>
    <row r="503" customFormat="false" ht="15" hidden="false" customHeight="false" outlineLevel="0" collapsed="false">
      <c r="A503" s="79" t="s">
        <v>229</v>
      </c>
      <c r="B503" s="79" t="s">
        <v>1072</v>
      </c>
      <c r="C503" s="80" t="n">
        <v>202312</v>
      </c>
      <c r="D503" s="81" t="n">
        <v>45261</v>
      </c>
      <c r="E503" s="82" t="n">
        <v>1610.421</v>
      </c>
      <c r="F503" s="80" t="n">
        <v>34</v>
      </c>
      <c r="G503" s="79" t="s">
        <v>1231</v>
      </c>
    </row>
    <row r="504" customFormat="false" ht="15" hidden="false" customHeight="false" outlineLevel="0" collapsed="false">
      <c r="A504" s="79" t="s">
        <v>229</v>
      </c>
      <c r="B504" s="79" t="s">
        <v>1074</v>
      </c>
      <c r="C504" s="80" t="n">
        <v>202311</v>
      </c>
      <c r="D504" s="81" t="n">
        <v>45231</v>
      </c>
      <c r="E504" s="82" t="n">
        <v>1590.381</v>
      </c>
      <c r="F504" s="80" t="n">
        <v>35</v>
      </c>
      <c r="G504" s="79" t="s">
        <v>1232</v>
      </c>
    </row>
    <row r="505" customFormat="false" ht="15" hidden="false" customHeight="false" outlineLevel="0" collapsed="false">
      <c r="A505" s="79" t="s">
        <v>229</v>
      </c>
      <c r="B505" s="79" t="s">
        <v>1076</v>
      </c>
      <c r="C505" s="80" t="n">
        <v>202310</v>
      </c>
      <c r="D505" s="81" t="n">
        <v>45200</v>
      </c>
      <c r="E505" s="82" t="n">
        <v>1381.594</v>
      </c>
      <c r="F505" s="80" t="n">
        <v>36</v>
      </c>
      <c r="G505" s="79" t="s">
        <v>1233</v>
      </c>
    </row>
    <row r="506" customFormat="false" ht="15" hidden="false" customHeight="false" outlineLevel="0" collapsed="false">
      <c r="A506" s="79" t="s">
        <v>211</v>
      </c>
      <c r="B506" s="79" t="s">
        <v>1030</v>
      </c>
      <c r="C506" s="80" t="n">
        <v>202609</v>
      </c>
      <c r="D506" s="81" t="n">
        <v>46266</v>
      </c>
      <c r="E506" s="82" t="n">
        <v>205.091</v>
      </c>
      <c r="F506" s="80" t="n">
        <v>1</v>
      </c>
      <c r="G506" s="79" t="s">
        <v>642</v>
      </c>
    </row>
    <row r="507" customFormat="false" ht="15" hidden="false" customHeight="false" outlineLevel="0" collapsed="false">
      <c r="A507" s="79" t="s">
        <v>211</v>
      </c>
      <c r="B507" s="79" t="s">
        <v>1031</v>
      </c>
      <c r="C507" s="80" t="n">
        <v>202608</v>
      </c>
      <c r="D507" s="81" t="n">
        <v>46235</v>
      </c>
      <c r="E507" s="82" t="n">
        <v>210.064</v>
      </c>
      <c r="F507" s="80" t="n">
        <v>2</v>
      </c>
      <c r="G507" s="79" t="s">
        <v>643</v>
      </c>
    </row>
    <row r="508" customFormat="false" ht="15" hidden="false" customHeight="false" outlineLevel="0" collapsed="false">
      <c r="A508" s="79" t="s">
        <v>211</v>
      </c>
      <c r="B508" s="79" t="s">
        <v>1032</v>
      </c>
      <c r="C508" s="80" t="n">
        <v>202607</v>
      </c>
      <c r="D508" s="81" t="n">
        <v>46204</v>
      </c>
      <c r="E508" s="82" t="n">
        <v>181.188</v>
      </c>
      <c r="F508" s="80" t="n">
        <v>3</v>
      </c>
      <c r="G508" s="79" t="s">
        <v>644</v>
      </c>
    </row>
    <row r="509" customFormat="false" ht="15" hidden="false" customHeight="false" outlineLevel="0" collapsed="false">
      <c r="A509" s="79" t="s">
        <v>211</v>
      </c>
      <c r="B509" s="79" t="s">
        <v>1033</v>
      </c>
      <c r="C509" s="80" t="n">
        <v>202606</v>
      </c>
      <c r="D509" s="81" t="n">
        <v>46174</v>
      </c>
      <c r="E509" s="82" t="n">
        <v>211.521</v>
      </c>
      <c r="F509" s="80" t="n">
        <v>4</v>
      </c>
      <c r="G509" s="79" t="s">
        <v>645</v>
      </c>
    </row>
    <row r="510" customFormat="false" ht="15" hidden="false" customHeight="false" outlineLevel="0" collapsed="false">
      <c r="A510" s="79" t="s">
        <v>211</v>
      </c>
      <c r="B510" s="79" t="s">
        <v>1034</v>
      </c>
      <c r="C510" s="80" t="n">
        <v>202605</v>
      </c>
      <c r="D510" s="81" t="n">
        <v>46143</v>
      </c>
      <c r="E510" s="82" t="n">
        <v>199.142</v>
      </c>
      <c r="F510" s="80" t="n">
        <v>5</v>
      </c>
      <c r="G510" s="79" t="s">
        <v>646</v>
      </c>
    </row>
    <row r="511" customFormat="false" ht="15" hidden="false" customHeight="false" outlineLevel="0" collapsed="false">
      <c r="A511" s="79" t="s">
        <v>211</v>
      </c>
      <c r="B511" s="79" t="s">
        <v>1035</v>
      </c>
      <c r="C511" s="80" t="n">
        <v>202604</v>
      </c>
      <c r="D511" s="81" t="n">
        <v>46113</v>
      </c>
      <c r="E511" s="82" t="n">
        <v>247.473</v>
      </c>
      <c r="F511" s="80" t="n">
        <v>6</v>
      </c>
      <c r="G511" s="79" t="s">
        <v>647</v>
      </c>
    </row>
    <row r="512" customFormat="false" ht="15" hidden="false" customHeight="false" outlineLevel="0" collapsed="false">
      <c r="A512" s="79" t="s">
        <v>211</v>
      </c>
      <c r="B512" s="79" t="s">
        <v>1036</v>
      </c>
      <c r="C512" s="80" t="n">
        <v>202603</v>
      </c>
      <c r="D512" s="81" t="n">
        <v>46082</v>
      </c>
      <c r="E512" s="82" t="n">
        <v>173.919</v>
      </c>
      <c r="F512" s="80" t="n">
        <v>7</v>
      </c>
      <c r="G512" s="79" t="s">
        <v>648</v>
      </c>
    </row>
    <row r="513" customFormat="false" ht="15" hidden="false" customHeight="false" outlineLevel="0" collapsed="false">
      <c r="A513" s="79" t="s">
        <v>211</v>
      </c>
      <c r="B513" s="79" t="s">
        <v>1037</v>
      </c>
      <c r="C513" s="80" t="n">
        <v>202602</v>
      </c>
      <c r="D513" s="81" t="n">
        <v>46054</v>
      </c>
      <c r="E513" s="82" t="n">
        <v>234.703</v>
      </c>
      <c r="F513" s="80" t="n">
        <v>8</v>
      </c>
      <c r="G513" s="79" t="s">
        <v>649</v>
      </c>
    </row>
    <row r="514" customFormat="false" ht="15" hidden="false" customHeight="false" outlineLevel="0" collapsed="false">
      <c r="A514" s="79" t="s">
        <v>211</v>
      </c>
      <c r="B514" s="79" t="s">
        <v>1038</v>
      </c>
      <c r="C514" s="80" t="n">
        <v>202601</v>
      </c>
      <c r="D514" s="81" t="n">
        <v>46023</v>
      </c>
      <c r="E514" s="82" t="n">
        <v>223.394</v>
      </c>
      <c r="F514" s="80" t="n">
        <v>9</v>
      </c>
      <c r="G514" s="79" t="s">
        <v>650</v>
      </c>
    </row>
    <row r="515" customFormat="false" ht="15" hidden="false" customHeight="false" outlineLevel="0" collapsed="false">
      <c r="A515" s="79" t="s">
        <v>211</v>
      </c>
      <c r="B515" s="79" t="s">
        <v>1039</v>
      </c>
      <c r="C515" s="80" t="n">
        <v>202512</v>
      </c>
      <c r="D515" s="81" t="n">
        <v>45992</v>
      </c>
      <c r="E515" s="82" t="n">
        <v>213.422</v>
      </c>
      <c r="F515" s="80" t="n">
        <v>10</v>
      </c>
      <c r="G515" s="79" t="s">
        <v>651</v>
      </c>
    </row>
    <row r="516" customFormat="false" ht="15" hidden="false" customHeight="false" outlineLevel="0" collapsed="false">
      <c r="A516" s="79" t="s">
        <v>211</v>
      </c>
      <c r="B516" s="79" t="s">
        <v>1040</v>
      </c>
      <c r="C516" s="80" t="n">
        <v>202511</v>
      </c>
      <c r="D516" s="81" t="n">
        <v>45962</v>
      </c>
      <c r="E516" s="82" t="n">
        <v>186.088</v>
      </c>
      <c r="F516" s="80" t="n">
        <v>11</v>
      </c>
      <c r="G516" s="79" t="s">
        <v>652</v>
      </c>
    </row>
    <row r="517" customFormat="false" ht="15" hidden="false" customHeight="false" outlineLevel="0" collapsed="false">
      <c r="A517" s="79" t="s">
        <v>211</v>
      </c>
      <c r="B517" s="79" t="s">
        <v>1041</v>
      </c>
      <c r="C517" s="80" t="n">
        <v>202510</v>
      </c>
      <c r="D517" s="81" t="n">
        <v>45931</v>
      </c>
      <c r="E517" s="82" t="n">
        <v>190.099</v>
      </c>
      <c r="F517" s="80" t="n">
        <v>12</v>
      </c>
      <c r="G517" s="79" t="s">
        <v>653</v>
      </c>
    </row>
    <row r="518" customFormat="false" ht="15" hidden="false" customHeight="false" outlineLevel="0" collapsed="false">
      <c r="A518" s="79" t="s">
        <v>211</v>
      </c>
      <c r="B518" s="79" t="s">
        <v>1042</v>
      </c>
      <c r="C518" s="80" t="n">
        <v>202509</v>
      </c>
      <c r="D518" s="81" t="n">
        <v>45901</v>
      </c>
      <c r="E518" s="82" t="n">
        <v>186.973</v>
      </c>
      <c r="F518" s="80" t="n">
        <v>13</v>
      </c>
      <c r="G518" s="79" t="s">
        <v>654</v>
      </c>
    </row>
    <row r="519" customFormat="false" ht="15" hidden="false" customHeight="false" outlineLevel="0" collapsed="false">
      <c r="A519" s="79" t="s">
        <v>211</v>
      </c>
      <c r="B519" s="79" t="s">
        <v>1043</v>
      </c>
      <c r="C519" s="80" t="n">
        <v>202508</v>
      </c>
      <c r="D519" s="81" t="n">
        <v>45870</v>
      </c>
      <c r="E519" s="82" t="n">
        <v>163.28</v>
      </c>
      <c r="F519" s="80" t="n">
        <v>14</v>
      </c>
      <c r="G519" s="79" t="s">
        <v>655</v>
      </c>
    </row>
    <row r="520" customFormat="false" ht="15" hidden="false" customHeight="false" outlineLevel="0" collapsed="false">
      <c r="A520" s="79" t="s">
        <v>211</v>
      </c>
      <c r="B520" s="79" t="s">
        <v>1044</v>
      </c>
      <c r="C520" s="80" t="n">
        <v>202507</v>
      </c>
      <c r="D520" s="81" t="n">
        <v>45839</v>
      </c>
      <c r="E520" s="82" t="n">
        <v>204.803</v>
      </c>
      <c r="F520" s="80" t="n">
        <v>15</v>
      </c>
      <c r="G520" s="79" t="s">
        <v>656</v>
      </c>
    </row>
    <row r="521" customFormat="false" ht="15" hidden="false" customHeight="false" outlineLevel="0" collapsed="false">
      <c r="A521" s="79" t="s">
        <v>211</v>
      </c>
      <c r="B521" s="79" t="s">
        <v>1045</v>
      </c>
      <c r="C521" s="80" t="n">
        <v>202506</v>
      </c>
      <c r="D521" s="81" t="n">
        <v>45809</v>
      </c>
      <c r="E521" s="82" t="n">
        <v>162.745</v>
      </c>
      <c r="F521" s="80" t="n">
        <v>16</v>
      </c>
      <c r="G521" s="79" t="s">
        <v>657</v>
      </c>
    </row>
    <row r="522" customFormat="false" ht="15" hidden="false" customHeight="false" outlineLevel="0" collapsed="false">
      <c r="A522" s="79" t="s">
        <v>211</v>
      </c>
      <c r="B522" s="79" t="s">
        <v>1046</v>
      </c>
      <c r="C522" s="80" t="n">
        <v>202505</v>
      </c>
      <c r="D522" s="81" t="n">
        <v>45778</v>
      </c>
      <c r="E522" s="82" t="n">
        <v>170.936</v>
      </c>
      <c r="F522" s="80" t="n">
        <v>17</v>
      </c>
      <c r="G522" s="79" t="s">
        <v>658</v>
      </c>
    </row>
    <row r="523" customFormat="false" ht="15" hidden="false" customHeight="false" outlineLevel="0" collapsed="false">
      <c r="A523" s="79" t="s">
        <v>211</v>
      </c>
      <c r="B523" s="79" t="s">
        <v>1047</v>
      </c>
      <c r="C523" s="80" t="n">
        <v>202504</v>
      </c>
      <c r="D523" s="81" t="n">
        <v>45748</v>
      </c>
      <c r="E523" s="82" t="n">
        <v>200.11</v>
      </c>
      <c r="F523" s="80" t="n">
        <v>18</v>
      </c>
      <c r="G523" s="79" t="s">
        <v>659</v>
      </c>
    </row>
    <row r="524" customFormat="false" ht="15" hidden="false" customHeight="false" outlineLevel="0" collapsed="false">
      <c r="A524" s="79" t="s">
        <v>211</v>
      </c>
      <c r="B524" s="79" t="s">
        <v>1048</v>
      </c>
      <c r="C524" s="80" t="n">
        <v>202503</v>
      </c>
      <c r="D524" s="81" t="n">
        <v>45717</v>
      </c>
      <c r="E524" s="82" t="n">
        <v>165.097</v>
      </c>
      <c r="F524" s="80" t="n">
        <v>19</v>
      </c>
      <c r="G524" s="79" t="s">
        <v>660</v>
      </c>
    </row>
    <row r="525" customFormat="false" ht="15" hidden="false" customHeight="false" outlineLevel="0" collapsed="false">
      <c r="A525" s="79" t="s">
        <v>211</v>
      </c>
      <c r="B525" s="79" t="s">
        <v>1049</v>
      </c>
      <c r="C525" s="80" t="n">
        <v>202502</v>
      </c>
      <c r="D525" s="81" t="n">
        <v>45689</v>
      </c>
      <c r="E525" s="82" t="n">
        <v>158.704</v>
      </c>
      <c r="F525" s="80" t="n">
        <v>20</v>
      </c>
      <c r="G525" s="79" t="s">
        <v>661</v>
      </c>
    </row>
    <row r="526" customFormat="false" ht="15" hidden="false" customHeight="false" outlineLevel="0" collapsed="false">
      <c r="A526" s="79" t="s">
        <v>211</v>
      </c>
      <c r="B526" s="79" t="s">
        <v>1050</v>
      </c>
      <c r="C526" s="80" t="n">
        <v>202501</v>
      </c>
      <c r="D526" s="81" t="n">
        <v>45658</v>
      </c>
      <c r="E526" s="82" t="n">
        <v>166.142</v>
      </c>
      <c r="F526" s="80" t="n">
        <v>21</v>
      </c>
      <c r="G526" s="79" t="s">
        <v>662</v>
      </c>
    </row>
    <row r="527" customFormat="false" ht="15" hidden="false" customHeight="false" outlineLevel="0" collapsed="false">
      <c r="A527" s="79" t="s">
        <v>211</v>
      </c>
      <c r="B527" s="79" t="s">
        <v>1051</v>
      </c>
      <c r="C527" s="80" t="n">
        <v>202412</v>
      </c>
      <c r="D527" s="81" t="n">
        <v>45627</v>
      </c>
      <c r="E527" s="82" t="n">
        <v>152.549</v>
      </c>
      <c r="F527" s="80" t="n">
        <v>22</v>
      </c>
      <c r="G527" s="79" t="s">
        <v>663</v>
      </c>
    </row>
    <row r="528" customFormat="false" ht="15" hidden="false" customHeight="false" outlineLevel="0" collapsed="false">
      <c r="A528" s="79" t="s">
        <v>211</v>
      </c>
      <c r="B528" s="79" t="s">
        <v>1052</v>
      </c>
      <c r="C528" s="80" t="n">
        <v>202411</v>
      </c>
      <c r="D528" s="81" t="n">
        <v>45597</v>
      </c>
      <c r="E528" s="82" t="n">
        <v>157.909</v>
      </c>
      <c r="F528" s="80" t="n">
        <v>23</v>
      </c>
      <c r="G528" s="79" t="s">
        <v>664</v>
      </c>
    </row>
    <row r="529" customFormat="false" ht="15" hidden="false" customHeight="false" outlineLevel="0" collapsed="false">
      <c r="A529" s="79" t="s">
        <v>211</v>
      </c>
      <c r="B529" s="79" t="s">
        <v>1053</v>
      </c>
      <c r="C529" s="80" t="n">
        <v>202410</v>
      </c>
      <c r="D529" s="81" t="n">
        <v>45566</v>
      </c>
      <c r="E529" s="82" t="n">
        <v>168.434</v>
      </c>
      <c r="F529" s="80" t="n">
        <v>24</v>
      </c>
      <c r="G529" s="79" t="s">
        <v>665</v>
      </c>
    </row>
    <row r="530" customFormat="false" ht="15" hidden="false" customHeight="false" outlineLevel="0" collapsed="false">
      <c r="A530" s="79" t="s">
        <v>211</v>
      </c>
      <c r="B530" s="79" t="s">
        <v>1054</v>
      </c>
      <c r="C530" s="80" t="n">
        <v>202409</v>
      </c>
      <c r="D530" s="81" t="n">
        <v>45536</v>
      </c>
      <c r="E530" s="82" t="n">
        <v>140.363</v>
      </c>
      <c r="F530" s="80" t="n">
        <v>25</v>
      </c>
      <c r="G530" s="79" t="s">
        <v>1234</v>
      </c>
    </row>
    <row r="531" customFormat="false" ht="15" hidden="false" customHeight="false" outlineLevel="0" collapsed="false">
      <c r="A531" s="79" t="s">
        <v>211</v>
      </c>
      <c r="B531" s="79" t="s">
        <v>1056</v>
      </c>
      <c r="C531" s="80" t="n">
        <v>202408</v>
      </c>
      <c r="D531" s="81" t="n">
        <v>45505</v>
      </c>
      <c r="E531" s="82" t="n">
        <v>147.626</v>
      </c>
      <c r="F531" s="80" t="n">
        <v>26</v>
      </c>
      <c r="G531" s="79" t="s">
        <v>1235</v>
      </c>
    </row>
    <row r="532" customFormat="false" ht="15" hidden="false" customHeight="false" outlineLevel="0" collapsed="false">
      <c r="A532" s="79" t="s">
        <v>211</v>
      </c>
      <c r="B532" s="79" t="s">
        <v>1058</v>
      </c>
      <c r="C532" s="80" t="n">
        <v>202407</v>
      </c>
      <c r="D532" s="81" t="n">
        <v>45474</v>
      </c>
      <c r="E532" s="82" t="n">
        <v>176.791</v>
      </c>
      <c r="F532" s="80" t="n">
        <v>27</v>
      </c>
      <c r="G532" s="79" t="s">
        <v>1236</v>
      </c>
    </row>
    <row r="533" customFormat="false" ht="15" hidden="false" customHeight="false" outlineLevel="0" collapsed="false">
      <c r="A533" s="79" t="s">
        <v>211</v>
      </c>
      <c r="B533" s="79" t="s">
        <v>1060</v>
      </c>
      <c r="C533" s="80" t="n">
        <v>202406</v>
      </c>
      <c r="D533" s="81" t="n">
        <v>45444</v>
      </c>
      <c r="E533" s="82" t="n">
        <v>130.878</v>
      </c>
      <c r="F533" s="80" t="n">
        <v>28</v>
      </c>
      <c r="G533" s="79" t="s">
        <v>1237</v>
      </c>
    </row>
    <row r="534" customFormat="false" ht="15" hidden="false" customHeight="false" outlineLevel="0" collapsed="false">
      <c r="A534" s="79" t="s">
        <v>211</v>
      </c>
      <c r="B534" s="79" t="s">
        <v>1062</v>
      </c>
      <c r="C534" s="80" t="n">
        <v>202405</v>
      </c>
      <c r="D534" s="81" t="n">
        <v>45413</v>
      </c>
      <c r="E534" s="82" t="n">
        <v>151.778</v>
      </c>
      <c r="F534" s="80" t="n">
        <v>29</v>
      </c>
      <c r="G534" s="79" t="s">
        <v>1238</v>
      </c>
    </row>
    <row r="535" customFormat="false" ht="15" hidden="false" customHeight="false" outlineLevel="0" collapsed="false">
      <c r="A535" s="79" t="s">
        <v>211</v>
      </c>
      <c r="B535" s="79" t="s">
        <v>1064</v>
      </c>
      <c r="C535" s="80" t="n">
        <v>202404</v>
      </c>
      <c r="D535" s="81" t="n">
        <v>45383</v>
      </c>
      <c r="E535" s="82" t="n">
        <v>156.182</v>
      </c>
      <c r="F535" s="80" t="n">
        <v>30</v>
      </c>
      <c r="G535" s="79" t="s">
        <v>1239</v>
      </c>
    </row>
    <row r="536" customFormat="false" ht="15" hidden="false" customHeight="false" outlineLevel="0" collapsed="false">
      <c r="A536" s="79" t="s">
        <v>211</v>
      </c>
      <c r="B536" s="79" t="s">
        <v>1066</v>
      </c>
      <c r="C536" s="80" t="n">
        <v>202403</v>
      </c>
      <c r="D536" s="81" t="n">
        <v>45352</v>
      </c>
      <c r="E536" s="82" t="n">
        <v>155.064</v>
      </c>
      <c r="F536" s="80" t="n">
        <v>31</v>
      </c>
      <c r="G536" s="79" t="s">
        <v>1240</v>
      </c>
    </row>
    <row r="537" customFormat="false" ht="15" hidden="false" customHeight="false" outlineLevel="0" collapsed="false">
      <c r="A537" s="79" t="s">
        <v>211</v>
      </c>
      <c r="B537" s="79" t="s">
        <v>1068</v>
      </c>
      <c r="C537" s="80" t="n">
        <v>202402</v>
      </c>
      <c r="D537" s="81" t="n">
        <v>45323</v>
      </c>
      <c r="E537" s="82" t="n">
        <v>237.554</v>
      </c>
      <c r="F537" s="80" t="n">
        <v>32</v>
      </c>
      <c r="G537" s="79" t="s">
        <v>1241</v>
      </c>
    </row>
    <row r="538" customFormat="false" ht="15" hidden="false" customHeight="false" outlineLevel="0" collapsed="false">
      <c r="A538" s="79" t="s">
        <v>211</v>
      </c>
      <c r="B538" s="79" t="s">
        <v>1070</v>
      </c>
      <c r="C538" s="80" t="n">
        <v>202401</v>
      </c>
      <c r="D538" s="81" t="n">
        <v>45292</v>
      </c>
      <c r="E538" s="82" t="n">
        <v>268.317</v>
      </c>
      <c r="F538" s="80" t="n">
        <v>33</v>
      </c>
      <c r="G538" s="79" t="s">
        <v>1242</v>
      </c>
    </row>
    <row r="539" customFormat="false" ht="15" hidden="false" customHeight="false" outlineLevel="0" collapsed="false">
      <c r="A539" s="79" t="s">
        <v>211</v>
      </c>
      <c r="B539" s="79" t="s">
        <v>1072</v>
      </c>
      <c r="C539" s="80" t="n">
        <v>202312</v>
      </c>
      <c r="D539" s="81" t="n">
        <v>45261</v>
      </c>
      <c r="E539" s="82" t="n">
        <v>274.338</v>
      </c>
      <c r="F539" s="80" t="n">
        <v>34</v>
      </c>
      <c r="G539" s="79" t="s">
        <v>1243</v>
      </c>
    </row>
    <row r="540" customFormat="false" ht="15" hidden="false" customHeight="false" outlineLevel="0" collapsed="false">
      <c r="A540" s="79" t="s">
        <v>211</v>
      </c>
      <c r="B540" s="79" t="s">
        <v>1074</v>
      </c>
      <c r="C540" s="80" t="n">
        <v>202311</v>
      </c>
      <c r="D540" s="81" t="n">
        <v>45231</v>
      </c>
      <c r="E540" s="82" t="n">
        <v>262.123</v>
      </c>
      <c r="F540" s="80" t="n">
        <v>35</v>
      </c>
      <c r="G540" s="79" t="s">
        <v>1244</v>
      </c>
    </row>
    <row r="541" customFormat="false" ht="15" hidden="false" customHeight="false" outlineLevel="0" collapsed="false">
      <c r="A541" s="79" t="s">
        <v>211</v>
      </c>
      <c r="B541" s="79" t="s">
        <v>1076</v>
      </c>
      <c r="C541" s="80" t="n">
        <v>202310</v>
      </c>
      <c r="D541" s="81" t="n">
        <v>45200</v>
      </c>
      <c r="E541" s="82" t="n">
        <v>251.46</v>
      </c>
      <c r="F541" s="80" t="n">
        <v>36</v>
      </c>
      <c r="G541" s="79" t="s">
        <v>1245</v>
      </c>
    </row>
    <row r="542" customFormat="false" ht="15" hidden="false" customHeight="false" outlineLevel="0" collapsed="false">
      <c r="A542" s="79" t="s">
        <v>215</v>
      </c>
      <c r="B542" s="79" t="s">
        <v>1030</v>
      </c>
      <c r="C542" s="80" t="n">
        <v>202609</v>
      </c>
      <c r="D542" s="81" t="n">
        <v>46266</v>
      </c>
      <c r="E542" s="82" t="n">
        <v>4809.631</v>
      </c>
      <c r="F542" s="80" t="n">
        <v>1</v>
      </c>
      <c r="G542" s="79" t="s">
        <v>667</v>
      </c>
    </row>
    <row r="543" customFormat="false" ht="15" hidden="false" customHeight="false" outlineLevel="0" collapsed="false">
      <c r="A543" s="79" t="s">
        <v>215</v>
      </c>
      <c r="B543" s="79" t="s">
        <v>1031</v>
      </c>
      <c r="C543" s="80" t="n">
        <v>202608</v>
      </c>
      <c r="D543" s="81" t="n">
        <v>46235</v>
      </c>
      <c r="E543" s="82" t="n">
        <v>4548.833</v>
      </c>
      <c r="F543" s="80" t="n">
        <v>2</v>
      </c>
      <c r="G543" s="79" t="s">
        <v>668</v>
      </c>
    </row>
    <row r="544" customFormat="false" ht="15" hidden="false" customHeight="false" outlineLevel="0" collapsed="false">
      <c r="A544" s="79" t="s">
        <v>215</v>
      </c>
      <c r="B544" s="79" t="s">
        <v>1032</v>
      </c>
      <c r="C544" s="80" t="n">
        <v>202607</v>
      </c>
      <c r="D544" s="81" t="n">
        <v>46204</v>
      </c>
      <c r="E544" s="82" t="n">
        <v>4224.069</v>
      </c>
      <c r="F544" s="80" t="n">
        <v>3</v>
      </c>
      <c r="G544" s="79" t="s">
        <v>669</v>
      </c>
    </row>
    <row r="545" customFormat="false" ht="15" hidden="false" customHeight="false" outlineLevel="0" collapsed="false">
      <c r="A545" s="79" t="s">
        <v>215</v>
      </c>
      <c r="B545" s="79" t="s">
        <v>1033</v>
      </c>
      <c r="C545" s="80" t="n">
        <v>202606</v>
      </c>
      <c r="D545" s="81" t="n">
        <v>46174</v>
      </c>
      <c r="E545" s="82" t="n">
        <v>4199.867</v>
      </c>
      <c r="F545" s="80" t="n">
        <v>4</v>
      </c>
      <c r="G545" s="79" t="s">
        <v>670</v>
      </c>
    </row>
    <row r="546" customFormat="false" ht="15" hidden="false" customHeight="false" outlineLevel="0" collapsed="false">
      <c r="A546" s="79" t="s">
        <v>215</v>
      </c>
      <c r="B546" s="79" t="s">
        <v>1034</v>
      </c>
      <c r="C546" s="80" t="n">
        <v>202605</v>
      </c>
      <c r="D546" s="81" t="n">
        <v>46143</v>
      </c>
      <c r="E546" s="82" t="n">
        <v>4072.319</v>
      </c>
      <c r="F546" s="80" t="n">
        <v>5</v>
      </c>
      <c r="G546" s="79" t="s">
        <v>671</v>
      </c>
    </row>
    <row r="547" customFormat="false" ht="15" hidden="false" customHeight="false" outlineLevel="0" collapsed="false">
      <c r="A547" s="79" t="s">
        <v>215</v>
      </c>
      <c r="B547" s="79" t="s">
        <v>1035</v>
      </c>
      <c r="C547" s="80" t="n">
        <v>202604</v>
      </c>
      <c r="D547" s="81" t="n">
        <v>46113</v>
      </c>
      <c r="E547" s="82" t="n">
        <v>3939.324</v>
      </c>
      <c r="F547" s="80" t="n">
        <v>6</v>
      </c>
      <c r="G547" s="79" t="s">
        <v>672</v>
      </c>
    </row>
    <row r="548" customFormat="false" ht="15" hidden="false" customHeight="false" outlineLevel="0" collapsed="false">
      <c r="A548" s="79" t="s">
        <v>215</v>
      </c>
      <c r="B548" s="79" t="s">
        <v>1036</v>
      </c>
      <c r="C548" s="80" t="n">
        <v>202603</v>
      </c>
      <c r="D548" s="81" t="n">
        <v>46082</v>
      </c>
      <c r="E548" s="82" t="n">
        <v>3204.487</v>
      </c>
      <c r="F548" s="80" t="n">
        <v>7</v>
      </c>
      <c r="G548" s="79" t="s">
        <v>673</v>
      </c>
    </row>
    <row r="549" customFormat="false" ht="15" hidden="false" customHeight="false" outlineLevel="0" collapsed="false">
      <c r="A549" s="79" t="s">
        <v>215</v>
      </c>
      <c r="B549" s="79" t="s">
        <v>1037</v>
      </c>
      <c r="C549" s="80" t="n">
        <v>202602</v>
      </c>
      <c r="D549" s="81" t="n">
        <v>46054</v>
      </c>
      <c r="E549" s="82" t="n">
        <v>3961.154</v>
      </c>
      <c r="F549" s="80" t="n">
        <v>8</v>
      </c>
      <c r="G549" s="79" t="s">
        <v>674</v>
      </c>
    </row>
    <row r="550" customFormat="false" ht="15" hidden="false" customHeight="false" outlineLevel="0" collapsed="false">
      <c r="A550" s="79" t="s">
        <v>215</v>
      </c>
      <c r="B550" s="79" t="s">
        <v>1038</v>
      </c>
      <c r="C550" s="80" t="n">
        <v>202601</v>
      </c>
      <c r="D550" s="81" t="n">
        <v>46023</v>
      </c>
      <c r="E550" s="82" t="n">
        <v>3688.833</v>
      </c>
      <c r="F550" s="80" t="n">
        <v>9</v>
      </c>
      <c r="G550" s="79" t="s">
        <v>675</v>
      </c>
    </row>
    <row r="551" customFormat="false" ht="15" hidden="false" customHeight="false" outlineLevel="0" collapsed="false">
      <c r="A551" s="79" t="s">
        <v>215</v>
      </c>
      <c r="B551" s="79" t="s">
        <v>1039</v>
      </c>
      <c r="C551" s="80" t="n">
        <v>202512</v>
      </c>
      <c r="D551" s="81" t="n">
        <v>45992</v>
      </c>
      <c r="E551" s="82" t="n">
        <v>3521.383</v>
      </c>
      <c r="F551" s="80" t="n">
        <v>10</v>
      </c>
      <c r="G551" s="79" t="s">
        <v>676</v>
      </c>
    </row>
    <row r="552" customFormat="false" ht="15" hidden="false" customHeight="false" outlineLevel="0" collapsed="false">
      <c r="A552" s="79" t="s">
        <v>215</v>
      </c>
      <c r="B552" s="79" t="s">
        <v>1040</v>
      </c>
      <c r="C552" s="80" t="n">
        <v>202511</v>
      </c>
      <c r="D552" s="81" t="n">
        <v>45962</v>
      </c>
      <c r="E552" s="82" t="n">
        <v>3601.222</v>
      </c>
      <c r="F552" s="80" t="n">
        <v>11</v>
      </c>
      <c r="G552" s="79" t="s">
        <v>677</v>
      </c>
    </row>
    <row r="553" customFormat="false" ht="15" hidden="false" customHeight="false" outlineLevel="0" collapsed="false">
      <c r="A553" s="79" t="s">
        <v>215</v>
      </c>
      <c r="B553" s="79" t="s">
        <v>1041</v>
      </c>
      <c r="C553" s="80" t="n">
        <v>202510</v>
      </c>
      <c r="D553" s="81" t="n">
        <v>45931</v>
      </c>
      <c r="E553" s="82" t="n">
        <v>3586.439</v>
      </c>
      <c r="F553" s="80" t="n">
        <v>12</v>
      </c>
      <c r="G553" s="79" t="s">
        <v>678</v>
      </c>
    </row>
    <row r="554" customFormat="false" ht="15" hidden="false" customHeight="false" outlineLevel="0" collapsed="false">
      <c r="A554" s="79" t="s">
        <v>215</v>
      </c>
      <c r="B554" s="79" t="s">
        <v>1042</v>
      </c>
      <c r="C554" s="80" t="n">
        <v>202509</v>
      </c>
      <c r="D554" s="81" t="n">
        <v>45901</v>
      </c>
      <c r="E554" s="82" t="n">
        <v>3421.382</v>
      </c>
      <c r="F554" s="80" t="n">
        <v>13</v>
      </c>
      <c r="G554" s="79" t="s">
        <v>679</v>
      </c>
    </row>
    <row r="555" customFormat="false" ht="15" hidden="false" customHeight="false" outlineLevel="0" collapsed="false">
      <c r="A555" s="79" t="s">
        <v>215</v>
      </c>
      <c r="B555" s="79" t="s">
        <v>1043</v>
      </c>
      <c r="C555" s="80" t="n">
        <v>202508</v>
      </c>
      <c r="D555" s="81" t="n">
        <v>45870</v>
      </c>
      <c r="E555" s="82" t="n">
        <v>3348.367</v>
      </c>
      <c r="F555" s="80" t="n">
        <v>14</v>
      </c>
      <c r="G555" s="79" t="s">
        <v>680</v>
      </c>
    </row>
    <row r="556" customFormat="false" ht="15" hidden="false" customHeight="false" outlineLevel="0" collapsed="false">
      <c r="A556" s="79" t="s">
        <v>215</v>
      </c>
      <c r="B556" s="79" t="s">
        <v>1044</v>
      </c>
      <c r="C556" s="80" t="n">
        <v>202507</v>
      </c>
      <c r="D556" s="81" t="n">
        <v>45839</v>
      </c>
      <c r="E556" s="82" t="n">
        <v>3193.58</v>
      </c>
      <c r="F556" s="80" t="n">
        <v>15</v>
      </c>
      <c r="G556" s="79" t="s">
        <v>681</v>
      </c>
    </row>
    <row r="557" customFormat="false" ht="15" hidden="false" customHeight="false" outlineLevel="0" collapsed="false">
      <c r="A557" s="79" t="s">
        <v>215</v>
      </c>
      <c r="B557" s="79" t="s">
        <v>1045</v>
      </c>
      <c r="C557" s="80" t="n">
        <v>202506</v>
      </c>
      <c r="D557" s="81" t="n">
        <v>45809</v>
      </c>
      <c r="E557" s="82" t="n">
        <v>3157.305</v>
      </c>
      <c r="F557" s="80" t="n">
        <v>16</v>
      </c>
      <c r="G557" s="79" t="s">
        <v>682</v>
      </c>
    </row>
    <row r="558" customFormat="false" ht="15" hidden="false" customHeight="false" outlineLevel="0" collapsed="false">
      <c r="A558" s="79" t="s">
        <v>215</v>
      </c>
      <c r="B558" s="79" t="s">
        <v>1046</v>
      </c>
      <c r="C558" s="80" t="n">
        <v>202505</v>
      </c>
      <c r="D558" s="81" t="n">
        <v>45778</v>
      </c>
      <c r="E558" s="82" t="n">
        <v>3212.841</v>
      </c>
      <c r="F558" s="80" t="n">
        <v>17</v>
      </c>
      <c r="G558" s="79" t="s">
        <v>683</v>
      </c>
    </row>
    <row r="559" customFormat="false" ht="15" hidden="false" customHeight="false" outlineLevel="0" collapsed="false">
      <c r="A559" s="79" t="s">
        <v>215</v>
      </c>
      <c r="B559" s="79" t="s">
        <v>1047</v>
      </c>
      <c r="C559" s="80" t="n">
        <v>202504</v>
      </c>
      <c r="D559" s="81" t="n">
        <v>45748</v>
      </c>
      <c r="E559" s="82" t="n">
        <v>3150.041</v>
      </c>
      <c r="F559" s="80" t="n">
        <v>18</v>
      </c>
      <c r="G559" s="79" t="s">
        <v>684</v>
      </c>
    </row>
    <row r="560" customFormat="false" ht="15" hidden="false" customHeight="false" outlineLevel="0" collapsed="false">
      <c r="A560" s="79" t="s">
        <v>215</v>
      </c>
      <c r="B560" s="79" t="s">
        <v>1048</v>
      </c>
      <c r="C560" s="80" t="n">
        <v>202503</v>
      </c>
      <c r="D560" s="81" t="n">
        <v>45717</v>
      </c>
      <c r="E560" s="82" t="n">
        <v>2913.173</v>
      </c>
      <c r="F560" s="80" t="n">
        <v>19</v>
      </c>
      <c r="G560" s="79" t="s">
        <v>685</v>
      </c>
    </row>
    <row r="561" customFormat="false" ht="15" hidden="false" customHeight="false" outlineLevel="0" collapsed="false">
      <c r="A561" s="79" t="s">
        <v>215</v>
      </c>
      <c r="B561" s="79" t="s">
        <v>1049</v>
      </c>
      <c r="C561" s="80" t="n">
        <v>202502</v>
      </c>
      <c r="D561" s="81" t="n">
        <v>45689</v>
      </c>
      <c r="E561" s="82" t="n">
        <v>2556.53</v>
      </c>
      <c r="F561" s="80" t="n">
        <v>20</v>
      </c>
      <c r="G561" s="79" t="s">
        <v>686</v>
      </c>
    </row>
    <row r="562" customFormat="false" ht="15" hidden="false" customHeight="false" outlineLevel="0" collapsed="false">
      <c r="A562" s="79" t="s">
        <v>215</v>
      </c>
      <c r="B562" s="79" t="s">
        <v>1050</v>
      </c>
      <c r="C562" s="80" t="n">
        <v>202501</v>
      </c>
      <c r="D562" s="81" t="n">
        <v>45658</v>
      </c>
      <c r="E562" s="82" t="n">
        <v>2945.583</v>
      </c>
      <c r="F562" s="80" t="n">
        <v>21</v>
      </c>
      <c r="G562" s="79" t="s">
        <v>687</v>
      </c>
    </row>
    <row r="563" customFormat="false" ht="15" hidden="false" customHeight="false" outlineLevel="0" collapsed="false">
      <c r="A563" s="79" t="s">
        <v>215</v>
      </c>
      <c r="B563" s="79" t="s">
        <v>1051</v>
      </c>
      <c r="C563" s="80" t="n">
        <v>202412</v>
      </c>
      <c r="D563" s="81" t="n">
        <v>45627</v>
      </c>
      <c r="E563" s="82" t="n">
        <v>2520.732</v>
      </c>
      <c r="F563" s="80" t="n">
        <v>22</v>
      </c>
      <c r="G563" s="79" t="s">
        <v>688</v>
      </c>
    </row>
    <row r="564" customFormat="false" ht="15" hidden="false" customHeight="false" outlineLevel="0" collapsed="false">
      <c r="A564" s="79" t="s">
        <v>215</v>
      </c>
      <c r="B564" s="79" t="s">
        <v>1052</v>
      </c>
      <c r="C564" s="80" t="n">
        <v>202411</v>
      </c>
      <c r="D564" s="81" t="n">
        <v>45597</v>
      </c>
      <c r="E564" s="82" t="n">
        <v>2576.678</v>
      </c>
      <c r="F564" s="80" t="n">
        <v>23</v>
      </c>
      <c r="G564" s="79" t="s">
        <v>689</v>
      </c>
    </row>
    <row r="565" customFormat="false" ht="15" hidden="false" customHeight="false" outlineLevel="0" collapsed="false">
      <c r="A565" s="79" t="s">
        <v>215</v>
      </c>
      <c r="B565" s="79" t="s">
        <v>1053</v>
      </c>
      <c r="C565" s="80" t="n">
        <v>202410</v>
      </c>
      <c r="D565" s="81" t="n">
        <v>45566</v>
      </c>
      <c r="E565" s="82" t="n">
        <v>2646.537</v>
      </c>
      <c r="F565" s="80" t="n">
        <v>24</v>
      </c>
      <c r="G565" s="79" t="s">
        <v>690</v>
      </c>
    </row>
    <row r="566" customFormat="false" ht="15" hidden="false" customHeight="false" outlineLevel="0" collapsed="false">
      <c r="A566" s="79" t="s">
        <v>215</v>
      </c>
      <c r="B566" s="79" t="s">
        <v>1054</v>
      </c>
      <c r="C566" s="80" t="n">
        <v>202409</v>
      </c>
      <c r="D566" s="81" t="n">
        <v>45536</v>
      </c>
      <c r="E566" s="82" t="n">
        <v>2858.462</v>
      </c>
      <c r="F566" s="80" t="n">
        <v>25</v>
      </c>
      <c r="G566" s="79" t="s">
        <v>1246</v>
      </c>
    </row>
    <row r="567" customFormat="false" ht="15" hidden="false" customHeight="false" outlineLevel="0" collapsed="false">
      <c r="A567" s="79" t="s">
        <v>215</v>
      </c>
      <c r="B567" s="79" t="s">
        <v>1056</v>
      </c>
      <c r="C567" s="80" t="n">
        <v>202408</v>
      </c>
      <c r="D567" s="81" t="n">
        <v>45505</v>
      </c>
      <c r="E567" s="82" t="n">
        <v>2692.121</v>
      </c>
      <c r="F567" s="80" t="n">
        <v>26</v>
      </c>
      <c r="G567" s="79" t="s">
        <v>1247</v>
      </c>
    </row>
    <row r="568" customFormat="false" ht="15" hidden="false" customHeight="false" outlineLevel="0" collapsed="false">
      <c r="A568" s="79" t="s">
        <v>215</v>
      </c>
      <c r="B568" s="79" t="s">
        <v>1058</v>
      </c>
      <c r="C568" s="80" t="n">
        <v>202407</v>
      </c>
      <c r="D568" s="81" t="n">
        <v>45474</v>
      </c>
      <c r="E568" s="82" t="n">
        <v>2400.808</v>
      </c>
      <c r="F568" s="80" t="n">
        <v>27</v>
      </c>
      <c r="G568" s="79" t="s">
        <v>1248</v>
      </c>
    </row>
    <row r="569" customFormat="false" ht="15" hidden="false" customHeight="false" outlineLevel="0" collapsed="false">
      <c r="A569" s="79" t="s">
        <v>215</v>
      </c>
      <c r="B569" s="79" t="s">
        <v>1060</v>
      </c>
      <c r="C569" s="80" t="n">
        <v>202406</v>
      </c>
      <c r="D569" s="81" t="n">
        <v>45444</v>
      </c>
      <c r="E569" s="82" t="n">
        <v>2511.206</v>
      </c>
      <c r="F569" s="80" t="n">
        <v>28</v>
      </c>
      <c r="G569" s="79" t="s">
        <v>1249</v>
      </c>
    </row>
    <row r="570" customFormat="false" ht="15" hidden="false" customHeight="false" outlineLevel="0" collapsed="false">
      <c r="A570" s="79" t="s">
        <v>215</v>
      </c>
      <c r="B570" s="79" t="s">
        <v>1062</v>
      </c>
      <c r="C570" s="80" t="n">
        <v>202405</v>
      </c>
      <c r="D570" s="81" t="n">
        <v>45413</v>
      </c>
      <c r="E570" s="82" t="n">
        <v>2388.468</v>
      </c>
      <c r="F570" s="80" t="n">
        <v>29</v>
      </c>
      <c r="G570" s="79" t="s">
        <v>1250</v>
      </c>
    </row>
    <row r="571" customFormat="false" ht="15" hidden="false" customHeight="false" outlineLevel="0" collapsed="false">
      <c r="A571" s="79" t="s">
        <v>215</v>
      </c>
      <c r="B571" s="79" t="s">
        <v>1064</v>
      </c>
      <c r="C571" s="80" t="n">
        <v>202404</v>
      </c>
      <c r="D571" s="81" t="n">
        <v>45383</v>
      </c>
      <c r="E571" s="82" t="n">
        <v>2443.094</v>
      </c>
      <c r="F571" s="80" t="n">
        <v>30</v>
      </c>
      <c r="G571" s="79" t="s">
        <v>1251</v>
      </c>
    </row>
    <row r="572" customFormat="false" ht="15" hidden="false" customHeight="false" outlineLevel="0" collapsed="false">
      <c r="A572" s="79" t="s">
        <v>215</v>
      </c>
      <c r="B572" s="79" t="s">
        <v>1066</v>
      </c>
      <c r="C572" s="80" t="n">
        <v>202403</v>
      </c>
      <c r="D572" s="81" t="n">
        <v>45352</v>
      </c>
      <c r="E572" s="82" t="n">
        <v>2238.258</v>
      </c>
      <c r="F572" s="80" t="n">
        <v>31</v>
      </c>
      <c r="G572" s="79" t="s">
        <v>1252</v>
      </c>
    </row>
    <row r="573" customFormat="false" ht="15" hidden="false" customHeight="false" outlineLevel="0" collapsed="false">
      <c r="A573" s="79" t="s">
        <v>215</v>
      </c>
      <c r="B573" s="79" t="s">
        <v>1068</v>
      </c>
      <c r="C573" s="80" t="n">
        <v>202402</v>
      </c>
      <c r="D573" s="81" t="n">
        <v>45323</v>
      </c>
      <c r="E573" s="82" t="n">
        <v>2313.032</v>
      </c>
      <c r="F573" s="80" t="n">
        <v>32</v>
      </c>
      <c r="G573" s="79" t="s">
        <v>1253</v>
      </c>
    </row>
    <row r="574" customFormat="false" ht="15" hidden="false" customHeight="false" outlineLevel="0" collapsed="false">
      <c r="A574" s="79" t="s">
        <v>215</v>
      </c>
      <c r="B574" s="79" t="s">
        <v>1070</v>
      </c>
      <c r="C574" s="80" t="n">
        <v>202401</v>
      </c>
      <c r="D574" s="81" t="n">
        <v>45292</v>
      </c>
      <c r="E574" s="82" t="n">
        <v>2450.705</v>
      </c>
      <c r="F574" s="80" t="n">
        <v>33</v>
      </c>
      <c r="G574" s="79" t="s">
        <v>1254</v>
      </c>
    </row>
    <row r="575" customFormat="false" ht="15" hidden="false" customHeight="false" outlineLevel="0" collapsed="false">
      <c r="A575" s="79" t="s">
        <v>215</v>
      </c>
      <c r="B575" s="79" t="s">
        <v>1072</v>
      </c>
      <c r="C575" s="80" t="n">
        <v>202312</v>
      </c>
      <c r="D575" s="81" t="n">
        <v>45261</v>
      </c>
      <c r="E575" s="82" t="n">
        <v>2530.422</v>
      </c>
      <c r="F575" s="80" t="n">
        <v>34</v>
      </c>
      <c r="G575" s="79" t="s">
        <v>1255</v>
      </c>
    </row>
    <row r="576" customFormat="false" ht="15" hidden="false" customHeight="false" outlineLevel="0" collapsed="false">
      <c r="A576" s="79" t="s">
        <v>215</v>
      </c>
      <c r="B576" s="79" t="s">
        <v>1074</v>
      </c>
      <c r="C576" s="80" t="n">
        <v>202311</v>
      </c>
      <c r="D576" s="81" t="n">
        <v>45231</v>
      </c>
      <c r="E576" s="82" t="n">
        <v>2508.336</v>
      </c>
      <c r="F576" s="80" t="n">
        <v>35</v>
      </c>
      <c r="G576" s="79" t="s">
        <v>1256</v>
      </c>
    </row>
    <row r="577" customFormat="false" ht="15" hidden="false" customHeight="false" outlineLevel="0" collapsed="false">
      <c r="A577" s="79" t="s">
        <v>215</v>
      </c>
      <c r="B577" s="79" t="s">
        <v>1076</v>
      </c>
      <c r="C577" s="80" t="n">
        <v>202310</v>
      </c>
      <c r="D577" s="81" t="n">
        <v>45200</v>
      </c>
      <c r="E577" s="82" t="n">
        <v>1978.409</v>
      </c>
      <c r="F577" s="80" t="n">
        <v>36</v>
      </c>
      <c r="G577" s="79" t="s">
        <v>1257</v>
      </c>
    </row>
    <row r="578" customFormat="false" ht="15" hidden="false" customHeight="false" outlineLevel="0" collapsed="false">
      <c r="A578" s="79" t="s">
        <v>691</v>
      </c>
      <c r="B578" s="79" t="s">
        <v>1030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693</v>
      </c>
    </row>
    <row r="579" customFormat="false" ht="15" hidden="false" customHeight="false" outlineLevel="0" collapsed="false">
      <c r="A579" s="79" t="s">
        <v>691</v>
      </c>
      <c r="B579" s="79" t="s">
        <v>1031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694</v>
      </c>
    </row>
    <row r="580" customFormat="false" ht="15" hidden="false" customHeight="false" outlineLevel="0" collapsed="false">
      <c r="A580" s="79" t="s">
        <v>691</v>
      </c>
      <c r="B580" s="79" t="s">
        <v>1032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695</v>
      </c>
    </row>
    <row r="581" customFormat="false" ht="15" hidden="false" customHeight="false" outlineLevel="0" collapsed="false">
      <c r="A581" s="79" t="s">
        <v>691</v>
      </c>
      <c r="B581" s="79" t="s">
        <v>1033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696</v>
      </c>
    </row>
    <row r="582" customFormat="false" ht="15" hidden="false" customHeight="false" outlineLevel="0" collapsed="false">
      <c r="A582" s="79" t="s">
        <v>691</v>
      </c>
      <c r="B582" s="79" t="s">
        <v>1034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697</v>
      </c>
    </row>
    <row r="583" customFormat="false" ht="15" hidden="false" customHeight="false" outlineLevel="0" collapsed="false">
      <c r="A583" s="79" t="s">
        <v>691</v>
      </c>
      <c r="B583" s="79" t="s">
        <v>1035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698</v>
      </c>
    </row>
    <row r="584" customFormat="false" ht="15" hidden="false" customHeight="false" outlineLevel="0" collapsed="false">
      <c r="A584" s="79" t="s">
        <v>691</v>
      </c>
      <c r="B584" s="79" t="s">
        <v>1036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699</v>
      </c>
    </row>
    <row r="585" customFormat="false" ht="15" hidden="false" customHeight="false" outlineLevel="0" collapsed="false">
      <c r="A585" s="79" t="s">
        <v>691</v>
      </c>
      <c r="B585" s="79" t="s">
        <v>1037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700</v>
      </c>
    </row>
    <row r="586" customFormat="false" ht="15" hidden="false" customHeight="false" outlineLevel="0" collapsed="false">
      <c r="A586" s="79" t="s">
        <v>691</v>
      </c>
      <c r="B586" s="79" t="s">
        <v>1038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701</v>
      </c>
    </row>
    <row r="587" customFormat="false" ht="15" hidden="false" customHeight="false" outlineLevel="0" collapsed="false">
      <c r="A587" s="79" t="s">
        <v>691</v>
      </c>
      <c r="B587" s="79" t="s">
        <v>1039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702</v>
      </c>
    </row>
    <row r="588" customFormat="false" ht="15" hidden="false" customHeight="false" outlineLevel="0" collapsed="false">
      <c r="A588" s="79" t="s">
        <v>691</v>
      </c>
      <c r="B588" s="79" t="s">
        <v>1040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703</v>
      </c>
    </row>
    <row r="589" customFormat="false" ht="15" hidden="false" customHeight="false" outlineLevel="0" collapsed="false">
      <c r="A589" s="79" t="s">
        <v>691</v>
      </c>
      <c r="B589" s="79" t="s">
        <v>1041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704</v>
      </c>
    </row>
    <row r="590" customFormat="false" ht="15" hidden="false" customHeight="false" outlineLevel="0" collapsed="false">
      <c r="A590" s="79" t="s">
        <v>691</v>
      </c>
      <c r="B590" s="79" t="s">
        <v>1042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705</v>
      </c>
    </row>
    <row r="591" customFormat="false" ht="15" hidden="false" customHeight="false" outlineLevel="0" collapsed="false">
      <c r="A591" s="79" t="s">
        <v>691</v>
      </c>
      <c r="B591" s="79" t="s">
        <v>1043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706</v>
      </c>
    </row>
    <row r="592" customFormat="false" ht="15" hidden="false" customHeight="false" outlineLevel="0" collapsed="false">
      <c r="A592" s="79" t="s">
        <v>691</v>
      </c>
      <c r="B592" s="79" t="s">
        <v>1044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707</v>
      </c>
    </row>
    <row r="593" customFormat="false" ht="15" hidden="false" customHeight="false" outlineLevel="0" collapsed="false">
      <c r="A593" s="79" t="s">
        <v>691</v>
      </c>
      <c r="B593" s="79" t="s">
        <v>1045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708</v>
      </c>
    </row>
    <row r="594" customFormat="false" ht="15" hidden="false" customHeight="false" outlineLevel="0" collapsed="false">
      <c r="A594" s="79" t="s">
        <v>691</v>
      </c>
      <c r="B594" s="79" t="s">
        <v>1046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709</v>
      </c>
    </row>
    <row r="595" customFormat="false" ht="15" hidden="false" customHeight="false" outlineLevel="0" collapsed="false">
      <c r="A595" s="79" t="s">
        <v>691</v>
      </c>
      <c r="B595" s="79" t="s">
        <v>1047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710</v>
      </c>
    </row>
    <row r="596" customFormat="false" ht="15" hidden="false" customHeight="false" outlineLevel="0" collapsed="false">
      <c r="A596" s="79" t="s">
        <v>691</v>
      </c>
      <c r="B596" s="79" t="s">
        <v>1048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711</v>
      </c>
    </row>
    <row r="597" customFormat="false" ht="15" hidden="false" customHeight="false" outlineLevel="0" collapsed="false">
      <c r="A597" s="79" t="s">
        <v>691</v>
      </c>
      <c r="B597" s="79" t="s">
        <v>1049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712</v>
      </c>
    </row>
    <row r="598" customFormat="false" ht="15" hidden="false" customHeight="false" outlineLevel="0" collapsed="false">
      <c r="A598" s="79" t="s">
        <v>691</v>
      </c>
      <c r="B598" s="79" t="s">
        <v>1050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713</v>
      </c>
    </row>
    <row r="599" customFormat="false" ht="15" hidden="false" customHeight="false" outlineLevel="0" collapsed="false">
      <c r="A599" s="79" t="s">
        <v>691</v>
      </c>
      <c r="B599" s="79" t="s">
        <v>1051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714</v>
      </c>
    </row>
    <row r="600" customFormat="false" ht="15" hidden="false" customHeight="false" outlineLevel="0" collapsed="false">
      <c r="A600" s="79" t="s">
        <v>691</v>
      </c>
      <c r="B600" s="79" t="s">
        <v>1052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715</v>
      </c>
    </row>
    <row r="601" customFormat="false" ht="15" hidden="false" customHeight="false" outlineLevel="0" collapsed="false">
      <c r="A601" s="79" t="s">
        <v>691</v>
      </c>
      <c r="B601" s="79" t="s">
        <v>1053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716</v>
      </c>
    </row>
    <row r="602" customFormat="false" ht="15" hidden="false" customHeight="false" outlineLevel="0" collapsed="false">
      <c r="A602" s="79" t="s">
        <v>691</v>
      </c>
      <c r="B602" s="79" t="s">
        <v>1054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1258</v>
      </c>
    </row>
    <row r="603" customFormat="false" ht="15" hidden="false" customHeight="false" outlineLevel="0" collapsed="false">
      <c r="A603" s="79" t="s">
        <v>691</v>
      </c>
      <c r="B603" s="79" t="s">
        <v>1056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1259</v>
      </c>
    </row>
    <row r="604" customFormat="false" ht="15" hidden="false" customHeight="false" outlineLevel="0" collapsed="false">
      <c r="A604" s="79" t="s">
        <v>691</v>
      </c>
      <c r="B604" s="79" t="s">
        <v>1058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1260</v>
      </c>
    </row>
    <row r="605" customFormat="false" ht="15" hidden="false" customHeight="false" outlineLevel="0" collapsed="false">
      <c r="A605" s="79" t="s">
        <v>691</v>
      </c>
      <c r="B605" s="79" t="s">
        <v>1060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1261</v>
      </c>
    </row>
    <row r="606" customFormat="false" ht="15" hidden="false" customHeight="false" outlineLevel="0" collapsed="false">
      <c r="A606" s="79" t="s">
        <v>691</v>
      </c>
      <c r="B606" s="79" t="s">
        <v>1062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1262</v>
      </c>
    </row>
    <row r="607" customFormat="false" ht="15" hidden="false" customHeight="false" outlineLevel="0" collapsed="false">
      <c r="A607" s="79" t="s">
        <v>691</v>
      </c>
      <c r="B607" s="79" t="s">
        <v>1064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1263</v>
      </c>
    </row>
    <row r="608" customFormat="false" ht="15" hidden="false" customHeight="false" outlineLevel="0" collapsed="false">
      <c r="A608" s="79" t="s">
        <v>691</v>
      </c>
      <c r="B608" s="79" t="s">
        <v>1066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1264</v>
      </c>
    </row>
    <row r="609" customFormat="false" ht="15" hidden="false" customHeight="false" outlineLevel="0" collapsed="false">
      <c r="A609" s="79" t="s">
        <v>691</v>
      </c>
      <c r="B609" s="79" t="s">
        <v>1068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1265</v>
      </c>
    </row>
    <row r="610" customFormat="false" ht="15" hidden="false" customHeight="false" outlineLevel="0" collapsed="false">
      <c r="A610" s="79" t="s">
        <v>691</v>
      </c>
      <c r="B610" s="79" t="s">
        <v>1070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1266</v>
      </c>
    </row>
    <row r="611" customFormat="false" ht="15" hidden="false" customHeight="false" outlineLevel="0" collapsed="false">
      <c r="A611" s="79" t="s">
        <v>691</v>
      </c>
      <c r="B611" s="79" t="s">
        <v>1072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1267</v>
      </c>
    </row>
    <row r="612" customFormat="false" ht="15" hidden="false" customHeight="false" outlineLevel="0" collapsed="false">
      <c r="A612" s="79" t="s">
        <v>691</v>
      </c>
      <c r="B612" s="79" t="s">
        <v>1074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1268</v>
      </c>
    </row>
    <row r="613" customFormat="false" ht="15" hidden="false" customHeight="false" outlineLevel="0" collapsed="false">
      <c r="A613" s="79" t="s">
        <v>691</v>
      </c>
      <c r="B613" s="79" t="s">
        <v>1076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1269</v>
      </c>
    </row>
    <row r="614" customFormat="false" ht="15" hidden="false" customHeight="false" outlineLevel="0" collapsed="false">
      <c r="A614" s="79" t="s">
        <v>233</v>
      </c>
      <c r="B614" s="79" t="s">
        <v>1030</v>
      </c>
      <c r="C614" s="80" t="n">
        <v>202609</v>
      </c>
      <c r="D614" s="81" t="n">
        <v>46266</v>
      </c>
      <c r="E614" s="82" t="n">
        <v>204.482</v>
      </c>
      <c r="F614" s="80" t="n">
        <v>1</v>
      </c>
      <c r="G614" s="79" t="s">
        <v>718</v>
      </c>
    </row>
    <row r="615" customFormat="false" ht="15" hidden="false" customHeight="false" outlineLevel="0" collapsed="false">
      <c r="A615" s="79" t="s">
        <v>233</v>
      </c>
      <c r="B615" s="79" t="s">
        <v>1031</v>
      </c>
      <c r="C615" s="80" t="n">
        <v>202608</v>
      </c>
      <c r="D615" s="81" t="n">
        <v>46235</v>
      </c>
      <c r="E615" s="82" t="n">
        <v>170.843</v>
      </c>
      <c r="F615" s="80" t="n">
        <v>2</v>
      </c>
      <c r="G615" s="79" t="s">
        <v>719</v>
      </c>
    </row>
    <row r="616" customFormat="false" ht="15" hidden="false" customHeight="false" outlineLevel="0" collapsed="false">
      <c r="A616" s="79" t="s">
        <v>233</v>
      </c>
      <c r="B616" s="79" t="s">
        <v>1032</v>
      </c>
      <c r="C616" s="80" t="n">
        <v>202607</v>
      </c>
      <c r="D616" s="81" t="n">
        <v>46204</v>
      </c>
      <c r="E616" s="82" t="n">
        <v>157.445</v>
      </c>
      <c r="F616" s="80" t="n">
        <v>3</v>
      </c>
      <c r="G616" s="79" t="s">
        <v>720</v>
      </c>
    </row>
    <row r="617" customFormat="false" ht="15" hidden="false" customHeight="false" outlineLevel="0" collapsed="false">
      <c r="A617" s="79" t="s">
        <v>233</v>
      </c>
      <c r="B617" s="79" t="s">
        <v>1033</v>
      </c>
      <c r="C617" s="80" t="n">
        <v>202606</v>
      </c>
      <c r="D617" s="81" t="n">
        <v>46174</v>
      </c>
      <c r="E617" s="82" t="n">
        <v>143.8</v>
      </c>
      <c r="F617" s="80" t="n">
        <v>4</v>
      </c>
      <c r="G617" s="79" t="s">
        <v>721</v>
      </c>
    </row>
    <row r="618" customFormat="false" ht="15" hidden="false" customHeight="false" outlineLevel="0" collapsed="false">
      <c r="A618" s="79" t="s">
        <v>233</v>
      </c>
      <c r="B618" s="79" t="s">
        <v>1034</v>
      </c>
      <c r="C618" s="80" t="n">
        <v>202605</v>
      </c>
      <c r="D618" s="81" t="n">
        <v>46143</v>
      </c>
      <c r="E618" s="82" t="n">
        <v>127.943</v>
      </c>
      <c r="F618" s="80" t="n">
        <v>5</v>
      </c>
      <c r="G618" s="79" t="s">
        <v>722</v>
      </c>
    </row>
    <row r="619" customFormat="false" ht="15" hidden="false" customHeight="false" outlineLevel="0" collapsed="false">
      <c r="A619" s="79" t="s">
        <v>233</v>
      </c>
      <c r="B619" s="79" t="s">
        <v>1035</v>
      </c>
      <c r="C619" s="80" t="n">
        <v>202604</v>
      </c>
      <c r="D619" s="81" t="n">
        <v>46113</v>
      </c>
      <c r="E619" s="82" t="n">
        <v>117.274</v>
      </c>
      <c r="F619" s="80" t="n">
        <v>6</v>
      </c>
      <c r="G619" s="79" t="s">
        <v>723</v>
      </c>
    </row>
    <row r="620" customFormat="false" ht="15" hidden="false" customHeight="false" outlineLevel="0" collapsed="false">
      <c r="A620" s="79" t="s">
        <v>233</v>
      </c>
      <c r="B620" s="79" t="s">
        <v>1036</v>
      </c>
      <c r="C620" s="80" t="n">
        <v>202603</v>
      </c>
      <c r="D620" s="81" t="n">
        <v>46082</v>
      </c>
      <c r="E620" s="82" t="n">
        <v>128.013</v>
      </c>
      <c r="F620" s="80" t="n">
        <v>7</v>
      </c>
      <c r="G620" s="79" t="s">
        <v>724</v>
      </c>
    </row>
    <row r="621" customFormat="false" ht="15" hidden="false" customHeight="false" outlineLevel="0" collapsed="false">
      <c r="A621" s="79" t="s">
        <v>233</v>
      </c>
      <c r="B621" s="79" t="s">
        <v>1037</v>
      </c>
      <c r="C621" s="80" t="n">
        <v>202602</v>
      </c>
      <c r="D621" s="81" t="n">
        <v>46054</v>
      </c>
      <c r="E621" s="82" t="n">
        <v>136.682</v>
      </c>
      <c r="F621" s="80" t="n">
        <v>8</v>
      </c>
      <c r="G621" s="79" t="s">
        <v>725</v>
      </c>
    </row>
    <row r="622" customFormat="false" ht="15" hidden="false" customHeight="false" outlineLevel="0" collapsed="false">
      <c r="A622" s="79" t="s">
        <v>233</v>
      </c>
      <c r="B622" s="79" t="s">
        <v>1038</v>
      </c>
      <c r="C622" s="80" t="n">
        <v>202601</v>
      </c>
      <c r="D622" s="81" t="n">
        <v>46023</v>
      </c>
      <c r="E622" s="82" t="n">
        <v>131.042</v>
      </c>
      <c r="F622" s="80" t="n">
        <v>9</v>
      </c>
      <c r="G622" s="79" t="s">
        <v>726</v>
      </c>
    </row>
    <row r="623" customFormat="false" ht="15" hidden="false" customHeight="false" outlineLevel="0" collapsed="false">
      <c r="A623" s="79" t="s">
        <v>233</v>
      </c>
      <c r="B623" s="79" t="s">
        <v>1039</v>
      </c>
      <c r="C623" s="80" t="n">
        <v>202512</v>
      </c>
      <c r="D623" s="81" t="n">
        <v>45992</v>
      </c>
      <c r="E623" s="82" t="n">
        <v>125.44</v>
      </c>
      <c r="F623" s="80" t="n">
        <v>10</v>
      </c>
      <c r="G623" s="79" t="s">
        <v>727</v>
      </c>
    </row>
    <row r="624" customFormat="false" ht="15" hidden="false" customHeight="false" outlineLevel="0" collapsed="false">
      <c r="A624" s="79" t="s">
        <v>233</v>
      </c>
      <c r="B624" s="79" t="s">
        <v>1040</v>
      </c>
      <c r="C624" s="80" t="n">
        <v>202511</v>
      </c>
      <c r="D624" s="81" t="n">
        <v>45962</v>
      </c>
      <c r="E624" s="82" t="n">
        <v>134.292</v>
      </c>
      <c r="F624" s="80" t="n">
        <v>11</v>
      </c>
      <c r="G624" s="79" t="s">
        <v>728</v>
      </c>
    </row>
    <row r="625" customFormat="false" ht="15" hidden="false" customHeight="false" outlineLevel="0" collapsed="false">
      <c r="A625" s="79" t="s">
        <v>233</v>
      </c>
      <c r="B625" s="79" t="s">
        <v>1041</v>
      </c>
      <c r="C625" s="80" t="n">
        <v>202510</v>
      </c>
      <c r="D625" s="81" t="n">
        <v>45931</v>
      </c>
      <c r="E625" s="82" t="n">
        <v>174.688</v>
      </c>
      <c r="F625" s="80" t="n">
        <v>12</v>
      </c>
      <c r="G625" s="79" t="s">
        <v>729</v>
      </c>
    </row>
    <row r="626" customFormat="false" ht="15" hidden="false" customHeight="false" outlineLevel="0" collapsed="false">
      <c r="A626" s="79" t="s">
        <v>233</v>
      </c>
      <c r="B626" s="79" t="s">
        <v>1042</v>
      </c>
      <c r="C626" s="80" t="n">
        <v>202509</v>
      </c>
      <c r="D626" s="81" t="n">
        <v>45901</v>
      </c>
      <c r="E626" s="82" t="n">
        <v>180.642</v>
      </c>
      <c r="F626" s="80" t="n">
        <v>13</v>
      </c>
      <c r="G626" s="79" t="s">
        <v>730</v>
      </c>
    </row>
    <row r="627" customFormat="false" ht="15" hidden="false" customHeight="false" outlineLevel="0" collapsed="false">
      <c r="A627" s="79" t="s">
        <v>233</v>
      </c>
      <c r="B627" s="79" t="s">
        <v>1043</v>
      </c>
      <c r="C627" s="80" t="n">
        <v>202508</v>
      </c>
      <c r="D627" s="81" t="n">
        <v>45870</v>
      </c>
      <c r="E627" s="82" t="n">
        <v>152.411</v>
      </c>
      <c r="F627" s="80" t="n">
        <v>14</v>
      </c>
      <c r="G627" s="79" t="s">
        <v>731</v>
      </c>
    </row>
    <row r="628" customFormat="false" ht="15" hidden="false" customHeight="false" outlineLevel="0" collapsed="false">
      <c r="A628" s="79" t="s">
        <v>233</v>
      </c>
      <c r="B628" s="79" t="s">
        <v>1044</v>
      </c>
      <c r="C628" s="80" t="n">
        <v>202507</v>
      </c>
      <c r="D628" s="81" t="n">
        <v>45839</v>
      </c>
      <c r="E628" s="82" t="n">
        <v>186.77</v>
      </c>
      <c r="F628" s="80" t="n">
        <v>15</v>
      </c>
      <c r="G628" s="79" t="s">
        <v>732</v>
      </c>
    </row>
    <row r="629" customFormat="false" ht="15" hidden="false" customHeight="false" outlineLevel="0" collapsed="false">
      <c r="A629" s="79" t="s">
        <v>233</v>
      </c>
      <c r="B629" s="79" t="s">
        <v>1045</v>
      </c>
      <c r="C629" s="80" t="n">
        <v>202506</v>
      </c>
      <c r="D629" s="81" t="n">
        <v>45809</v>
      </c>
      <c r="E629" s="82" t="n">
        <v>191.237</v>
      </c>
      <c r="F629" s="80" t="n">
        <v>16</v>
      </c>
      <c r="G629" s="79" t="s">
        <v>733</v>
      </c>
    </row>
    <row r="630" customFormat="false" ht="15" hidden="false" customHeight="false" outlineLevel="0" collapsed="false">
      <c r="A630" s="79" t="s">
        <v>233</v>
      </c>
      <c r="B630" s="79" t="s">
        <v>1046</v>
      </c>
      <c r="C630" s="80" t="n">
        <v>202505</v>
      </c>
      <c r="D630" s="81" t="n">
        <v>45778</v>
      </c>
      <c r="E630" s="82" t="n">
        <v>204.069</v>
      </c>
      <c r="F630" s="80" t="n">
        <v>17</v>
      </c>
      <c r="G630" s="79" t="s">
        <v>734</v>
      </c>
    </row>
    <row r="631" customFormat="false" ht="15" hidden="false" customHeight="false" outlineLevel="0" collapsed="false">
      <c r="A631" s="79" t="s">
        <v>233</v>
      </c>
      <c r="B631" s="79" t="s">
        <v>1047</v>
      </c>
      <c r="C631" s="80" t="n">
        <v>202504</v>
      </c>
      <c r="D631" s="81" t="n">
        <v>45748</v>
      </c>
      <c r="E631" s="82" t="n">
        <v>157.864</v>
      </c>
      <c r="F631" s="80" t="n">
        <v>18</v>
      </c>
      <c r="G631" s="79" t="s">
        <v>735</v>
      </c>
    </row>
    <row r="632" customFormat="false" ht="15" hidden="false" customHeight="false" outlineLevel="0" collapsed="false">
      <c r="A632" s="79" t="s">
        <v>233</v>
      </c>
      <c r="B632" s="79" t="s">
        <v>1048</v>
      </c>
      <c r="C632" s="80" t="n">
        <v>202503</v>
      </c>
      <c r="D632" s="81" t="n">
        <v>45717</v>
      </c>
      <c r="E632" s="82" t="n">
        <v>100.272</v>
      </c>
      <c r="F632" s="80" t="n">
        <v>19</v>
      </c>
      <c r="G632" s="79" t="s">
        <v>736</v>
      </c>
    </row>
    <row r="633" customFormat="false" ht="15" hidden="false" customHeight="false" outlineLevel="0" collapsed="false">
      <c r="A633" s="79" t="s">
        <v>233</v>
      </c>
      <c r="B633" s="79" t="s">
        <v>1049</v>
      </c>
      <c r="C633" s="80" t="n">
        <v>202502</v>
      </c>
      <c r="D633" s="81" t="n">
        <v>45689</v>
      </c>
      <c r="E633" s="82" t="n">
        <v>153.267</v>
      </c>
      <c r="F633" s="80" t="n">
        <v>20</v>
      </c>
      <c r="G633" s="79" t="s">
        <v>737</v>
      </c>
    </row>
    <row r="634" customFormat="false" ht="15" hidden="false" customHeight="false" outlineLevel="0" collapsed="false">
      <c r="A634" s="79" t="s">
        <v>233</v>
      </c>
      <c r="B634" s="79" t="s">
        <v>1050</v>
      </c>
      <c r="C634" s="80" t="n">
        <v>202501</v>
      </c>
      <c r="D634" s="81" t="n">
        <v>45658</v>
      </c>
      <c r="E634" s="82" t="n">
        <v>107.627</v>
      </c>
      <c r="F634" s="80" t="n">
        <v>21</v>
      </c>
      <c r="G634" s="79" t="s">
        <v>738</v>
      </c>
    </row>
    <row r="635" customFormat="false" ht="15" hidden="false" customHeight="false" outlineLevel="0" collapsed="false">
      <c r="A635" s="79" t="s">
        <v>233</v>
      </c>
      <c r="B635" s="79" t="s">
        <v>1051</v>
      </c>
      <c r="C635" s="80" t="n">
        <v>202412</v>
      </c>
      <c r="D635" s="81" t="n">
        <v>45627</v>
      </c>
      <c r="E635" s="82" t="n">
        <v>150.187</v>
      </c>
      <c r="F635" s="80" t="n">
        <v>22</v>
      </c>
      <c r="G635" s="79" t="s">
        <v>739</v>
      </c>
    </row>
    <row r="636" customFormat="false" ht="15" hidden="false" customHeight="false" outlineLevel="0" collapsed="false">
      <c r="A636" s="79" t="s">
        <v>233</v>
      </c>
      <c r="B636" s="79" t="s">
        <v>1052</v>
      </c>
      <c r="C636" s="80" t="n">
        <v>202411</v>
      </c>
      <c r="D636" s="81" t="n">
        <v>45597</v>
      </c>
      <c r="E636" s="82" t="n">
        <v>102.062</v>
      </c>
      <c r="F636" s="80" t="n">
        <v>23</v>
      </c>
      <c r="G636" s="79" t="s">
        <v>740</v>
      </c>
    </row>
    <row r="637" customFormat="false" ht="15" hidden="false" customHeight="false" outlineLevel="0" collapsed="false">
      <c r="A637" s="79" t="s">
        <v>233</v>
      </c>
      <c r="B637" s="79" t="s">
        <v>1053</v>
      </c>
      <c r="C637" s="80" t="n">
        <v>202410</v>
      </c>
      <c r="D637" s="81" t="n">
        <v>45566</v>
      </c>
      <c r="E637" s="82" t="n">
        <v>122.342</v>
      </c>
      <c r="F637" s="80" t="n">
        <v>24</v>
      </c>
      <c r="G637" s="79" t="s">
        <v>741</v>
      </c>
    </row>
    <row r="638" customFormat="false" ht="15" hidden="false" customHeight="false" outlineLevel="0" collapsed="false">
      <c r="A638" s="79" t="s">
        <v>233</v>
      </c>
      <c r="B638" s="79" t="s">
        <v>1054</v>
      </c>
      <c r="C638" s="80" t="n">
        <v>202409</v>
      </c>
      <c r="D638" s="81" t="n">
        <v>45536</v>
      </c>
      <c r="E638" s="82" t="n">
        <v>126.641</v>
      </c>
      <c r="F638" s="80" t="n">
        <v>25</v>
      </c>
      <c r="G638" s="79" t="s">
        <v>1270</v>
      </c>
    </row>
    <row r="639" customFormat="false" ht="15" hidden="false" customHeight="false" outlineLevel="0" collapsed="false">
      <c r="A639" s="79" t="s">
        <v>233</v>
      </c>
      <c r="B639" s="79" t="s">
        <v>1056</v>
      </c>
      <c r="C639" s="80" t="n">
        <v>202408</v>
      </c>
      <c r="D639" s="81" t="n">
        <v>45505</v>
      </c>
      <c r="E639" s="82" t="n">
        <v>133.715</v>
      </c>
      <c r="F639" s="80" t="n">
        <v>26</v>
      </c>
      <c r="G639" s="79" t="s">
        <v>1271</v>
      </c>
    </row>
    <row r="640" customFormat="false" ht="15" hidden="false" customHeight="false" outlineLevel="0" collapsed="false">
      <c r="A640" s="79" t="s">
        <v>233</v>
      </c>
      <c r="B640" s="79" t="s">
        <v>1058</v>
      </c>
      <c r="C640" s="80" t="n">
        <v>202407</v>
      </c>
      <c r="D640" s="81" t="n">
        <v>45474</v>
      </c>
      <c r="E640" s="82" t="n">
        <v>124.041</v>
      </c>
      <c r="F640" s="80" t="n">
        <v>27</v>
      </c>
      <c r="G640" s="79" t="s">
        <v>1272</v>
      </c>
    </row>
    <row r="641" customFormat="false" ht="15" hidden="false" customHeight="false" outlineLevel="0" collapsed="false">
      <c r="A641" s="79" t="s">
        <v>233</v>
      </c>
      <c r="B641" s="79" t="s">
        <v>1060</v>
      </c>
      <c r="C641" s="80" t="n">
        <v>202406</v>
      </c>
      <c r="D641" s="81" t="n">
        <v>45444</v>
      </c>
      <c r="E641" s="82" t="n">
        <v>115.703</v>
      </c>
      <c r="F641" s="80" t="n">
        <v>28</v>
      </c>
      <c r="G641" s="79" t="s">
        <v>1273</v>
      </c>
    </row>
    <row r="642" customFormat="false" ht="15" hidden="false" customHeight="false" outlineLevel="0" collapsed="false">
      <c r="A642" s="79" t="s">
        <v>233</v>
      </c>
      <c r="B642" s="79" t="s">
        <v>1062</v>
      </c>
      <c r="C642" s="80" t="n">
        <v>202405</v>
      </c>
      <c r="D642" s="81" t="n">
        <v>45413</v>
      </c>
      <c r="E642" s="82" t="n">
        <v>113.02</v>
      </c>
      <c r="F642" s="80" t="n">
        <v>29</v>
      </c>
      <c r="G642" s="79" t="s">
        <v>1274</v>
      </c>
    </row>
    <row r="643" customFormat="false" ht="15" hidden="false" customHeight="false" outlineLevel="0" collapsed="false">
      <c r="A643" s="79" t="s">
        <v>233</v>
      </c>
      <c r="B643" s="79" t="s">
        <v>1064</v>
      </c>
      <c r="C643" s="80" t="n">
        <v>202404</v>
      </c>
      <c r="D643" s="81" t="n">
        <v>45383</v>
      </c>
      <c r="E643" s="82" t="n">
        <v>108.199</v>
      </c>
      <c r="F643" s="80" t="n">
        <v>30</v>
      </c>
      <c r="G643" s="79" t="s">
        <v>1275</v>
      </c>
    </row>
    <row r="644" customFormat="false" ht="15" hidden="false" customHeight="false" outlineLevel="0" collapsed="false">
      <c r="A644" s="79" t="s">
        <v>233</v>
      </c>
      <c r="B644" s="79" t="s">
        <v>1066</v>
      </c>
      <c r="C644" s="80" t="n">
        <v>202403</v>
      </c>
      <c r="D644" s="81" t="n">
        <v>45352</v>
      </c>
      <c r="E644" s="82" t="n">
        <v>71.672</v>
      </c>
      <c r="F644" s="80" t="n">
        <v>31</v>
      </c>
      <c r="G644" s="79" t="s">
        <v>1276</v>
      </c>
    </row>
    <row r="645" customFormat="false" ht="15" hidden="false" customHeight="false" outlineLevel="0" collapsed="false">
      <c r="A645" s="79" t="s">
        <v>233</v>
      </c>
      <c r="B645" s="79" t="s">
        <v>1068</v>
      </c>
      <c r="C645" s="80" t="n">
        <v>202402</v>
      </c>
      <c r="D645" s="81" t="n">
        <v>45323</v>
      </c>
      <c r="E645" s="82" t="n">
        <v>88.668</v>
      </c>
      <c r="F645" s="80" t="n">
        <v>32</v>
      </c>
      <c r="G645" s="79" t="s">
        <v>1277</v>
      </c>
    </row>
    <row r="646" customFormat="false" ht="15" hidden="false" customHeight="false" outlineLevel="0" collapsed="false">
      <c r="A646" s="79" t="s">
        <v>233</v>
      </c>
      <c r="B646" s="79" t="s">
        <v>1070</v>
      </c>
      <c r="C646" s="80" t="n">
        <v>202401</v>
      </c>
      <c r="D646" s="81" t="n">
        <v>45292</v>
      </c>
      <c r="E646" s="82" t="n">
        <v>117.796</v>
      </c>
      <c r="F646" s="80" t="n">
        <v>33</v>
      </c>
      <c r="G646" s="79" t="s">
        <v>1278</v>
      </c>
    </row>
    <row r="647" customFormat="false" ht="15" hidden="false" customHeight="false" outlineLevel="0" collapsed="false">
      <c r="A647" s="79" t="s">
        <v>233</v>
      </c>
      <c r="B647" s="79" t="s">
        <v>1072</v>
      </c>
      <c r="C647" s="80" t="n">
        <v>202312</v>
      </c>
      <c r="D647" s="81" t="n">
        <v>45261</v>
      </c>
      <c r="E647" s="82" t="n">
        <v>107.961</v>
      </c>
      <c r="F647" s="80" t="n">
        <v>34</v>
      </c>
      <c r="G647" s="79" t="s">
        <v>1279</v>
      </c>
    </row>
    <row r="648" customFormat="false" ht="15" hidden="false" customHeight="false" outlineLevel="0" collapsed="false">
      <c r="A648" s="79" t="s">
        <v>233</v>
      </c>
      <c r="B648" s="79" t="s">
        <v>1074</v>
      </c>
      <c r="C648" s="80" t="n">
        <v>202311</v>
      </c>
      <c r="D648" s="81" t="n">
        <v>45231</v>
      </c>
      <c r="E648" s="82" t="n">
        <v>111.518</v>
      </c>
      <c r="F648" s="80" t="n">
        <v>35</v>
      </c>
      <c r="G648" s="79" t="s">
        <v>1280</v>
      </c>
    </row>
    <row r="649" customFormat="false" ht="15" hidden="false" customHeight="false" outlineLevel="0" collapsed="false">
      <c r="A649" s="79" t="s">
        <v>233</v>
      </c>
      <c r="B649" s="79" t="s">
        <v>1076</v>
      </c>
      <c r="C649" s="80" t="n">
        <v>202310</v>
      </c>
      <c r="D649" s="81" t="n">
        <v>45200</v>
      </c>
      <c r="E649" s="82" t="n">
        <v>98.2</v>
      </c>
      <c r="F649" s="80" t="n">
        <v>36</v>
      </c>
      <c r="G649" s="79" t="s">
        <v>1281</v>
      </c>
    </row>
    <row r="650" customFormat="false" ht="15" hidden="false" customHeight="false" outlineLevel="0" collapsed="false">
      <c r="A650" s="79" t="s">
        <v>241</v>
      </c>
      <c r="B650" s="79" t="s">
        <v>1030</v>
      </c>
      <c r="C650" s="80" t="n">
        <v>202609</v>
      </c>
      <c r="D650" s="81" t="n">
        <v>46266</v>
      </c>
      <c r="E650" s="82" t="n">
        <v>1247.981</v>
      </c>
      <c r="F650" s="80" t="n">
        <v>1</v>
      </c>
      <c r="G650" s="79" t="s">
        <v>742</v>
      </c>
    </row>
    <row r="651" customFormat="false" ht="15" hidden="false" customHeight="false" outlineLevel="0" collapsed="false">
      <c r="A651" s="79" t="s">
        <v>241</v>
      </c>
      <c r="B651" s="79" t="s">
        <v>1031</v>
      </c>
      <c r="C651" s="80" t="n">
        <v>202608</v>
      </c>
      <c r="D651" s="81" t="n">
        <v>46235</v>
      </c>
      <c r="E651" s="82" t="n">
        <v>1218.533</v>
      </c>
      <c r="F651" s="80" t="n">
        <v>2</v>
      </c>
      <c r="G651" s="79" t="s">
        <v>743</v>
      </c>
    </row>
    <row r="652" customFormat="false" ht="15" hidden="false" customHeight="false" outlineLevel="0" collapsed="false">
      <c r="A652" s="79" t="s">
        <v>241</v>
      </c>
      <c r="B652" s="79" t="s">
        <v>1032</v>
      </c>
      <c r="C652" s="80" t="n">
        <v>202607</v>
      </c>
      <c r="D652" s="81" t="n">
        <v>46204</v>
      </c>
      <c r="E652" s="82" t="n">
        <v>1138.635</v>
      </c>
      <c r="F652" s="80" t="n">
        <v>3</v>
      </c>
      <c r="G652" s="79" t="s">
        <v>744</v>
      </c>
    </row>
    <row r="653" customFormat="false" ht="15" hidden="false" customHeight="false" outlineLevel="0" collapsed="false">
      <c r="A653" s="79" t="s">
        <v>241</v>
      </c>
      <c r="B653" s="79" t="s">
        <v>1033</v>
      </c>
      <c r="C653" s="80" t="n">
        <v>202606</v>
      </c>
      <c r="D653" s="81" t="n">
        <v>46174</v>
      </c>
      <c r="E653" s="82" t="n">
        <v>960.221</v>
      </c>
      <c r="F653" s="80" t="n">
        <v>4</v>
      </c>
      <c r="G653" s="79" t="s">
        <v>745</v>
      </c>
    </row>
    <row r="654" customFormat="false" ht="15" hidden="false" customHeight="false" outlineLevel="0" collapsed="false">
      <c r="A654" s="79" t="s">
        <v>241</v>
      </c>
      <c r="B654" s="79" t="s">
        <v>1034</v>
      </c>
      <c r="C654" s="80" t="n">
        <v>202605</v>
      </c>
      <c r="D654" s="81" t="n">
        <v>46143</v>
      </c>
      <c r="E654" s="82" t="n">
        <v>877.785</v>
      </c>
      <c r="F654" s="80" t="n">
        <v>5</v>
      </c>
      <c r="G654" s="79" t="s">
        <v>746</v>
      </c>
    </row>
    <row r="655" customFormat="false" ht="15" hidden="false" customHeight="false" outlineLevel="0" collapsed="false">
      <c r="A655" s="79" t="s">
        <v>241</v>
      </c>
      <c r="B655" s="79" t="s">
        <v>1035</v>
      </c>
      <c r="C655" s="80" t="n">
        <v>202604</v>
      </c>
      <c r="D655" s="81" t="n">
        <v>46113</v>
      </c>
      <c r="E655" s="82" t="n">
        <v>727.713</v>
      </c>
      <c r="F655" s="80" t="n">
        <v>6</v>
      </c>
      <c r="G655" s="79" t="s">
        <v>747</v>
      </c>
    </row>
    <row r="656" customFormat="false" ht="15" hidden="false" customHeight="false" outlineLevel="0" collapsed="false">
      <c r="A656" s="79" t="s">
        <v>241</v>
      </c>
      <c r="B656" s="79" t="s">
        <v>1036</v>
      </c>
      <c r="C656" s="80" t="n">
        <v>202603</v>
      </c>
      <c r="D656" s="81" t="n">
        <v>46082</v>
      </c>
      <c r="E656" s="82" t="n">
        <v>607.616</v>
      </c>
      <c r="F656" s="80" t="n">
        <v>7</v>
      </c>
      <c r="G656" s="79" t="s">
        <v>748</v>
      </c>
    </row>
    <row r="657" customFormat="false" ht="15" hidden="false" customHeight="false" outlineLevel="0" collapsed="false">
      <c r="A657" s="79" t="s">
        <v>241</v>
      </c>
      <c r="B657" s="79" t="s">
        <v>1037</v>
      </c>
      <c r="C657" s="80" t="n">
        <v>202602</v>
      </c>
      <c r="D657" s="81" t="n">
        <v>46054</v>
      </c>
      <c r="E657" s="82" t="n">
        <v>751.552</v>
      </c>
      <c r="F657" s="80" t="n">
        <v>8</v>
      </c>
      <c r="G657" s="79" t="s">
        <v>749</v>
      </c>
    </row>
    <row r="658" customFormat="false" ht="15" hidden="false" customHeight="false" outlineLevel="0" collapsed="false">
      <c r="A658" s="79" t="s">
        <v>241</v>
      </c>
      <c r="B658" s="79" t="s">
        <v>1038</v>
      </c>
      <c r="C658" s="80" t="n">
        <v>202601</v>
      </c>
      <c r="D658" s="81" t="n">
        <v>46023</v>
      </c>
      <c r="E658" s="82" t="n">
        <v>791.973</v>
      </c>
      <c r="F658" s="80" t="n">
        <v>9</v>
      </c>
      <c r="G658" s="79" t="s">
        <v>750</v>
      </c>
    </row>
    <row r="659" customFormat="false" ht="15" hidden="false" customHeight="false" outlineLevel="0" collapsed="false">
      <c r="A659" s="79" t="s">
        <v>241</v>
      </c>
      <c r="B659" s="79" t="s">
        <v>1039</v>
      </c>
      <c r="C659" s="80" t="n">
        <v>202512</v>
      </c>
      <c r="D659" s="81" t="n">
        <v>45992</v>
      </c>
      <c r="E659" s="82" t="n">
        <v>631.105</v>
      </c>
      <c r="F659" s="80" t="n">
        <v>10</v>
      </c>
      <c r="G659" s="79" t="s">
        <v>751</v>
      </c>
    </row>
    <row r="660" customFormat="false" ht="15" hidden="false" customHeight="false" outlineLevel="0" collapsed="false">
      <c r="A660" s="79" t="s">
        <v>241</v>
      </c>
      <c r="B660" s="79" t="s">
        <v>1040</v>
      </c>
      <c r="C660" s="80" t="n">
        <v>202511</v>
      </c>
      <c r="D660" s="81" t="n">
        <v>45962</v>
      </c>
      <c r="E660" s="82" t="n">
        <v>698.87</v>
      </c>
      <c r="F660" s="80" t="n">
        <v>11</v>
      </c>
      <c r="G660" s="79" t="s">
        <v>752</v>
      </c>
    </row>
    <row r="661" customFormat="false" ht="15" hidden="false" customHeight="false" outlineLevel="0" collapsed="false">
      <c r="A661" s="79" t="s">
        <v>241</v>
      </c>
      <c r="B661" s="79" t="s">
        <v>1041</v>
      </c>
      <c r="C661" s="80" t="n">
        <v>202510</v>
      </c>
      <c r="D661" s="81" t="n">
        <v>45931</v>
      </c>
      <c r="E661" s="82" t="n">
        <v>645.366</v>
      </c>
      <c r="F661" s="80" t="n">
        <v>12</v>
      </c>
      <c r="G661" s="79" t="s">
        <v>753</v>
      </c>
    </row>
    <row r="662" customFormat="false" ht="15" hidden="false" customHeight="false" outlineLevel="0" collapsed="false">
      <c r="A662" s="79" t="s">
        <v>241</v>
      </c>
      <c r="B662" s="79" t="s">
        <v>1042</v>
      </c>
      <c r="C662" s="80" t="n">
        <v>202509</v>
      </c>
      <c r="D662" s="81" t="n">
        <v>45901</v>
      </c>
      <c r="E662" s="82" t="n">
        <v>594.962</v>
      </c>
      <c r="F662" s="80" t="n">
        <v>13</v>
      </c>
      <c r="G662" s="79" t="s">
        <v>754</v>
      </c>
    </row>
    <row r="663" customFormat="false" ht="15" hidden="false" customHeight="false" outlineLevel="0" collapsed="false">
      <c r="A663" s="79" t="s">
        <v>241</v>
      </c>
      <c r="B663" s="79" t="s">
        <v>1043</v>
      </c>
      <c r="C663" s="80" t="n">
        <v>202508</v>
      </c>
      <c r="D663" s="81" t="n">
        <v>45870</v>
      </c>
      <c r="E663" s="82" t="n">
        <v>615.415</v>
      </c>
      <c r="F663" s="80" t="n">
        <v>14</v>
      </c>
      <c r="G663" s="79" t="s">
        <v>755</v>
      </c>
    </row>
    <row r="664" customFormat="false" ht="15" hidden="false" customHeight="false" outlineLevel="0" collapsed="false">
      <c r="A664" s="79" t="s">
        <v>241</v>
      </c>
      <c r="B664" s="79" t="s">
        <v>1044</v>
      </c>
      <c r="C664" s="80" t="n">
        <v>202507</v>
      </c>
      <c r="D664" s="81" t="n">
        <v>45839</v>
      </c>
      <c r="E664" s="82" t="n">
        <v>605.082</v>
      </c>
      <c r="F664" s="80" t="n">
        <v>15</v>
      </c>
      <c r="G664" s="79" t="s">
        <v>756</v>
      </c>
    </row>
    <row r="665" customFormat="false" ht="15" hidden="false" customHeight="false" outlineLevel="0" collapsed="false">
      <c r="A665" s="79" t="s">
        <v>241</v>
      </c>
      <c r="B665" s="79" t="s">
        <v>1045</v>
      </c>
      <c r="C665" s="80" t="n">
        <v>202506</v>
      </c>
      <c r="D665" s="81" t="n">
        <v>45809</v>
      </c>
      <c r="E665" s="82" t="n">
        <v>640.52</v>
      </c>
      <c r="F665" s="80" t="n">
        <v>16</v>
      </c>
      <c r="G665" s="79" t="s">
        <v>757</v>
      </c>
    </row>
    <row r="666" customFormat="false" ht="15" hidden="false" customHeight="false" outlineLevel="0" collapsed="false">
      <c r="A666" s="79" t="s">
        <v>241</v>
      </c>
      <c r="B666" s="79" t="s">
        <v>1046</v>
      </c>
      <c r="C666" s="80" t="n">
        <v>202505</v>
      </c>
      <c r="D666" s="81" t="n">
        <v>45778</v>
      </c>
      <c r="E666" s="82" t="n">
        <v>603.299</v>
      </c>
      <c r="F666" s="80" t="n">
        <v>17</v>
      </c>
      <c r="G666" s="79" t="s">
        <v>758</v>
      </c>
    </row>
    <row r="667" customFormat="false" ht="15" hidden="false" customHeight="false" outlineLevel="0" collapsed="false">
      <c r="A667" s="79" t="s">
        <v>241</v>
      </c>
      <c r="B667" s="79" t="s">
        <v>1047</v>
      </c>
      <c r="C667" s="80" t="n">
        <v>202504</v>
      </c>
      <c r="D667" s="81" t="n">
        <v>45748</v>
      </c>
      <c r="E667" s="82" t="n">
        <v>977.959</v>
      </c>
      <c r="F667" s="80" t="n">
        <v>18</v>
      </c>
      <c r="G667" s="79" t="s">
        <v>759</v>
      </c>
    </row>
    <row r="668" customFormat="false" ht="15" hidden="false" customHeight="false" outlineLevel="0" collapsed="false">
      <c r="A668" s="79" t="s">
        <v>241</v>
      </c>
      <c r="B668" s="79" t="s">
        <v>1048</v>
      </c>
      <c r="C668" s="80" t="n">
        <v>202503</v>
      </c>
      <c r="D668" s="81" t="n">
        <v>45717</v>
      </c>
      <c r="E668" s="82" t="n">
        <v>958.464</v>
      </c>
      <c r="F668" s="80" t="n">
        <v>19</v>
      </c>
      <c r="G668" s="79" t="s">
        <v>760</v>
      </c>
    </row>
    <row r="669" customFormat="false" ht="15" hidden="false" customHeight="false" outlineLevel="0" collapsed="false">
      <c r="A669" s="79" t="s">
        <v>241</v>
      </c>
      <c r="B669" s="79" t="s">
        <v>1049</v>
      </c>
      <c r="C669" s="80" t="n">
        <v>202502</v>
      </c>
      <c r="D669" s="81" t="n">
        <v>45689</v>
      </c>
      <c r="E669" s="82" t="n">
        <v>821.579</v>
      </c>
      <c r="F669" s="80" t="n">
        <v>20</v>
      </c>
      <c r="G669" s="79" t="s">
        <v>761</v>
      </c>
    </row>
    <row r="670" customFormat="false" ht="15" hidden="false" customHeight="false" outlineLevel="0" collapsed="false">
      <c r="A670" s="79" t="s">
        <v>241</v>
      </c>
      <c r="B670" s="79" t="s">
        <v>1050</v>
      </c>
      <c r="C670" s="80" t="n">
        <v>202501</v>
      </c>
      <c r="D670" s="81" t="n">
        <v>45658</v>
      </c>
      <c r="E670" s="82" t="n">
        <v>824.908</v>
      </c>
      <c r="F670" s="80" t="n">
        <v>21</v>
      </c>
      <c r="G670" s="79" t="s">
        <v>762</v>
      </c>
    </row>
    <row r="671" customFormat="false" ht="15" hidden="false" customHeight="false" outlineLevel="0" collapsed="false">
      <c r="A671" s="79" t="s">
        <v>241</v>
      </c>
      <c r="B671" s="79" t="s">
        <v>1051</v>
      </c>
      <c r="C671" s="80" t="n">
        <v>202412</v>
      </c>
      <c r="D671" s="81" t="n">
        <v>45627</v>
      </c>
      <c r="E671" s="82" t="n">
        <v>786.997</v>
      </c>
      <c r="F671" s="80" t="n">
        <v>22</v>
      </c>
      <c r="G671" s="79" t="s">
        <v>763</v>
      </c>
    </row>
    <row r="672" customFormat="false" ht="15" hidden="false" customHeight="false" outlineLevel="0" collapsed="false">
      <c r="A672" s="79" t="s">
        <v>241</v>
      </c>
      <c r="B672" s="79" t="s">
        <v>1052</v>
      </c>
      <c r="C672" s="80" t="n">
        <v>202411</v>
      </c>
      <c r="D672" s="81" t="n">
        <v>45597</v>
      </c>
      <c r="E672" s="82" t="n">
        <v>864.645</v>
      </c>
      <c r="F672" s="80" t="n">
        <v>23</v>
      </c>
      <c r="G672" s="79" t="s">
        <v>764</v>
      </c>
    </row>
    <row r="673" customFormat="false" ht="15" hidden="false" customHeight="false" outlineLevel="0" collapsed="false">
      <c r="A673" s="79" t="s">
        <v>241</v>
      </c>
      <c r="B673" s="79" t="s">
        <v>1053</v>
      </c>
      <c r="C673" s="80" t="n">
        <v>202410</v>
      </c>
      <c r="D673" s="81" t="n">
        <v>45566</v>
      </c>
      <c r="E673" s="82" t="n">
        <v>797.761</v>
      </c>
      <c r="F673" s="80" t="n">
        <v>24</v>
      </c>
      <c r="G673" s="79" t="s">
        <v>765</v>
      </c>
    </row>
    <row r="674" customFormat="false" ht="15" hidden="false" customHeight="false" outlineLevel="0" collapsed="false">
      <c r="A674" s="79" t="s">
        <v>241</v>
      </c>
      <c r="B674" s="79" t="s">
        <v>1054</v>
      </c>
      <c r="C674" s="80" t="n">
        <v>202409</v>
      </c>
      <c r="D674" s="81" t="n">
        <v>45536</v>
      </c>
      <c r="E674" s="82" t="n">
        <v>658.197</v>
      </c>
      <c r="F674" s="80" t="n">
        <v>25</v>
      </c>
      <c r="G674" s="79" t="s">
        <v>1282</v>
      </c>
    </row>
    <row r="675" customFormat="false" ht="15" hidden="false" customHeight="false" outlineLevel="0" collapsed="false">
      <c r="A675" s="79" t="s">
        <v>241</v>
      </c>
      <c r="B675" s="79" t="s">
        <v>1056</v>
      </c>
      <c r="C675" s="80" t="n">
        <v>202408</v>
      </c>
      <c r="D675" s="81" t="n">
        <v>45505</v>
      </c>
      <c r="E675" s="82" t="n">
        <v>644.812</v>
      </c>
      <c r="F675" s="80" t="n">
        <v>26</v>
      </c>
      <c r="G675" s="79" t="s">
        <v>1283</v>
      </c>
    </row>
    <row r="676" customFormat="false" ht="15" hidden="false" customHeight="false" outlineLevel="0" collapsed="false">
      <c r="A676" s="79" t="s">
        <v>241</v>
      </c>
      <c r="B676" s="79" t="s">
        <v>1058</v>
      </c>
      <c r="C676" s="80" t="n">
        <v>202407</v>
      </c>
      <c r="D676" s="81" t="n">
        <v>45474</v>
      </c>
      <c r="E676" s="82" t="n">
        <v>540.921</v>
      </c>
      <c r="F676" s="80" t="n">
        <v>27</v>
      </c>
      <c r="G676" s="79" t="s">
        <v>1284</v>
      </c>
    </row>
    <row r="677" customFormat="false" ht="15" hidden="false" customHeight="false" outlineLevel="0" collapsed="false">
      <c r="A677" s="79" t="s">
        <v>241</v>
      </c>
      <c r="B677" s="79" t="s">
        <v>1060</v>
      </c>
      <c r="C677" s="80" t="n">
        <v>202406</v>
      </c>
      <c r="D677" s="81" t="n">
        <v>45444</v>
      </c>
      <c r="E677" s="82" t="n">
        <v>575.706</v>
      </c>
      <c r="F677" s="80" t="n">
        <v>28</v>
      </c>
      <c r="G677" s="79" t="s">
        <v>1285</v>
      </c>
    </row>
    <row r="678" customFormat="false" ht="15" hidden="false" customHeight="false" outlineLevel="0" collapsed="false">
      <c r="A678" s="79" t="s">
        <v>241</v>
      </c>
      <c r="B678" s="79" t="s">
        <v>1062</v>
      </c>
      <c r="C678" s="80" t="n">
        <v>202405</v>
      </c>
      <c r="D678" s="81" t="n">
        <v>45413</v>
      </c>
      <c r="E678" s="82" t="n">
        <v>588.227</v>
      </c>
      <c r="F678" s="80" t="n">
        <v>29</v>
      </c>
      <c r="G678" s="79" t="s">
        <v>1286</v>
      </c>
    </row>
    <row r="679" customFormat="false" ht="15" hidden="false" customHeight="false" outlineLevel="0" collapsed="false">
      <c r="A679" s="79" t="s">
        <v>241</v>
      </c>
      <c r="B679" s="79" t="s">
        <v>1064</v>
      </c>
      <c r="C679" s="80" t="n">
        <v>202404</v>
      </c>
      <c r="D679" s="81" t="n">
        <v>45383</v>
      </c>
      <c r="E679" s="82" t="n">
        <v>477.34</v>
      </c>
      <c r="F679" s="80" t="n">
        <v>30</v>
      </c>
      <c r="G679" s="79" t="s">
        <v>1287</v>
      </c>
    </row>
    <row r="680" customFormat="false" ht="15" hidden="false" customHeight="false" outlineLevel="0" collapsed="false">
      <c r="A680" s="79" t="s">
        <v>241</v>
      </c>
      <c r="B680" s="79" t="s">
        <v>1066</v>
      </c>
      <c r="C680" s="80" t="n">
        <v>202403</v>
      </c>
      <c r="D680" s="81" t="n">
        <v>45352</v>
      </c>
      <c r="E680" s="82" t="n">
        <v>385.194</v>
      </c>
      <c r="F680" s="80" t="n">
        <v>31</v>
      </c>
      <c r="G680" s="79" t="s">
        <v>1288</v>
      </c>
    </row>
    <row r="681" customFormat="false" ht="15" hidden="false" customHeight="false" outlineLevel="0" collapsed="false">
      <c r="A681" s="79" t="s">
        <v>241</v>
      </c>
      <c r="B681" s="79" t="s">
        <v>1068</v>
      </c>
      <c r="C681" s="80" t="n">
        <v>202402</v>
      </c>
      <c r="D681" s="81" t="n">
        <v>45323</v>
      </c>
      <c r="E681" s="82" t="n">
        <v>422.954</v>
      </c>
      <c r="F681" s="80" t="n">
        <v>32</v>
      </c>
      <c r="G681" s="79" t="s">
        <v>1289</v>
      </c>
    </row>
    <row r="682" customFormat="false" ht="15" hidden="false" customHeight="false" outlineLevel="0" collapsed="false">
      <c r="A682" s="79" t="s">
        <v>241</v>
      </c>
      <c r="B682" s="79" t="s">
        <v>1070</v>
      </c>
      <c r="C682" s="80" t="n">
        <v>202401</v>
      </c>
      <c r="D682" s="81" t="n">
        <v>45292</v>
      </c>
      <c r="E682" s="82" t="n">
        <v>454.498</v>
      </c>
      <c r="F682" s="80" t="n">
        <v>33</v>
      </c>
      <c r="G682" s="79" t="s">
        <v>1290</v>
      </c>
    </row>
    <row r="683" customFormat="false" ht="15" hidden="false" customHeight="false" outlineLevel="0" collapsed="false">
      <c r="A683" s="79" t="s">
        <v>241</v>
      </c>
      <c r="B683" s="79" t="s">
        <v>1072</v>
      </c>
      <c r="C683" s="80" t="n">
        <v>202312</v>
      </c>
      <c r="D683" s="81" t="n">
        <v>45261</v>
      </c>
      <c r="E683" s="82" t="n">
        <v>484.156</v>
      </c>
      <c r="F683" s="80" t="n">
        <v>34</v>
      </c>
      <c r="G683" s="79" t="s">
        <v>1291</v>
      </c>
    </row>
    <row r="684" customFormat="false" ht="15" hidden="false" customHeight="false" outlineLevel="0" collapsed="false">
      <c r="A684" s="79" t="s">
        <v>241</v>
      </c>
      <c r="B684" s="79" t="s">
        <v>1074</v>
      </c>
      <c r="C684" s="80" t="n">
        <v>202311</v>
      </c>
      <c r="D684" s="81" t="n">
        <v>45231</v>
      </c>
      <c r="E684" s="82" t="n">
        <v>499.66</v>
      </c>
      <c r="F684" s="80" t="n">
        <v>35</v>
      </c>
      <c r="G684" s="79" t="s">
        <v>1292</v>
      </c>
    </row>
    <row r="685" customFormat="false" ht="15" hidden="false" customHeight="false" outlineLevel="0" collapsed="false">
      <c r="A685" s="79" t="s">
        <v>241</v>
      </c>
      <c r="B685" s="79" t="s">
        <v>1076</v>
      </c>
      <c r="C685" s="80" t="n">
        <v>202310</v>
      </c>
      <c r="D685" s="81" t="n">
        <v>45200</v>
      </c>
      <c r="E685" s="82" t="n">
        <v>489.071</v>
      </c>
      <c r="F685" s="80" t="n">
        <v>36</v>
      </c>
      <c r="G685" s="79" t="s">
        <v>1293</v>
      </c>
    </row>
    <row r="686" customFormat="false" ht="15" hidden="false" customHeight="false" outlineLevel="0" collapsed="false">
      <c r="A686" s="79" t="s">
        <v>197</v>
      </c>
      <c r="B686" s="79" t="s">
        <v>1030</v>
      </c>
      <c r="C686" s="80" t="n">
        <v>202609</v>
      </c>
      <c r="D686" s="81" t="n">
        <v>46266</v>
      </c>
      <c r="E686" s="82" t="n">
        <v>8891.805</v>
      </c>
      <c r="F686" s="80" t="n">
        <v>1</v>
      </c>
      <c r="G686" s="79" t="s">
        <v>767</v>
      </c>
    </row>
    <row r="687" customFormat="false" ht="15" hidden="false" customHeight="false" outlineLevel="0" collapsed="false">
      <c r="A687" s="79" t="s">
        <v>197</v>
      </c>
      <c r="B687" s="79" t="s">
        <v>1031</v>
      </c>
      <c r="C687" s="80" t="n">
        <v>202608</v>
      </c>
      <c r="D687" s="81" t="n">
        <v>46235</v>
      </c>
      <c r="E687" s="82" t="n">
        <v>9630.165</v>
      </c>
      <c r="F687" s="80" t="n">
        <v>2</v>
      </c>
      <c r="G687" s="79" t="s">
        <v>768</v>
      </c>
    </row>
    <row r="688" customFormat="false" ht="15" hidden="false" customHeight="false" outlineLevel="0" collapsed="false">
      <c r="A688" s="79" t="s">
        <v>197</v>
      </c>
      <c r="B688" s="79" t="s">
        <v>1032</v>
      </c>
      <c r="C688" s="80" t="n">
        <v>202607</v>
      </c>
      <c r="D688" s="81" t="n">
        <v>46204</v>
      </c>
      <c r="E688" s="82" t="n">
        <v>8518.109</v>
      </c>
      <c r="F688" s="80" t="n">
        <v>3</v>
      </c>
      <c r="G688" s="79" t="s">
        <v>769</v>
      </c>
    </row>
    <row r="689" customFormat="false" ht="15" hidden="false" customHeight="false" outlineLevel="0" collapsed="false">
      <c r="A689" s="79" t="s">
        <v>197</v>
      </c>
      <c r="B689" s="79" t="s">
        <v>1033</v>
      </c>
      <c r="C689" s="80" t="n">
        <v>202606</v>
      </c>
      <c r="D689" s="81" t="n">
        <v>46174</v>
      </c>
      <c r="E689" s="82" t="n">
        <v>7352.121</v>
      </c>
      <c r="F689" s="80" t="n">
        <v>4</v>
      </c>
      <c r="G689" s="79" t="s">
        <v>770</v>
      </c>
    </row>
    <row r="690" customFormat="false" ht="15" hidden="false" customHeight="false" outlineLevel="0" collapsed="false">
      <c r="A690" s="79" t="s">
        <v>197</v>
      </c>
      <c r="B690" s="79" t="s">
        <v>1034</v>
      </c>
      <c r="C690" s="80" t="n">
        <v>202605</v>
      </c>
      <c r="D690" s="81" t="n">
        <v>46143</v>
      </c>
      <c r="E690" s="82" t="n">
        <v>7382.955</v>
      </c>
      <c r="F690" s="80" t="n">
        <v>5</v>
      </c>
      <c r="G690" s="79" t="s">
        <v>771</v>
      </c>
    </row>
    <row r="691" customFormat="false" ht="15" hidden="false" customHeight="false" outlineLevel="0" collapsed="false">
      <c r="A691" s="79" t="s">
        <v>197</v>
      </c>
      <c r="B691" s="79" t="s">
        <v>1035</v>
      </c>
      <c r="C691" s="80" t="n">
        <v>202604</v>
      </c>
      <c r="D691" s="81" t="n">
        <v>46113</v>
      </c>
      <c r="E691" s="82" t="n">
        <v>7013.696</v>
      </c>
      <c r="F691" s="80" t="n">
        <v>6</v>
      </c>
      <c r="G691" s="79" t="s">
        <v>772</v>
      </c>
    </row>
    <row r="692" customFormat="false" ht="15" hidden="false" customHeight="false" outlineLevel="0" collapsed="false">
      <c r="A692" s="79" t="s">
        <v>197</v>
      </c>
      <c r="B692" s="79" t="s">
        <v>1036</v>
      </c>
      <c r="C692" s="80" t="n">
        <v>202603</v>
      </c>
      <c r="D692" s="81" t="n">
        <v>46082</v>
      </c>
      <c r="E692" s="82" t="n">
        <v>6387.852</v>
      </c>
      <c r="F692" s="80" t="n">
        <v>7</v>
      </c>
      <c r="G692" s="79" t="s">
        <v>773</v>
      </c>
    </row>
    <row r="693" customFormat="false" ht="15" hidden="false" customHeight="false" outlineLevel="0" collapsed="false">
      <c r="A693" s="79" t="s">
        <v>197</v>
      </c>
      <c r="B693" s="79" t="s">
        <v>1037</v>
      </c>
      <c r="C693" s="80" t="n">
        <v>202602</v>
      </c>
      <c r="D693" s="81" t="n">
        <v>46054</v>
      </c>
      <c r="E693" s="82" t="n">
        <v>7455.82</v>
      </c>
      <c r="F693" s="80" t="n">
        <v>8</v>
      </c>
      <c r="G693" s="79" t="s">
        <v>774</v>
      </c>
    </row>
    <row r="694" customFormat="false" ht="15" hidden="false" customHeight="false" outlineLevel="0" collapsed="false">
      <c r="A694" s="79" t="s">
        <v>197</v>
      </c>
      <c r="B694" s="79" t="s">
        <v>1038</v>
      </c>
      <c r="C694" s="80" t="n">
        <v>202601</v>
      </c>
      <c r="D694" s="81" t="n">
        <v>46023</v>
      </c>
      <c r="E694" s="82" t="n">
        <v>6640.666</v>
      </c>
      <c r="F694" s="80" t="n">
        <v>9</v>
      </c>
      <c r="G694" s="79" t="s">
        <v>775</v>
      </c>
    </row>
    <row r="695" customFormat="false" ht="15" hidden="false" customHeight="false" outlineLevel="0" collapsed="false">
      <c r="A695" s="79" t="s">
        <v>197</v>
      </c>
      <c r="B695" s="79" t="s">
        <v>1039</v>
      </c>
      <c r="C695" s="80" t="n">
        <v>202512</v>
      </c>
      <c r="D695" s="81" t="n">
        <v>45992</v>
      </c>
      <c r="E695" s="82" t="n">
        <v>6538.775</v>
      </c>
      <c r="F695" s="80" t="n">
        <v>10</v>
      </c>
      <c r="G695" s="79" t="s">
        <v>776</v>
      </c>
    </row>
    <row r="696" customFormat="false" ht="15" hidden="false" customHeight="false" outlineLevel="0" collapsed="false">
      <c r="A696" s="79" t="s">
        <v>197</v>
      </c>
      <c r="B696" s="79" t="s">
        <v>1040</v>
      </c>
      <c r="C696" s="80" t="n">
        <v>202511</v>
      </c>
      <c r="D696" s="81" t="n">
        <v>45962</v>
      </c>
      <c r="E696" s="82" t="n">
        <v>6581.49</v>
      </c>
      <c r="F696" s="80" t="n">
        <v>11</v>
      </c>
      <c r="G696" s="79" t="s">
        <v>777</v>
      </c>
    </row>
    <row r="697" customFormat="false" ht="15" hidden="false" customHeight="false" outlineLevel="0" collapsed="false">
      <c r="A697" s="79" t="s">
        <v>197</v>
      </c>
      <c r="B697" s="79" t="s">
        <v>1041</v>
      </c>
      <c r="C697" s="80" t="n">
        <v>202510</v>
      </c>
      <c r="D697" s="81" t="n">
        <v>45931</v>
      </c>
      <c r="E697" s="82" t="n">
        <v>6706.222</v>
      </c>
      <c r="F697" s="80" t="n">
        <v>12</v>
      </c>
      <c r="G697" s="79" t="s">
        <v>778</v>
      </c>
    </row>
    <row r="698" customFormat="false" ht="15" hidden="false" customHeight="false" outlineLevel="0" collapsed="false">
      <c r="A698" s="79" t="s">
        <v>197</v>
      </c>
      <c r="B698" s="79" t="s">
        <v>1042</v>
      </c>
      <c r="C698" s="80" t="n">
        <v>202509</v>
      </c>
      <c r="D698" s="81" t="n">
        <v>45901</v>
      </c>
      <c r="E698" s="82" t="n">
        <v>5774.218</v>
      </c>
      <c r="F698" s="80" t="n">
        <v>13</v>
      </c>
      <c r="G698" s="79" t="s">
        <v>779</v>
      </c>
    </row>
    <row r="699" customFormat="false" ht="15" hidden="false" customHeight="false" outlineLevel="0" collapsed="false">
      <c r="A699" s="79" t="s">
        <v>197</v>
      </c>
      <c r="B699" s="79" t="s">
        <v>1043</v>
      </c>
      <c r="C699" s="80" t="n">
        <v>202508</v>
      </c>
      <c r="D699" s="81" t="n">
        <v>45870</v>
      </c>
      <c r="E699" s="82" t="n">
        <v>6034.282</v>
      </c>
      <c r="F699" s="80" t="n">
        <v>14</v>
      </c>
      <c r="G699" s="79" t="s">
        <v>780</v>
      </c>
    </row>
    <row r="700" customFormat="false" ht="15" hidden="false" customHeight="false" outlineLevel="0" collapsed="false">
      <c r="A700" s="79" t="s">
        <v>197</v>
      </c>
      <c r="B700" s="79" t="s">
        <v>1044</v>
      </c>
      <c r="C700" s="80" t="n">
        <v>202507</v>
      </c>
      <c r="D700" s="81" t="n">
        <v>45839</v>
      </c>
      <c r="E700" s="82" t="n">
        <v>5200.632</v>
      </c>
      <c r="F700" s="80" t="n">
        <v>15</v>
      </c>
      <c r="G700" s="79" t="s">
        <v>781</v>
      </c>
    </row>
    <row r="701" customFormat="false" ht="15" hidden="false" customHeight="false" outlineLevel="0" collapsed="false">
      <c r="A701" s="79" t="s">
        <v>197</v>
      </c>
      <c r="B701" s="79" t="s">
        <v>1045</v>
      </c>
      <c r="C701" s="80" t="n">
        <v>202506</v>
      </c>
      <c r="D701" s="81" t="n">
        <v>45809</v>
      </c>
      <c r="E701" s="82" t="n">
        <v>5201.409</v>
      </c>
      <c r="F701" s="80" t="n">
        <v>16</v>
      </c>
      <c r="G701" s="79" t="s">
        <v>782</v>
      </c>
    </row>
    <row r="702" customFormat="false" ht="15" hidden="false" customHeight="false" outlineLevel="0" collapsed="false">
      <c r="A702" s="79" t="s">
        <v>197</v>
      </c>
      <c r="B702" s="79" t="s">
        <v>1046</v>
      </c>
      <c r="C702" s="80" t="n">
        <v>202505</v>
      </c>
      <c r="D702" s="81" t="n">
        <v>45778</v>
      </c>
      <c r="E702" s="82" t="n">
        <v>6228.086</v>
      </c>
      <c r="F702" s="80" t="n">
        <v>17</v>
      </c>
      <c r="G702" s="79" t="s">
        <v>783</v>
      </c>
    </row>
    <row r="703" customFormat="false" ht="15" hidden="false" customHeight="false" outlineLevel="0" collapsed="false">
      <c r="A703" s="79" t="s">
        <v>197</v>
      </c>
      <c r="B703" s="79" t="s">
        <v>1047</v>
      </c>
      <c r="C703" s="80" t="n">
        <v>202504</v>
      </c>
      <c r="D703" s="81" t="n">
        <v>45748</v>
      </c>
      <c r="E703" s="82" t="n">
        <v>5738.989</v>
      </c>
      <c r="F703" s="80" t="n">
        <v>18</v>
      </c>
      <c r="G703" s="79" t="s">
        <v>784</v>
      </c>
    </row>
    <row r="704" customFormat="false" ht="15" hidden="false" customHeight="false" outlineLevel="0" collapsed="false">
      <c r="A704" s="79" t="s">
        <v>197</v>
      </c>
      <c r="B704" s="79" t="s">
        <v>1048</v>
      </c>
      <c r="C704" s="80" t="n">
        <v>202503</v>
      </c>
      <c r="D704" s="81" t="n">
        <v>45717</v>
      </c>
      <c r="E704" s="82" t="n">
        <v>5001.88</v>
      </c>
      <c r="F704" s="80" t="n">
        <v>19</v>
      </c>
      <c r="G704" s="79" t="s">
        <v>785</v>
      </c>
    </row>
    <row r="705" customFormat="false" ht="15" hidden="false" customHeight="false" outlineLevel="0" collapsed="false">
      <c r="A705" s="79" t="s">
        <v>197</v>
      </c>
      <c r="B705" s="79" t="s">
        <v>1049</v>
      </c>
      <c r="C705" s="80" t="n">
        <v>202502</v>
      </c>
      <c r="D705" s="81" t="n">
        <v>45689</v>
      </c>
      <c r="E705" s="82" t="n">
        <v>5555.836</v>
      </c>
      <c r="F705" s="80" t="n">
        <v>20</v>
      </c>
      <c r="G705" s="79" t="s">
        <v>786</v>
      </c>
    </row>
    <row r="706" customFormat="false" ht="15" hidden="false" customHeight="false" outlineLevel="0" collapsed="false">
      <c r="A706" s="79" t="s">
        <v>197</v>
      </c>
      <c r="B706" s="79" t="s">
        <v>1050</v>
      </c>
      <c r="C706" s="80" t="n">
        <v>202501</v>
      </c>
      <c r="D706" s="81" t="n">
        <v>45658</v>
      </c>
      <c r="E706" s="82" t="n">
        <v>4641.987</v>
      </c>
      <c r="F706" s="80" t="n">
        <v>21</v>
      </c>
      <c r="G706" s="79" t="s">
        <v>787</v>
      </c>
    </row>
    <row r="707" customFormat="false" ht="15" hidden="false" customHeight="false" outlineLevel="0" collapsed="false">
      <c r="A707" s="79" t="s">
        <v>197</v>
      </c>
      <c r="B707" s="79" t="s">
        <v>1051</v>
      </c>
      <c r="C707" s="80" t="n">
        <v>202412</v>
      </c>
      <c r="D707" s="81" t="n">
        <v>45627</v>
      </c>
      <c r="E707" s="82" t="n">
        <v>4910.75</v>
      </c>
      <c r="F707" s="80" t="n">
        <v>22</v>
      </c>
      <c r="G707" s="79" t="s">
        <v>788</v>
      </c>
    </row>
    <row r="708" customFormat="false" ht="15" hidden="false" customHeight="false" outlineLevel="0" collapsed="false">
      <c r="A708" s="79" t="s">
        <v>197</v>
      </c>
      <c r="B708" s="79" t="s">
        <v>1052</v>
      </c>
      <c r="C708" s="80" t="n">
        <v>202411</v>
      </c>
      <c r="D708" s="81" t="n">
        <v>45597</v>
      </c>
      <c r="E708" s="82" t="n">
        <v>4911.147</v>
      </c>
      <c r="F708" s="80" t="n">
        <v>23</v>
      </c>
      <c r="G708" s="79" t="s">
        <v>789</v>
      </c>
    </row>
    <row r="709" customFormat="false" ht="15" hidden="false" customHeight="false" outlineLevel="0" collapsed="false">
      <c r="A709" s="79" t="s">
        <v>197</v>
      </c>
      <c r="B709" s="79" t="s">
        <v>1053</v>
      </c>
      <c r="C709" s="80" t="n">
        <v>202410</v>
      </c>
      <c r="D709" s="81" t="n">
        <v>45566</v>
      </c>
      <c r="E709" s="82" t="n">
        <v>4589.632</v>
      </c>
      <c r="F709" s="80" t="n">
        <v>24</v>
      </c>
      <c r="G709" s="79" t="s">
        <v>790</v>
      </c>
    </row>
    <row r="710" customFormat="false" ht="15" hidden="false" customHeight="false" outlineLevel="0" collapsed="false">
      <c r="A710" s="79" t="s">
        <v>197</v>
      </c>
      <c r="B710" s="79" t="s">
        <v>1054</v>
      </c>
      <c r="C710" s="80" t="n">
        <v>202409</v>
      </c>
      <c r="D710" s="81" t="n">
        <v>45536</v>
      </c>
      <c r="E710" s="82" t="n">
        <v>4558.801</v>
      </c>
      <c r="F710" s="80" t="n">
        <v>25</v>
      </c>
      <c r="G710" s="79" t="s">
        <v>1294</v>
      </c>
    </row>
    <row r="711" customFormat="false" ht="15" hidden="false" customHeight="false" outlineLevel="0" collapsed="false">
      <c r="A711" s="79" t="s">
        <v>197</v>
      </c>
      <c r="B711" s="79" t="s">
        <v>1056</v>
      </c>
      <c r="C711" s="80" t="n">
        <v>202408</v>
      </c>
      <c r="D711" s="81" t="n">
        <v>45505</v>
      </c>
      <c r="E711" s="82" t="n">
        <v>5010.561</v>
      </c>
      <c r="F711" s="80" t="n">
        <v>26</v>
      </c>
      <c r="G711" s="79" t="s">
        <v>1295</v>
      </c>
    </row>
    <row r="712" customFormat="false" ht="15" hidden="false" customHeight="false" outlineLevel="0" collapsed="false">
      <c r="A712" s="79" t="s">
        <v>197</v>
      </c>
      <c r="B712" s="79" t="s">
        <v>1058</v>
      </c>
      <c r="C712" s="80" t="n">
        <v>202407</v>
      </c>
      <c r="D712" s="81" t="n">
        <v>45474</v>
      </c>
      <c r="E712" s="82" t="n">
        <v>4270.645</v>
      </c>
      <c r="F712" s="80" t="n">
        <v>27</v>
      </c>
      <c r="G712" s="79" t="s">
        <v>1296</v>
      </c>
    </row>
    <row r="713" customFormat="false" ht="15" hidden="false" customHeight="false" outlineLevel="0" collapsed="false">
      <c r="A713" s="79" t="s">
        <v>197</v>
      </c>
      <c r="B713" s="79" t="s">
        <v>1060</v>
      </c>
      <c r="C713" s="80" t="n">
        <v>202406</v>
      </c>
      <c r="D713" s="81" t="n">
        <v>45444</v>
      </c>
      <c r="E713" s="82" t="n">
        <v>4319.672</v>
      </c>
      <c r="F713" s="80" t="n">
        <v>28</v>
      </c>
      <c r="G713" s="79" t="s">
        <v>1297</v>
      </c>
    </row>
    <row r="714" customFormat="false" ht="15" hidden="false" customHeight="false" outlineLevel="0" collapsed="false">
      <c r="A714" s="79" t="s">
        <v>197</v>
      </c>
      <c r="B714" s="79" t="s">
        <v>1062</v>
      </c>
      <c r="C714" s="80" t="n">
        <v>202405</v>
      </c>
      <c r="D714" s="81" t="n">
        <v>45413</v>
      </c>
      <c r="E714" s="82" t="n">
        <v>4501.705</v>
      </c>
      <c r="F714" s="80" t="n">
        <v>29</v>
      </c>
      <c r="G714" s="79" t="s">
        <v>1298</v>
      </c>
    </row>
    <row r="715" customFormat="false" ht="15" hidden="false" customHeight="false" outlineLevel="0" collapsed="false">
      <c r="A715" s="79" t="s">
        <v>197</v>
      </c>
      <c r="B715" s="79" t="s">
        <v>1064</v>
      </c>
      <c r="C715" s="80" t="n">
        <v>202404</v>
      </c>
      <c r="D715" s="81" t="n">
        <v>45383</v>
      </c>
      <c r="E715" s="82" t="n">
        <v>4270.952</v>
      </c>
      <c r="F715" s="80" t="n">
        <v>30</v>
      </c>
      <c r="G715" s="79" t="s">
        <v>1299</v>
      </c>
    </row>
    <row r="716" customFormat="false" ht="15" hidden="false" customHeight="false" outlineLevel="0" collapsed="false">
      <c r="A716" s="79" t="s">
        <v>197</v>
      </c>
      <c r="B716" s="79" t="s">
        <v>1066</v>
      </c>
      <c r="C716" s="80" t="n">
        <v>202403</v>
      </c>
      <c r="D716" s="81" t="n">
        <v>45352</v>
      </c>
      <c r="E716" s="82" t="n">
        <v>3836.515</v>
      </c>
      <c r="F716" s="80" t="n">
        <v>31</v>
      </c>
      <c r="G716" s="79" t="s">
        <v>1300</v>
      </c>
    </row>
    <row r="717" customFormat="false" ht="15" hidden="false" customHeight="false" outlineLevel="0" collapsed="false">
      <c r="A717" s="79" t="s">
        <v>197</v>
      </c>
      <c r="B717" s="79" t="s">
        <v>1068</v>
      </c>
      <c r="C717" s="80" t="n">
        <v>202402</v>
      </c>
      <c r="D717" s="81" t="n">
        <v>45323</v>
      </c>
      <c r="E717" s="82" t="n">
        <v>4256.429</v>
      </c>
      <c r="F717" s="80" t="n">
        <v>32</v>
      </c>
      <c r="G717" s="79" t="s">
        <v>1301</v>
      </c>
    </row>
    <row r="718" customFormat="false" ht="15" hidden="false" customHeight="false" outlineLevel="0" collapsed="false">
      <c r="A718" s="79" t="s">
        <v>197</v>
      </c>
      <c r="B718" s="79" t="s">
        <v>1070</v>
      </c>
      <c r="C718" s="80" t="n">
        <v>202401</v>
      </c>
      <c r="D718" s="81" t="n">
        <v>45292</v>
      </c>
      <c r="E718" s="82" t="n">
        <v>3488.338</v>
      </c>
      <c r="F718" s="80" t="n">
        <v>33</v>
      </c>
      <c r="G718" s="79" t="s">
        <v>1302</v>
      </c>
    </row>
    <row r="719" customFormat="false" ht="15" hidden="false" customHeight="false" outlineLevel="0" collapsed="false">
      <c r="A719" s="79" t="s">
        <v>197</v>
      </c>
      <c r="B719" s="79" t="s">
        <v>1072</v>
      </c>
      <c r="C719" s="80" t="n">
        <v>202312</v>
      </c>
      <c r="D719" s="81" t="n">
        <v>45261</v>
      </c>
      <c r="E719" s="82" t="n">
        <v>4142.794</v>
      </c>
      <c r="F719" s="80" t="n">
        <v>34</v>
      </c>
      <c r="G719" s="79" t="s">
        <v>1303</v>
      </c>
    </row>
    <row r="720" customFormat="false" ht="15" hidden="false" customHeight="false" outlineLevel="0" collapsed="false">
      <c r="A720" s="79" t="s">
        <v>197</v>
      </c>
      <c r="B720" s="79" t="s">
        <v>1074</v>
      </c>
      <c r="C720" s="80" t="n">
        <v>202311</v>
      </c>
      <c r="D720" s="81" t="n">
        <v>45231</v>
      </c>
      <c r="E720" s="82" t="n">
        <v>4486.505</v>
      </c>
      <c r="F720" s="80" t="n">
        <v>35</v>
      </c>
      <c r="G720" s="79" t="s">
        <v>1304</v>
      </c>
    </row>
    <row r="721" customFormat="false" ht="15" hidden="false" customHeight="false" outlineLevel="0" collapsed="false">
      <c r="A721" s="79" t="s">
        <v>197</v>
      </c>
      <c r="B721" s="79" t="s">
        <v>1076</v>
      </c>
      <c r="C721" s="80" t="n">
        <v>202310</v>
      </c>
      <c r="D721" s="81" t="n">
        <v>45200</v>
      </c>
      <c r="E721" s="82" t="n">
        <v>4304.914</v>
      </c>
      <c r="F721" s="80" t="n">
        <v>36</v>
      </c>
      <c r="G721" s="79" t="s">
        <v>1305</v>
      </c>
    </row>
    <row r="722" customFormat="false" ht="15" hidden="false" customHeight="false" outlineLevel="0" collapsed="false">
      <c r="A722" s="79" t="s">
        <v>791</v>
      </c>
      <c r="B722" s="79" t="s">
        <v>1030</v>
      </c>
      <c r="C722" s="80" t="n">
        <v>202609</v>
      </c>
      <c r="D722" s="81" t="n">
        <v>46266</v>
      </c>
      <c r="E722" s="82" t="n">
        <v>82247.374</v>
      </c>
      <c r="F722" s="80" t="n">
        <v>1</v>
      </c>
      <c r="G722" s="79" t="s">
        <v>793</v>
      </c>
    </row>
    <row r="723" customFormat="false" ht="15" hidden="false" customHeight="false" outlineLevel="0" collapsed="false">
      <c r="A723" s="79" t="s">
        <v>791</v>
      </c>
      <c r="B723" s="79" t="s">
        <v>1031</v>
      </c>
      <c r="C723" s="80" t="n">
        <v>202608</v>
      </c>
      <c r="D723" s="81" t="n">
        <v>46235</v>
      </c>
      <c r="E723" s="82" t="n">
        <v>73783.701</v>
      </c>
      <c r="F723" s="80" t="n">
        <v>2</v>
      </c>
      <c r="G723" s="79" t="s">
        <v>794</v>
      </c>
    </row>
    <row r="724" customFormat="false" ht="15" hidden="false" customHeight="false" outlineLevel="0" collapsed="false">
      <c r="A724" s="79" t="s">
        <v>791</v>
      </c>
      <c r="B724" s="79" t="s">
        <v>1032</v>
      </c>
      <c r="C724" s="80" t="n">
        <v>202607</v>
      </c>
      <c r="D724" s="81" t="n">
        <v>46204</v>
      </c>
      <c r="E724" s="82" t="n">
        <v>65783.102</v>
      </c>
      <c r="F724" s="80" t="n">
        <v>3</v>
      </c>
      <c r="G724" s="79" t="s">
        <v>795</v>
      </c>
    </row>
    <row r="725" customFormat="false" ht="15" hidden="false" customHeight="false" outlineLevel="0" collapsed="false">
      <c r="A725" s="79" t="s">
        <v>791</v>
      </c>
      <c r="B725" s="79" t="s">
        <v>1033</v>
      </c>
      <c r="C725" s="80" t="n">
        <v>202606</v>
      </c>
      <c r="D725" s="81" t="n">
        <v>46174</v>
      </c>
      <c r="E725" s="82" t="n">
        <v>63033.313</v>
      </c>
      <c r="F725" s="80" t="n">
        <v>4</v>
      </c>
      <c r="G725" s="79" t="s">
        <v>796</v>
      </c>
    </row>
    <row r="726" customFormat="false" ht="15" hidden="false" customHeight="false" outlineLevel="0" collapsed="false">
      <c r="A726" s="79" t="s">
        <v>791</v>
      </c>
      <c r="B726" s="79" t="s">
        <v>1034</v>
      </c>
      <c r="C726" s="80" t="n">
        <v>202605</v>
      </c>
      <c r="D726" s="81" t="n">
        <v>46143</v>
      </c>
      <c r="E726" s="82" t="n">
        <v>62247.107</v>
      </c>
      <c r="F726" s="80" t="n">
        <v>5</v>
      </c>
      <c r="G726" s="79" t="s">
        <v>797</v>
      </c>
    </row>
    <row r="727" customFormat="false" ht="15" hidden="false" customHeight="false" outlineLevel="0" collapsed="false">
      <c r="A727" s="79" t="s">
        <v>791</v>
      </c>
      <c r="B727" s="79" t="s">
        <v>1035</v>
      </c>
      <c r="C727" s="80" t="n">
        <v>202604</v>
      </c>
      <c r="D727" s="81" t="n">
        <v>46113</v>
      </c>
      <c r="E727" s="82" t="n">
        <v>61576.674</v>
      </c>
      <c r="F727" s="80" t="n">
        <v>6</v>
      </c>
      <c r="G727" s="79" t="s">
        <v>798</v>
      </c>
    </row>
    <row r="728" customFormat="false" ht="15" hidden="false" customHeight="false" outlineLevel="0" collapsed="false">
      <c r="A728" s="79" t="s">
        <v>791</v>
      </c>
      <c r="B728" s="79" t="s">
        <v>1036</v>
      </c>
      <c r="C728" s="80" t="n">
        <v>202603</v>
      </c>
      <c r="D728" s="81" t="n">
        <v>46082</v>
      </c>
      <c r="E728" s="82" t="n">
        <v>52096.847</v>
      </c>
      <c r="F728" s="80" t="n">
        <v>7</v>
      </c>
      <c r="G728" s="79" t="s">
        <v>799</v>
      </c>
    </row>
    <row r="729" customFormat="false" ht="15" hidden="false" customHeight="false" outlineLevel="0" collapsed="false">
      <c r="A729" s="79" t="s">
        <v>791</v>
      </c>
      <c r="B729" s="79" t="s">
        <v>1037</v>
      </c>
      <c r="C729" s="80" t="n">
        <v>202602</v>
      </c>
      <c r="D729" s="81" t="n">
        <v>46054</v>
      </c>
      <c r="E729" s="82" t="n">
        <v>59988.631</v>
      </c>
      <c r="F729" s="80" t="n">
        <v>8</v>
      </c>
      <c r="G729" s="79" t="s">
        <v>800</v>
      </c>
    </row>
    <row r="730" customFormat="false" ht="15" hidden="false" customHeight="false" outlineLevel="0" collapsed="false">
      <c r="A730" s="79" t="s">
        <v>791</v>
      </c>
      <c r="B730" s="79" t="s">
        <v>1038</v>
      </c>
      <c r="C730" s="80" t="n">
        <v>202601</v>
      </c>
      <c r="D730" s="81" t="n">
        <v>46023</v>
      </c>
      <c r="E730" s="82" t="n">
        <v>58864.547</v>
      </c>
      <c r="F730" s="80" t="n">
        <v>9</v>
      </c>
      <c r="G730" s="79" t="s">
        <v>801</v>
      </c>
    </row>
    <row r="731" customFormat="false" ht="15" hidden="false" customHeight="false" outlineLevel="0" collapsed="false">
      <c r="A731" s="79" t="s">
        <v>791</v>
      </c>
      <c r="B731" s="79" t="s">
        <v>1039</v>
      </c>
      <c r="C731" s="80" t="n">
        <v>202512</v>
      </c>
      <c r="D731" s="81" t="n">
        <v>45992</v>
      </c>
      <c r="E731" s="82" t="n">
        <v>58819.584</v>
      </c>
      <c r="F731" s="80" t="n">
        <v>10</v>
      </c>
      <c r="G731" s="79" t="s">
        <v>802</v>
      </c>
    </row>
    <row r="732" customFormat="false" ht="15" hidden="false" customHeight="false" outlineLevel="0" collapsed="false">
      <c r="A732" s="79" t="s">
        <v>791</v>
      </c>
      <c r="B732" s="79" t="s">
        <v>1040</v>
      </c>
      <c r="C732" s="80" t="n">
        <v>202511</v>
      </c>
      <c r="D732" s="81" t="n">
        <v>45962</v>
      </c>
      <c r="E732" s="82" t="n">
        <v>60231.106</v>
      </c>
      <c r="F732" s="80" t="n">
        <v>11</v>
      </c>
      <c r="G732" s="79" t="s">
        <v>803</v>
      </c>
    </row>
    <row r="733" customFormat="false" ht="15" hidden="false" customHeight="false" outlineLevel="0" collapsed="false">
      <c r="A733" s="79" t="s">
        <v>791</v>
      </c>
      <c r="B733" s="79" t="s">
        <v>1041</v>
      </c>
      <c r="C733" s="80" t="n">
        <v>202510</v>
      </c>
      <c r="D733" s="81" t="n">
        <v>45931</v>
      </c>
      <c r="E733" s="82" t="n">
        <v>60561.227</v>
      </c>
      <c r="F733" s="80" t="n">
        <v>12</v>
      </c>
      <c r="G733" s="79" t="s">
        <v>804</v>
      </c>
    </row>
    <row r="734" customFormat="false" ht="15" hidden="false" customHeight="false" outlineLevel="0" collapsed="false">
      <c r="A734" s="79" t="s">
        <v>791</v>
      </c>
      <c r="B734" s="79" t="s">
        <v>1042</v>
      </c>
      <c r="C734" s="80" t="n">
        <v>202509</v>
      </c>
      <c r="D734" s="81" t="n">
        <v>45901</v>
      </c>
      <c r="E734" s="82" t="n">
        <v>56465.628</v>
      </c>
      <c r="F734" s="80" t="n">
        <v>13</v>
      </c>
      <c r="G734" s="79" t="s">
        <v>805</v>
      </c>
    </row>
    <row r="735" customFormat="false" ht="15" hidden="false" customHeight="false" outlineLevel="0" collapsed="false">
      <c r="A735" s="79" t="s">
        <v>791</v>
      </c>
      <c r="B735" s="79" t="s">
        <v>1043</v>
      </c>
      <c r="C735" s="80" t="n">
        <v>202508</v>
      </c>
      <c r="D735" s="81" t="n">
        <v>45870</v>
      </c>
      <c r="E735" s="82" t="n">
        <v>51542.033</v>
      </c>
      <c r="F735" s="80" t="n">
        <v>14</v>
      </c>
      <c r="G735" s="79" t="s">
        <v>806</v>
      </c>
    </row>
    <row r="736" customFormat="false" ht="15" hidden="false" customHeight="false" outlineLevel="0" collapsed="false">
      <c r="A736" s="79" t="s">
        <v>791</v>
      </c>
      <c r="B736" s="79" t="s">
        <v>1044</v>
      </c>
      <c r="C736" s="80" t="n">
        <v>202507</v>
      </c>
      <c r="D736" s="81" t="n">
        <v>45839</v>
      </c>
      <c r="E736" s="82" t="n">
        <v>49512.621</v>
      </c>
      <c r="F736" s="80" t="n">
        <v>15</v>
      </c>
      <c r="G736" s="79" t="s">
        <v>807</v>
      </c>
    </row>
    <row r="737" customFormat="false" ht="15" hidden="false" customHeight="false" outlineLevel="0" collapsed="false">
      <c r="A737" s="79" t="s">
        <v>791</v>
      </c>
      <c r="B737" s="79" t="s">
        <v>1045</v>
      </c>
      <c r="C737" s="80" t="n">
        <v>202506</v>
      </c>
      <c r="D737" s="81" t="n">
        <v>45809</v>
      </c>
      <c r="E737" s="82" t="n">
        <v>49026.935</v>
      </c>
      <c r="F737" s="80" t="n">
        <v>16</v>
      </c>
      <c r="G737" s="79" t="s">
        <v>808</v>
      </c>
    </row>
    <row r="738" customFormat="false" ht="15" hidden="false" customHeight="false" outlineLevel="0" collapsed="false">
      <c r="A738" s="79" t="s">
        <v>791</v>
      </c>
      <c r="B738" s="79" t="s">
        <v>1046</v>
      </c>
      <c r="C738" s="80" t="n">
        <v>202505</v>
      </c>
      <c r="D738" s="81" t="n">
        <v>45778</v>
      </c>
      <c r="E738" s="82" t="n">
        <v>52210.767</v>
      </c>
      <c r="F738" s="80" t="n">
        <v>17</v>
      </c>
      <c r="G738" s="79" t="s">
        <v>809</v>
      </c>
    </row>
    <row r="739" customFormat="false" ht="15" hidden="false" customHeight="false" outlineLevel="0" collapsed="false">
      <c r="A739" s="79" t="s">
        <v>791</v>
      </c>
      <c r="B739" s="79" t="s">
        <v>1047</v>
      </c>
      <c r="C739" s="80" t="n">
        <v>202504</v>
      </c>
      <c r="D739" s="81" t="n">
        <v>45748</v>
      </c>
      <c r="E739" s="82" t="n">
        <v>53748.213</v>
      </c>
      <c r="F739" s="80" t="n">
        <v>18</v>
      </c>
      <c r="G739" s="79" t="s">
        <v>810</v>
      </c>
    </row>
    <row r="740" customFormat="false" ht="15" hidden="false" customHeight="false" outlineLevel="0" collapsed="false">
      <c r="A740" s="79" t="s">
        <v>791</v>
      </c>
      <c r="B740" s="79" t="s">
        <v>1048</v>
      </c>
      <c r="C740" s="80" t="n">
        <v>202503</v>
      </c>
      <c r="D740" s="81" t="n">
        <v>45717</v>
      </c>
      <c r="E740" s="82" t="n">
        <v>44960.788</v>
      </c>
      <c r="F740" s="80" t="n">
        <v>19</v>
      </c>
      <c r="G740" s="79" t="s">
        <v>811</v>
      </c>
    </row>
    <row r="741" customFormat="false" ht="15" hidden="false" customHeight="false" outlineLevel="0" collapsed="false">
      <c r="A741" s="79" t="s">
        <v>791</v>
      </c>
      <c r="B741" s="79" t="s">
        <v>1049</v>
      </c>
      <c r="C741" s="80" t="n">
        <v>202502</v>
      </c>
      <c r="D741" s="81" t="n">
        <v>45689</v>
      </c>
      <c r="E741" s="82" t="n">
        <v>49444.261</v>
      </c>
      <c r="F741" s="80" t="n">
        <v>20</v>
      </c>
      <c r="G741" s="79" t="s">
        <v>812</v>
      </c>
    </row>
    <row r="742" customFormat="false" ht="15" hidden="false" customHeight="false" outlineLevel="0" collapsed="false">
      <c r="A742" s="79" t="s">
        <v>791</v>
      </c>
      <c r="B742" s="79" t="s">
        <v>1050</v>
      </c>
      <c r="C742" s="80" t="n">
        <v>202501</v>
      </c>
      <c r="D742" s="81" t="n">
        <v>45658</v>
      </c>
      <c r="E742" s="82" t="n">
        <v>52904.645</v>
      </c>
      <c r="F742" s="80" t="n">
        <v>21</v>
      </c>
      <c r="G742" s="79" t="s">
        <v>813</v>
      </c>
    </row>
    <row r="743" customFormat="false" ht="15" hidden="false" customHeight="false" outlineLevel="0" collapsed="false">
      <c r="A743" s="79" t="s">
        <v>791</v>
      </c>
      <c r="B743" s="79" t="s">
        <v>1051</v>
      </c>
      <c r="C743" s="80" t="n">
        <v>202412</v>
      </c>
      <c r="D743" s="81" t="n">
        <v>45627</v>
      </c>
      <c r="E743" s="82" t="n">
        <v>52933.333</v>
      </c>
      <c r="F743" s="80" t="n">
        <v>22</v>
      </c>
      <c r="G743" s="79" t="s">
        <v>814</v>
      </c>
    </row>
    <row r="744" customFormat="false" ht="15" hidden="false" customHeight="false" outlineLevel="0" collapsed="false">
      <c r="A744" s="79" t="s">
        <v>791</v>
      </c>
      <c r="B744" s="79" t="s">
        <v>1052</v>
      </c>
      <c r="C744" s="80" t="n">
        <v>202411</v>
      </c>
      <c r="D744" s="81" t="n">
        <v>45597</v>
      </c>
      <c r="E744" s="82" t="n">
        <v>56425.583</v>
      </c>
      <c r="F744" s="80" t="n">
        <v>23</v>
      </c>
      <c r="G744" s="79" t="s">
        <v>815</v>
      </c>
    </row>
    <row r="745" customFormat="false" ht="15" hidden="false" customHeight="false" outlineLevel="0" collapsed="false">
      <c r="A745" s="79" t="s">
        <v>791</v>
      </c>
      <c r="B745" s="79" t="s">
        <v>1053</v>
      </c>
      <c r="C745" s="80" t="n">
        <v>202410</v>
      </c>
      <c r="D745" s="81" t="n">
        <v>45566</v>
      </c>
      <c r="E745" s="82" t="n">
        <v>55579.391</v>
      </c>
      <c r="F745" s="80" t="n">
        <v>24</v>
      </c>
      <c r="G745" s="79" t="s">
        <v>816</v>
      </c>
    </row>
    <row r="746" customFormat="false" ht="15" hidden="false" customHeight="false" outlineLevel="0" collapsed="false">
      <c r="A746" s="79" t="s">
        <v>791</v>
      </c>
      <c r="B746" s="79" t="s">
        <v>1054</v>
      </c>
      <c r="C746" s="80" t="n">
        <v>202409</v>
      </c>
      <c r="D746" s="81" t="n">
        <v>45536</v>
      </c>
      <c r="E746" s="82" t="n">
        <v>52929.761</v>
      </c>
      <c r="F746" s="80" t="n">
        <v>25</v>
      </c>
      <c r="G746" s="79" t="s">
        <v>1306</v>
      </c>
    </row>
    <row r="747" customFormat="false" ht="15" hidden="false" customHeight="false" outlineLevel="0" collapsed="false">
      <c r="A747" s="79" t="s">
        <v>791</v>
      </c>
      <c r="B747" s="79" t="s">
        <v>1056</v>
      </c>
      <c r="C747" s="80" t="n">
        <v>202408</v>
      </c>
      <c r="D747" s="81" t="n">
        <v>45505</v>
      </c>
      <c r="E747" s="82" t="n">
        <v>51595.954</v>
      </c>
      <c r="F747" s="80" t="n">
        <v>26</v>
      </c>
      <c r="G747" s="79" t="s">
        <v>1307</v>
      </c>
    </row>
    <row r="748" customFormat="false" ht="15" hidden="false" customHeight="false" outlineLevel="0" collapsed="false">
      <c r="A748" s="79" t="s">
        <v>791</v>
      </c>
      <c r="B748" s="79" t="s">
        <v>1058</v>
      </c>
      <c r="C748" s="80" t="n">
        <v>202407</v>
      </c>
      <c r="D748" s="81" t="n">
        <v>45474</v>
      </c>
      <c r="E748" s="82" t="n">
        <v>46925.404</v>
      </c>
      <c r="F748" s="80" t="n">
        <v>27</v>
      </c>
      <c r="G748" s="79" t="s">
        <v>1308</v>
      </c>
    </row>
    <row r="749" customFormat="false" ht="15" hidden="false" customHeight="false" outlineLevel="0" collapsed="false">
      <c r="A749" s="79" t="s">
        <v>791</v>
      </c>
      <c r="B749" s="79" t="s">
        <v>1060</v>
      </c>
      <c r="C749" s="80" t="n">
        <v>202406</v>
      </c>
      <c r="D749" s="81" t="n">
        <v>45444</v>
      </c>
      <c r="E749" s="82" t="n">
        <v>47492.772</v>
      </c>
      <c r="F749" s="80" t="n">
        <v>28</v>
      </c>
      <c r="G749" s="79" t="s">
        <v>1309</v>
      </c>
    </row>
    <row r="750" customFormat="false" ht="15" hidden="false" customHeight="false" outlineLevel="0" collapsed="false">
      <c r="A750" s="79" t="s">
        <v>791</v>
      </c>
      <c r="B750" s="79" t="s">
        <v>1062</v>
      </c>
      <c r="C750" s="80" t="n">
        <v>202405</v>
      </c>
      <c r="D750" s="81" t="n">
        <v>45413</v>
      </c>
      <c r="E750" s="82" t="n">
        <v>45819.887</v>
      </c>
      <c r="F750" s="80" t="n">
        <v>29</v>
      </c>
      <c r="G750" s="79" t="s">
        <v>1310</v>
      </c>
    </row>
    <row r="751" customFormat="false" ht="15" hidden="false" customHeight="false" outlineLevel="0" collapsed="false">
      <c r="A751" s="79" t="s">
        <v>791</v>
      </c>
      <c r="B751" s="79" t="s">
        <v>1064</v>
      </c>
      <c r="C751" s="80" t="n">
        <v>202404</v>
      </c>
      <c r="D751" s="81" t="n">
        <v>45383</v>
      </c>
      <c r="E751" s="82" t="n">
        <v>45661.425</v>
      </c>
      <c r="F751" s="80" t="n">
        <v>30</v>
      </c>
      <c r="G751" s="79" t="s">
        <v>1311</v>
      </c>
    </row>
    <row r="752" customFormat="false" ht="15" hidden="false" customHeight="false" outlineLevel="0" collapsed="false">
      <c r="A752" s="79" t="s">
        <v>791</v>
      </c>
      <c r="B752" s="79" t="s">
        <v>1066</v>
      </c>
      <c r="C752" s="80" t="n">
        <v>202403</v>
      </c>
      <c r="D752" s="81" t="n">
        <v>45352</v>
      </c>
      <c r="E752" s="82" t="n">
        <v>39751.076</v>
      </c>
      <c r="F752" s="80" t="n">
        <v>31</v>
      </c>
      <c r="G752" s="79" t="s">
        <v>1312</v>
      </c>
    </row>
    <row r="753" customFormat="false" ht="15" hidden="false" customHeight="false" outlineLevel="0" collapsed="false">
      <c r="A753" s="79" t="s">
        <v>791</v>
      </c>
      <c r="B753" s="79" t="s">
        <v>1068</v>
      </c>
      <c r="C753" s="80" t="n">
        <v>202402</v>
      </c>
      <c r="D753" s="81" t="n">
        <v>45323</v>
      </c>
      <c r="E753" s="82" t="n">
        <v>47390.354</v>
      </c>
      <c r="F753" s="80" t="n">
        <v>32</v>
      </c>
      <c r="G753" s="79" t="s">
        <v>1313</v>
      </c>
    </row>
    <row r="754" customFormat="false" ht="15" hidden="false" customHeight="false" outlineLevel="0" collapsed="false">
      <c r="A754" s="79" t="s">
        <v>791</v>
      </c>
      <c r="B754" s="79" t="s">
        <v>1070</v>
      </c>
      <c r="C754" s="80" t="n">
        <v>202401</v>
      </c>
      <c r="D754" s="81" t="n">
        <v>45292</v>
      </c>
      <c r="E754" s="82" t="n">
        <v>49905.503</v>
      </c>
      <c r="F754" s="80" t="n">
        <v>33</v>
      </c>
      <c r="G754" s="79" t="s">
        <v>1314</v>
      </c>
    </row>
    <row r="755" customFormat="false" ht="15" hidden="false" customHeight="false" outlineLevel="0" collapsed="false">
      <c r="A755" s="79" t="s">
        <v>791</v>
      </c>
      <c r="B755" s="79" t="s">
        <v>1072</v>
      </c>
      <c r="C755" s="80" t="n">
        <v>202312</v>
      </c>
      <c r="D755" s="81" t="n">
        <v>45261</v>
      </c>
      <c r="E755" s="82" t="n">
        <v>54509.085</v>
      </c>
      <c r="F755" s="80" t="n">
        <v>34</v>
      </c>
      <c r="G755" s="79" t="s">
        <v>1315</v>
      </c>
    </row>
    <row r="756" customFormat="false" ht="15" hidden="false" customHeight="false" outlineLevel="0" collapsed="false">
      <c r="A756" s="79" t="s">
        <v>791</v>
      </c>
      <c r="B756" s="79" t="s">
        <v>1074</v>
      </c>
      <c r="C756" s="80" t="n">
        <v>202311</v>
      </c>
      <c r="D756" s="81" t="n">
        <v>45231</v>
      </c>
      <c r="E756" s="82" t="n">
        <v>56166.613</v>
      </c>
      <c r="F756" s="80" t="n">
        <v>35</v>
      </c>
      <c r="G756" s="79" t="s">
        <v>1316</v>
      </c>
    </row>
    <row r="757" customFormat="false" ht="15" hidden="false" customHeight="false" outlineLevel="0" collapsed="false">
      <c r="A757" s="79" t="s">
        <v>791</v>
      </c>
      <c r="B757" s="79" t="s">
        <v>1076</v>
      </c>
      <c r="C757" s="80" t="n">
        <v>202310</v>
      </c>
      <c r="D757" s="81" t="n">
        <v>45200</v>
      </c>
      <c r="E757" s="82" t="n">
        <v>53534.708</v>
      </c>
      <c r="F757" s="80" t="n">
        <v>36</v>
      </c>
      <c r="G757" s="79" t="s">
        <v>1317</v>
      </c>
    </row>
    <row r="758" customFormat="false" ht="15" hidden="false" customHeight="false" outlineLevel="0" collapsed="false">
      <c r="A758" s="79" t="s">
        <v>225</v>
      </c>
      <c r="B758" s="79" t="s">
        <v>1030</v>
      </c>
      <c r="C758" s="80" t="n">
        <v>202609</v>
      </c>
      <c r="D758" s="81" t="n">
        <v>46266</v>
      </c>
      <c r="E758" s="82" t="n">
        <v>88304.931</v>
      </c>
      <c r="F758" s="80" t="n">
        <v>1</v>
      </c>
      <c r="G758" s="79" t="s">
        <v>818</v>
      </c>
    </row>
    <row r="759" customFormat="false" ht="15" hidden="false" customHeight="false" outlineLevel="0" collapsed="false">
      <c r="A759" s="79" t="s">
        <v>225</v>
      </c>
      <c r="B759" s="79" t="s">
        <v>1031</v>
      </c>
      <c r="C759" s="80" t="n">
        <v>202608</v>
      </c>
      <c r="D759" s="81" t="n">
        <v>46235</v>
      </c>
      <c r="E759" s="82" t="n">
        <v>86015.154</v>
      </c>
      <c r="F759" s="80" t="n">
        <v>2</v>
      </c>
      <c r="G759" s="79" t="s">
        <v>819</v>
      </c>
    </row>
    <row r="760" customFormat="false" ht="15" hidden="false" customHeight="false" outlineLevel="0" collapsed="false">
      <c r="A760" s="79" t="s">
        <v>225</v>
      </c>
      <c r="B760" s="79" t="s">
        <v>1032</v>
      </c>
      <c r="C760" s="80" t="n">
        <v>202607</v>
      </c>
      <c r="D760" s="81" t="n">
        <v>46204</v>
      </c>
      <c r="E760" s="82" t="n">
        <v>91295.615</v>
      </c>
      <c r="F760" s="80" t="n">
        <v>3</v>
      </c>
      <c r="G760" s="79" t="s">
        <v>820</v>
      </c>
    </row>
    <row r="761" customFormat="false" ht="15" hidden="false" customHeight="false" outlineLevel="0" collapsed="false">
      <c r="A761" s="79" t="s">
        <v>225</v>
      </c>
      <c r="B761" s="79" t="s">
        <v>1033</v>
      </c>
      <c r="C761" s="80" t="n">
        <v>202606</v>
      </c>
      <c r="D761" s="81" t="n">
        <v>46174</v>
      </c>
      <c r="E761" s="82" t="n">
        <v>95962.959</v>
      </c>
      <c r="F761" s="80" t="n">
        <v>4</v>
      </c>
      <c r="G761" s="79" t="s">
        <v>821</v>
      </c>
    </row>
    <row r="762" customFormat="false" ht="15" hidden="false" customHeight="false" outlineLevel="0" collapsed="false">
      <c r="A762" s="79" t="s">
        <v>225</v>
      </c>
      <c r="B762" s="79" t="s">
        <v>1034</v>
      </c>
      <c r="C762" s="80" t="n">
        <v>202605</v>
      </c>
      <c r="D762" s="81" t="n">
        <v>46143</v>
      </c>
      <c r="E762" s="82" t="n">
        <v>87189.236</v>
      </c>
      <c r="F762" s="80" t="n">
        <v>5</v>
      </c>
      <c r="G762" s="79" t="s">
        <v>822</v>
      </c>
    </row>
    <row r="763" customFormat="false" ht="15" hidden="false" customHeight="false" outlineLevel="0" collapsed="false">
      <c r="A763" s="79" t="s">
        <v>225</v>
      </c>
      <c r="B763" s="79" t="s">
        <v>1035</v>
      </c>
      <c r="C763" s="80" t="n">
        <v>202604</v>
      </c>
      <c r="D763" s="81" t="n">
        <v>46113</v>
      </c>
      <c r="E763" s="82" t="n">
        <v>83964.774</v>
      </c>
      <c r="F763" s="80" t="n">
        <v>6</v>
      </c>
      <c r="G763" s="79" t="s">
        <v>823</v>
      </c>
    </row>
    <row r="764" customFormat="false" ht="15" hidden="false" customHeight="false" outlineLevel="0" collapsed="false">
      <c r="A764" s="79" t="s">
        <v>225</v>
      </c>
      <c r="B764" s="79" t="s">
        <v>1036</v>
      </c>
      <c r="C764" s="80" t="n">
        <v>202603</v>
      </c>
      <c r="D764" s="81" t="n">
        <v>46082</v>
      </c>
      <c r="E764" s="82" t="n">
        <v>67982.207</v>
      </c>
      <c r="F764" s="80" t="n">
        <v>7</v>
      </c>
      <c r="G764" s="79" t="s">
        <v>824</v>
      </c>
    </row>
    <row r="765" customFormat="false" ht="15" hidden="false" customHeight="false" outlineLevel="0" collapsed="false">
      <c r="A765" s="79" t="s">
        <v>225</v>
      </c>
      <c r="B765" s="79" t="s">
        <v>1037</v>
      </c>
      <c r="C765" s="80" t="n">
        <v>202602</v>
      </c>
      <c r="D765" s="81" t="n">
        <v>46054</v>
      </c>
      <c r="E765" s="82" t="n">
        <v>92158.23</v>
      </c>
      <c r="F765" s="80" t="n">
        <v>8</v>
      </c>
      <c r="G765" s="79" t="s">
        <v>825</v>
      </c>
    </row>
    <row r="766" customFormat="false" ht="15" hidden="false" customHeight="false" outlineLevel="0" collapsed="false">
      <c r="A766" s="79" t="s">
        <v>225</v>
      </c>
      <c r="B766" s="79" t="s">
        <v>1038</v>
      </c>
      <c r="C766" s="80" t="n">
        <v>202601</v>
      </c>
      <c r="D766" s="81" t="n">
        <v>46023</v>
      </c>
      <c r="E766" s="82" t="n">
        <v>99893.947</v>
      </c>
      <c r="F766" s="80" t="n">
        <v>9</v>
      </c>
      <c r="G766" s="79" t="s">
        <v>826</v>
      </c>
    </row>
    <row r="767" customFormat="false" ht="15" hidden="false" customHeight="false" outlineLevel="0" collapsed="false">
      <c r="A767" s="79" t="s">
        <v>225</v>
      </c>
      <c r="B767" s="79" t="s">
        <v>1039</v>
      </c>
      <c r="C767" s="80" t="n">
        <v>202512</v>
      </c>
      <c r="D767" s="81" t="n">
        <v>45992</v>
      </c>
      <c r="E767" s="82" t="n">
        <v>101800.641</v>
      </c>
      <c r="F767" s="80" t="n">
        <v>10</v>
      </c>
      <c r="G767" s="79" t="s">
        <v>827</v>
      </c>
    </row>
    <row r="768" customFormat="false" ht="15" hidden="false" customHeight="false" outlineLevel="0" collapsed="false">
      <c r="A768" s="79" t="s">
        <v>225</v>
      </c>
      <c r="B768" s="79" t="s">
        <v>1040</v>
      </c>
      <c r="C768" s="80" t="n">
        <v>202511</v>
      </c>
      <c r="D768" s="81" t="n">
        <v>45962</v>
      </c>
      <c r="E768" s="82" t="n">
        <v>117826.131</v>
      </c>
      <c r="F768" s="80" t="n">
        <v>11</v>
      </c>
      <c r="G768" s="79" t="s">
        <v>828</v>
      </c>
    </row>
    <row r="769" customFormat="false" ht="15" hidden="false" customHeight="false" outlineLevel="0" collapsed="false">
      <c r="A769" s="79" t="s">
        <v>225</v>
      </c>
      <c r="B769" s="79" t="s">
        <v>1041</v>
      </c>
      <c r="C769" s="80" t="n">
        <v>202510</v>
      </c>
      <c r="D769" s="81" t="n">
        <v>45931</v>
      </c>
      <c r="E769" s="82" t="n">
        <v>114908.884</v>
      </c>
      <c r="F769" s="80" t="n">
        <v>12</v>
      </c>
      <c r="G769" s="79" t="s">
        <v>829</v>
      </c>
    </row>
    <row r="770" customFormat="false" ht="15" hidden="false" customHeight="false" outlineLevel="0" collapsed="false">
      <c r="A770" s="79" t="s">
        <v>225</v>
      </c>
      <c r="B770" s="79" t="s">
        <v>1042</v>
      </c>
      <c r="C770" s="80" t="n">
        <v>202509</v>
      </c>
      <c r="D770" s="81" t="n">
        <v>45901</v>
      </c>
      <c r="E770" s="82" t="n">
        <v>65843.721</v>
      </c>
      <c r="F770" s="80" t="n">
        <v>13</v>
      </c>
      <c r="G770" s="79" t="s">
        <v>830</v>
      </c>
    </row>
    <row r="771" customFormat="false" ht="15" hidden="false" customHeight="false" outlineLevel="0" collapsed="false">
      <c r="A771" s="79" t="s">
        <v>225</v>
      </c>
      <c r="B771" s="79" t="s">
        <v>1043</v>
      </c>
      <c r="C771" s="80" t="n">
        <v>202508</v>
      </c>
      <c r="D771" s="81" t="n">
        <v>45870</v>
      </c>
      <c r="E771" s="82" t="n">
        <v>77103.455</v>
      </c>
      <c r="F771" s="80" t="n">
        <v>14</v>
      </c>
      <c r="G771" s="79" t="s">
        <v>831</v>
      </c>
    </row>
    <row r="772" customFormat="false" ht="15" hidden="false" customHeight="false" outlineLevel="0" collapsed="false">
      <c r="A772" s="79" t="s">
        <v>225</v>
      </c>
      <c r="B772" s="79" t="s">
        <v>1044</v>
      </c>
      <c r="C772" s="80" t="n">
        <v>202507</v>
      </c>
      <c r="D772" s="81" t="n">
        <v>45839</v>
      </c>
      <c r="E772" s="82" t="n">
        <v>78771.196</v>
      </c>
      <c r="F772" s="80" t="n">
        <v>15</v>
      </c>
      <c r="G772" s="79" t="s">
        <v>832</v>
      </c>
    </row>
    <row r="773" customFormat="false" ht="15" hidden="false" customHeight="false" outlineLevel="0" collapsed="false">
      <c r="A773" s="79" t="s">
        <v>225</v>
      </c>
      <c r="B773" s="79" t="s">
        <v>1045</v>
      </c>
      <c r="C773" s="80" t="n">
        <v>202506</v>
      </c>
      <c r="D773" s="81" t="n">
        <v>45809</v>
      </c>
      <c r="E773" s="82" t="n">
        <v>85685.084</v>
      </c>
      <c r="F773" s="80" t="n">
        <v>16</v>
      </c>
      <c r="G773" s="79" t="s">
        <v>833</v>
      </c>
    </row>
    <row r="774" customFormat="false" ht="15" hidden="false" customHeight="false" outlineLevel="0" collapsed="false">
      <c r="A774" s="79" t="s">
        <v>225</v>
      </c>
      <c r="B774" s="79" t="s">
        <v>1046</v>
      </c>
      <c r="C774" s="80" t="n">
        <v>202505</v>
      </c>
      <c r="D774" s="81" t="n">
        <v>45778</v>
      </c>
      <c r="E774" s="82" t="n">
        <v>102871.394</v>
      </c>
      <c r="F774" s="80" t="n">
        <v>17</v>
      </c>
      <c r="G774" s="79" t="s">
        <v>834</v>
      </c>
    </row>
    <row r="775" customFormat="false" ht="15" hidden="false" customHeight="false" outlineLevel="0" collapsed="false">
      <c r="A775" s="79" t="s">
        <v>225</v>
      </c>
      <c r="B775" s="79" t="s">
        <v>1047</v>
      </c>
      <c r="C775" s="80" t="n">
        <v>202504</v>
      </c>
      <c r="D775" s="81" t="n">
        <v>45748</v>
      </c>
      <c r="E775" s="82" t="n">
        <v>84630.395</v>
      </c>
      <c r="F775" s="80" t="n">
        <v>18</v>
      </c>
      <c r="G775" s="79" t="s">
        <v>835</v>
      </c>
    </row>
    <row r="776" customFormat="false" ht="15" hidden="false" customHeight="false" outlineLevel="0" collapsed="false">
      <c r="A776" s="79" t="s">
        <v>225</v>
      </c>
      <c r="B776" s="79" t="s">
        <v>1048</v>
      </c>
      <c r="C776" s="80" t="n">
        <v>202503</v>
      </c>
      <c r="D776" s="81" t="n">
        <v>45717</v>
      </c>
      <c r="E776" s="82" t="n">
        <v>82478.016</v>
      </c>
      <c r="F776" s="80" t="n">
        <v>19</v>
      </c>
      <c r="G776" s="79" t="s">
        <v>836</v>
      </c>
    </row>
    <row r="777" customFormat="false" ht="15" hidden="false" customHeight="false" outlineLevel="0" collapsed="false">
      <c r="A777" s="79" t="s">
        <v>225</v>
      </c>
      <c r="B777" s="79" t="s">
        <v>1049</v>
      </c>
      <c r="C777" s="80" t="n">
        <v>202502</v>
      </c>
      <c r="D777" s="81" t="n">
        <v>45689</v>
      </c>
      <c r="E777" s="82" t="n">
        <v>105321.84</v>
      </c>
      <c r="F777" s="80" t="n">
        <v>20</v>
      </c>
      <c r="G777" s="79" t="s">
        <v>837</v>
      </c>
    </row>
    <row r="778" customFormat="false" ht="15" hidden="false" customHeight="false" outlineLevel="0" collapsed="false">
      <c r="A778" s="79" t="s">
        <v>225</v>
      </c>
      <c r="B778" s="79" t="s">
        <v>1050</v>
      </c>
      <c r="C778" s="80" t="n">
        <v>202501</v>
      </c>
      <c r="D778" s="81" t="n">
        <v>45658</v>
      </c>
      <c r="E778" s="82" t="n">
        <v>102445.999</v>
      </c>
      <c r="F778" s="80" t="n">
        <v>21</v>
      </c>
      <c r="G778" s="79" t="s">
        <v>838</v>
      </c>
    </row>
    <row r="779" customFormat="false" ht="15" hidden="false" customHeight="false" outlineLevel="0" collapsed="false">
      <c r="A779" s="79" t="s">
        <v>225</v>
      </c>
      <c r="B779" s="79" t="s">
        <v>1051</v>
      </c>
      <c r="C779" s="80" t="n">
        <v>202412</v>
      </c>
      <c r="D779" s="81" t="n">
        <v>45627</v>
      </c>
      <c r="E779" s="82" t="n">
        <v>105757.504</v>
      </c>
      <c r="F779" s="80" t="n">
        <v>22</v>
      </c>
      <c r="G779" s="79" t="s">
        <v>839</v>
      </c>
    </row>
    <row r="780" customFormat="false" ht="15" hidden="false" customHeight="false" outlineLevel="0" collapsed="false">
      <c r="A780" s="79" t="s">
        <v>225</v>
      </c>
      <c r="B780" s="79" t="s">
        <v>1052</v>
      </c>
      <c r="C780" s="80" t="n">
        <v>202411</v>
      </c>
      <c r="D780" s="81" t="n">
        <v>45597</v>
      </c>
      <c r="E780" s="82" t="n">
        <v>118801.102</v>
      </c>
      <c r="F780" s="80" t="n">
        <v>23</v>
      </c>
      <c r="G780" s="79" t="s">
        <v>840</v>
      </c>
    </row>
    <row r="781" customFormat="false" ht="15" hidden="false" customHeight="false" outlineLevel="0" collapsed="false">
      <c r="A781" s="79" t="s">
        <v>225</v>
      </c>
      <c r="B781" s="79" t="s">
        <v>1053</v>
      </c>
      <c r="C781" s="80" t="n">
        <v>202410</v>
      </c>
      <c r="D781" s="81" t="n">
        <v>45566</v>
      </c>
      <c r="E781" s="82" t="n">
        <v>109264.099</v>
      </c>
      <c r="F781" s="80" t="n">
        <v>24</v>
      </c>
      <c r="G781" s="79" t="s">
        <v>841</v>
      </c>
    </row>
    <row r="782" customFormat="false" ht="15" hidden="false" customHeight="false" outlineLevel="0" collapsed="false">
      <c r="A782" s="79" t="s">
        <v>225</v>
      </c>
      <c r="B782" s="79" t="s">
        <v>1054</v>
      </c>
      <c r="C782" s="80" t="n">
        <v>202409</v>
      </c>
      <c r="D782" s="81" t="n">
        <v>45536</v>
      </c>
      <c r="E782" s="82" t="n">
        <v>88437.775</v>
      </c>
      <c r="F782" s="80" t="n">
        <v>25</v>
      </c>
      <c r="G782" s="79" t="s">
        <v>1318</v>
      </c>
    </row>
    <row r="783" customFormat="false" ht="15" hidden="false" customHeight="false" outlineLevel="0" collapsed="false">
      <c r="A783" s="79" t="s">
        <v>225</v>
      </c>
      <c r="B783" s="79" t="s">
        <v>1056</v>
      </c>
      <c r="C783" s="80" t="n">
        <v>202408</v>
      </c>
      <c r="D783" s="81" t="n">
        <v>45505</v>
      </c>
      <c r="E783" s="82" t="n">
        <v>96528.903</v>
      </c>
      <c r="F783" s="80" t="n">
        <v>26</v>
      </c>
      <c r="G783" s="79" t="s">
        <v>1319</v>
      </c>
    </row>
    <row r="784" customFormat="false" ht="15" hidden="false" customHeight="false" outlineLevel="0" collapsed="false">
      <c r="A784" s="79" t="s">
        <v>225</v>
      </c>
      <c r="B784" s="79" t="s">
        <v>1058</v>
      </c>
      <c r="C784" s="80" t="n">
        <v>202407</v>
      </c>
      <c r="D784" s="81" t="n">
        <v>45474</v>
      </c>
      <c r="E784" s="82" t="n">
        <v>70928.276</v>
      </c>
      <c r="F784" s="80" t="n">
        <v>27</v>
      </c>
      <c r="G784" s="79" t="s">
        <v>1320</v>
      </c>
    </row>
    <row r="785" customFormat="false" ht="15" hidden="false" customHeight="false" outlineLevel="0" collapsed="false">
      <c r="A785" s="79" t="s">
        <v>225</v>
      </c>
      <c r="B785" s="79" t="s">
        <v>1060</v>
      </c>
      <c r="C785" s="80" t="n">
        <v>202406</v>
      </c>
      <c r="D785" s="81" t="n">
        <v>45444</v>
      </c>
      <c r="E785" s="82" t="n">
        <v>93103.612</v>
      </c>
      <c r="F785" s="80" t="n">
        <v>28</v>
      </c>
      <c r="G785" s="79" t="s">
        <v>1321</v>
      </c>
    </row>
    <row r="786" customFormat="false" ht="15" hidden="false" customHeight="false" outlineLevel="0" collapsed="false">
      <c r="A786" s="79" t="s">
        <v>225</v>
      </c>
      <c r="B786" s="79" t="s">
        <v>1062</v>
      </c>
      <c r="C786" s="80" t="n">
        <v>202405</v>
      </c>
      <c r="D786" s="81" t="n">
        <v>45413</v>
      </c>
      <c r="E786" s="82" t="n">
        <v>89675.82</v>
      </c>
      <c r="F786" s="80" t="n">
        <v>29</v>
      </c>
      <c r="G786" s="79" t="s">
        <v>1322</v>
      </c>
    </row>
    <row r="787" customFormat="false" ht="15" hidden="false" customHeight="false" outlineLevel="0" collapsed="false">
      <c r="A787" s="79" t="s">
        <v>225</v>
      </c>
      <c r="B787" s="79" t="s">
        <v>1064</v>
      </c>
      <c r="C787" s="80" t="n">
        <v>202404</v>
      </c>
      <c r="D787" s="81" t="n">
        <v>45383</v>
      </c>
      <c r="E787" s="82" t="n">
        <v>74751.634</v>
      </c>
      <c r="F787" s="80" t="n">
        <v>30</v>
      </c>
      <c r="G787" s="79" t="s">
        <v>1323</v>
      </c>
    </row>
    <row r="788" customFormat="false" ht="15" hidden="false" customHeight="false" outlineLevel="0" collapsed="false">
      <c r="A788" s="79" t="s">
        <v>225</v>
      </c>
      <c r="B788" s="79" t="s">
        <v>1066</v>
      </c>
      <c r="C788" s="80" t="n">
        <v>202403</v>
      </c>
      <c r="D788" s="81" t="n">
        <v>45352</v>
      </c>
      <c r="E788" s="82" t="n">
        <v>66296.038</v>
      </c>
      <c r="F788" s="80" t="n">
        <v>31</v>
      </c>
      <c r="G788" s="79" t="s">
        <v>1324</v>
      </c>
    </row>
    <row r="789" customFormat="false" ht="15" hidden="false" customHeight="false" outlineLevel="0" collapsed="false">
      <c r="A789" s="79" t="s">
        <v>225</v>
      </c>
      <c r="B789" s="79" t="s">
        <v>1068</v>
      </c>
      <c r="C789" s="80" t="n">
        <v>202402</v>
      </c>
      <c r="D789" s="81" t="n">
        <v>45323</v>
      </c>
      <c r="E789" s="82" t="n">
        <v>109353.732</v>
      </c>
      <c r="F789" s="80" t="n">
        <v>32</v>
      </c>
      <c r="G789" s="79" t="s">
        <v>1325</v>
      </c>
    </row>
    <row r="790" customFormat="false" ht="15" hidden="false" customHeight="false" outlineLevel="0" collapsed="false">
      <c r="A790" s="79" t="s">
        <v>225</v>
      </c>
      <c r="B790" s="79" t="s">
        <v>1070</v>
      </c>
      <c r="C790" s="80" t="n">
        <v>202401</v>
      </c>
      <c r="D790" s="81" t="n">
        <v>45292</v>
      </c>
      <c r="E790" s="82" t="n">
        <v>83100.034</v>
      </c>
      <c r="F790" s="80" t="n">
        <v>33</v>
      </c>
      <c r="G790" s="79" t="s">
        <v>1326</v>
      </c>
    </row>
    <row r="791" customFormat="false" ht="15" hidden="false" customHeight="false" outlineLevel="0" collapsed="false">
      <c r="A791" s="79" t="s">
        <v>225</v>
      </c>
      <c r="B791" s="79" t="s">
        <v>1072</v>
      </c>
      <c r="C791" s="80" t="n">
        <v>202312</v>
      </c>
      <c r="D791" s="81" t="n">
        <v>45261</v>
      </c>
      <c r="E791" s="82" t="n">
        <v>116781.153</v>
      </c>
      <c r="F791" s="80" t="n">
        <v>34</v>
      </c>
      <c r="G791" s="79" t="s">
        <v>1327</v>
      </c>
    </row>
    <row r="792" customFormat="false" ht="15" hidden="false" customHeight="false" outlineLevel="0" collapsed="false">
      <c r="A792" s="79" t="s">
        <v>225</v>
      </c>
      <c r="B792" s="79" t="s">
        <v>1074</v>
      </c>
      <c r="C792" s="80" t="n">
        <v>202311</v>
      </c>
      <c r="D792" s="81" t="n">
        <v>45231</v>
      </c>
      <c r="E792" s="82" t="n">
        <v>142204.362</v>
      </c>
      <c r="F792" s="80" t="n">
        <v>35</v>
      </c>
      <c r="G792" s="79" t="s">
        <v>1328</v>
      </c>
    </row>
    <row r="793" customFormat="false" ht="15" hidden="false" customHeight="false" outlineLevel="0" collapsed="false">
      <c r="A793" s="79" t="s">
        <v>225</v>
      </c>
      <c r="B793" s="79" t="s">
        <v>1076</v>
      </c>
      <c r="C793" s="80" t="n">
        <v>202310</v>
      </c>
      <c r="D793" s="81" t="n">
        <v>45200</v>
      </c>
      <c r="E793" s="82" t="n">
        <v>132827.701</v>
      </c>
      <c r="F793" s="80" t="n">
        <v>36</v>
      </c>
      <c r="G793" s="79" t="s">
        <v>1329</v>
      </c>
    </row>
    <row r="794" customFormat="false" ht="15" hidden="false" customHeight="false" outlineLevel="0" collapsed="false">
      <c r="A794" s="79" t="s">
        <v>231</v>
      </c>
      <c r="B794" s="79" t="s">
        <v>1030</v>
      </c>
      <c r="C794" s="80" t="n">
        <v>202609</v>
      </c>
      <c r="D794" s="81" t="n">
        <v>46266</v>
      </c>
      <c r="E794" s="82" t="n">
        <v>545.866</v>
      </c>
      <c r="F794" s="80" t="n">
        <v>1</v>
      </c>
      <c r="G794" s="79" t="s">
        <v>843</v>
      </c>
    </row>
    <row r="795" customFormat="false" ht="15" hidden="false" customHeight="false" outlineLevel="0" collapsed="false">
      <c r="A795" s="79" t="s">
        <v>231</v>
      </c>
      <c r="B795" s="79" t="s">
        <v>1031</v>
      </c>
      <c r="C795" s="80" t="n">
        <v>202608</v>
      </c>
      <c r="D795" s="81" t="n">
        <v>46235</v>
      </c>
      <c r="E795" s="82" t="n">
        <v>508.777</v>
      </c>
      <c r="F795" s="80" t="n">
        <v>2</v>
      </c>
      <c r="G795" s="79" t="s">
        <v>844</v>
      </c>
    </row>
    <row r="796" customFormat="false" ht="15" hidden="false" customHeight="false" outlineLevel="0" collapsed="false">
      <c r="A796" s="79" t="s">
        <v>231</v>
      </c>
      <c r="B796" s="79" t="s">
        <v>1032</v>
      </c>
      <c r="C796" s="80" t="n">
        <v>202607</v>
      </c>
      <c r="D796" s="81" t="n">
        <v>46204</v>
      </c>
      <c r="E796" s="82" t="n">
        <v>455.083</v>
      </c>
      <c r="F796" s="80" t="n">
        <v>3</v>
      </c>
      <c r="G796" s="79" t="s">
        <v>845</v>
      </c>
    </row>
    <row r="797" customFormat="false" ht="15" hidden="false" customHeight="false" outlineLevel="0" collapsed="false">
      <c r="A797" s="79" t="s">
        <v>231</v>
      </c>
      <c r="B797" s="79" t="s">
        <v>1033</v>
      </c>
      <c r="C797" s="80" t="n">
        <v>202606</v>
      </c>
      <c r="D797" s="81" t="n">
        <v>46174</v>
      </c>
      <c r="E797" s="82" t="n">
        <v>421.247</v>
      </c>
      <c r="F797" s="80" t="n">
        <v>4</v>
      </c>
      <c r="G797" s="79" t="s">
        <v>846</v>
      </c>
    </row>
    <row r="798" customFormat="false" ht="15" hidden="false" customHeight="false" outlineLevel="0" collapsed="false">
      <c r="A798" s="79" t="s">
        <v>231</v>
      </c>
      <c r="B798" s="79" t="s">
        <v>1034</v>
      </c>
      <c r="C798" s="80" t="n">
        <v>202605</v>
      </c>
      <c r="D798" s="81" t="n">
        <v>46143</v>
      </c>
      <c r="E798" s="82" t="n">
        <v>412.778</v>
      </c>
      <c r="F798" s="80" t="n">
        <v>5</v>
      </c>
      <c r="G798" s="79" t="s">
        <v>847</v>
      </c>
    </row>
    <row r="799" customFormat="false" ht="15" hidden="false" customHeight="false" outlineLevel="0" collapsed="false">
      <c r="A799" s="79" t="s">
        <v>231</v>
      </c>
      <c r="B799" s="79" t="s">
        <v>1035</v>
      </c>
      <c r="C799" s="80" t="n">
        <v>202604</v>
      </c>
      <c r="D799" s="81" t="n">
        <v>46113</v>
      </c>
      <c r="E799" s="82" t="n">
        <v>451.568</v>
      </c>
      <c r="F799" s="80" t="n">
        <v>6</v>
      </c>
      <c r="G799" s="79" t="s">
        <v>848</v>
      </c>
    </row>
    <row r="800" customFormat="false" ht="15" hidden="false" customHeight="false" outlineLevel="0" collapsed="false">
      <c r="A800" s="79" t="s">
        <v>231</v>
      </c>
      <c r="B800" s="79" t="s">
        <v>1036</v>
      </c>
      <c r="C800" s="80" t="n">
        <v>202603</v>
      </c>
      <c r="D800" s="81" t="n">
        <v>46082</v>
      </c>
      <c r="E800" s="82" t="n">
        <v>329.586</v>
      </c>
      <c r="F800" s="80" t="n">
        <v>7</v>
      </c>
      <c r="G800" s="79" t="s">
        <v>849</v>
      </c>
    </row>
    <row r="801" customFormat="false" ht="15" hidden="false" customHeight="false" outlineLevel="0" collapsed="false">
      <c r="A801" s="79" t="s">
        <v>231</v>
      </c>
      <c r="B801" s="79" t="s">
        <v>1037</v>
      </c>
      <c r="C801" s="80" t="n">
        <v>202602</v>
      </c>
      <c r="D801" s="81" t="n">
        <v>46054</v>
      </c>
      <c r="E801" s="82" t="n">
        <v>412.324</v>
      </c>
      <c r="F801" s="80" t="n">
        <v>8</v>
      </c>
      <c r="G801" s="79" t="s">
        <v>850</v>
      </c>
    </row>
    <row r="802" customFormat="false" ht="15" hidden="false" customHeight="false" outlineLevel="0" collapsed="false">
      <c r="A802" s="79" t="s">
        <v>231</v>
      </c>
      <c r="B802" s="79" t="s">
        <v>1038</v>
      </c>
      <c r="C802" s="80" t="n">
        <v>202601</v>
      </c>
      <c r="D802" s="81" t="n">
        <v>46023</v>
      </c>
      <c r="E802" s="82" t="n">
        <v>421.117</v>
      </c>
      <c r="F802" s="80" t="n">
        <v>9</v>
      </c>
      <c r="G802" s="79" t="s">
        <v>851</v>
      </c>
    </row>
    <row r="803" customFormat="false" ht="15" hidden="false" customHeight="false" outlineLevel="0" collapsed="false">
      <c r="A803" s="79" t="s">
        <v>231</v>
      </c>
      <c r="B803" s="79" t="s">
        <v>1039</v>
      </c>
      <c r="C803" s="80" t="n">
        <v>202512</v>
      </c>
      <c r="D803" s="81" t="n">
        <v>45992</v>
      </c>
      <c r="E803" s="82" t="n">
        <v>414.874</v>
      </c>
      <c r="F803" s="80" t="n">
        <v>10</v>
      </c>
      <c r="G803" s="79" t="s">
        <v>852</v>
      </c>
    </row>
    <row r="804" customFormat="false" ht="15" hidden="false" customHeight="false" outlineLevel="0" collapsed="false">
      <c r="A804" s="79" t="s">
        <v>231</v>
      </c>
      <c r="B804" s="79" t="s">
        <v>1040</v>
      </c>
      <c r="C804" s="80" t="n">
        <v>202511</v>
      </c>
      <c r="D804" s="81" t="n">
        <v>45962</v>
      </c>
      <c r="E804" s="82" t="n">
        <v>318.369</v>
      </c>
      <c r="F804" s="80" t="n">
        <v>11</v>
      </c>
      <c r="G804" s="79" t="s">
        <v>853</v>
      </c>
    </row>
    <row r="805" customFormat="false" ht="15" hidden="false" customHeight="false" outlineLevel="0" collapsed="false">
      <c r="A805" s="79" t="s">
        <v>231</v>
      </c>
      <c r="B805" s="79" t="s">
        <v>1041</v>
      </c>
      <c r="C805" s="80" t="n">
        <v>202510</v>
      </c>
      <c r="D805" s="81" t="n">
        <v>45931</v>
      </c>
      <c r="E805" s="82" t="n">
        <v>290.607</v>
      </c>
      <c r="F805" s="80" t="n">
        <v>12</v>
      </c>
      <c r="G805" s="79" t="s">
        <v>854</v>
      </c>
    </row>
    <row r="806" customFormat="false" ht="15" hidden="false" customHeight="false" outlineLevel="0" collapsed="false">
      <c r="A806" s="79" t="s">
        <v>231</v>
      </c>
      <c r="B806" s="79" t="s">
        <v>1042</v>
      </c>
      <c r="C806" s="80" t="n">
        <v>202509</v>
      </c>
      <c r="D806" s="81" t="n">
        <v>45901</v>
      </c>
      <c r="E806" s="82" t="n">
        <v>397.141</v>
      </c>
      <c r="F806" s="80" t="n">
        <v>13</v>
      </c>
      <c r="G806" s="79" t="s">
        <v>855</v>
      </c>
    </row>
    <row r="807" customFormat="false" ht="15" hidden="false" customHeight="false" outlineLevel="0" collapsed="false">
      <c r="A807" s="79" t="s">
        <v>231</v>
      </c>
      <c r="B807" s="79" t="s">
        <v>1043</v>
      </c>
      <c r="C807" s="80" t="n">
        <v>202508</v>
      </c>
      <c r="D807" s="81" t="n">
        <v>45870</v>
      </c>
      <c r="E807" s="82" t="n">
        <v>388.346</v>
      </c>
      <c r="F807" s="80" t="n">
        <v>14</v>
      </c>
      <c r="G807" s="79" t="s">
        <v>856</v>
      </c>
    </row>
    <row r="808" customFormat="false" ht="15" hidden="false" customHeight="false" outlineLevel="0" collapsed="false">
      <c r="A808" s="79" t="s">
        <v>231</v>
      </c>
      <c r="B808" s="79" t="s">
        <v>1044</v>
      </c>
      <c r="C808" s="80" t="n">
        <v>202507</v>
      </c>
      <c r="D808" s="81" t="n">
        <v>45839</v>
      </c>
      <c r="E808" s="82" t="n">
        <v>356.414</v>
      </c>
      <c r="F808" s="80" t="n">
        <v>15</v>
      </c>
      <c r="G808" s="79" t="s">
        <v>857</v>
      </c>
    </row>
    <row r="809" customFormat="false" ht="15" hidden="false" customHeight="false" outlineLevel="0" collapsed="false">
      <c r="A809" s="79" t="s">
        <v>231</v>
      </c>
      <c r="B809" s="79" t="s">
        <v>1045</v>
      </c>
      <c r="C809" s="80" t="n">
        <v>202506</v>
      </c>
      <c r="D809" s="81" t="n">
        <v>45809</v>
      </c>
      <c r="E809" s="82" t="n">
        <v>347.922</v>
      </c>
      <c r="F809" s="80" t="n">
        <v>16</v>
      </c>
      <c r="G809" s="79" t="s">
        <v>858</v>
      </c>
    </row>
    <row r="810" customFormat="false" ht="15" hidden="false" customHeight="false" outlineLevel="0" collapsed="false">
      <c r="A810" s="79" t="s">
        <v>231</v>
      </c>
      <c r="B810" s="79" t="s">
        <v>1046</v>
      </c>
      <c r="C810" s="80" t="n">
        <v>202505</v>
      </c>
      <c r="D810" s="81" t="n">
        <v>45778</v>
      </c>
      <c r="E810" s="82" t="n">
        <v>383.15</v>
      </c>
      <c r="F810" s="80" t="n">
        <v>17</v>
      </c>
      <c r="G810" s="79" t="s">
        <v>859</v>
      </c>
    </row>
    <row r="811" customFormat="false" ht="15" hidden="false" customHeight="false" outlineLevel="0" collapsed="false">
      <c r="A811" s="79" t="s">
        <v>231</v>
      </c>
      <c r="B811" s="79" t="s">
        <v>1047</v>
      </c>
      <c r="C811" s="80" t="n">
        <v>202504</v>
      </c>
      <c r="D811" s="81" t="n">
        <v>45748</v>
      </c>
      <c r="E811" s="82" t="n">
        <v>375.732</v>
      </c>
      <c r="F811" s="80" t="n">
        <v>18</v>
      </c>
      <c r="G811" s="79" t="s">
        <v>860</v>
      </c>
    </row>
    <row r="812" customFormat="false" ht="15" hidden="false" customHeight="false" outlineLevel="0" collapsed="false">
      <c r="A812" s="79" t="s">
        <v>231</v>
      </c>
      <c r="B812" s="79" t="s">
        <v>1048</v>
      </c>
      <c r="C812" s="80" t="n">
        <v>202503</v>
      </c>
      <c r="D812" s="81" t="n">
        <v>45717</v>
      </c>
      <c r="E812" s="82" t="n">
        <v>366.068</v>
      </c>
      <c r="F812" s="80" t="n">
        <v>19</v>
      </c>
      <c r="G812" s="79" t="s">
        <v>861</v>
      </c>
    </row>
    <row r="813" customFormat="false" ht="15" hidden="false" customHeight="false" outlineLevel="0" collapsed="false">
      <c r="A813" s="79" t="s">
        <v>231</v>
      </c>
      <c r="B813" s="79" t="s">
        <v>1049</v>
      </c>
      <c r="C813" s="80" t="n">
        <v>202502</v>
      </c>
      <c r="D813" s="81" t="n">
        <v>45689</v>
      </c>
      <c r="E813" s="82" t="n">
        <v>325.106</v>
      </c>
      <c r="F813" s="80" t="n">
        <v>20</v>
      </c>
      <c r="G813" s="79" t="s">
        <v>862</v>
      </c>
    </row>
    <row r="814" customFormat="false" ht="15" hidden="false" customHeight="false" outlineLevel="0" collapsed="false">
      <c r="A814" s="79" t="s">
        <v>231</v>
      </c>
      <c r="B814" s="79" t="s">
        <v>1050</v>
      </c>
      <c r="C814" s="80" t="n">
        <v>202501</v>
      </c>
      <c r="D814" s="81" t="n">
        <v>45658</v>
      </c>
      <c r="E814" s="82" t="n">
        <v>351.851</v>
      </c>
      <c r="F814" s="80" t="n">
        <v>21</v>
      </c>
      <c r="G814" s="79" t="s">
        <v>863</v>
      </c>
    </row>
    <row r="815" customFormat="false" ht="15" hidden="false" customHeight="false" outlineLevel="0" collapsed="false">
      <c r="A815" s="79" t="s">
        <v>231</v>
      </c>
      <c r="B815" s="79" t="s">
        <v>1051</v>
      </c>
      <c r="C815" s="80" t="n">
        <v>202412</v>
      </c>
      <c r="D815" s="81" t="n">
        <v>45627</v>
      </c>
      <c r="E815" s="82" t="n">
        <v>366.735</v>
      </c>
      <c r="F815" s="80" t="n">
        <v>22</v>
      </c>
      <c r="G815" s="79" t="s">
        <v>864</v>
      </c>
    </row>
    <row r="816" customFormat="false" ht="15" hidden="false" customHeight="false" outlineLevel="0" collapsed="false">
      <c r="A816" s="79" t="s">
        <v>231</v>
      </c>
      <c r="B816" s="79" t="s">
        <v>1052</v>
      </c>
      <c r="C816" s="80" t="n">
        <v>202411</v>
      </c>
      <c r="D816" s="81" t="n">
        <v>45597</v>
      </c>
      <c r="E816" s="82" t="n">
        <v>329.524</v>
      </c>
      <c r="F816" s="80" t="n">
        <v>23</v>
      </c>
      <c r="G816" s="79" t="s">
        <v>865</v>
      </c>
    </row>
    <row r="817" customFormat="false" ht="15" hidden="false" customHeight="false" outlineLevel="0" collapsed="false">
      <c r="A817" s="79" t="s">
        <v>231</v>
      </c>
      <c r="B817" s="79" t="s">
        <v>1053</v>
      </c>
      <c r="C817" s="80" t="n">
        <v>202410</v>
      </c>
      <c r="D817" s="81" t="n">
        <v>45566</v>
      </c>
      <c r="E817" s="82" t="n">
        <v>324.554</v>
      </c>
      <c r="F817" s="80" t="n">
        <v>24</v>
      </c>
      <c r="G817" s="79" t="s">
        <v>866</v>
      </c>
    </row>
    <row r="818" customFormat="false" ht="15" hidden="false" customHeight="false" outlineLevel="0" collapsed="false">
      <c r="A818" s="79" t="s">
        <v>231</v>
      </c>
      <c r="B818" s="79" t="s">
        <v>1054</v>
      </c>
      <c r="C818" s="80" t="n">
        <v>202409</v>
      </c>
      <c r="D818" s="81" t="n">
        <v>45536</v>
      </c>
      <c r="E818" s="82" t="n">
        <v>319.033</v>
      </c>
      <c r="F818" s="80" t="n">
        <v>25</v>
      </c>
      <c r="G818" s="79" t="s">
        <v>1330</v>
      </c>
    </row>
    <row r="819" customFormat="false" ht="15" hidden="false" customHeight="false" outlineLevel="0" collapsed="false">
      <c r="A819" s="79" t="s">
        <v>231</v>
      </c>
      <c r="B819" s="79" t="s">
        <v>1056</v>
      </c>
      <c r="C819" s="80" t="n">
        <v>202408</v>
      </c>
      <c r="D819" s="81" t="n">
        <v>45505</v>
      </c>
      <c r="E819" s="82" t="n">
        <v>302.044</v>
      </c>
      <c r="F819" s="80" t="n">
        <v>26</v>
      </c>
      <c r="G819" s="79" t="s">
        <v>1331</v>
      </c>
    </row>
    <row r="820" customFormat="false" ht="15" hidden="false" customHeight="false" outlineLevel="0" collapsed="false">
      <c r="A820" s="79" t="s">
        <v>231</v>
      </c>
      <c r="B820" s="79" t="s">
        <v>1058</v>
      </c>
      <c r="C820" s="80" t="n">
        <v>202407</v>
      </c>
      <c r="D820" s="81" t="n">
        <v>45474</v>
      </c>
      <c r="E820" s="82" t="n">
        <v>267.703</v>
      </c>
      <c r="F820" s="80" t="n">
        <v>27</v>
      </c>
      <c r="G820" s="79" t="s">
        <v>1332</v>
      </c>
    </row>
    <row r="821" customFormat="false" ht="15" hidden="false" customHeight="false" outlineLevel="0" collapsed="false">
      <c r="A821" s="79" t="s">
        <v>231</v>
      </c>
      <c r="B821" s="79" t="s">
        <v>1060</v>
      </c>
      <c r="C821" s="80" t="n">
        <v>202406</v>
      </c>
      <c r="D821" s="81" t="n">
        <v>45444</v>
      </c>
      <c r="E821" s="82" t="n">
        <v>264.096</v>
      </c>
      <c r="F821" s="80" t="n">
        <v>28</v>
      </c>
      <c r="G821" s="79" t="s">
        <v>1333</v>
      </c>
    </row>
    <row r="822" customFormat="false" ht="15" hidden="false" customHeight="false" outlineLevel="0" collapsed="false">
      <c r="A822" s="79" t="s">
        <v>231</v>
      </c>
      <c r="B822" s="79" t="s">
        <v>1062</v>
      </c>
      <c r="C822" s="80" t="n">
        <v>202405</v>
      </c>
      <c r="D822" s="81" t="n">
        <v>45413</v>
      </c>
      <c r="E822" s="82" t="n">
        <v>269.469</v>
      </c>
      <c r="F822" s="80" t="n">
        <v>29</v>
      </c>
      <c r="G822" s="79" t="s">
        <v>1334</v>
      </c>
    </row>
    <row r="823" customFormat="false" ht="15" hidden="false" customHeight="false" outlineLevel="0" collapsed="false">
      <c r="A823" s="79" t="s">
        <v>231</v>
      </c>
      <c r="B823" s="79" t="s">
        <v>1064</v>
      </c>
      <c r="C823" s="80" t="n">
        <v>202404</v>
      </c>
      <c r="D823" s="81" t="n">
        <v>45383</v>
      </c>
      <c r="E823" s="82" t="n">
        <v>263.114</v>
      </c>
      <c r="F823" s="80" t="n">
        <v>30</v>
      </c>
      <c r="G823" s="79" t="s">
        <v>1335</v>
      </c>
    </row>
    <row r="824" customFormat="false" ht="15" hidden="false" customHeight="false" outlineLevel="0" collapsed="false">
      <c r="A824" s="79" t="s">
        <v>231</v>
      </c>
      <c r="B824" s="79" t="s">
        <v>1066</v>
      </c>
      <c r="C824" s="80" t="n">
        <v>202403</v>
      </c>
      <c r="D824" s="81" t="n">
        <v>45352</v>
      </c>
      <c r="E824" s="82" t="n">
        <v>178.135</v>
      </c>
      <c r="F824" s="80" t="n">
        <v>31</v>
      </c>
      <c r="G824" s="79" t="s">
        <v>1336</v>
      </c>
    </row>
    <row r="825" customFormat="false" ht="15" hidden="false" customHeight="false" outlineLevel="0" collapsed="false">
      <c r="A825" s="79" t="s">
        <v>231</v>
      </c>
      <c r="B825" s="79" t="s">
        <v>1068</v>
      </c>
      <c r="C825" s="80" t="n">
        <v>202402</v>
      </c>
      <c r="D825" s="81" t="n">
        <v>45323</v>
      </c>
      <c r="E825" s="82" t="n">
        <v>214.785</v>
      </c>
      <c r="F825" s="80" t="n">
        <v>32</v>
      </c>
      <c r="G825" s="79" t="s">
        <v>1337</v>
      </c>
    </row>
    <row r="826" customFormat="false" ht="15" hidden="false" customHeight="false" outlineLevel="0" collapsed="false">
      <c r="A826" s="79" t="s">
        <v>231</v>
      </c>
      <c r="B826" s="79" t="s">
        <v>1070</v>
      </c>
      <c r="C826" s="80" t="n">
        <v>202401</v>
      </c>
      <c r="D826" s="81" t="n">
        <v>45292</v>
      </c>
      <c r="E826" s="82" t="n">
        <v>293.695</v>
      </c>
      <c r="F826" s="80" t="n">
        <v>33</v>
      </c>
      <c r="G826" s="79" t="s">
        <v>1338</v>
      </c>
    </row>
    <row r="827" customFormat="false" ht="15" hidden="false" customHeight="false" outlineLevel="0" collapsed="false">
      <c r="A827" s="79" t="s">
        <v>231</v>
      </c>
      <c r="B827" s="79" t="s">
        <v>1072</v>
      </c>
      <c r="C827" s="80" t="n">
        <v>202312</v>
      </c>
      <c r="D827" s="81" t="n">
        <v>45261</v>
      </c>
      <c r="E827" s="82" t="n">
        <v>390.314</v>
      </c>
      <c r="F827" s="80" t="n">
        <v>34</v>
      </c>
      <c r="G827" s="79" t="s">
        <v>1339</v>
      </c>
    </row>
    <row r="828" customFormat="false" ht="15" hidden="false" customHeight="false" outlineLevel="0" collapsed="false">
      <c r="A828" s="79" t="s">
        <v>231</v>
      </c>
      <c r="B828" s="79" t="s">
        <v>1074</v>
      </c>
      <c r="C828" s="80" t="n">
        <v>202311</v>
      </c>
      <c r="D828" s="81" t="n">
        <v>45231</v>
      </c>
      <c r="E828" s="82" t="n">
        <v>327.755</v>
      </c>
      <c r="F828" s="80" t="n">
        <v>35</v>
      </c>
      <c r="G828" s="79" t="s">
        <v>1340</v>
      </c>
    </row>
    <row r="829" customFormat="false" ht="15" hidden="false" customHeight="false" outlineLevel="0" collapsed="false">
      <c r="A829" s="79" t="s">
        <v>231</v>
      </c>
      <c r="B829" s="79" t="s">
        <v>1076</v>
      </c>
      <c r="C829" s="80" t="n">
        <v>202310</v>
      </c>
      <c r="D829" s="81" t="n">
        <v>45200</v>
      </c>
      <c r="E829" s="82" t="n">
        <v>299.362</v>
      </c>
      <c r="F829" s="80" t="n">
        <v>36</v>
      </c>
      <c r="G829" s="79" t="s">
        <v>1341</v>
      </c>
    </row>
    <row r="830" customFormat="false" ht="15" hidden="false" customHeight="false" outlineLevel="0" collapsed="false">
      <c r="A830" s="79" t="s">
        <v>867</v>
      </c>
      <c r="B830" s="79" t="s">
        <v>1030</v>
      </c>
      <c r="C830" s="80" t="n">
        <v>202609</v>
      </c>
      <c r="D830" s="81" t="n">
        <v>46266</v>
      </c>
      <c r="E830" s="82" t="n">
        <v>1625.937</v>
      </c>
      <c r="F830" s="80" t="n">
        <v>1</v>
      </c>
      <c r="G830" s="79" t="s">
        <v>869</v>
      </c>
    </row>
    <row r="831" customFormat="false" ht="15" hidden="false" customHeight="false" outlineLevel="0" collapsed="false">
      <c r="A831" s="79" t="s">
        <v>867</v>
      </c>
      <c r="B831" s="79" t="s">
        <v>1031</v>
      </c>
      <c r="C831" s="80" t="n">
        <v>202608</v>
      </c>
      <c r="D831" s="81" t="n">
        <v>46235</v>
      </c>
      <c r="E831" s="82" t="n">
        <v>1524.018</v>
      </c>
      <c r="F831" s="80" t="n">
        <v>2</v>
      </c>
      <c r="G831" s="79" t="s">
        <v>870</v>
      </c>
    </row>
    <row r="832" customFormat="false" ht="15" hidden="false" customHeight="false" outlineLevel="0" collapsed="false">
      <c r="A832" s="79" t="s">
        <v>867</v>
      </c>
      <c r="B832" s="79" t="s">
        <v>1032</v>
      </c>
      <c r="C832" s="80" t="n">
        <v>202607</v>
      </c>
      <c r="D832" s="81" t="n">
        <v>46204</v>
      </c>
      <c r="E832" s="82" t="n">
        <v>1310.195</v>
      </c>
      <c r="F832" s="80" t="n">
        <v>3</v>
      </c>
      <c r="G832" s="79" t="s">
        <v>871</v>
      </c>
    </row>
    <row r="833" customFormat="false" ht="15" hidden="false" customHeight="false" outlineLevel="0" collapsed="false">
      <c r="A833" s="79" t="s">
        <v>867</v>
      </c>
      <c r="B833" s="79" t="s">
        <v>1033</v>
      </c>
      <c r="C833" s="80" t="n">
        <v>202606</v>
      </c>
      <c r="D833" s="81" t="n">
        <v>46174</v>
      </c>
      <c r="E833" s="82" t="n">
        <v>1282.174</v>
      </c>
      <c r="F833" s="80" t="n">
        <v>4</v>
      </c>
      <c r="G833" s="79" t="s">
        <v>872</v>
      </c>
    </row>
    <row r="834" customFormat="false" ht="15" hidden="false" customHeight="false" outlineLevel="0" collapsed="false">
      <c r="A834" s="79" t="s">
        <v>867</v>
      </c>
      <c r="B834" s="79" t="s">
        <v>1034</v>
      </c>
      <c r="C834" s="80" t="n">
        <v>202605</v>
      </c>
      <c r="D834" s="81" t="n">
        <v>46143</v>
      </c>
      <c r="E834" s="82" t="n">
        <v>1279.04</v>
      </c>
      <c r="F834" s="80" t="n">
        <v>5</v>
      </c>
      <c r="G834" s="79" t="s">
        <v>873</v>
      </c>
    </row>
    <row r="835" customFormat="false" ht="15" hidden="false" customHeight="false" outlineLevel="0" collapsed="false">
      <c r="A835" s="79" t="s">
        <v>867</v>
      </c>
      <c r="B835" s="79" t="s">
        <v>1035</v>
      </c>
      <c r="C835" s="80" t="n">
        <v>202604</v>
      </c>
      <c r="D835" s="81" t="n">
        <v>46113</v>
      </c>
      <c r="E835" s="82" t="n">
        <v>1235.429</v>
      </c>
      <c r="F835" s="80" t="n">
        <v>6</v>
      </c>
      <c r="G835" s="79" t="s">
        <v>874</v>
      </c>
    </row>
    <row r="836" customFormat="false" ht="15" hidden="false" customHeight="false" outlineLevel="0" collapsed="false">
      <c r="A836" s="79" t="s">
        <v>867</v>
      </c>
      <c r="B836" s="79" t="s">
        <v>1036</v>
      </c>
      <c r="C836" s="80" t="n">
        <v>202603</v>
      </c>
      <c r="D836" s="81" t="n">
        <v>46082</v>
      </c>
      <c r="E836" s="82" t="n">
        <v>1010.964</v>
      </c>
      <c r="F836" s="80" t="n">
        <v>7</v>
      </c>
      <c r="G836" s="79" t="s">
        <v>875</v>
      </c>
    </row>
    <row r="837" customFormat="false" ht="15" hidden="false" customHeight="false" outlineLevel="0" collapsed="false">
      <c r="A837" s="79" t="s">
        <v>867</v>
      </c>
      <c r="B837" s="79" t="s">
        <v>1037</v>
      </c>
      <c r="C837" s="80" t="n">
        <v>202602</v>
      </c>
      <c r="D837" s="81" t="n">
        <v>46054</v>
      </c>
      <c r="E837" s="82" t="n">
        <v>900.364</v>
      </c>
      <c r="F837" s="80" t="n">
        <v>8</v>
      </c>
      <c r="G837" s="79" t="s">
        <v>876</v>
      </c>
    </row>
    <row r="838" customFormat="false" ht="15" hidden="false" customHeight="false" outlineLevel="0" collapsed="false">
      <c r="A838" s="79" t="s">
        <v>867</v>
      </c>
      <c r="B838" s="79" t="s">
        <v>1038</v>
      </c>
      <c r="C838" s="80" t="n">
        <v>202601</v>
      </c>
      <c r="D838" s="81" t="n">
        <v>46023</v>
      </c>
      <c r="E838" s="82" t="n">
        <v>872.214</v>
      </c>
      <c r="F838" s="80" t="n">
        <v>9</v>
      </c>
      <c r="G838" s="79" t="s">
        <v>877</v>
      </c>
    </row>
    <row r="839" customFormat="false" ht="15" hidden="false" customHeight="false" outlineLevel="0" collapsed="false">
      <c r="A839" s="79" t="s">
        <v>867</v>
      </c>
      <c r="B839" s="79" t="s">
        <v>1039</v>
      </c>
      <c r="C839" s="80" t="n">
        <v>202512</v>
      </c>
      <c r="D839" s="81" t="n">
        <v>45992</v>
      </c>
      <c r="E839" s="82" t="n">
        <v>840.288</v>
      </c>
      <c r="F839" s="80" t="n">
        <v>10</v>
      </c>
      <c r="G839" s="79" t="s">
        <v>878</v>
      </c>
    </row>
    <row r="840" customFormat="false" ht="15" hidden="false" customHeight="false" outlineLevel="0" collapsed="false">
      <c r="A840" s="79" t="s">
        <v>867</v>
      </c>
      <c r="B840" s="79" t="s">
        <v>1040</v>
      </c>
      <c r="C840" s="80" t="n">
        <v>202511</v>
      </c>
      <c r="D840" s="81" t="n">
        <v>45962</v>
      </c>
      <c r="E840" s="82" t="n">
        <v>730.624</v>
      </c>
      <c r="F840" s="80" t="n">
        <v>11</v>
      </c>
      <c r="G840" s="79" t="s">
        <v>879</v>
      </c>
    </row>
    <row r="841" customFormat="false" ht="15" hidden="false" customHeight="false" outlineLevel="0" collapsed="false">
      <c r="A841" s="79" t="s">
        <v>867</v>
      </c>
      <c r="B841" s="79" t="s">
        <v>1041</v>
      </c>
      <c r="C841" s="80" t="n">
        <v>202510</v>
      </c>
      <c r="D841" s="81" t="n">
        <v>45931</v>
      </c>
      <c r="E841" s="82" t="n">
        <v>814.367</v>
      </c>
      <c r="F841" s="80" t="n">
        <v>12</v>
      </c>
      <c r="G841" s="79" t="s">
        <v>880</v>
      </c>
    </row>
    <row r="842" customFormat="false" ht="15" hidden="false" customHeight="false" outlineLevel="0" collapsed="false">
      <c r="A842" s="79" t="s">
        <v>867</v>
      </c>
      <c r="B842" s="79" t="s">
        <v>1042</v>
      </c>
      <c r="C842" s="80" t="n">
        <v>202509</v>
      </c>
      <c r="D842" s="81" t="n">
        <v>45901</v>
      </c>
      <c r="E842" s="82" t="n">
        <v>744.425</v>
      </c>
      <c r="F842" s="80" t="n">
        <v>13</v>
      </c>
      <c r="G842" s="79" t="s">
        <v>881</v>
      </c>
    </row>
    <row r="843" customFormat="false" ht="15" hidden="false" customHeight="false" outlineLevel="0" collapsed="false">
      <c r="A843" s="79" t="s">
        <v>867</v>
      </c>
      <c r="B843" s="79" t="s">
        <v>1043</v>
      </c>
      <c r="C843" s="80" t="n">
        <v>202508</v>
      </c>
      <c r="D843" s="81" t="n">
        <v>45870</v>
      </c>
      <c r="E843" s="82" t="n">
        <v>771.292</v>
      </c>
      <c r="F843" s="80" t="n">
        <v>14</v>
      </c>
      <c r="G843" s="79" t="s">
        <v>882</v>
      </c>
    </row>
    <row r="844" customFormat="false" ht="15" hidden="false" customHeight="false" outlineLevel="0" collapsed="false">
      <c r="A844" s="79" t="s">
        <v>867</v>
      </c>
      <c r="B844" s="79" t="s">
        <v>1044</v>
      </c>
      <c r="C844" s="80" t="n">
        <v>202507</v>
      </c>
      <c r="D844" s="81" t="n">
        <v>45839</v>
      </c>
      <c r="E844" s="82" t="n">
        <v>782.343</v>
      </c>
      <c r="F844" s="80" t="n">
        <v>15</v>
      </c>
      <c r="G844" s="79" t="s">
        <v>883</v>
      </c>
    </row>
    <row r="845" customFormat="false" ht="15" hidden="false" customHeight="false" outlineLevel="0" collapsed="false">
      <c r="A845" s="79" t="s">
        <v>867</v>
      </c>
      <c r="B845" s="79" t="s">
        <v>1045</v>
      </c>
      <c r="C845" s="80" t="n">
        <v>202506</v>
      </c>
      <c r="D845" s="81" t="n">
        <v>45809</v>
      </c>
      <c r="E845" s="82" t="n">
        <v>759.86</v>
      </c>
      <c r="F845" s="80" t="n">
        <v>16</v>
      </c>
      <c r="G845" s="79" t="s">
        <v>884</v>
      </c>
    </row>
    <row r="846" customFormat="false" ht="15" hidden="false" customHeight="false" outlineLevel="0" collapsed="false">
      <c r="A846" s="79" t="s">
        <v>867</v>
      </c>
      <c r="B846" s="79" t="s">
        <v>1046</v>
      </c>
      <c r="C846" s="80" t="n">
        <v>202505</v>
      </c>
      <c r="D846" s="81" t="n">
        <v>45778</v>
      </c>
      <c r="E846" s="82" t="n">
        <v>704.344</v>
      </c>
      <c r="F846" s="80" t="n">
        <v>17</v>
      </c>
      <c r="G846" s="79" t="s">
        <v>885</v>
      </c>
    </row>
    <row r="847" customFormat="false" ht="15" hidden="false" customHeight="false" outlineLevel="0" collapsed="false">
      <c r="A847" s="79" t="s">
        <v>867</v>
      </c>
      <c r="B847" s="79" t="s">
        <v>1047</v>
      </c>
      <c r="C847" s="80" t="n">
        <v>202504</v>
      </c>
      <c r="D847" s="81" t="n">
        <v>45748</v>
      </c>
      <c r="E847" s="82" t="n">
        <v>755.03</v>
      </c>
      <c r="F847" s="80" t="n">
        <v>18</v>
      </c>
      <c r="G847" s="79" t="s">
        <v>886</v>
      </c>
    </row>
    <row r="848" customFormat="false" ht="15" hidden="false" customHeight="false" outlineLevel="0" collapsed="false">
      <c r="A848" s="79" t="s">
        <v>867</v>
      </c>
      <c r="B848" s="79" t="s">
        <v>1048</v>
      </c>
      <c r="C848" s="80" t="n">
        <v>202503</v>
      </c>
      <c r="D848" s="81" t="n">
        <v>45717</v>
      </c>
      <c r="E848" s="82" t="n">
        <v>609.219</v>
      </c>
      <c r="F848" s="80" t="n">
        <v>19</v>
      </c>
      <c r="G848" s="79" t="s">
        <v>887</v>
      </c>
    </row>
    <row r="849" customFormat="false" ht="15" hidden="false" customHeight="false" outlineLevel="0" collapsed="false">
      <c r="A849" s="79" t="s">
        <v>867</v>
      </c>
      <c r="B849" s="79" t="s">
        <v>1049</v>
      </c>
      <c r="C849" s="80" t="n">
        <v>202502</v>
      </c>
      <c r="D849" s="81" t="n">
        <v>45689</v>
      </c>
      <c r="E849" s="82" t="n">
        <v>700.869</v>
      </c>
      <c r="F849" s="80" t="n">
        <v>20</v>
      </c>
      <c r="G849" s="79" t="s">
        <v>888</v>
      </c>
    </row>
    <row r="850" customFormat="false" ht="15" hidden="false" customHeight="false" outlineLevel="0" collapsed="false">
      <c r="A850" s="79" t="s">
        <v>867</v>
      </c>
      <c r="B850" s="79" t="s">
        <v>1050</v>
      </c>
      <c r="C850" s="80" t="n">
        <v>202501</v>
      </c>
      <c r="D850" s="81" t="n">
        <v>45658</v>
      </c>
      <c r="E850" s="82" t="n">
        <v>736.877</v>
      </c>
      <c r="F850" s="80" t="n">
        <v>21</v>
      </c>
      <c r="G850" s="79" t="s">
        <v>889</v>
      </c>
    </row>
    <row r="851" customFormat="false" ht="15" hidden="false" customHeight="false" outlineLevel="0" collapsed="false">
      <c r="A851" s="79" t="s">
        <v>867</v>
      </c>
      <c r="B851" s="79" t="s">
        <v>1051</v>
      </c>
      <c r="C851" s="80" t="n">
        <v>202412</v>
      </c>
      <c r="D851" s="81" t="n">
        <v>45627</v>
      </c>
      <c r="E851" s="82" t="n">
        <v>681.054</v>
      </c>
      <c r="F851" s="80" t="n">
        <v>22</v>
      </c>
      <c r="G851" s="79" t="s">
        <v>890</v>
      </c>
    </row>
    <row r="852" customFormat="false" ht="15" hidden="false" customHeight="false" outlineLevel="0" collapsed="false">
      <c r="A852" s="79" t="s">
        <v>867</v>
      </c>
      <c r="B852" s="79" t="s">
        <v>1052</v>
      </c>
      <c r="C852" s="80" t="n">
        <v>202411</v>
      </c>
      <c r="D852" s="81" t="n">
        <v>45597</v>
      </c>
      <c r="E852" s="82" t="n">
        <v>685.782</v>
      </c>
      <c r="F852" s="80" t="n">
        <v>23</v>
      </c>
      <c r="G852" s="79" t="s">
        <v>891</v>
      </c>
    </row>
    <row r="853" customFormat="false" ht="15" hidden="false" customHeight="false" outlineLevel="0" collapsed="false">
      <c r="A853" s="79" t="s">
        <v>867</v>
      </c>
      <c r="B853" s="79" t="s">
        <v>1053</v>
      </c>
      <c r="C853" s="80" t="n">
        <v>202410</v>
      </c>
      <c r="D853" s="81" t="n">
        <v>45566</v>
      </c>
      <c r="E853" s="82" t="n">
        <v>708.152</v>
      </c>
      <c r="F853" s="80" t="n">
        <v>24</v>
      </c>
      <c r="G853" s="79" t="s">
        <v>892</v>
      </c>
    </row>
    <row r="854" customFormat="false" ht="15" hidden="false" customHeight="false" outlineLevel="0" collapsed="false">
      <c r="A854" s="79" t="s">
        <v>867</v>
      </c>
      <c r="B854" s="79" t="s">
        <v>1054</v>
      </c>
      <c r="C854" s="80" t="n">
        <v>202409</v>
      </c>
      <c r="D854" s="81" t="n">
        <v>45536</v>
      </c>
      <c r="E854" s="82" t="n">
        <v>677.094</v>
      </c>
      <c r="F854" s="80" t="n">
        <v>25</v>
      </c>
      <c r="G854" s="79" t="s">
        <v>1342</v>
      </c>
    </row>
    <row r="855" customFormat="false" ht="15" hidden="false" customHeight="false" outlineLevel="0" collapsed="false">
      <c r="A855" s="79" t="s">
        <v>867</v>
      </c>
      <c r="B855" s="79" t="s">
        <v>1056</v>
      </c>
      <c r="C855" s="80" t="n">
        <v>202408</v>
      </c>
      <c r="D855" s="81" t="n">
        <v>45505</v>
      </c>
      <c r="E855" s="82" t="n">
        <v>601.189</v>
      </c>
      <c r="F855" s="80" t="n">
        <v>26</v>
      </c>
      <c r="G855" s="79" t="s">
        <v>1343</v>
      </c>
    </row>
    <row r="856" customFormat="false" ht="15" hidden="false" customHeight="false" outlineLevel="0" collapsed="false">
      <c r="A856" s="79" t="s">
        <v>867</v>
      </c>
      <c r="B856" s="79" t="s">
        <v>1058</v>
      </c>
      <c r="C856" s="80" t="n">
        <v>202407</v>
      </c>
      <c r="D856" s="81" t="n">
        <v>45474</v>
      </c>
      <c r="E856" s="82" t="n">
        <v>504.814</v>
      </c>
      <c r="F856" s="80" t="n">
        <v>27</v>
      </c>
      <c r="G856" s="79" t="s">
        <v>1344</v>
      </c>
    </row>
    <row r="857" customFormat="false" ht="15" hidden="false" customHeight="false" outlineLevel="0" collapsed="false">
      <c r="A857" s="79" t="s">
        <v>867</v>
      </c>
      <c r="B857" s="79" t="s">
        <v>1060</v>
      </c>
      <c r="C857" s="80" t="n">
        <v>202406</v>
      </c>
      <c r="D857" s="81" t="n">
        <v>45444</v>
      </c>
      <c r="E857" s="82" t="n">
        <v>435.334</v>
      </c>
      <c r="F857" s="80" t="n">
        <v>28</v>
      </c>
      <c r="G857" s="79" t="s">
        <v>1345</v>
      </c>
    </row>
    <row r="858" customFormat="false" ht="15" hidden="false" customHeight="false" outlineLevel="0" collapsed="false">
      <c r="A858" s="79" t="s">
        <v>867</v>
      </c>
      <c r="B858" s="79" t="s">
        <v>1062</v>
      </c>
      <c r="C858" s="80" t="n">
        <v>202405</v>
      </c>
      <c r="D858" s="81" t="n">
        <v>45413</v>
      </c>
      <c r="E858" s="82" t="n">
        <v>415.897</v>
      </c>
      <c r="F858" s="80" t="n">
        <v>29</v>
      </c>
      <c r="G858" s="79" t="s">
        <v>1346</v>
      </c>
    </row>
    <row r="859" customFormat="false" ht="15" hidden="false" customHeight="false" outlineLevel="0" collapsed="false">
      <c r="A859" s="79" t="s">
        <v>867</v>
      </c>
      <c r="B859" s="79" t="s">
        <v>1064</v>
      </c>
      <c r="C859" s="80" t="n">
        <v>202404</v>
      </c>
      <c r="D859" s="81" t="n">
        <v>45383</v>
      </c>
      <c r="E859" s="82" t="n">
        <v>359.069</v>
      </c>
      <c r="F859" s="80" t="n">
        <v>30</v>
      </c>
      <c r="G859" s="79" t="s">
        <v>1347</v>
      </c>
    </row>
    <row r="860" customFormat="false" ht="15" hidden="false" customHeight="false" outlineLevel="0" collapsed="false">
      <c r="A860" s="79" t="s">
        <v>867</v>
      </c>
      <c r="B860" s="79" t="s">
        <v>1066</v>
      </c>
      <c r="C860" s="80" t="n">
        <v>202403</v>
      </c>
      <c r="D860" s="81" t="n">
        <v>45352</v>
      </c>
      <c r="E860" s="82" t="n">
        <v>292.096</v>
      </c>
      <c r="F860" s="80" t="n">
        <v>31</v>
      </c>
      <c r="G860" s="79" t="s">
        <v>1348</v>
      </c>
    </row>
    <row r="861" customFormat="false" ht="15" hidden="false" customHeight="false" outlineLevel="0" collapsed="false">
      <c r="A861" s="79" t="s">
        <v>867</v>
      </c>
      <c r="B861" s="79" t="s">
        <v>1068</v>
      </c>
      <c r="C861" s="80" t="n">
        <v>202402</v>
      </c>
      <c r="D861" s="81" t="n">
        <v>45323</v>
      </c>
      <c r="E861" s="82" t="n">
        <v>362.308</v>
      </c>
      <c r="F861" s="80" t="n">
        <v>32</v>
      </c>
      <c r="G861" s="79" t="s">
        <v>1349</v>
      </c>
    </row>
    <row r="862" customFormat="false" ht="15" hidden="false" customHeight="false" outlineLevel="0" collapsed="false">
      <c r="A862" s="79" t="s">
        <v>867</v>
      </c>
      <c r="B862" s="79" t="s">
        <v>1070</v>
      </c>
      <c r="C862" s="80" t="n">
        <v>202401</v>
      </c>
      <c r="D862" s="81" t="n">
        <v>45292</v>
      </c>
      <c r="E862" s="82" t="n">
        <v>318.583</v>
      </c>
      <c r="F862" s="80" t="n">
        <v>33</v>
      </c>
      <c r="G862" s="79" t="s">
        <v>1350</v>
      </c>
    </row>
    <row r="863" customFormat="false" ht="15" hidden="false" customHeight="false" outlineLevel="0" collapsed="false">
      <c r="A863" s="79" t="s">
        <v>867</v>
      </c>
      <c r="B863" s="79" t="s">
        <v>1072</v>
      </c>
      <c r="C863" s="80" t="n">
        <v>202312</v>
      </c>
      <c r="D863" s="81" t="n">
        <v>45261</v>
      </c>
      <c r="E863" s="82" t="n">
        <v>341.994</v>
      </c>
      <c r="F863" s="80" t="n">
        <v>34</v>
      </c>
      <c r="G863" s="79" t="s">
        <v>1351</v>
      </c>
    </row>
    <row r="864" customFormat="false" ht="15" hidden="false" customHeight="false" outlineLevel="0" collapsed="false">
      <c r="A864" s="79" t="s">
        <v>867</v>
      </c>
      <c r="B864" s="79" t="s">
        <v>1074</v>
      </c>
      <c r="C864" s="80" t="n">
        <v>202311</v>
      </c>
      <c r="D864" s="81" t="n">
        <v>45231</v>
      </c>
      <c r="E864" s="82" t="n">
        <v>323.669</v>
      </c>
      <c r="F864" s="80" t="n">
        <v>35</v>
      </c>
      <c r="G864" s="79" t="s">
        <v>1352</v>
      </c>
    </row>
    <row r="865" customFormat="false" ht="15" hidden="false" customHeight="false" outlineLevel="0" collapsed="false">
      <c r="A865" s="79" t="s">
        <v>867</v>
      </c>
      <c r="B865" s="79" t="s">
        <v>1076</v>
      </c>
      <c r="C865" s="80" t="n">
        <v>202310</v>
      </c>
      <c r="D865" s="81" t="n">
        <v>45200</v>
      </c>
      <c r="E865" s="82" t="n">
        <v>321.568</v>
      </c>
      <c r="F865" s="80" t="n">
        <v>36</v>
      </c>
      <c r="G865" s="79" t="s">
        <v>1353</v>
      </c>
    </row>
    <row r="866" customFormat="false" ht="15" hidden="false" customHeight="false" outlineLevel="0" collapsed="false">
      <c r="A866" s="79" t="s">
        <v>186</v>
      </c>
      <c r="B866" s="79" t="s">
        <v>1030</v>
      </c>
      <c r="C866" s="80" t="n">
        <v>202609</v>
      </c>
      <c r="D866" s="81" t="n">
        <v>46266</v>
      </c>
      <c r="E866" s="82" t="n">
        <v>8680.123</v>
      </c>
      <c r="F866" s="80" t="n">
        <v>1</v>
      </c>
      <c r="G866" s="79" t="s">
        <v>894</v>
      </c>
    </row>
    <row r="867" customFormat="false" ht="15" hidden="false" customHeight="false" outlineLevel="0" collapsed="false">
      <c r="A867" s="79" t="s">
        <v>186</v>
      </c>
      <c r="B867" s="79" t="s">
        <v>1031</v>
      </c>
      <c r="C867" s="80" t="n">
        <v>202608</v>
      </c>
      <c r="D867" s="81" t="n">
        <v>46235</v>
      </c>
      <c r="E867" s="82" t="n">
        <v>8494.81</v>
      </c>
      <c r="F867" s="80" t="n">
        <v>2</v>
      </c>
      <c r="G867" s="79" t="s">
        <v>895</v>
      </c>
    </row>
    <row r="868" customFormat="false" ht="15" hidden="false" customHeight="false" outlineLevel="0" collapsed="false">
      <c r="A868" s="79" t="s">
        <v>186</v>
      </c>
      <c r="B868" s="79" t="s">
        <v>1032</v>
      </c>
      <c r="C868" s="80" t="n">
        <v>202607</v>
      </c>
      <c r="D868" s="81" t="n">
        <v>46204</v>
      </c>
      <c r="E868" s="82" t="n">
        <v>8207.987</v>
      </c>
      <c r="F868" s="80" t="n">
        <v>3</v>
      </c>
      <c r="G868" s="79" t="s">
        <v>896</v>
      </c>
    </row>
    <row r="869" customFormat="false" ht="15" hidden="false" customHeight="false" outlineLevel="0" collapsed="false">
      <c r="A869" s="79" t="s">
        <v>186</v>
      </c>
      <c r="B869" s="79" t="s">
        <v>1033</v>
      </c>
      <c r="C869" s="80" t="n">
        <v>202606</v>
      </c>
      <c r="D869" s="81" t="n">
        <v>46174</v>
      </c>
      <c r="E869" s="82" t="n">
        <v>7564.591</v>
      </c>
      <c r="F869" s="80" t="n">
        <v>4</v>
      </c>
      <c r="G869" s="79" t="s">
        <v>897</v>
      </c>
    </row>
    <row r="870" customFormat="false" ht="15" hidden="false" customHeight="false" outlineLevel="0" collapsed="false">
      <c r="A870" s="79" t="s">
        <v>186</v>
      </c>
      <c r="B870" s="79" t="s">
        <v>1034</v>
      </c>
      <c r="C870" s="80" t="n">
        <v>202605</v>
      </c>
      <c r="D870" s="81" t="n">
        <v>46143</v>
      </c>
      <c r="E870" s="82" t="n">
        <v>6670.833</v>
      </c>
      <c r="F870" s="80" t="n">
        <v>5</v>
      </c>
      <c r="G870" s="79" t="s">
        <v>898</v>
      </c>
    </row>
    <row r="871" customFormat="false" ht="15" hidden="false" customHeight="false" outlineLevel="0" collapsed="false">
      <c r="A871" s="79" t="s">
        <v>186</v>
      </c>
      <c r="B871" s="79" t="s">
        <v>1035</v>
      </c>
      <c r="C871" s="80" t="n">
        <v>202604</v>
      </c>
      <c r="D871" s="81" t="n">
        <v>46113</v>
      </c>
      <c r="E871" s="82" t="n">
        <v>5672.453</v>
      </c>
      <c r="F871" s="80" t="n">
        <v>6</v>
      </c>
      <c r="G871" s="79" t="s">
        <v>899</v>
      </c>
    </row>
    <row r="872" customFormat="false" ht="15" hidden="false" customHeight="false" outlineLevel="0" collapsed="false">
      <c r="A872" s="79" t="s">
        <v>186</v>
      </c>
      <c r="B872" s="79" t="s">
        <v>1036</v>
      </c>
      <c r="C872" s="80" t="n">
        <v>202603</v>
      </c>
      <c r="D872" s="81" t="n">
        <v>46082</v>
      </c>
      <c r="E872" s="82" t="n">
        <v>4178.683</v>
      </c>
      <c r="F872" s="80" t="n">
        <v>7</v>
      </c>
      <c r="G872" s="79" t="s">
        <v>900</v>
      </c>
    </row>
    <row r="873" customFormat="false" ht="15" hidden="false" customHeight="false" outlineLevel="0" collapsed="false">
      <c r="A873" s="79" t="s">
        <v>186</v>
      </c>
      <c r="B873" s="79" t="s">
        <v>1037</v>
      </c>
      <c r="C873" s="80" t="n">
        <v>202602</v>
      </c>
      <c r="D873" s="81" t="n">
        <v>46054</v>
      </c>
      <c r="E873" s="82" t="n">
        <v>3331.472</v>
      </c>
      <c r="F873" s="80" t="n">
        <v>8</v>
      </c>
      <c r="G873" s="79" t="s">
        <v>901</v>
      </c>
    </row>
    <row r="874" customFormat="false" ht="15" hidden="false" customHeight="false" outlineLevel="0" collapsed="false">
      <c r="A874" s="79" t="s">
        <v>186</v>
      </c>
      <c r="B874" s="79" t="s">
        <v>1038</v>
      </c>
      <c r="C874" s="80" t="n">
        <v>202601</v>
      </c>
      <c r="D874" s="81" t="n">
        <v>46023</v>
      </c>
      <c r="E874" s="82" t="n">
        <v>1813.153</v>
      </c>
      <c r="F874" s="80" t="n">
        <v>9</v>
      </c>
      <c r="G874" s="79" t="s">
        <v>902</v>
      </c>
    </row>
    <row r="875" customFormat="false" ht="15" hidden="false" customHeight="false" outlineLevel="0" collapsed="false">
      <c r="A875" s="79" t="s">
        <v>186</v>
      </c>
      <c r="B875" s="79" t="s">
        <v>1039</v>
      </c>
      <c r="C875" s="80" t="n">
        <v>202512</v>
      </c>
      <c r="D875" s="81" t="n">
        <v>45992</v>
      </c>
      <c r="E875" s="82" t="n">
        <v>1596.065</v>
      </c>
      <c r="F875" s="80" t="n">
        <v>10</v>
      </c>
      <c r="G875" s="79" t="s">
        <v>903</v>
      </c>
    </row>
    <row r="876" customFormat="false" ht="15" hidden="false" customHeight="false" outlineLevel="0" collapsed="false">
      <c r="A876" s="79" t="s">
        <v>186</v>
      </c>
      <c r="B876" s="79" t="s">
        <v>1040</v>
      </c>
      <c r="C876" s="80" t="n">
        <v>202511</v>
      </c>
      <c r="D876" s="81" t="n">
        <v>45962</v>
      </c>
      <c r="E876" s="82" t="n">
        <v>1397.472</v>
      </c>
      <c r="F876" s="80" t="n">
        <v>11</v>
      </c>
      <c r="G876" s="79" t="s">
        <v>904</v>
      </c>
    </row>
    <row r="877" customFormat="false" ht="15" hidden="false" customHeight="false" outlineLevel="0" collapsed="false">
      <c r="A877" s="79" t="s">
        <v>186</v>
      </c>
      <c r="B877" s="79" t="s">
        <v>1041</v>
      </c>
      <c r="C877" s="80" t="n">
        <v>202510</v>
      </c>
      <c r="D877" s="81" t="n">
        <v>45931</v>
      </c>
      <c r="E877" s="82" t="n">
        <v>1370.557</v>
      </c>
      <c r="F877" s="80" t="n">
        <v>12</v>
      </c>
      <c r="G877" s="79" t="s">
        <v>905</v>
      </c>
    </row>
    <row r="878" customFormat="false" ht="15" hidden="false" customHeight="false" outlineLevel="0" collapsed="false">
      <c r="A878" s="79" t="s">
        <v>186</v>
      </c>
      <c r="B878" s="79" t="s">
        <v>1042</v>
      </c>
      <c r="C878" s="80" t="n">
        <v>202509</v>
      </c>
      <c r="D878" s="81" t="n">
        <v>45901</v>
      </c>
      <c r="E878" s="82" t="n">
        <v>1283.486</v>
      </c>
      <c r="F878" s="80" t="n">
        <v>13</v>
      </c>
      <c r="G878" s="79" t="s">
        <v>906</v>
      </c>
    </row>
    <row r="879" customFormat="false" ht="15" hidden="false" customHeight="false" outlineLevel="0" collapsed="false">
      <c r="A879" s="79" t="s">
        <v>186</v>
      </c>
      <c r="B879" s="79" t="s">
        <v>1043</v>
      </c>
      <c r="C879" s="80" t="n">
        <v>202508</v>
      </c>
      <c r="D879" s="81" t="n">
        <v>45870</v>
      </c>
      <c r="E879" s="82" t="n">
        <v>1153.358</v>
      </c>
      <c r="F879" s="80" t="n">
        <v>14</v>
      </c>
      <c r="G879" s="79" t="s">
        <v>907</v>
      </c>
    </row>
    <row r="880" customFormat="false" ht="15" hidden="false" customHeight="false" outlineLevel="0" collapsed="false">
      <c r="A880" s="79" t="s">
        <v>186</v>
      </c>
      <c r="B880" s="79" t="s">
        <v>1044</v>
      </c>
      <c r="C880" s="80" t="n">
        <v>202507</v>
      </c>
      <c r="D880" s="81" t="n">
        <v>45839</v>
      </c>
      <c r="E880" s="82" t="n">
        <v>1030.756</v>
      </c>
      <c r="F880" s="80" t="n">
        <v>15</v>
      </c>
      <c r="G880" s="79" t="s">
        <v>908</v>
      </c>
    </row>
    <row r="881" customFormat="false" ht="15" hidden="false" customHeight="false" outlineLevel="0" collapsed="false">
      <c r="A881" s="79" t="s">
        <v>186</v>
      </c>
      <c r="B881" s="79" t="s">
        <v>1045</v>
      </c>
      <c r="C881" s="80" t="n">
        <v>202506</v>
      </c>
      <c r="D881" s="81" t="n">
        <v>45809</v>
      </c>
      <c r="E881" s="82" t="n">
        <v>1021.135</v>
      </c>
      <c r="F881" s="80" t="n">
        <v>16</v>
      </c>
      <c r="G881" s="79" t="s">
        <v>909</v>
      </c>
    </row>
    <row r="882" customFormat="false" ht="15" hidden="false" customHeight="false" outlineLevel="0" collapsed="false">
      <c r="A882" s="79" t="s">
        <v>186</v>
      </c>
      <c r="B882" s="79" t="s">
        <v>1046</v>
      </c>
      <c r="C882" s="80" t="n">
        <v>202505</v>
      </c>
      <c r="D882" s="81" t="n">
        <v>45778</v>
      </c>
      <c r="E882" s="82" t="n">
        <v>976.538</v>
      </c>
      <c r="F882" s="80" t="n">
        <v>17</v>
      </c>
      <c r="G882" s="79" t="s">
        <v>910</v>
      </c>
    </row>
    <row r="883" customFormat="false" ht="15" hidden="false" customHeight="false" outlineLevel="0" collapsed="false">
      <c r="A883" s="79" t="s">
        <v>186</v>
      </c>
      <c r="B883" s="79" t="s">
        <v>1047</v>
      </c>
      <c r="C883" s="80" t="n">
        <v>202504</v>
      </c>
      <c r="D883" s="81" t="n">
        <v>45748</v>
      </c>
      <c r="E883" s="82" t="n">
        <v>970.015</v>
      </c>
      <c r="F883" s="80" t="n">
        <v>18</v>
      </c>
      <c r="G883" s="79" t="s">
        <v>911</v>
      </c>
    </row>
    <row r="884" customFormat="false" ht="15" hidden="false" customHeight="false" outlineLevel="0" collapsed="false">
      <c r="A884" s="79" t="s">
        <v>186</v>
      </c>
      <c r="B884" s="79" t="s">
        <v>1048</v>
      </c>
      <c r="C884" s="80" t="n">
        <v>202503</v>
      </c>
      <c r="D884" s="81" t="n">
        <v>45717</v>
      </c>
      <c r="E884" s="82" t="n">
        <v>830.404</v>
      </c>
      <c r="F884" s="80" t="n">
        <v>19</v>
      </c>
      <c r="G884" s="79" t="s">
        <v>912</v>
      </c>
    </row>
    <row r="885" customFormat="false" ht="15" hidden="false" customHeight="false" outlineLevel="0" collapsed="false">
      <c r="A885" s="79" t="s">
        <v>186</v>
      </c>
      <c r="B885" s="79" t="s">
        <v>1049</v>
      </c>
      <c r="C885" s="80" t="n">
        <v>202502</v>
      </c>
      <c r="D885" s="81" t="n">
        <v>45689</v>
      </c>
      <c r="E885" s="82" t="n">
        <v>818.323</v>
      </c>
      <c r="F885" s="80" t="n">
        <v>20</v>
      </c>
      <c r="G885" s="79" t="s">
        <v>913</v>
      </c>
    </row>
    <row r="886" customFormat="false" ht="15" hidden="false" customHeight="false" outlineLevel="0" collapsed="false">
      <c r="A886" s="79" t="s">
        <v>186</v>
      </c>
      <c r="B886" s="79" t="s">
        <v>1050</v>
      </c>
      <c r="C886" s="80" t="n">
        <v>202501</v>
      </c>
      <c r="D886" s="81" t="n">
        <v>45658</v>
      </c>
      <c r="E886" s="82" t="n">
        <v>720.756</v>
      </c>
      <c r="F886" s="80" t="n">
        <v>21</v>
      </c>
      <c r="G886" s="79" t="s">
        <v>914</v>
      </c>
    </row>
    <row r="887" customFormat="false" ht="15" hidden="false" customHeight="false" outlineLevel="0" collapsed="false">
      <c r="A887" s="79" t="s">
        <v>186</v>
      </c>
      <c r="B887" s="79" t="s">
        <v>1051</v>
      </c>
      <c r="C887" s="80" t="n">
        <v>202412</v>
      </c>
      <c r="D887" s="81" t="n">
        <v>45627</v>
      </c>
      <c r="E887" s="82" t="n">
        <v>759.244</v>
      </c>
      <c r="F887" s="80" t="n">
        <v>22</v>
      </c>
      <c r="G887" s="79" t="s">
        <v>915</v>
      </c>
    </row>
    <row r="888" customFormat="false" ht="15" hidden="false" customHeight="false" outlineLevel="0" collapsed="false">
      <c r="A888" s="79" t="s">
        <v>186</v>
      </c>
      <c r="B888" s="79" t="s">
        <v>1052</v>
      </c>
      <c r="C888" s="80" t="n">
        <v>202411</v>
      </c>
      <c r="D888" s="81" t="n">
        <v>45597</v>
      </c>
      <c r="E888" s="82" t="n">
        <v>748.005</v>
      </c>
      <c r="F888" s="80" t="n">
        <v>23</v>
      </c>
      <c r="G888" s="79" t="s">
        <v>916</v>
      </c>
    </row>
    <row r="889" customFormat="false" ht="15" hidden="false" customHeight="false" outlineLevel="0" collapsed="false">
      <c r="A889" s="79" t="s">
        <v>186</v>
      </c>
      <c r="B889" s="79" t="s">
        <v>1053</v>
      </c>
      <c r="C889" s="80" t="n">
        <v>202410</v>
      </c>
      <c r="D889" s="81" t="n">
        <v>45566</v>
      </c>
      <c r="E889" s="82" t="n">
        <v>712.853</v>
      </c>
      <c r="F889" s="80" t="n">
        <v>24</v>
      </c>
      <c r="G889" s="79" t="s">
        <v>917</v>
      </c>
    </row>
    <row r="890" customFormat="false" ht="15" hidden="false" customHeight="false" outlineLevel="0" collapsed="false">
      <c r="A890" s="79" t="s">
        <v>186</v>
      </c>
      <c r="B890" s="79" t="s">
        <v>1054</v>
      </c>
      <c r="C890" s="80" t="n">
        <v>202409</v>
      </c>
      <c r="D890" s="81" t="n">
        <v>45536</v>
      </c>
      <c r="E890" s="82" t="n">
        <v>789.6</v>
      </c>
      <c r="F890" s="80" t="n">
        <v>25</v>
      </c>
      <c r="G890" s="79" t="s">
        <v>1354</v>
      </c>
    </row>
    <row r="891" customFormat="false" ht="15" hidden="false" customHeight="false" outlineLevel="0" collapsed="false">
      <c r="A891" s="79" t="s">
        <v>186</v>
      </c>
      <c r="B891" s="79" t="s">
        <v>1056</v>
      </c>
      <c r="C891" s="80" t="n">
        <v>202408</v>
      </c>
      <c r="D891" s="81" t="n">
        <v>45505</v>
      </c>
      <c r="E891" s="82" t="n">
        <v>818.966</v>
      </c>
      <c r="F891" s="80" t="n">
        <v>26</v>
      </c>
      <c r="G891" s="79" t="s">
        <v>1355</v>
      </c>
    </row>
    <row r="892" customFormat="false" ht="15" hidden="false" customHeight="false" outlineLevel="0" collapsed="false">
      <c r="A892" s="79" t="s">
        <v>186</v>
      </c>
      <c r="B892" s="79" t="s">
        <v>1058</v>
      </c>
      <c r="C892" s="80" t="n">
        <v>202407</v>
      </c>
      <c r="D892" s="81" t="n">
        <v>45474</v>
      </c>
      <c r="E892" s="82" t="n">
        <v>749.527</v>
      </c>
      <c r="F892" s="80" t="n">
        <v>27</v>
      </c>
      <c r="G892" s="79" t="s">
        <v>1356</v>
      </c>
    </row>
    <row r="893" customFormat="false" ht="15" hidden="false" customHeight="false" outlineLevel="0" collapsed="false">
      <c r="A893" s="79" t="s">
        <v>186</v>
      </c>
      <c r="B893" s="79" t="s">
        <v>1060</v>
      </c>
      <c r="C893" s="80" t="n">
        <v>202406</v>
      </c>
      <c r="D893" s="81" t="n">
        <v>45444</v>
      </c>
      <c r="E893" s="82" t="n">
        <v>675.797</v>
      </c>
      <c r="F893" s="80" t="n">
        <v>28</v>
      </c>
      <c r="G893" s="79" t="s">
        <v>1357</v>
      </c>
    </row>
    <row r="894" customFormat="false" ht="15" hidden="false" customHeight="false" outlineLevel="0" collapsed="false">
      <c r="A894" s="79" t="s">
        <v>186</v>
      </c>
      <c r="B894" s="79" t="s">
        <v>1062</v>
      </c>
      <c r="C894" s="80" t="n">
        <v>202405</v>
      </c>
      <c r="D894" s="81" t="n">
        <v>45413</v>
      </c>
      <c r="E894" s="82" t="n">
        <v>764.905</v>
      </c>
      <c r="F894" s="80" t="n">
        <v>29</v>
      </c>
      <c r="G894" s="79" t="s">
        <v>1358</v>
      </c>
    </row>
    <row r="895" customFormat="false" ht="15" hidden="false" customHeight="false" outlineLevel="0" collapsed="false">
      <c r="A895" s="79" t="s">
        <v>186</v>
      </c>
      <c r="B895" s="79" t="s">
        <v>1064</v>
      </c>
      <c r="C895" s="80" t="n">
        <v>202404</v>
      </c>
      <c r="D895" s="81" t="n">
        <v>45383</v>
      </c>
      <c r="E895" s="82" t="n">
        <v>755.176</v>
      </c>
      <c r="F895" s="80" t="n">
        <v>30</v>
      </c>
      <c r="G895" s="79" t="s">
        <v>1359</v>
      </c>
    </row>
    <row r="896" customFormat="false" ht="15" hidden="false" customHeight="false" outlineLevel="0" collapsed="false">
      <c r="A896" s="79" t="s">
        <v>186</v>
      </c>
      <c r="B896" s="79" t="s">
        <v>1066</v>
      </c>
      <c r="C896" s="80" t="n">
        <v>202403</v>
      </c>
      <c r="D896" s="81" t="n">
        <v>45352</v>
      </c>
      <c r="E896" s="82" t="n">
        <v>623.797</v>
      </c>
      <c r="F896" s="80" t="n">
        <v>31</v>
      </c>
      <c r="G896" s="79" t="s">
        <v>1360</v>
      </c>
    </row>
    <row r="897" customFormat="false" ht="15" hidden="false" customHeight="false" outlineLevel="0" collapsed="false">
      <c r="A897" s="79" t="s">
        <v>186</v>
      </c>
      <c r="B897" s="79" t="s">
        <v>1068</v>
      </c>
      <c r="C897" s="80" t="n">
        <v>202402</v>
      </c>
      <c r="D897" s="81" t="n">
        <v>45323</v>
      </c>
      <c r="E897" s="82" t="n">
        <v>797.016</v>
      </c>
      <c r="F897" s="80" t="n">
        <v>32</v>
      </c>
      <c r="G897" s="79" t="s">
        <v>1361</v>
      </c>
    </row>
    <row r="898" customFormat="false" ht="15" hidden="false" customHeight="false" outlineLevel="0" collapsed="false">
      <c r="A898" s="79" t="s">
        <v>186</v>
      </c>
      <c r="B898" s="79" t="s">
        <v>1070</v>
      </c>
      <c r="C898" s="80" t="n">
        <v>202401</v>
      </c>
      <c r="D898" s="81" t="n">
        <v>45292</v>
      </c>
      <c r="E898" s="82" t="n">
        <v>718.585</v>
      </c>
      <c r="F898" s="80" t="n">
        <v>33</v>
      </c>
      <c r="G898" s="79" t="s">
        <v>1362</v>
      </c>
    </row>
    <row r="899" customFormat="false" ht="15" hidden="false" customHeight="false" outlineLevel="0" collapsed="false">
      <c r="A899" s="79" t="s">
        <v>186</v>
      </c>
      <c r="B899" s="79" t="s">
        <v>1072</v>
      </c>
      <c r="C899" s="80" t="n">
        <v>202312</v>
      </c>
      <c r="D899" s="81" t="n">
        <v>45261</v>
      </c>
      <c r="E899" s="82" t="n">
        <v>722.497</v>
      </c>
      <c r="F899" s="80" t="n">
        <v>34</v>
      </c>
      <c r="G899" s="79" t="s">
        <v>1363</v>
      </c>
    </row>
    <row r="900" customFormat="false" ht="15" hidden="false" customHeight="false" outlineLevel="0" collapsed="false">
      <c r="A900" s="79" t="s">
        <v>186</v>
      </c>
      <c r="B900" s="79" t="s">
        <v>1074</v>
      </c>
      <c r="C900" s="80" t="n">
        <v>202311</v>
      </c>
      <c r="D900" s="81" t="n">
        <v>45231</v>
      </c>
      <c r="E900" s="82" t="n">
        <v>688.967</v>
      </c>
      <c r="F900" s="80" t="n">
        <v>35</v>
      </c>
      <c r="G900" s="79" t="s">
        <v>1364</v>
      </c>
    </row>
    <row r="901" customFormat="false" ht="15" hidden="false" customHeight="false" outlineLevel="0" collapsed="false">
      <c r="A901" s="79" t="s">
        <v>186</v>
      </c>
      <c r="B901" s="79" t="s">
        <v>1076</v>
      </c>
      <c r="C901" s="80" t="n">
        <v>202310</v>
      </c>
      <c r="D901" s="81" t="n">
        <v>45200</v>
      </c>
      <c r="E901" s="82" t="n">
        <v>696.511</v>
      </c>
      <c r="F901" s="80" t="n">
        <v>36</v>
      </c>
      <c r="G901" s="79" t="s">
        <v>1365</v>
      </c>
    </row>
    <row r="902" customFormat="false" ht="15" hidden="false" customHeight="false" outlineLevel="0" collapsed="false">
      <c r="A902" s="79" t="s">
        <v>201</v>
      </c>
      <c r="B902" s="79" t="s">
        <v>1030</v>
      </c>
      <c r="C902" s="80" t="n">
        <v>202609</v>
      </c>
      <c r="D902" s="81" t="n">
        <v>46266</v>
      </c>
      <c r="E902" s="82" t="n">
        <v>7791.761</v>
      </c>
      <c r="F902" s="80" t="n">
        <v>1</v>
      </c>
      <c r="G902" s="79" t="s">
        <v>919</v>
      </c>
    </row>
    <row r="903" customFormat="false" ht="15" hidden="false" customHeight="false" outlineLevel="0" collapsed="false">
      <c r="A903" s="79" t="s">
        <v>201</v>
      </c>
      <c r="B903" s="79" t="s">
        <v>1031</v>
      </c>
      <c r="C903" s="80" t="n">
        <v>202608</v>
      </c>
      <c r="D903" s="81" t="n">
        <v>46235</v>
      </c>
      <c r="E903" s="82" t="n">
        <v>8173.773</v>
      </c>
      <c r="F903" s="80" t="n">
        <v>2</v>
      </c>
      <c r="G903" s="79" t="s">
        <v>920</v>
      </c>
    </row>
    <row r="904" customFormat="false" ht="15" hidden="false" customHeight="false" outlineLevel="0" collapsed="false">
      <c r="A904" s="79" t="s">
        <v>201</v>
      </c>
      <c r="B904" s="79" t="s">
        <v>1032</v>
      </c>
      <c r="C904" s="80" t="n">
        <v>202607</v>
      </c>
      <c r="D904" s="81" t="n">
        <v>46204</v>
      </c>
      <c r="E904" s="82" t="n">
        <v>7507.318</v>
      </c>
      <c r="F904" s="80" t="n">
        <v>3</v>
      </c>
      <c r="G904" s="79" t="s">
        <v>921</v>
      </c>
    </row>
    <row r="905" customFormat="false" ht="15" hidden="false" customHeight="false" outlineLevel="0" collapsed="false">
      <c r="A905" s="79" t="s">
        <v>201</v>
      </c>
      <c r="B905" s="79" t="s">
        <v>1033</v>
      </c>
      <c r="C905" s="80" t="n">
        <v>202606</v>
      </c>
      <c r="D905" s="81" t="n">
        <v>46174</v>
      </c>
      <c r="E905" s="82" t="n">
        <v>6542.058</v>
      </c>
      <c r="F905" s="80" t="n">
        <v>4</v>
      </c>
      <c r="G905" s="79" t="s">
        <v>922</v>
      </c>
    </row>
    <row r="906" customFormat="false" ht="15" hidden="false" customHeight="false" outlineLevel="0" collapsed="false">
      <c r="A906" s="79" t="s">
        <v>201</v>
      </c>
      <c r="B906" s="79" t="s">
        <v>1034</v>
      </c>
      <c r="C906" s="80" t="n">
        <v>202605</v>
      </c>
      <c r="D906" s="81" t="n">
        <v>46143</v>
      </c>
      <c r="E906" s="82" t="n">
        <v>6776.034</v>
      </c>
      <c r="F906" s="80" t="n">
        <v>5</v>
      </c>
      <c r="G906" s="79" t="s">
        <v>923</v>
      </c>
    </row>
    <row r="907" customFormat="false" ht="15" hidden="false" customHeight="false" outlineLevel="0" collapsed="false">
      <c r="A907" s="79" t="s">
        <v>201</v>
      </c>
      <c r="B907" s="79" t="s">
        <v>1035</v>
      </c>
      <c r="C907" s="80" t="n">
        <v>202604</v>
      </c>
      <c r="D907" s="81" t="n">
        <v>46113</v>
      </c>
      <c r="E907" s="82" t="n">
        <v>7014.545</v>
      </c>
      <c r="F907" s="80" t="n">
        <v>6</v>
      </c>
      <c r="G907" s="79" t="s">
        <v>924</v>
      </c>
    </row>
    <row r="908" customFormat="false" ht="15" hidden="false" customHeight="false" outlineLevel="0" collapsed="false">
      <c r="A908" s="79" t="s">
        <v>201</v>
      </c>
      <c r="B908" s="79" t="s">
        <v>1036</v>
      </c>
      <c r="C908" s="80" t="n">
        <v>202603</v>
      </c>
      <c r="D908" s="81" t="n">
        <v>46082</v>
      </c>
      <c r="E908" s="82" t="n">
        <v>5517.727</v>
      </c>
      <c r="F908" s="80" t="n">
        <v>7</v>
      </c>
      <c r="G908" s="79" t="s">
        <v>925</v>
      </c>
    </row>
    <row r="909" customFormat="false" ht="15" hidden="false" customHeight="false" outlineLevel="0" collapsed="false">
      <c r="A909" s="79" t="s">
        <v>201</v>
      </c>
      <c r="B909" s="79" t="s">
        <v>1037</v>
      </c>
      <c r="C909" s="80" t="n">
        <v>202602</v>
      </c>
      <c r="D909" s="81" t="n">
        <v>46054</v>
      </c>
      <c r="E909" s="82" t="n">
        <v>6004.421</v>
      </c>
      <c r="F909" s="80" t="n">
        <v>8</v>
      </c>
      <c r="G909" s="79" t="s">
        <v>926</v>
      </c>
    </row>
    <row r="910" customFormat="false" ht="15" hidden="false" customHeight="false" outlineLevel="0" collapsed="false">
      <c r="A910" s="79" t="s">
        <v>201</v>
      </c>
      <c r="B910" s="79" t="s">
        <v>1038</v>
      </c>
      <c r="C910" s="80" t="n">
        <v>202601</v>
      </c>
      <c r="D910" s="81" t="n">
        <v>46023</v>
      </c>
      <c r="E910" s="82" t="n">
        <v>6479.605</v>
      </c>
      <c r="F910" s="80" t="n">
        <v>9</v>
      </c>
      <c r="G910" s="79" t="s">
        <v>927</v>
      </c>
    </row>
    <row r="911" customFormat="false" ht="15" hidden="false" customHeight="false" outlineLevel="0" collapsed="false">
      <c r="A911" s="79" t="s">
        <v>201</v>
      </c>
      <c r="B911" s="79" t="s">
        <v>1039</v>
      </c>
      <c r="C911" s="80" t="n">
        <v>202512</v>
      </c>
      <c r="D911" s="81" t="n">
        <v>45992</v>
      </c>
      <c r="E911" s="82" t="n">
        <v>5740.079</v>
      </c>
      <c r="F911" s="80" t="n">
        <v>10</v>
      </c>
      <c r="G911" s="79" t="s">
        <v>928</v>
      </c>
    </row>
    <row r="912" customFormat="false" ht="15" hidden="false" customHeight="false" outlineLevel="0" collapsed="false">
      <c r="A912" s="79" t="s">
        <v>201</v>
      </c>
      <c r="B912" s="79" t="s">
        <v>1040</v>
      </c>
      <c r="C912" s="80" t="n">
        <v>202511</v>
      </c>
      <c r="D912" s="81" t="n">
        <v>45962</v>
      </c>
      <c r="E912" s="82" t="n">
        <v>5078.957</v>
      </c>
      <c r="F912" s="80" t="n">
        <v>11</v>
      </c>
      <c r="G912" s="79" t="s">
        <v>929</v>
      </c>
    </row>
    <row r="913" customFormat="false" ht="15" hidden="false" customHeight="false" outlineLevel="0" collapsed="false">
      <c r="A913" s="79" t="s">
        <v>201</v>
      </c>
      <c r="B913" s="79" t="s">
        <v>1041</v>
      </c>
      <c r="C913" s="80" t="n">
        <v>202510</v>
      </c>
      <c r="D913" s="81" t="n">
        <v>45931</v>
      </c>
      <c r="E913" s="82" t="n">
        <v>6092.008</v>
      </c>
      <c r="F913" s="80" t="n">
        <v>12</v>
      </c>
      <c r="G913" s="79" t="s">
        <v>930</v>
      </c>
    </row>
    <row r="914" customFormat="false" ht="15" hidden="false" customHeight="false" outlineLevel="0" collapsed="false">
      <c r="A914" s="79" t="s">
        <v>201</v>
      </c>
      <c r="B914" s="79" t="s">
        <v>1042</v>
      </c>
      <c r="C914" s="80" t="n">
        <v>202509</v>
      </c>
      <c r="D914" s="81" t="n">
        <v>45901</v>
      </c>
      <c r="E914" s="82" t="n">
        <v>5715.135</v>
      </c>
      <c r="F914" s="80" t="n">
        <v>13</v>
      </c>
      <c r="G914" s="79" t="s">
        <v>931</v>
      </c>
    </row>
    <row r="915" customFormat="false" ht="15" hidden="false" customHeight="false" outlineLevel="0" collapsed="false">
      <c r="A915" s="79" t="s">
        <v>201</v>
      </c>
      <c r="B915" s="79" t="s">
        <v>1043</v>
      </c>
      <c r="C915" s="80" t="n">
        <v>202508</v>
      </c>
      <c r="D915" s="81" t="n">
        <v>45870</v>
      </c>
      <c r="E915" s="82" t="n">
        <v>5731.436</v>
      </c>
      <c r="F915" s="80" t="n">
        <v>14</v>
      </c>
      <c r="G915" s="79" t="s">
        <v>932</v>
      </c>
    </row>
    <row r="916" customFormat="false" ht="15" hidden="false" customHeight="false" outlineLevel="0" collapsed="false">
      <c r="A916" s="79" t="s">
        <v>201</v>
      </c>
      <c r="B916" s="79" t="s">
        <v>1044</v>
      </c>
      <c r="C916" s="80" t="n">
        <v>202507</v>
      </c>
      <c r="D916" s="81" t="n">
        <v>45839</v>
      </c>
      <c r="E916" s="82" t="n">
        <v>5650.654</v>
      </c>
      <c r="F916" s="80" t="n">
        <v>15</v>
      </c>
      <c r="G916" s="79" t="s">
        <v>933</v>
      </c>
    </row>
    <row r="917" customFormat="false" ht="15" hidden="false" customHeight="false" outlineLevel="0" collapsed="false">
      <c r="A917" s="79" t="s">
        <v>201</v>
      </c>
      <c r="B917" s="79" t="s">
        <v>1045</v>
      </c>
      <c r="C917" s="80" t="n">
        <v>202506</v>
      </c>
      <c r="D917" s="81" t="n">
        <v>45809</v>
      </c>
      <c r="E917" s="82" t="n">
        <v>5515.648</v>
      </c>
      <c r="F917" s="80" t="n">
        <v>16</v>
      </c>
      <c r="G917" s="79" t="s">
        <v>934</v>
      </c>
    </row>
    <row r="918" customFormat="false" ht="15" hidden="false" customHeight="false" outlineLevel="0" collapsed="false">
      <c r="A918" s="79" t="s">
        <v>201</v>
      </c>
      <c r="B918" s="79" t="s">
        <v>1046</v>
      </c>
      <c r="C918" s="80" t="n">
        <v>202505</v>
      </c>
      <c r="D918" s="81" t="n">
        <v>45778</v>
      </c>
      <c r="E918" s="82" t="n">
        <v>5820.548</v>
      </c>
      <c r="F918" s="80" t="n">
        <v>17</v>
      </c>
      <c r="G918" s="79" t="s">
        <v>935</v>
      </c>
    </row>
    <row r="919" customFormat="false" ht="15" hidden="false" customHeight="false" outlineLevel="0" collapsed="false">
      <c r="A919" s="79" t="s">
        <v>201</v>
      </c>
      <c r="B919" s="79" t="s">
        <v>1047</v>
      </c>
      <c r="C919" s="80" t="n">
        <v>202504</v>
      </c>
      <c r="D919" s="81" t="n">
        <v>45748</v>
      </c>
      <c r="E919" s="82" t="n">
        <v>5369.196</v>
      </c>
      <c r="F919" s="80" t="n">
        <v>18</v>
      </c>
      <c r="G919" s="79" t="s">
        <v>936</v>
      </c>
    </row>
    <row r="920" customFormat="false" ht="15" hidden="false" customHeight="false" outlineLevel="0" collapsed="false">
      <c r="A920" s="79" t="s">
        <v>201</v>
      </c>
      <c r="B920" s="79" t="s">
        <v>1048</v>
      </c>
      <c r="C920" s="80" t="n">
        <v>202503</v>
      </c>
      <c r="D920" s="81" t="n">
        <v>45717</v>
      </c>
      <c r="E920" s="82" t="n">
        <v>4843.533</v>
      </c>
      <c r="F920" s="80" t="n">
        <v>19</v>
      </c>
      <c r="G920" s="79" t="s">
        <v>937</v>
      </c>
    </row>
    <row r="921" customFormat="false" ht="15" hidden="false" customHeight="false" outlineLevel="0" collapsed="false">
      <c r="A921" s="79" t="s">
        <v>201</v>
      </c>
      <c r="B921" s="79" t="s">
        <v>1049</v>
      </c>
      <c r="C921" s="80" t="n">
        <v>202502</v>
      </c>
      <c r="D921" s="81" t="n">
        <v>45689</v>
      </c>
      <c r="E921" s="82" t="n">
        <v>5546.732</v>
      </c>
      <c r="F921" s="80" t="n">
        <v>20</v>
      </c>
      <c r="G921" s="79" t="s">
        <v>938</v>
      </c>
    </row>
    <row r="922" customFormat="false" ht="15" hidden="false" customHeight="false" outlineLevel="0" collapsed="false">
      <c r="A922" s="79" t="s">
        <v>201</v>
      </c>
      <c r="B922" s="79" t="s">
        <v>1050</v>
      </c>
      <c r="C922" s="80" t="n">
        <v>202501</v>
      </c>
      <c r="D922" s="81" t="n">
        <v>45658</v>
      </c>
      <c r="E922" s="82" t="n">
        <v>5450.18</v>
      </c>
      <c r="F922" s="80" t="n">
        <v>21</v>
      </c>
      <c r="G922" s="79" t="s">
        <v>939</v>
      </c>
    </row>
    <row r="923" customFormat="false" ht="15" hidden="false" customHeight="false" outlineLevel="0" collapsed="false">
      <c r="A923" s="79" t="s">
        <v>201</v>
      </c>
      <c r="B923" s="79" t="s">
        <v>1051</v>
      </c>
      <c r="C923" s="80" t="n">
        <v>202412</v>
      </c>
      <c r="D923" s="81" t="n">
        <v>45627</v>
      </c>
      <c r="E923" s="82" t="n">
        <v>5218.606</v>
      </c>
      <c r="F923" s="80" t="n">
        <v>22</v>
      </c>
      <c r="G923" s="79" t="s">
        <v>940</v>
      </c>
    </row>
    <row r="924" customFormat="false" ht="15" hidden="false" customHeight="false" outlineLevel="0" collapsed="false">
      <c r="A924" s="79" t="s">
        <v>201</v>
      </c>
      <c r="B924" s="79" t="s">
        <v>1052</v>
      </c>
      <c r="C924" s="80" t="n">
        <v>202411</v>
      </c>
      <c r="D924" s="81" t="n">
        <v>45597</v>
      </c>
      <c r="E924" s="82" t="n">
        <v>5238.146</v>
      </c>
      <c r="F924" s="80" t="n">
        <v>23</v>
      </c>
      <c r="G924" s="79" t="s">
        <v>941</v>
      </c>
    </row>
    <row r="925" customFormat="false" ht="15" hidden="false" customHeight="false" outlineLevel="0" collapsed="false">
      <c r="A925" s="79" t="s">
        <v>201</v>
      </c>
      <c r="B925" s="79" t="s">
        <v>1053</v>
      </c>
      <c r="C925" s="80" t="n">
        <v>202410</v>
      </c>
      <c r="D925" s="81" t="n">
        <v>45566</v>
      </c>
      <c r="E925" s="82" t="n">
        <v>5314.01</v>
      </c>
      <c r="F925" s="80" t="n">
        <v>24</v>
      </c>
      <c r="G925" s="79" t="s">
        <v>942</v>
      </c>
    </row>
    <row r="926" customFormat="false" ht="15" hidden="false" customHeight="false" outlineLevel="0" collapsed="false">
      <c r="A926" s="79" t="s">
        <v>201</v>
      </c>
      <c r="B926" s="79" t="s">
        <v>1054</v>
      </c>
      <c r="C926" s="80" t="n">
        <v>202409</v>
      </c>
      <c r="D926" s="81" t="n">
        <v>45536</v>
      </c>
      <c r="E926" s="82" t="n">
        <v>5304.489</v>
      </c>
      <c r="F926" s="80" t="n">
        <v>25</v>
      </c>
      <c r="G926" s="79" t="s">
        <v>1366</v>
      </c>
    </row>
    <row r="927" customFormat="false" ht="15" hidden="false" customHeight="false" outlineLevel="0" collapsed="false">
      <c r="A927" s="79" t="s">
        <v>201</v>
      </c>
      <c r="B927" s="79" t="s">
        <v>1056</v>
      </c>
      <c r="C927" s="80" t="n">
        <v>202408</v>
      </c>
      <c r="D927" s="81" t="n">
        <v>45505</v>
      </c>
      <c r="E927" s="82" t="n">
        <v>4748.025</v>
      </c>
      <c r="F927" s="80" t="n">
        <v>26</v>
      </c>
      <c r="G927" s="79" t="s">
        <v>1367</v>
      </c>
    </row>
    <row r="928" customFormat="false" ht="15" hidden="false" customHeight="false" outlineLevel="0" collapsed="false">
      <c r="A928" s="79" t="s">
        <v>201</v>
      </c>
      <c r="B928" s="79" t="s">
        <v>1058</v>
      </c>
      <c r="C928" s="80" t="n">
        <v>202407</v>
      </c>
      <c r="D928" s="81" t="n">
        <v>45474</v>
      </c>
      <c r="E928" s="82" t="n">
        <v>4530.736</v>
      </c>
      <c r="F928" s="80" t="n">
        <v>27</v>
      </c>
      <c r="G928" s="79" t="s">
        <v>1368</v>
      </c>
    </row>
    <row r="929" customFormat="false" ht="15" hidden="false" customHeight="false" outlineLevel="0" collapsed="false">
      <c r="A929" s="79" t="s">
        <v>201</v>
      </c>
      <c r="B929" s="79" t="s">
        <v>1060</v>
      </c>
      <c r="C929" s="80" t="n">
        <v>202406</v>
      </c>
      <c r="D929" s="81" t="n">
        <v>45444</v>
      </c>
      <c r="E929" s="82" t="n">
        <v>4581.022</v>
      </c>
      <c r="F929" s="80" t="n">
        <v>28</v>
      </c>
      <c r="G929" s="79" t="s">
        <v>1369</v>
      </c>
    </row>
    <row r="930" customFormat="false" ht="15" hidden="false" customHeight="false" outlineLevel="0" collapsed="false">
      <c r="A930" s="79" t="s">
        <v>201</v>
      </c>
      <c r="B930" s="79" t="s">
        <v>1062</v>
      </c>
      <c r="C930" s="80" t="n">
        <v>202405</v>
      </c>
      <c r="D930" s="81" t="n">
        <v>45413</v>
      </c>
      <c r="E930" s="82" t="n">
        <v>4679.738</v>
      </c>
      <c r="F930" s="80" t="n">
        <v>29</v>
      </c>
      <c r="G930" s="79" t="s">
        <v>1370</v>
      </c>
    </row>
    <row r="931" customFormat="false" ht="15" hidden="false" customHeight="false" outlineLevel="0" collapsed="false">
      <c r="A931" s="79" t="s">
        <v>201</v>
      </c>
      <c r="B931" s="79" t="s">
        <v>1064</v>
      </c>
      <c r="C931" s="80" t="n">
        <v>202404</v>
      </c>
      <c r="D931" s="81" t="n">
        <v>45383</v>
      </c>
      <c r="E931" s="82" t="n">
        <v>4138.871</v>
      </c>
      <c r="F931" s="80" t="n">
        <v>30</v>
      </c>
      <c r="G931" s="79" t="s">
        <v>1371</v>
      </c>
    </row>
    <row r="932" customFormat="false" ht="15" hidden="false" customHeight="false" outlineLevel="0" collapsed="false">
      <c r="A932" s="79" t="s">
        <v>201</v>
      </c>
      <c r="B932" s="79" t="s">
        <v>1066</v>
      </c>
      <c r="C932" s="80" t="n">
        <v>202403</v>
      </c>
      <c r="D932" s="81" t="n">
        <v>45352</v>
      </c>
      <c r="E932" s="82" t="n">
        <v>3744.48</v>
      </c>
      <c r="F932" s="80" t="n">
        <v>31</v>
      </c>
      <c r="G932" s="79" t="s">
        <v>1372</v>
      </c>
    </row>
    <row r="933" customFormat="false" ht="15" hidden="false" customHeight="false" outlineLevel="0" collapsed="false">
      <c r="A933" s="79" t="s">
        <v>201</v>
      </c>
      <c r="B933" s="79" t="s">
        <v>1068</v>
      </c>
      <c r="C933" s="80" t="n">
        <v>202402</v>
      </c>
      <c r="D933" s="81" t="n">
        <v>45323</v>
      </c>
      <c r="E933" s="82" t="n">
        <v>4048.51</v>
      </c>
      <c r="F933" s="80" t="n">
        <v>32</v>
      </c>
      <c r="G933" s="79" t="s">
        <v>1373</v>
      </c>
    </row>
    <row r="934" customFormat="false" ht="15" hidden="false" customHeight="false" outlineLevel="0" collapsed="false">
      <c r="A934" s="79" t="s">
        <v>201</v>
      </c>
      <c r="B934" s="79" t="s">
        <v>1070</v>
      </c>
      <c r="C934" s="80" t="n">
        <v>202401</v>
      </c>
      <c r="D934" s="81" t="n">
        <v>45292</v>
      </c>
      <c r="E934" s="82" t="n">
        <v>3927.48</v>
      </c>
      <c r="F934" s="80" t="n">
        <v>33</v>
      </c>
      <c r="G934" s="79" t="s">
        <v>1374</v>
      </c>
    </row>
    <row r="935" customFormat="false" ht="15" hidden="false" customHeight="false" outlineLevel="0" collapsed="false">
      <c r="A935" s="79" t="s">
        <v>201</v>
      </c>
      <c r="B935" s="79" t="s">
        <v>1072</v>
      </c>
      <c r="C935" s="80" t="n">
        <v>202312</v>
      </c>
      <c r="D935" s="81" t="n">
        <v>45261</v>
      </c>
      <c r="E935" s="82" t="n">
        <v>3961.991</v>
      </c>
      <c r="F935" s="80" t="n">
        <v>34</v>
      </c>
      <c r="G935" s="79" t="s">
        <v>1375</v>
      </c>
    </row>
    <row r="936" customFormat="false" ht="15" hidden="false" customHeight="false" outlineLevel="0" collapsed="false">
      <c r="A936" s="79" t="s">
        <v>201</v>
      </c>
      <c r="B936" s="79" t="s">
        <v>1074</v>
      </c>
      <c r="C936" s="80" t="n">
        <v>202311</v>
      </c>
      <c r="D936" s="81" t="n">
        <v>45231</v>
      </c>
      <c r="E936" s="82" t="n">
        <v>4343.215</v>
      </c>
      <c r="F936" s="80" t="n">
        <v>35</v>
      </c>
      <c r="G936" s="79" t="s">
        <v>1376</v>
      </c>
    </row>
    <row r="937" customFormat="false" ht="15" hidden="false" customHeight="false" outlineLevel="0" collapsed="false">
      <c r="A937" s="79" t="s">
        <v>201</v>
      </c>
      <c r="B937" s="79" t="s">
        <v>1076</v>
      </c>
      <c r="C937" s="80" t="n">
        <v>202310</v>
      </c>
      <c r="D937" s="81" t="n">
        <v>45200</v>
      </c>
      <c r="E937" s="82" t="n">
        <v>4210.501</v>
      </c>
      <c r="F937" s="80" t="n">
        <v>36</v>
      </c>
      <c r="G937" s="79" t="s">
        <v>1377</v>
      </c>
    </row>
    <row r="938" customFormat="false" ht="15" hidden="false" customHeight="false" outlineLevel="0" collapsed="false">
      <c r="A938" s="79" t="s">
        <v>217</v>
      </c>
      <c r="B938" s="79" t="s">
        <v>1030</v>
      </c>
      <c r="C938" s="80" t="n">
        <v>202609</v>
      </c>
      <c r="D938" s="81" t="n">
        <v>46266</v>
      </c>
      <c r="E938" s="82" t="n">
        <v>1628.177</v>
      </c>
      <c r="F938" s="80" t="n">
        <v>1</v>
      </c>
      <c r="G938" s="79" t="s">
        <v>944</v>
      </c>
    </row>
    <row r="939" customFormat="false" ht="15" hidden="false" customHeight="false" outlineLevel="0" collapsed="false">
      <c r="A939" s="79" t="s">
        <v>217</v>
      </c>
      <c r="B939" s="79" t="s">
        <v>1031</v>
      </c>
      <c r="C939" s="80" t="n">
        <v>202608</v>
      </c>
      <c r="D939" s="81" t="n">
        <v>46235</v>
      </c>
      <c r="E939" s="82" t="n">
        <v>1229.355</v>
      </c>
      <c r="F939" s="80" t="n">
        <v>2</v>
      </c>
      <c r="G939" s="79" t="s">
        <v>945</v>
      </c>
    </row>
    <row r="940" customFormat="false" ht="15" hidden="false" customHeight="false" outlineLevel="0" collapsed="false">
      <c r="A940" s="79" t="s">
        <v>217</v>
      </c>
      <c r="B940" s="79" t="s">
        <v>1032</v>
      </c>
      <c r="C940" s="80" t="n">
        <v>202607</v>
      </c>
      <c r="D940" s="81" t="n">
        <v>46204</v>
      </c>
      <c r="E940" s="82" t="n">
        <v>1069.405</v>
      </c>
      <c r="F940" s="80" t="n">
        <v>3</v>
      </c>
      <c r="G940" s="79" t="s">
        <v>946</v>
      </c>
    </row>
    <row r="941" customFormat="false" ht="15" hidden="false" customHeight="false" outlineLevel="0" collapsed="false">
      <c r="A941" s="79" t="s">
        <v>217</v>
      </c>
      <c r="B941" s="79" t="s">
        <v>1033</v>
      </c>
      <c r="C941" s="80" t="n">
        <v>202606</v>
      </c>
      <c r="D941" s="81" t="n">
        <v>46174</v>
      </c>
      <c r="E941" s="82" t="n">
        <v>1725.672</v>
      </c>
      <c r="F941" s="80" t="n">
        <v>4</v>
      </c>
      <c r="G941" s="79" t="s">
        <v>947</v>
      </c>
    </row>
    <row r="942" customFormat="false" ht="15" hidden="false" customHeight="false" outlineLevel="0" collapsed="false">
      <c r="A942" s="79" t="s">
        <v>217</v>
      </c>
      <c r="B942" s="79" t="s">
        <v>1034</v>
      </c>
      <c r="C942" s="80" t="n">
        <v>202605</v>
      </c>
      <c r="D942" s="81" t="n">
        <v>46143</v>
      </c>
      <c r="E942" s="82" t="n">
        <v>886.439</v>
      </c>
      <c r="F942" s="80" t="n">
        <v>5</v>
      </c>
      <c r="G942" s="79" t="s">
        <v>948</v>
      </c>
    </row>
    <row r="943" customFormat="false" ht="15" hidden="false" customHeight="false" outlineLevel="0" collapsed="false">
      <c r="A943" s="79" t="s">
        <v>217</v>
      </c>
      <c r="B943" s="79" t="s">
        <v>1035</v>
      </c>
      <c r="C943" s="80" t="n">
        <v>202604</v>
      </c>
      <c r="D943" s="81" t="n">
        <v>46113</v>
      </c>
      <c r="E943" s="82" t="n">
        <v>1012.955</v>
      </c>
      <c r="F943" s="80" t="n">
        <v>6</v>
      </c>
      <c r="G943" s="79" t="s">
        <v>949</v>
      </c>
    </row>
    <row r="944" customFormat="false" ht="15" hidden="false" customHeight="false" outlineLevel="0" collapsed="false">
      <c r="A944" s="79" t="s">
        <v>217</v>
      </c>
      <c r="B944" s="79" t="s">
        <v>1036</v>
      </c>
      <c r="C944" s="80" t="n">
        <v>202603</v>
      </c>
      <c r="D944" s="81" t="n">
        <v>46082</v>
      </c>
      <c r="E944" s="82" t="n">
        <v>738.625</v>
      </c>
      <c r="F944" s="80" t="n">
        <v>7</v>
      </c>
      <c r="G944" s="79" t="s">
        <v>950</v>
      </c>
    </row>
    <row r="945" customFormat="false" ht="15" hidden="false" customHeight="false" outlineLevel="0" collapsed="false">
      <c r="A945" s="79" t="s">
        <v>217</v>
      </c>
      <c r="B945" s="79" t="s">
        <v>1037</v>
      </c>
      <c r="C945" s="80" t="n">
        <v>202602</v>
      </c>
      <c r="D945" s="81" t="n">
        <v>46054</v>
      </c>
      <c r="E945" s="82" t="n">
        <v>954.509</v>
      </c>
      <c r="F945" s="80" t="n">
        <v>8</v>
      </c>
      <c r="G945" s="79" t="s">
        <v>951</v>
      </c>
    </row>
    <row r="946" customFormat="false" ht="15" hidden="false" customHeight="false" outlineLevel="0" collapsed="false">
      <c r="A946" s="79" t="s">
        <v>217</v>
      </c>
      <c r="B946" s="79" t="s">
        <v>1038</v>
      </c>
      <c r="C946" s="80" t="n">
        <v>202601</v>
      </c>
      <c r="D946" s="81" t="n">
        <v>46023</v>
      </c>
      <c r="E946" s="82" t="n">
        <v>1185.469</v>
      </c>
      <c r="F946" s="80" t="n">
        <v>9</v>
      </c>
      <c r="G946" s="79" t="s">
        <v>952</v>
      </c>
    </row>
    <row r="947" customFormat="false" ht="15" hidden="false" customHeight="false" outlineLevel="0" collapsed="false">
      <c r="A947" s="79" t="s">
        <v>217</v>
      </c>
      <c r="B947" s="79" t="s">
        <v>1039</v>
      </c>
      <c r="C947" s="80" t="n">
        <v>202512</v>
      </c>
      <c r="D947" s="81" t="n">
        <v>45992</v>
      </c>
      <c r="E947" s="82" t="n">
        <v>809.742</v>
      </c>
      <c r="F947" s="80" t="n">
        <v>10</v>
      </c>
      <c r="G947" s="79" t="s">
        <v>953</v>
      </c>
    </row>
    <row r="948" customFormat="false" ht="15" hidden="false" customHeight="false" outlineLevel="0" collapsed="false">
      <c r="A948" s="79" t="s">
        <v>217</v>
      </c>
      <c r="B948" s="79" t="s">
        <v>1040</v>
      </c>
      <c r="C948" s="80" t="n">
        <v>202511</v>
      </c>
      <c r="D948" s="81" t="n">
        <v>45962</v>
      </c>
      <c r="E948" s="82" t="n">
        <v>1006.381</v>
      </c>
      <c r="F948" s="80" t="n">
        <v>11</v>
      </c>
      <c r="G948" s="79" t="s">
        <v>954</v>
      </c>
    </row>
    <row r="949" customFormat="false" ht="15" hidden="false" customHeight="false" outlineLevel="0" collapsed="false">
      <c r="A949" s="79" t="s">
        <v>217</v>
      </c>
      <c r="B949" s="79" t="s">
        <v>1041</v>
      </c>
      <c r="C949" s="80" t="n">
        <v>202510</v>
      </c>
      <c r="D949" s="81" t="n">
        <v>45931</v>
      </c>
      <c r="E949" s="82" t="n">
        <v>1045.018</v>
      </c>
      <c r="F949" s="80" t="n">
        <v>12</v>
      </c>
      <c r="G949" s="79" t="s">
        <v>955</v>
      </c>
    </row>
    <row r="950" customFormat="false" ht="15" hidden="false" customHeight="false" outlineLevel="0" collapsed="false">
      <c r="A950" s="79" t="s">
        <v>217</v>
      </c>
      <c r="B950" s="79" t="s">
        <v>1042</v>
      </c>
      <c r="C950" s="80" t="n">
        <v>202509</v>
      </c>
      <c r="D950" s="81" t="n">
        <v>45901</v>
      </c>
      <c r="E950" s="82" t="n">
        <v>645.477</v>
      </c>
      <c r="F950" s="80" t="n">
        <v>13</v>
      </c>
      <c r="G950" s="79" t="s">
        <v>956</v>
      </c>
    </row>
    <row r="951" customFormat="false" ht="15" hidden="false" customHeight="false" outlineLevel="0" collapsed="false">
      <c r="A951" s="79" t="s">
        <v>217</v>
      </c>
      <c r="B951" s="79" t="s">
        <v>1043</v>
      </c>
      <c r="C951" s="80" t="n">
        <v>202508</v>
      </c>
      <c r="D951" s="81" t="n">
        <v>45870</v>
      </c>
      <c r="E951" s="82" t="n">
        <v>823.662</v>
      </c>
      <c r="F951" s="80" t="n">
        <v>14</v>
      </c>
      <c r="G951" s="79" t="s">
        <v>957</v>
      </c>
    </row>
    <row r="952" customFormat="false" ht="15" hidden="false" customHeight="false" outlineLevel="0" collapsed="false">
      <c r="A952" s="79" t="s">
        <v>217</v>
      </c>
      <c r="B952" s="79" t="s">
        <v>1044</v>
      </c>
      <c r="C952" s="80" t="n">
        <v>202507</v>
      </c>
      <c r="D952" s="81" t="n">
        <v>45839</v>
      </c>
      <c r="E952" s="82" t="n">
        <v>1052.104</v>
      </c>
      <c r="F952" s="80" t="n">
        <v>15</v>
      </c>
      <c r="G952" s="79" t="s">
        <v>958</v>
      </c>
    </row>
    <row r="953" customFormat="false" ht="15" hidden="false" customHeight="false" outlineLevel="0" collapsed="false">
      <c r="A953" s="79" t="s">
        <v>217</v>
      </c>
      <c r="B953" s="79" t="s">
        <v>1045</v>
      </c>
      <c r="C953" s="80" t="n">
        <v>202506</v>
      </c>
      <c r="D953" s="81" t="n">
        <v>45809</v>
      </c>
      <c r="E953" s="82" t="n">
        <v>798.847</v>
      </c>
      <c r="F953" s="80" t="n">
        <v>16</v>
      </c>
      <c r="G953" s="79" t="s">
        <v>959</v>
      </c>
    </row>
    <row r="954" customFormat="false" ht="15" hidden="false" customHeight="false" outlineLevel="0" collapsed="false">
      <c r="A954" s="79" t="s">
        <v>217</v>
      </c>
      <c r="B954" s="79" t="s">
        <v>1046</v>
      </c>
      <c r="C954" s="80" t="n">
        <v>202505</v>
      </c>
      <c r="D954" s="81" t="n">
        <v>45778</v>
      </c>
      <c r="E954" s="82" t="n">
        <v>1057.879</v>
      </c>
      <c r="F954" s="80" t="n">
        <v>17</v>
      </c>
      <c r="G954" s="79" t="s">
        <v>960</v>
      </c>
    </row>
    <row r="955" customFormat="false" ht="15" hidden="false" customHeight="false" outlineLevel="0" collapsed="false">
      <c r="A955" s="79" t="s">
        <v>217</v>
      </c>
      <c r="B955" s="79" t="s">
        <v>1047</v>
      </c>
      <c r="C955" s="80" t="n">
        <v>202504</v>
      </c>
      <c r="D955" s="81" t="n">
        <v>45748</v>
      </c>
      <c r="E955" s="82" t="n">
        <v>576.974</v>
      </c>
      <c r="F955" s="80" t="n">
        <v>18</v>
      </c>
      <c r="G955" s="79" t="s">
        <v>961</v>
      </c>
    </row>
    <row r="956" customFormat="false" ht="15" hidden="false" customHeight="false" outlineLevel="0" collapsed="false">
      <c r="A956" s="79" t="s">
        <v>217</v>
      </c>
      <c r="B956" s="79" t="s">
        <v>1048</v>
      </c>
      <c r="C956" s="80" t="n">
        <v>202503</v>
      </c>
      <c r="D956" s="81" t="n">
        <v>45717</v>
      </c>
      <c r="E956" s="82" t="n">
        <v>512.631</v>
      </c>
      <c r="F956" s="80" t="n">
        <v>19</v>
      </c>
      <c r="G956" s="79" t="s">
        <v>962</v>
      </c>
    </row>
    <row r="957" customFormat="false" ht="15" hidden="false" customHeight="false" outlineLevel="0" collapsed="false">
      <c r="A957" s="79" t="s">
        <v>217</v>
      </c>
      <c r="B957" s="79" t="s">
        <v>1049</v>
      </c>
      <c r="C957" s="80" t="n">
        <v>202502</v>
      </c>
      <c r="D957" s="81" t="n">
        <v>45689</v>
      </c>
      <c r="E957" s="82" t="n">
        <v>1015.105</v>
      </c>
      <c r="F957" s="80" t="n">
        <v>20</v>
      </c>
      <c r="G957" s="79" t="s">
        <v>963</v>
      </c>
    </row>
    <row r="958" customFormat="false" ht="15" hidden="false" customHeight="false" outlineLevel="0" collapsed="false">
      <c r="A958" s="79" t="s">
        <v>217</v>
      </c>
      <c r="B958" s="79" t="s">
        <v>1050</v>
      </c>
      <c r="C958" s="80" t="n">
        <v>202501</v>
      </c>
      <c r="D958" s="81" t="n">
        <v>45658</v>
      </c>
      <c r="E958" s="82" t="n">
        <v>1361.285</v>
      </c>
      <c r="F958" s="80" t="n">
        <v>21</v>
      </c>
      <c r="G958" s="79" t="s">
        <v>964</v>
      </c>
    </row>
    <row r="959" customFormat="false" ht="15" hidden="false" customHeight="false" outlineLevel="0" collapsed="false">
      <c r="A959" s="79" t="s">
        <v>217</v>
      </c>
      <c r="B959" s="79" t="s">
        <v>1051</v>
      </c>
      <c r="C959" s="80" t="n">
        <v>202412</v>
      </c>
      <c r="D959" s="81" t="n">
        <v>45627</v>
      </c>
      <c r="E959" s="82" t="n">
        <v>554.701</v>
      </c>
      <c r="F959" s="80" t="n">
        <v>22</v>
      </c>
      <c r="G959" s="79" t="s">
        <v>965</v>
      </c>
    </row>
    <row r="960" customFormat="false" ht="15" hidden="false" customHeight="false" outlineLevel="0" collapsed="false">
      <c r="A960" s="79" t="s">
        <v>217</v>
      </c>
      <c r="B960" s="79" t="s">
        <v>1052</v>
      </c>
      <c r="C960" s="80" t="n">
        <v>202411</v>
      </c>
      <c r="D960" s="81" t="n">
        <v>45597</v>
      </c>
      <c r="E960" s="82" t="n">
        <v>587.739</v>
      </c>
      <c r="F960" s="80" t="n">
        <v>23</v>
      </c>
      <c r="G960" s="79" t="s">
        <v>966</v>
      </c>
    </row>
    <row r="961" customFormat="false" ht="15" hidden="false" customHeight="false" outlineLevel="0" collapsed="false">
      <c r="A961" s="79" t="s">
        <v>217</v>
      </c>
      <c r="B961" s="79" t="s">
        <v>1053</v>
      </c>
      <c r="C961" s="80" t="n">
        <v>202410</v>
      </c>
      <c r="D961" s="81" t="n">
        <v>45566</v>
      </c>
      <c r="E961" s="82" t="n">
        <v>561.522</v>
      </c>
      <c r="F961" s="80" t="n">
        <v>24</v>
      </c>
      <c r="G961" s="79" t="s">
        <v>967</v>
      </c>
    </row>
    <row r="962" customFormat="false" ht="15" hidden="false" customHeight="false" outlineLevel="0" collapsed="false">
      <c r="A962" s="79" t="s">
        <v>217</v>
      </c>
      <c r="B962" s="79" t="s">
        <v>1054</v>
      </c>
      <c r="C962" s="80" t="n">
        <v>202409</v>
      </c>
      <c r="D962" s="81" t="n">
        <v>45536</v>
      </c>
      <c r="E962" s="82" t="n">
        <v>533.264</v>
      </c>
      <c r="F962" s="80" t="n">
        <v>25</v>
      </c>
      <c r="G962" s="79" t="s">
        <v>1378</v>
      </c>
    </row>
    <row r="963" customFormat="false" ht="15" hidden="false" customHeight="false" outlineLevel="0" collapsed="false">
      <c r="A963" s="79" t="s">
        <v>217</v>
      </c>
      <c r="B963" s="79" t="s">
        <v>1056</v>
      </c>
      <c r="C963" s="80" t="n">
        <v>202408</v>
      </c>
      <c r="D963" s="81" t="n">
        <v>45505</v>
      </c>
      <c r="E963" s="82" t="n">
        <v>546.113</v>
      </c>
      <c r="F963" s="80" t="n">
        <v>26</v>
      </c>
      <c r="G963" s="79" t="s">
        <v>1379</v>
      </c>
    </row>
    <row r="964" customFormat="false" ht="15" hidden="false" customHeight="false" outlineLevel="0" collapsed="false">
      <c r="A964" s="79" t="s">
        <v>217</v>
      </c>
      <c r="B964" s="79" t="s">
        <v>1058</v>
      </c>
      <c r="C964" s="80" t="n">
        <v>202407</v>
      </c>
      <c r="D964" s="81" t="n">
        <v>45474</v>
      </c>
      <c r="E964" s="82" t="n">
        <v>588.151</v>
      </c>
      <c r="F964" s="80" t="n">
        <v>27</v>
      </c>
      <c r="G964" s="79" t="s">
        <v>1380</v>
      </c>
    </row>
    <row r="965" customFormat="false" ht="15" hidden="false" customHeight="false" outlineLevel="0" collapsed="false">
      <c r="A965" s="79" t="s">
        <v>217</v>
      </c>
      <c r="B965" s="79" t="s">
        <v>1060</v>
      </c>
      <c r="C965" s="80" t="n">
        <v>202406</v>
      </c>
      <c r="D965" s="81" t="n">
        <v>45444</v>
      </c>
      <c r="E965" s="82" t="n">
        <v>495.06</v>
      </c>
      <c r="F965" s="80" t="n">
        <v>28</v>
      </c>
      <c r="G965" s="79" t="s">
        <v>1381</v>
      </c>
    </row>
    <row r="966" customFormat="false" ht="15" hidden="false" customHeight="false" outlineLevel="0" collapsed="false">
      <c r="A966" s="79" t="s">
        <v>217</v>
      </c>
      <c r="B966" s="79" t="s">
        <v>1062</v>
      </c>
      <c r="C966" s="80" t="n">
        <v>202405</v>
      </c>
      <c r="D966" s="81" t="n">
        <v>45413</v>
      </c>
      <c r="E966" s="82" t="n">
        <v>359.103</v>
      </c>
      <c r="F966" s="80" t="n">
        <v>29</v>
      </c>
      <c r="G966" s="79" t="s">
        <v>1382</v>
      </c>
    </row>
    <row r="967" customFormat="false" ht="15" hidden="false" customHeight="false" outlineLevel="0" collapsed="false">
      <c r="A967" s="79" t="s">
        <v>217</v>
      </c>
      <c r="B967" s="79" t="s">
        <v>1064</v>
      </c>
      <c r="C967" s="80" t="n">
        <v>202404</v>
      </c>
      <c r="D967" s="81" t="n">
        <v>45383</v>
      </c>
      <c r="E967" s="82" t="n">
        <v>322.871</v>
      </c>
      <c r="F967" s="80" t="n">
        <v>30</v>
      </c>
      <c r="G967" s="79" t="s">
        <v>1383</v>
      </c>
    </row>
    <row r="968" customFormat="false" ht="15" hidden="false" customHeight="false" outlineLevel="0" collapsed="false">
      <c r="A968" s="79" t="s">
        <v>217</v>
      </c>
      <c r="B968" s="79" t="s">
        <v>1066</v>
      </c>
      <c r="C968" s="80" t="n">
        <v>202403</v>
      </c>
      <c r="D968" s="81" t="n">
        <v>45352</v>
      </c>
      <c r="E968" s="82" t="n">
        <v>250.814</v>
      </c>
      <c r="F968" s="80" t="n">
        <v>31</v>
      </c>
      <c r="G968" s="79" t="s">
        <v>1384</v>
      </c>
    </row>
    <row r="969" customFormat="false" ht="15" hidden="false" customHeight="false" outlineLevel="0" collapsed="false">
      <c r="A969" s="79" t="s">
        <v>217</v>
      </c>
      <c r="B969" s="79" t="s">
        <v>1068</v>
      </c>
      <c r="C969" s="80" t="n">
        <v>202402</v>
      </c>
      <c r="D969" s="81" t="n">
        <v>45323</v>
      </c>
      <c r="E969" s="82" t="n">
        <v>252.633</v>
      </c>
      <c r="F969" s="80" t="n">
        <v>32</v>
      </c>
      <c r="G969" s="79" t="s">
        <v>1385</v>
      </c>
    </row>
    <row r="970" customFormat="false" ht="15" hidden="false" customHeight="false" outlineLevel="0" collapsed="false">
      <c r="A970" s="79" t="s">
        <v>217</v>
      </c>
      <c r="B970" s="79" t="s">
        <v>1070</v>
      </c>
      <c r="C970" s="80" t="n">
        <v>202401</v>
      </c>
      <c r="D970" s="81" t="n">
        <v>45292</v>
      </c>
      <c r="E970" s="82" t="n">
        <v>232.903</v>
      </c>
      <c r="F970" s="80" t="n">
        <v>33</v>
      </c>
      <c r="G970" s="79" t="s">
        <v>1386</v>
      </c>
    </row>
    <row r="971" customFormat="false" ht="15" hidden="false" customHeight="false" outlineLevel="0" collapsed="false">
      <c r="A971" s="79" t="s">
        <v>217</v>
      </c>
      <c r="B971" s="79" t="s">
        <v>1072</v>
      </c>
      <c r="C971" s="80" t="n">
        <v>202312</v>
      </c>
      <c r="D971" s="81" t="n">
        <v>45261</v>
      </c>
      <c r="E971" s="82" t="n">
        <v>156.024</v>
      </c>
      <c r="F971" s="80" t="n">
        <v>34</v>
      </c>
      <c r="G971" s="79" t="s">
        <v>1387</v>
      </c>
    </row>
    <row r="972" customFormat="false" ht="15" hidden="false" customHeight="false" outlineLevel="0" collapsed="false">
      <c r="A972" s="79" t="s">
        <v>217</v>
      </c>
      <c r="B972" s="79" t="s">
        <v>1074</v>
      </c>
      <c r="C972" s="80" t="n">
        <v>202311</v>
      </c>
      <c r="D972" s="81" t="n">
        <v>45231</v>
      </c>
      <c r="E972" s="82" t="n">
        <v>231.218</v>
      </c>
      <c r="F972" s="80" t="n">
        <v>35</v>
      </c>
      <c r="G972" s="79" t="s">
        <v>1388</v>
      </c>
    </row>
    <row r="973" customFormat="false" ht="15" hidden="false" customHeight="false" outlineLevel="0" collapsed="false">
      <c r="A973" s="79" t="s">
        <v>217</v>
      </c>
      <c r="B973" s="79" t="s">
        <v>1076</v>
      </c>
      <c r="C973" s="80" t="n">
        <v>202310</v>
      </c>
      <c r="D973" s="81" t="n">
        <v>45200</v>
      </c>
      <c r="E973" s="82" t="n">
        <v>201.507</v>
      </c>
      <c r="F973" s="80" t="n">
        <v>36</v>
      </c>
      <c r="G973" s="79" t="s">
        <v>1389</v>
      </c>
    </row>
    <row r="974" customFormat="false" ht="15" hidden="false" customHeight="false" outlineLevel="0" collapsed="false">
      <c r="A974" s="79" t="s">
        <v>227</v>
      </c>
      <c r="B974" s="79" t="s">
        <v>1030</v>
      </c>
      <c r="C974" s="80" t="n">
        <v>202609</v>
      </c>
      <c r="D974" s="81" t="n">
        <v>46266</v>
      </c>
      <c r="E974" s="82" t="n">
        <v>28275.661</v>
      </c>
      <c r="F974" s="80" t="n">
        <v>1</v>
      </c>
      <c r="G974" s="79" t="s">
        <v>969</v>
      </c>
    </row>
    <row r="975" customFormat="false" ht="15" hidden="false" customHeight="false" outlineLevel="0" collapsed="false">
      <c r="A975" s="79" t="s">
        <v>227</v>
      </c>
      <c r="B975" s="79" t="s">
        <v>1031</v>
      </c>
      <c r="C975" s="80" t="n">
        <v>202608</v>
      </c>
      <c r="D975" s="81" t="n">
        <v>46235</v>
      </c>
      <c r="E975" s="82" t="n">
        <v>27161.687</v>
      </c>
      <c r="F975" s="80" t="n">
        <v>2</v>
      </c>
      <c r="G975" s="79" t="s">
        <v>970</v>
      </c>
    </row>
    <row r="976" customFormat="false" ht="15" hidden="false" customHeight="false" outlineLevel="0" collapsed="false">
      <c r="A976" s="79" t="s">
        <v>227</v>
      </c>
      <c r="B976" s="79" t="s">
        <v>1032</v>
      </c>
      <c r="C976" s="80" t="n">
        <v>202607</v>
      </c>
      <c r="D976" s="81" t="n">
        <v>46204</v>
      </c>
      <c r="E976" s="82" t="n">
        <v>24852.784</v>
      </c>
      <c r="F976" s="80" t="n">
        <v>3</v>
      </c>
      <c r="G976" s="79" t="s">
        <v>971</v>
      </c>
    </row>
    <row r="977" customFormat="false" ht="15" hidden="false" customHeight="false" outlineLevel="0" collapsed="false">
      <c r="A977" s="79" t="s">
        <v>227</v>
      </c>
      <c r="B977" s="79" t="s">
        <v>1033</v>
      </c>
      <c r="C977" s="80" t="n">
        <v>202606</v>
      </c>
      <c r="D977" s="81" t="n">
        <v>46174</v>
      </c>
      <c r="E977" s="82" t="n">
        <v>22827.979</v>
      </c>
      <c r="F977" s="80" t="n">
        <v>4</v>
      </c>
      <c r="G977" s="79" t="s">
        <v>972</v>
      </c>
    </row>
    <row r="978" customFormat="false" ht="15" hidden="false" customHeight="false" outlineLevel="0" collapsed="false">
      <c r="A978" s="79" t="s">
        <v>227</v>
      </c>
      <c r="B978" s="79" t="s">
        <v>1034</v>
      </c>
      <c r="C978" s="80" t="n">
        <v>202605</v>
      </c>
      <c r="D978" s="81" t="n">
        <v>46143</v>
      </c>
      <c r="E978" s="82" t="n">
        <v>20207.493</v>
      </c>
      <c r="F978" s="80" t="n">
        <v>5</v>
      </c>
      <c r="G978" s="79" t="s">
        <v>973</v>
      </c>
    </row>
    <row r="979" customFormat="false" ht="15" hidden="false" customHeight="false" outlineLevel="0" collapsed="false">
      <c r="A979" s="79" t="s">
        <v>227</v>
      </c>
      <c r="B979" s="79" t="s">
        <v>1035</v>
      </c>
      <c r="C979" s="80" t="n">
        <v>202604</v>
      </c>
      <c r="D979" s="81" t="n">
        <v>46113</v>
      </c>
      <c r="E979" s="82" t="n">
        <v>18316.974</v>
      </c>
      <c r="F979" s="80" t="n">
        <v>6</v>
      </c>
      <c r="G979" s="79" t="s">
        <v>974</v>
      </c>
    </row>
    <row r="980" customFormat="false" ht="15" hidden="false" customHeight="false" outlineLevel="0" collapsed="false">
      <c r="A980" s="79" t="s">
        <v>227</v>
      </c>
      <c r="B980" s="79" t="s">
        <v>1036</v>
      </c>
      <c r="C980" s="80" t="n">
        <v>202603</v>
      </c>
      <c r="D980" s="81" t="n">
        <v>46082</v>
      </c>
      <c r="E980" s="82" t="n">
        <v>12198.386</v>
      </c>
      <c r="F980" s="80" t="n">
        <v>7</v>
      </c>
      <c r="G980" s="79" t="s">
        <v>975</v>
      </c>
    </row>
    <row r="981" customFormat="false" ht="15" hidden="false" customHeight="false" outlineLevel="0" collapsed="false">
      <c r="A981" s="79" t="s">
        <v>227</v>
      </c>
      <c r="B981" s="79" t="s">
        <v>1037</v>
      </c>
      <c r="C981" s="80" t="n">
        <v>202602</v>
      </c>
      <c r="D981" s="81" t="n">
        <v>46054</v>
      </c>
      <c r="E981" s="82" t="n">
        <v>10451.593</v>
      </c>
      <c r="F981" s="80" t="n">
        <v>8</v>
      </c>
      <c r="G981" s="79" t="s">
        <v>976</v>
      </c>
    </row>
    <row r="982" customFormat="false" ht="15" hidden="false" customHeight="false" outlineLevel="0" collapsed="false">
      <c r="A982" s="79" t="s">
        <v>227</v>
      </c>
      <c r="B982" s="79" t="s">
        <v>1038</v>
      </c>
      <c r="C982" s="80" t="n">
        <v>202601</v>
      </c>
      <c r="D982" s="81" t="n">
        <v>46023</v>
      </c>
      <c r="E982" s="82" t="n">
        <v>8711.746</v>
      </c>
      <c r="F982" s="80" t="n">
        <v>9</v>
      </c>
      <c r="G982" s="79" t="s">
        <v>977</v>
      </c>
    </row>
    <row r="983" customFormat="false" ht="15" hidden="false" customHeight="false" outlineLevel="0" collapsed="false">
      <c r="A983" s="79" t="s">
        <v>227</v>
      </c>
      <c r="B983" s="79" t="s">
        <v>1039</v>
      </c>
      <c r="C983" s="80" t="n">
        <v>202512</v>
      </c>
      <c r="D983" s="81" t="n">
        <v>45992</v>
      </c>
      <c r="E983" s="82" t="n">
        <v>7021.586</v>
      </c>
      <c r="F983" s="80" t="n">
        <v>10</v>
      </c>
      <c r="G983" s="79" t="s">
        <v>978</v>
      </c>
    </row>
    <row r="984" customFormat="false" ht="15" hidden="false" customHeight="false" outlineLevel="0" collapsed="false">
      <c r="A984" s="79" t="s">
        <v>227</v>
      </c>
      <c r="B984" s="79" t="s">
        <v>1040</v>
      </c>
      <c r="C984" s="80" t="n">
        <v>202511</v>
      </c>
      <c r="D984" s="81" t="n">
        <v>45962</v>
      </c>
      <c r="E984" s="82" t="n">
        <v>7065.326</v>
      </c>
      <c r="F984" s="80" t="n">
        <v>11</v>
      </c>
      <c r="G984" s="79" t="s">
        <v>979</v>
      </c>
    </row>
    <row r="985" customFormat="false" ht="15" hidden="false" customHeight="false" outlineLevel="0" collapsed="false">
      <c r="A985" s="79" t="s">
        <v>227</v>
      </c>
      <c r="B985" s="79" t="s">
        <v>1041</v>
      </c>
      <c r="C985" s="80" t="n">
        <v>202510</v>
      </c>
      <c r="D985" s="81" t="n">
        <v>45931</v>
      </c>
      <c r="E985" s="82" t="n">
        <v>6515.278</v>
      </c>
      <c r="F985" s="80" t="n">
        <v>12</v>
      </c>
      <c r="G985" s="79" t="s">
        <v>980</v>
      </c>
    </row>
    <row r="986" customFormat="false" ht="15" hidden="false" customHeight="false" outlineLevel="0" collapsed="false">
      <c r="A986" s="79" t="s">
        <v>227</v>
      </c>
      <c r="B986" s="79" t="s">
        <v>1042</v>
      </c>
      <c r="C986" s="80" t="n">
        <v>202509</v>
      </c>
      <c r="D986" s="81" t="n">
        <v>45901</v>
      </c>
      <c r="E986" s="82" t="n">
        <v>5933.811</v>
      </c>
      <c r="F986" s="80" t="n">
        <v>13</v>
      </c>
      <c r="G986" s="79" t="s">
        <v>981</v>
      </c>
    </row>
    <row r="987" customFormat="false" ht="15" hidden="false" customHeight="false" outlineLevel="0" collapsed="false">
      <c r="A987" s="79" t="s">
        <v>227</v>
      </c>
      <c r="B987" s="79" t="s">
        <v>1043</v>
      </c>
      <c r="C987" s="80" t="n">
        <v>202508</v>
      </c>
      <c r="D987" s="81" t="n">
        <v>45870</v>
      </c>
      <c r="E987" s="82" t="n">
        <v>5687.708</v>
      </c>
      <c r="F987" s="80" t="n">
        <v>14</v>
      </c>
      <c r="G987" s="79" t="s">
        <v>982</v>
      </c>
    </row>
    <row r="988" customFormat="false" ht="15" hidden="false" customHeight="false" outlineLevel="0" collapsed="false">
      <c r="A988" s="79" t="s">
        <v>227</v>
      </c>
      <c r="B988" s="79" t="s">
        <v>1044</v>
      </c>
      <c r="C988" s="80" t="n">
        <v>202507</v>
      </c>
      <c r="D988" s="81" t="n">
        <v>45839</v>
      </c>
      <c r="E988" s="82" t="n">
        <v>6197.679</v>
      </c>
      <c r="F988" s="80" t="n">
        <v>15</v>
      </c>
      <c r="G988" s="79" t="s">
        <v>983</v>
      </c>
    </row>
    <row r="989" customFormat="false" ht="15" hidden="false" customHeight="false" outlineLevel="0" collapsed="false">
      <c r="A989" s="79" t="s">
        <v>227</v>
      </c>
      <c r="B989" s="79" t="s">
        <v>1045</v>
      </c>
      <c r="C989" s="80" t="n">
        <v>202506</v>
      </c>
      <c r="D989" s="81" t="n">
        <v>45809</v>
      </c>
      <c r="E989" s="82" t="n">
        <v>5689.559</v>
      </c>
      <c r="F989" s="80" t="n">
        <v>16</v>
      </c>
      <c r="G989" s="79" t="s">
        <v>984</v>
      </c>
    </row>
    <row r="990" customFormat="false" ht="15" hidden="false" customHeight="false" outlineLevel="0" collapsed="false">
      <c r="A990" s="79" t="s">
        <v>227</v>
      </c>
      <c r="B990" s="79" t="s">
        <v>1046</v>
      </c>
      <c r="C990" s="80" t="n">
        <v>202505</v>
      </c>
      <c r="D990" s="81" t="n">
        <v>45778</v>
      </c>
      <c r="E990" s="82" t="n">
        <v>6002.833</v>
      </c>
      <c r="F990" s="80" t="n">
        <v>17</v>
      </c>
      <c r="G990" s="79" t="s">
        <v>985</v>
      </c>
    </row>
    <row r="991" customFormat="false" ht="15" hidden="false" customHeight="false" outlineLevel="0" collapsed="false">
      <c r="A991" s="79" t="s">
        <v>227</v>
      </c>
      <c r="B991" s="79" t="s">
        <v>1047</v>
      </c>
      <c r="C991" s="80" t="n">
        <v>202504</v>
      </c>
      <c r="D991" s="81" t="n">
        <v>45748</v>
      </c>
      <c r="E991" s="82" t="n">
        <v>5697.759</v>
      </c>
      <c r="F991" s="80" t="n">
        <v>18</v>
      </c>
      <c r="G991" s="79" t="s">
        <v>986</v>
      </c>
    </row>
    <row r="992" customFormat="false" ht="15" hidden="false" customHeight="false" outlineLevel="0" collapsed="false">
      <c r="A992" s="79" t="s">
        <v>227</v>
      </c>
      <c r="B992" s="79" t="s">
        <v>1048</v>
      </c>
      <c r="C992" s="80" t="n">
        <v>202503</v>
      </c>
      <c r="D992" s="81" t="n">
        <v>45717</v>
      </c>
      <c r="E992" s="82" t="n">
        <v>4527.416</v>
      </c>
      <c r="F992" s="80" t="n">
        <v>19</v>
      </c>
      <c r="G992" s="79" t="s">
        <v>987</v>
      </c>
    </row>
    <row r="993" customFormat="false" ht="15" hidden="false" customHeight="false" outlineLevel="0" collapsed="false">
      <c r="A993" s="79" t="s">
        <v>227</v>
      </c>
      <c r="B993" s="79" t="s">
        <v>1049</v>
      </c>
      <c r="C993" s="80" t="n">
        <v>202502</v>
      </c>
      <c r="D993" s="81" t="n">
        <v>45689</v>
      </c>
      <c r="E993" s="82" t="n">
        <v>3613.39</v>
      </c>
      <c r="F993" s="80" t="n">
        <v>20</v>
      </c>
      <c r="G993" s="79" t="s">
        <v>988</v>
      </c>
    </row>
    <row r="994" customFormat="false" ht="15" hidden="false" customHeight="false" outlineLevel="0" collapsed="false">
      <c r="A994" s="79" t="s">
        <v>227</v>
      </c>
      <c r="B994" s="79" t="s">
        <v>1050</v>
      </c>
      <c r="C994" s="80" t="n">
        <v>202501</v>
      </c>
      <c r="D994" s="81" t="n">
        <v>45658</v>
      </c>
      <c r="E994" s="82" t="n">
        <v>4521.378</v>
      </c>
      <c r="F994" s="80" t="n">
        <v>21</v>
      </c>
      <c r="G994" s="79" t="s">
        <v>989</v>
      </c>
    </row>
    <row r="995" customFormat="false" ht="15" hidden="false" customHeight="false" outlineLevel="0" collapsed="false">
      <c r="A995" s="79" t="s">
        <v>227</v>
      </c>
      <c r="B995" s="79" t="s">
        <v>1051</v>
      </c>
      <c r="C995" s="80" t="n">
        <v>202412</v>
      </c>
      <c r="D995" s="81" t="n">
        <v>45627</v>
      </c>
      <c r="E995" s="82" t="n">
        <v>4333.904</v>
      </c>
      <c r="F995" s="80" t="n">
        <v>22</v>
      </c>
      <c r="G995" s="79" t="s">
        <v>990</v>
      </c>
    </row>
    <row r="996" customFormat="false" ht="15" hidden="false" customHeight="false" outlineLevel="0" collapsed="false">
      <c r="A996" s="79" t="s">
        <v>227</v>
      </c>
      <c r="B996" s="79" t="s">
        <v>1052</v>
      </c>
      <c r="C996" s="80" t="n">
        <v>202411</v>
      </c>
      <c r="D996" s="81" t="n">
        <v>45597</v>
      </c>
      <c r="E996" s="82" t="n">
        <v>3717.027</v>
      </c>
      <c r="F996" s="80" t="n">
        <v>23</v>
      </c>
      <c r="G996" s="79" t="s">
        <v>991</v>
      </c>
    </row>
    <row r="997" customFormat="false" ht="15" hidden="false" customHeight="false" outlineLevel="0" collapsed="false">
      <c r="A997" s="79" t="s">
        <v>227</v>
      </c>
      <c r="B997" s="79" t="s">
        <v>1053</v>
      </c>
      <c r="C997" s="80" t="n">
        <v>202410</v>
      </c>
      <c r="D997" s="81" t="n">
        <v>45566</v>
      </c>
      <c r="E997" s="82" t="n">
        <v>4430.879</v>
      </c>
      <c r="F997" s="80" t="n">
        <v>24</v>
      </c>
      <c r="G997" s="79" t="s">
        <v>992</v>
      </c>
    </row>
    <row r="998" customFormat="false" ht="15" hidden="false" customHeight="false" outlineLevel="0" collapsed="false">
      <c r="A998" s="79" t="s">
        <v>227</v>
      </c>
      <c r="B998" s="79" t="s">
        <v>1054</v>
      </c>
      <c r="C998" s="80" t="n">
        <v>202409</v>
      </c>
      <c r="D998" s="81" t="n">
        <v>45536</v>
      </c>
      <c r="E998" s="82" t="n">
        <v>4805.588</v>
      </c>
      <c r="F998" s="80" t="n">
        <v>25</v>
      </c>
      <c r="G998" s="79" t="s">
        <v>1390</v>
      </c>
    </row>
    <row r="999" customFormat="false" ht="15" hidden="false" customHeight="false" outlineLevel="0" collapsed="false">
      <c r="A999" s="79" t="s">
        <v>227</v>
      </c>
      <c r="B999" s="79" t="s">
        <v>1056</v>
      </c>
      <c r="C999" s="80" t="n">
        <v>202408</v>
      </c>
      <c r="D999" s="81" t="n">
        <v>45505</v>
      </c>
      <c r="E999" s="82" t="n">
        <v>4706.092</v>
      </c>
      <c r="F999" s="80" t="n">
        <v>26</v>
      </c>
      <c r="G999" s="79" t="s">
        <v>1391</v>
      </c>
    </row>
    <row r="1000" customFormat="false" ht="15" hidden="false" customHeight="false" outlineLevel="0" collapsed="false">
      <c r="A1000" s="79" t="s">
        <v>227</v>
      </c>
      <c r="B1000" s="79" t="s">
        <v>1058</v>
      </c>
      <c r="C1000" s="80" t="n">
        <v>202407</v>
      </c>
      <c r="D1000" s="81" t="n">
        <v>45474</v>
      </c>
      <c r="E1000" s="82" t="n">
        <v>5361.009</v>
      </c>
      <c r="F1000" s="80" t="n">
        <v>27</v>
      </c>
      <c r="G1000" s="79" t="s">
        <v>1392</v>
      </c>
    </row>
    <row r="1001" customFormat="false" ht="15" hidden="false" customHeight="false" outlineLevel="0" collapsed="false">
      <c r="A1001" s="79" t="s">
        <v>227</v>
      </c>
      <c r="B1001" s="79" t="s">
        <v>1060</v>
      </c>
      <c r="C1001" s="80" t="n">
        <v>202406</v>
      </c>
      <c r="D1001" s="81" t="n">
        <v>45444</v>
      </c>
      <c r="E1001" s="82" t="n">
        <v>5377.566</v>
      </c>
      <c r="F1001" s="80" t="n">
        <v>28</v>
      </c>
      <c r="G1001" s="79" t="s">
        <v>1393</v>
      </c>
    </row>
    <row r="1002" customFormat="false" ht="15" hidden="false" customHeight="false" outlineLevel="0" collapsed="false">
      <c r="A1002" s="79" t="s">
        <v>227</v>
      </c>
      <c r="B1002" s="79" t="s">
        <v>1062</v>
      </c>
      <c r="C1002" s="80" t="n">
        <v>202405</v>
      </c>
      <c r="D1002" s="81" t="n">
        <v>45413</v>
      </c>
      <c r="E1002" s="82" t="n">
        <v>5156.193</v>
      </c>
      <c r="F1002" s="80" t="n">
        <v>29</v>
      </c>
      <c r="G1002" s="79" t="s">
        <v>1394</v>
      </c>
    </row>
    <row r="1003" customFormat="false" ht="15" hidden="false" customHeight="false" outlineLevel="0" collapsed="false">
      <c r="A1003" s="79" t="s">
        <v>227</v>
      </c>
      <c r="B1003" s="79" t="s">
        <v>1064</v>
      </c>
      <c r="C1003" s="80" t="n">
        <v>202404</v>
      </c>
      <c r="D1003" s="81" t="n">
        <v>45383</v>
      </c>
      <c r="E1003" s="82" t="n">
        <v>6774.966</v>
      </c>
      <c r="F1003" s="80" t="n">
        <v>30</v>
      </c>
      <c r="G1003" s="79" t="s">
        <v>1395</v>
      </c>
    </row>
    <row r="1004" customFormat="false" ht="15" hidden="false" customHeight="false" outlineLevel="0" collapsed="false">
      <c r="A1004" s="79" t="s">
        <v>227</v>
      </c>
      <c r="B1004" s="79" t="s">
        <v>1066</v>
      </c>
      <c r="C1004" s="80" t="n">
        <v>202403</v>
      </c>
      <c r="D1004" s="81" t="n">
        <v>45352</v>
      </c>
      <c r="E1004" s="82" t="n">
        <v>4664.908</v>
      </c>
      <c r="F1004" s="80" t="n">
        <v>31</v>
      </c>
      <c r="G1004" s="79" t="s">
        <v>1396</v>
      </c>
    </row>
    <row r="1005" customFormat="false" ht="15" hidden="false" customHeight="false" outlineLevel="0" collapsed="false">
      <c r="A1005" s="79" t="s">
        <v>227</v>
      </c>
      <c r="B1005" s="79" t="s">
        <v>1068</v>
      </c>
      <c r="C1005" s="80" t="n">
        <v>202402</v>
      </c>
      <c r="D1005" s="81" t="n">
        <v>45323</v>
      </c>
      <c r="E1005" s="82" t="n">
        <v>5086.003</v>
      </c>
      <c r="F1005" s="80" t="n">
        <v>32</v>
      </c>
      <c r="G1005" s="79" t="s">
        <v>1397</v>
      </c>
    </row>
    <row r="1006" customFormat="false" ht="15" hidden="false" customHeight="false" outlineLevel="0" collapsed="false">
      <c r="A1006" s="79" t="s">
        <v>227</v>
      </c>
      <c r="B1006" s="79" t="s">
        <v>1070</v>
      </c>
      <c r="C1006" s="80" t="n">
        <v>202401</v>
      </c>
      <c r="D1006" s="81" t="n">
        <v>45292</v>
      </c>
      <c r="E1006" s="82" t="n">
        <v>5181.825</v>
      </c>
      <c r="F1006" s="80" t="n">
        <v>33</v>
      </c>
      <c r="G1006" s="79" t="s">
        <v>1398</v>
      </c>
    </row>
    <row r="1007" customFormat="false" ht="15" hidden="false" customHeight="false" outlineLevel="0" collapsed="false">
      <c r="A1007" s="79" t="s">
        <v>227</v>
      </c>
      <c r="B1007" s="79" t="s">
        <v>1072</v>
      </c>
      <c r="C1007" s="80" t="n">
        <v>202312</v>
      </c>
      <c r="D1007" s="81" t="n">
        <v>45261</v>
      </c>
      <c r="E1007" s="82" t="n">
        <v>5407.27</v>
      </c>
      <c r="F1007" s="80" t="n">
        <v>34</v>
      </c>
      <c r="G1007" s="79" t="s">
        <v>1399</v>
      </c>
    </row>
    <row r="1008" customFormat="false" ht="15" hidden="false" customHeight="false" outlineLevel="0" collapsed="false">
      <c r="A1008" s="79" t="s">
        <v>227</v>
      </c>
      <c r="B1008" s="79" t="s">
        <v>1074</v>
      </c>
      <c r="C1008" s="80" t="n">
        <v>202311</v>
      </c>
      <c r="D1008" s="81" t="n">
        <v>45231</v>
      </c>
      <c r="E1008" s="82" t="n">
        <v>5158.905</v>
      </c>
      <c r="F1008" s="80" t="n">
        <v>35</v>
      </c>
      <c r="G1008" s="79" t="s">
        <v>1400</v>
      </c>
    </row>
    <row r="1009" customFormat="false" ht="15" hidden="false" customHeight="false" outlineLevel="0" collapsed="false">
      <c r="A1009" s="79" t="s">
        <v>227</v>
      </c>
      <c r="B1009" s="79" t="s">
        <v>1076</v>
      </c>
      <c r="C1009" s="80" t="n">
        <v>202310</v>
      </c>
      <c r="D1009" s="81" t="n">
        <v>45200</v>
      </c>
      <c r="E1009" s="82" t="n">
        <v>5003.863</v>
      </c>
      <c r="F1009" s="80" t="n">
        <v>36</v>
      </c>
      <c r="G1009" s="79" t="s">
        <v>1401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1402</v>
      </c>
      <c r="C1" s="15" t="s">
        <v>1403</v>
      </c>
      <c r="D1" s="15" t="s">
        <v>1404</v>
      </c>
      <c r="E1" s="15" t="s">
        <v>1405</v>
      </c>
      <c r="F1" s="15" t="s">
        <v>1406</v>
      </c>
    </row>
    <row r="2" customFormat="false" ht="15" hidden="false" customHeight="false" outlineLevel="0" collapsed="false">
      <c r="A2" s="79" t="s">
        <v>207</v>
      </c>
      <c r="B2" s="83" t="n">
        <v>352.26392</v>
      </c>
      <c r="C2" s="83" t="n">
        <v>497.7669</v>
      </c>
      <c r="D2" s="81" t="n">
        <v>46387</v>
      </c>
      <c r="E2" s="80" t="n">
        <v>11</v>
      </c>
      <c r="F2" s="81" t="n">
        <v>46281</v>
      </c>
    </row>
    <row r="3" customFormat="false" ht="15" hidden="false" customHeight="false" outlineLevel="0" collapsed="false">
      <c r="A3" s="79" t="s">
        <v>219</v>
      </c>
      <c r="B3" s="83" t="n">
        <v>6.98465</v>
      </c>
      <c r="C3" s="83" t="n">
        <v>7.20625</v>
      </c>
      <c r="D3" s="81" t="n">
        <v>46387</v>
      </c>
      <c r="E3" s="80" t="n">
        <v>13</v>
      </c>
      <c r="F3" s="81" t="n">
        <v>46281</v>
      </c>
    </row>
    <row r="4" customFormat="false" ht="15" hidden="false" customHeight="false" outlineLevel="0" collapsed="false">
      <c r="A4" s="79" t="s">
        <v>341</v>
      </c>
      <c r="B4" s="83" t="n">
        <v>20.23</v>
      </c>
      <c r="C4" s="83" t="n">
        <v>31.60791</v>
      </c>
      <c r="D4" s="81" t="n">
        <v>46387</v>
      </c>
      <c r="E4" s="80" t="n">
        <v>12</v>
      </c>
      <c r="F4" s="81" t="n">
        <v>46281</v>
      </c>
    </row>
    <row r="5" customFormat="false" ht="15" hidden="false" customHeight="false" outlineLevel="0" collapsed="false">
      <c r="A5" s="79" t="s">
        <v>79</v>
      </c>
      <c r="B5" s="83" t="n">
        <v>107.65444</v>
      </c>
      <c r="C5" s="83" t="n">
        <v>142.1165</v>
      </c>
      <c r="D5" s="81" t="n">
        <v>46387</v>
      </c>
      <c r="E5" s="80" t="n">
        <v>23</v>
      </c>
      <c r="F5" s="81" t="n">
        <v>46281</v>
      </c>
    </row>
    <row r="6" customFormat="false" ht="15" hidden="false" customHeight="false" outlineLevel="0" collapsed="false">
      <c r="A6" s="79" t="s">
        <v>236</v>
      </c>
      <c r="B6" s="83" t="n">
        <v>25.4075</v>
      </c>
      <c r="C6" s="83" t="n">
        <v>52.27664</v>
      </c>
      <c r="D6" s="81" t="n">
        <v>46387</v>
      </c>
      <c r="E6" s="80" t="n">
        <v>5</v>
      </c>
      <c r="F6" s="81" t="n">
        <v>46281</v>
      </c>
    </row>
    <row r="7" customFormat="false" ht="15" hidden="false" customHeight="false" outlineLevel="0" collapsed="false">
      <c r="A7" s="79" t="s">
        <v>204</v>
      </c>
      <c r="B7" s="83" t="n">
        <v>33.85612</v>
      </c>
      <c r="C7" s="83" t="n">
        <v>37.25418</v>
      </c>
      <c r="D7" s="81" t="n">
        <v>46387</v>
      </c>
      <c r="E7" s="80" t="n">
        <v>8</v>
      </c>
      <c r="F7" s="81" t="n">
        <v>46281</v>
      </c>
    </row>
    <row r="8" customFormat="false" ht="15" hidden="false" customHeight="false" outlineLevel="0" collapsed="false">
      <c r="A8" s="79" t="s">
        <v>182</v>
      </c>
      <c r="B8" s="83" t="n">
        <v>67.63698</v>
      </c>
      <c r="C8" s="83" t="n">
        <v>100.45386</v>
      </c>
      <c r="D8" s="81" t="n">
        <v>46387</v>
      </c>
      <c r="E8" s="80" t="n">
        <v>6</v>
      </c>
      <c r="F8" s="81" t="n">
        <v>46281</v>
      </c>
    </row>
    <row r="9" customFormat="false" ht="15" hidden="false" customHeight="false" outlineLevel="0" collapsed="false">
      <c r="A9" s="79" t="s">
        <v>467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221</v>
      </c>
      <c r="B10" s="83" t="n">
        <v>68.03144</v>
      </c>
      <c r="C10" s="83" t="n">
        <v>145.53404</v>
      </c>
      <c r="D10" s="81" t="n">
        <v>46387</v>
      </c>
      <c r="E10" s="80" t="n">
        <v>16</v>
      </c>
      <c r="F10" s="81" t="n">
        <v>46281</v>
      </c>
    </row>
    <row r="11" customFormat="false" ht="15" hidden="false" customHeight="false" outlineLevel="0" collapsed="false">
      <c r="A11" s="79" t="s">
        <v>190</v>
      </c>
      <c r="B11" s="83" t="n">
        <v>5.5396</v>
      </c>
      <c r="C11" s="83" t="n">
        <v>9.2857</v>
      </c>
      <c r="D11" s="81" t="n">
        <v>46387</v>
      </c>
      <c r="E11" s="80" t="n">
        <v>9</v>
      </c>
      <c r="F11" s="81" t="n">
        <v>46281</v>
      </c>
    </row>
    <row r="12" customFormat="false" ht="15" hidden="false" customHeight="false" outlineLevel="0" collapsed="false">
      <c r="A12" s="79" t="s">
        <v>223</v>
      </c>
      <c r="B12" s="83"/>
      <c r="C12" s="83"/>
      <c r="D12" s="81"/>
      <c r="E12" s="80"/>
      <c r="F12" s="81" t="n">
        <v>46281</v>
      </c>
    </row>
    <row r="13" customFormat="false" ht="15" hidden="false" customHeight="false" outlineLevel="0" collapsed="false">
      <c r="A13" s="79" t="s">
        <v>195</v>
      </c>
      <c r="B13" s="83" t="n">
        <v>33.70448</v>
      </c>
      <c r="C13" s="83" t="n">
        <v>35.32413</v>
      </c>
      <c r="D13" s="81" t="n">
        <v>46387</v>
      </c>
      <c r="E13" s="80" t="n">
        <v>14</v>
      </c>
      <c r="F13" s="81" t="n">
        <v>46281</v>
      </c>
    </row>
    <row r="14" customFormat="false" ht="15" hidden="false" customHeight="false" outlineLevel="0" collapsed="false">
      <c r="A14" s="79" t="s">
        <v>209</v>
      </c>
      <c r="B14" s="83" t="n">
        <v>19.75802</v>
      </c>
      <c r="C14" s="83" t="n">
        <v>39.34484</v>
      </c>
      <c r="D14" s="81" t="n">
        <v>46387</v>
      </c>
      <c r="E14" s="80" t="n">
        <v>2</v>
      </c>
      <c r="F14" s="81" t="n">
        <v>46281</v>
      </c>
    </row>
    <row r="15" customFormat="false" ht="15" hidden="false" customHeight="false" outlineLevel="0" collapsed="false">
      <c r="A15" s="79" t="s">
        <v>229</v>
      </c>
      <c r="B15" s="83" t="n">
        <v>7.6847</v>
      </c>
      <c r="C15" s="83" t="n">
        <v>9.93347</v>
      </c>
      <c r="D15" s="81" t="n">
        <v>46387</v>
      </c>
      <c r="E15" s="80" t="n">
        <v>9</v>
      </c>
      <c r="F15" s="81" t="n">
        <v>46281</v>
      </c>
    </row>
    <row r="16" customFormat="false" ht="15" hidden="false" customHeight="false" outlineLevel="0" collapsed="false">
      <c r="A16" s="79" t="s">
        <v>211</v>
      </c>
      <c r="B16" s="83"/>
      <c r="C16" s="83"/>
      <c r="D16" s="81"/>
      <c r="E16" s="80"/>
      <c r="F16" s="81" t="n">
        <v>46281</v>
      </c>
    </row>
    <row r="17" customFormat="false" ht="15" hidden="false" customHeight="false" outlineLevel="0" collapsed="false">
      <c r="A17" s="79" t="s">
        <v>215</v>
      </c>
      <c r="B17" s="83" t="n">
        <v>10.41766</v>
      </c>
      <c r="C17" s="83" t="n">
        <v>26.4672</v>
      </c>
      <c r="D17" s="81" t="n">
        <v>46387</v>
      </c>
      <c r="E17" s="80" t="n">
        <v>11</v>
      </c>
      <c r="F17" s="81" t="n">
        <v>46281</v>
      </c>
    </row>
    <row r="18" customFormat="false" ht="15" hidden="false" customHeight="false" outlineLevel="0" collapsed="false">
      <c r="A18" s="79" t="s">
        <v>691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233</v>
      </c>
      <c r="B19" s="83" t="n">
        <v>0.205</v>
      </c>
      <c r="C19" s="83" t="n">
        <v>16.925</v>
      </c>
      <c r="D19" s="81" t="n">
        <v>46387</v>
      </c>
      <c r="E19" s="80" t="n">
        <v>2</v>
      </c>
      <c r="F19" s="81" t="n">
        <v>46281</v>
      </c>
    </row>
    <row r="20" customFormat="false" ht="15" hidden="false" customHeight="false" outlineLevel="0" collapsed="false">
      <c r="A20" s="79" t="s">
        <v>241</v>
      </c>
      <c r="B20" s="83" t="n">
        <v>11.97</v>
      </c>
      <c r="C20" s="83" t="n">
        <v>11.97</v>
      </c>
      <c r="D20" s="81" t="n">
        <v>46387</v>
      </c>
      <c r="E20" s="80"/>
      <c r="F20" s="81" t="n">
        <v>46281</v>
      </c>
    </row>
    <row r="21" customFormat="false" ht="15" hidden="false" customHeight="false" outlineLevel="0" collapsed="false">
      <c r="A21" s="79" t="s">
        <v>197</v>
      </c>
      <c r="B21" s="83" t="n">
        <v>65.61145</v>
      </c>
      <c r="C21" s="83" t="n">
        <v>114.78896</v>
      </c>
      <c r="D21" s="81" t="n">
        <v>46387</v>
      </c>
      <c r="E21" s="80" t="n">
        <v>2</v>
      </c>
      <c r="F21" s="81" t="n">
        <v>46281</v>
      </c>
    </row>
    <row r="22" customFormat="false" ht="15" hidden="false" customHeight="false" outlineLevel="0" collapsed="false">
      <c r="A22" s="79" t="s">
        <v>791</v>
      </c>
      <c r="B22" s="83" t="n">
        <v>18.57398</v>
      </c>
      <c r="C22" s="83" t="n">
        <v>28.04112</v>
      </c>
      <c r="D22" s="81" t="n">
        <v>46387</v>
      </c>
      <c r="E22" s="80" t="n">
        <v>14</v>
      </c>
      <c r="F22" s="81" t="n">
        <v>46275</v>
      </c>
    </row>
    <row r="23" customFormat="false" ht="15" hidden="false" customHeight="false" outlineLevel="0" collapsed="false">
      <c r="A23" s="79" t="s">
        <v>225</v>
      </c>
      <c r="B23" s="83" t="n">
        <v>5.65238</v>
      </c>
      <c r="C23" s="83" t="n">
        <v>7.22044</v>
      </c>
      <c r="D23" s="81" t="n">
        <v>46387</v>
      </c>
      <c r="E23" s="80" t="n">
        <v>6</v>
      </c>
      <c r="F23" s="81" t="n">
        <v>46281</v>
      </c>
    </row>
    <row r="24" customFormat="false" ht="15" hidden="false" customHeight="false" outlineLevel="0" collapsed="false">
      <c r="A24" s="79" t="s">
        <v>231</v>
      </c>
      <c r="B24" s="83" t="n">
        <v>7.39</v>
      </c>
      <c r="C24" s="83" t="n">
        <v>14.13</v>
      </c>
      <c r="D24" s="81" t="n">
        <v>46387</v>
      </c>
      <c r="E24" s="80" t="n">
        <v>1</v>
      </c>
      <c r="F24" s="81" t="n">
        <v>46281</v>
      </c>
    </row>
    <row r="25" customFormat="false" ht="15" hidden="false" customHeight="false" outlineLevel="0" collapsed="false">
      <c r="A25" s="79" t="s">
        <v>186</v>
      </c>
      <c r="B25" s="83" t="n">
        <v>353.215</v>
      </c>
      <c r="C25" s="83" t="n">
        <v>194.82417</v>
      </c>
      <c r="D25" s="81" t="n">
        <v>46387</v>
      </c>
      <c r="E25" s="80" t="n">
        <v>2</v>
      </c>
      <c r="F25" s="81" t="n">
        <v>46281</v>
      </c>
    </row>
    <row r="26" customFormat="false" ht="15" hidden="false" customHeight="false" outlineLevel="0" collapsed="false">
      <c r="A26" s="79" t="s">
        <v>201</v>
      </c>
      <c r="B26" s="83" t="n">
        <v>30.55</v>
      </c>
      <c r="C26" s="83" t="n">
        <v>34.41</v>
      </c>
      <c r="D26" s="81" t="n">
        <v>46387</v>
      </c>
      <c r="E26" s="80" t="n">
        <v>3</v>
      </c>
      <c r="F26" s="81" t="n">
        <v>46281</v>
      </c>
    </row>
    <row r="27" customFormat="false" ht="15" hidden="false" customHeight="false" outlineLevel="0" collapsed="false">
      <c r="A27" s="79" t="s">
        <v>217</v>
      </c>
      <c r="B27" s="83" t="n">
        <v>62.01</v>
      </c>
      <c r="C27" s="83" t="n">
        <v>130</v>
      </c>
      <c r="D27" s="81" t="n">
        <v>46387</v>
      </c>
      <c r="E27" s="80" t="n">
        <v>1</v>
      </c>
      <c r="F27" s="81" t="n">
        <v>46281</v>
      </c>
    </row>
    <row r="28" customFormat="false" ht="15" hidden="false" customHeight="false" outlineLevel="0" collapsed="false">
      <c r="A28" s="79" t="s">
        <v>227</v>
      </c>
      <c r="B28" s="83" t="n">
        <v>359.01566</v>
      </c>
      <c r="C28" s="83" t="n">
        <v>255.73962</v>
      </c>
      <c r="D28" s="81" t="n">
        <v>46387</v>
      </c>
      <c r="E28" s="80" t="n">
        <v>7</v>
      </c>
      <c r="F28" s="81" t="n">
        <v>46281</v>
      </c>
    </row>
    <row r="30" customFormat="false" ht="15" hidden="false" customHeight="false" outlineLevel="0" collapsed="false">
      <c r="A30" s="25" t="s">
        <v>1407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1408</v>
      </c>
      <c r="C1" s="15" t="s">
        <v>1409</v>
      </c>
      <c r="D1" s="15" t="s">
        <v>1410</v>
      </c>
      <c r="E1" s="15" t="s">
        <v>1406</v>
      </c>
    </row>
    <row r="2" customFormat="false" ht="15" hidden="false" customHeight="false" outlineLevel="0" collapsed="false">
      <c r="A2" s="79" t="s">
        <v>207</v>
      </c>
      <c r="B2" s="83" t="n">
        <v>12045</v>
      </c>
      <c r="C2" s="81" t="n">
        <v>46281</v>
      </c>
      <c r="D2" s="81"/>
      <c r="E2" s="81" t="n">
        <v>46281</v>
      </c>
    </row>
    <row r="3" customFormat="false" ht="15" hidden="false" customHeight="false" outlineLevel="0" collapsed="false">
      <c r="A3" s="79" t="s">
        <v>219</v>
      </c>
      <c r="B3" s="83" t="n">
        <v>142</v>
      </c>
      <c r="C3" s="81" t="n">
        <v>46281</v>
      </c>
      <c r="D3" s="81"/>
      <c r="E3" s="81" t="n">
        <v>46281</v>
      </c>
    </row>
    <row r="4" customFormat="false" ht="15" hidden="false" customHeight="false" outlineLevel="0" collapsed="false">
      <c r="A4" s="79" t="s">
        <v>341</v>
      </c>
      <c r="B4" s="83" t="n">
        <v>536</v>
      </c>
      <c r="C4" s="81" t="n">
        <v>46281</v>
      </c>
      <c r="D4" s="81"/>
      <c r="E4" s="81" t="n">
        <v>46281</v>
      </c>
    </row>
    <row r="5" customFormat="false" ht="15" hidden="false" customHeight="false" outlineLevel="0" collapsed="false">
      <c r="A5" s="79" t="s">
        <v>79</v>
      </c>
      <c r="B5" s="83" t="n">
        <v>2380</v>
      </c>
      <c r="C5" s="81" t="n">
        <v>46281</v>
      </c>
      <c r="D5" s="81"/>
      <c r="E5" s="81" t="n">
        <v>46281</v>
      </c>
    </row>
    <row r="6" customFormat="false" ht="15" hidden="false" customHeight="false" outlineLevel="0" collapsed="false">
      <c r="A6" s="79" t="s">
        <v>236</v>
      </c>
      <c r="B6" s="83" t="n">
        <v>169</v>
      </c>
      <c r="C6" s="81" t="n">
        <v>46281</v>
      </c>
      <c r="D6" s="81"/>
      <c r="E6" s="81" t="n">
        <v>46281</v>
      </c>
    </row>
    <row r="7" customFormat="false" ht="15" hidden="false" customHeight="false" outlineLevel="0" collapsed="false">
      <c r="A7" s="79" t="s">
        <v>204</v>
      </c>
      <c r="B7" s="83" t="n">
        <v>350</v>
      </c>
      <c r="C7" s="81" t="n">
        <v>46281</v>
      </c>
      <c r="D7" s="81"/>
      <c r="E7" s="81" t="n">
        <v>46281</v>
      </c>
    </row>
    <row r="8" customFormat="false" ht="15" hidden="false" customHeight="false" outlineLevel="0" collapsed="false">
      <c r="A8" s="79" t="s">
        <v>182</v>
      </c>
      <c r="B8" s="83" t="n">
        <v>492.5</v>
      </c>
      <c r="C8" s="81" t="n">
        <v>46281</v>
      </c>
      <c r="D8" s="81"/>
      <c r="E8" s="81" t="n">
        <v>46281</v>
      </c>
    </row>
    <row r="9" customFormat="false" ht="15" hidden="false" customHeight="false" outlineLevel="0" collapsed="false">
      <c r="A9" s="79" t="s">
        <v>467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221</v>
      </c>
      <c r="B10" s="83" t="n">
        <v>4530</v>
      </c>
      <c r="C10" s="81" t="n">
        <v>46281</v>
      </c>
      <c r="D10" s="81"/>
      <c r="E10" s="81" t="n">
        <v>46281</v>
      </c>
    </row>
    <row r="11" customFormat="false" ht="15" hidden="false" customHeight="false" outlineLevel="0" collapsed="false">
      <c r="A11" s="79" t="s">
        <v>190</v>
      </c>
      <c r="B11" s="83" t="n">
        <v>515</v>
      </c>
      <c r="C11" s="81" t="n">
        <v>46281</v>
      </c>
      <c r="D11" s="81"/>
      <c r="E11" s="81" t="n">
        <v>46281</v>
      </c>
    </row>
    <row r="12" customFormat="false" ht="15" hidden="false" customHeight="false" outlineLevel="0" collapsed="false">
      <c r="A12" s="79" t="s">
        <v>223</v>
      </c>
      <c r="B12" s="83" t="n">
        <v>90.4</v>
      </c>
      <c r="C12" s="81" t="n">
        <v>46281</v>
      </c>
      <c r="D12" s="81"/>
      <c r="E12" s="81" t="n">
        <v>46281</v>
      </c>
    </row>
    <row r="13" customFormat="false" ht="15" hidden="false" customHeight="false" outlineLevel="0" collapsed="false">
      <c r="A13" s="79" t="s">
        <v>195</v>
      </c>
      <c r="B13" s="83" t="n">
        <v>548</v>
      </c>
      <c r="C13" s="81" t="n">
        <v>46281</v>
      </c>
      <c r="D13" s="81"/>
      <c r="E13" s="81" t="n">
        <v>46281</v>
      </c>
    </row>
    <row r="14" customFormat="false" ht="15" hidden="false" customHeight="false" outlineLevel="0" collapsed="false">
      <c r="A14" s="79" t="s">
        <v>209</v>
      </c>
      <c r="B14" s="83" t="n">
        <v>2805</v>
      </c>
      <c r="C14" s="81" t="n">
        <v>46281</v>
      </c>
      <c r="D14" s="81"/>
      <c r="E14" s="81" t="n">
        <v>46281</v>
      </c>
    </row>
    <row r="15" customFormat="false" ht="15" hidden="false" customHeight="false" outlineLevel="0" collapsed="false">
      <c r="A15" s="79" t="s">
        <v>229</v>
      </c>
      <c r="B15" s="83" t="n">
        <v>472.5</v>
      </c>
      <c r="C15" s="81" t="n">
        <v>46281</v>
      </c>
      <c r="D15" s="81"/>
      <c r="E15" s="81" t="n">
        <v>46281</v>
      </c>
    </row>
    <row r="16" customFormat="false" ht="15" hidden="false" customHeight="false" outlineLevel="0" collapsed="false">
      <c r="A16" s="79" t="s">
        <v>211</v>
      </c>
      <c r="B16" s="83" t="n">
        <v>663</v>
      </c>
      <c r="C16" s="81" t="n">
        <v>46281</v>
      </c>
      <c r="D16" s="81"/>
      <c r="E16" s="81" t="n">
        <v>46281</v>
      </c>
    </row>
    <row r="17" customFormat="false" ht="15" hidden="false" customHeight="false" outlineLevel="0" collapsed="false">
      <c r="A17" s="79" t="s">
        <v>215</v>
      </c>
      <c r="B17" s="83" t="n">
        <v>820</v>
      </c>
      <c r="C17" s="81" t="n">
        <v>46281</v>
      </c>
      <c r="D17" s="81"/>
      <c r="E17" s="81" t="n">
        <v>46281</v>
      </c>
    </row>
    <row r="18" customFormat="false" ht="15" hidden="false" customHeight="false" outlineLevel="0" collapsed="false">
      <c r="A18" s="79" t="s">
        <v>691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233</v>
      </c>
      <c r="B19" s="83" t="n">
        <v>684</v>
      </c>
      <c r="C19" s="81" t="n">
        <v>46281</v>
      </c>
      <c r="D19" s="81"/>
      <c r="E19" s="81" t="n">
        <v>46281</v>
      </c>
    </row>
    <row r="20" customFormat="false" ht="15" hidden="false" customHeight="false" outlineLevel="0" collapsed="false">
      <c r="A20" s="79" t="s">
        <v>241</v>
      </c>
      <c r="B20" s="83" t="n">
        <v>541</v>
      </c>
      <c r="C20" s="81" t="n">
        <v>46281</v>
      </c>
      <c r="D20" s="81"/>
      <c r="E20" s="81" t="n">
        <v>46281</v>
      </c>
    </row>
    <row r="21" customFormat="false" ht="15" hidden="false" customHeight="false" outlineLevel="0" collapsed="false">
      <c r="A21" s="79" t="s">
        <v>197</v>
      </c>
      <c r="B21" s="83" t="n">
        <v>1995</v>
      </c>
      <c r="C21" s="81" t="n">
        <v>46281</v>
      </c>
      <c r="D21" s="81"/>
      <c r="E21" s="81" t="n">
        <v>46281</v>
      </c>
    </row>
    <row r="22" customFormat="false" ht="15" hidden="false" customHeight="false" outlineLevel="0" collapsed="false">
      <c r="A22" s="79" t="s">
        <v>791</v>
      </c>
      <c r="B22" s="83" t="n">
        <v>640</v>
      </c>
      <c r="C22" s="81" t="n">
        <v>46275</v>
      </c>
      <c r="D22" s="81"/>
      <c r="E22" s="81" t="n">
        <v>46275</v>
      </c>
    </row>
    <row r="23" customFormat="false" ht="15" hidden="false" customHeight="false" outlineLevel="0" collapsed="false">
      <c r="A23" s="79" t="s">
        <v>225</v>
      </c>
      <c r="B23" s="83" t="n">
        <v>89</v>
      </c>
      <c r="C23" s="81" t="n">
        <v>46281</v>
      </c>
      <c r="D23" s="81"/>
      <c r="E23" s="81" t="n">
        <v>46281</v>
      </c>
    </row>
    <row r="24" customFormat="false" ht="15" hidden="false" customHeight="false" outlineLevel="0" collapsed="false">
      <c r="A24" s="79" t="s">
        <v>231</v>
      </c>
      <c r="B24" s="83" t="n">
        <v>547</v>
      </c>
      <c r="C24" s="81" t="n">
        <v>46281</v>
      </c>
      <c r="D24" s="81"/>
      <c r="E24" s="81" t="n">
        <v>46281</v>
      </c>
    </row>
    <row r="25" customFormat="false" ht="15" hidden="false" customHeight="false" outlineLevel="0" collapsed="false">
      <c r="A25" s="79" t="s">
        <v>186</v>
      </c>
      <c r="B25" s="83" t="n">
        <v>1295</v>
      </c>
      <c r="C25" s="81" t="n">
        <v>46281</v>
      </c>
      <c r="D25" s="81"/>
      <c r="E25" s="81" t="n">
        <v>46281</v>
      </c>
    </row>
    <row r="26" customFormat="false" ht="15" hidden="false" customHeight="false" outlineLevel="0" collapsed="false">
      <c r="A26" s="79" t="s">
        <v>201</v>
      </c>
      <c r="B26" s="83" t="n">
        <v>537</v>
      </c>
      <c r="C26" s="81" t="n">
        <v>46281</v>
      </c>
      <c r="D26" s="81"/>
      <c r="E26" s="81" t="n">
        <v>46281</v>
      </c>
    </row>
    <row r="27" customFormat="false" ht="15" hidden="false" customHeight="false" outlineLevel="0" collapsed="false">
      <c r="A27" s="79" t="s">
        <v>217</v>
      </c>
      <c r="B27" s="83" t="n">
        <v>1575</v>
      </c>
      <c r="C27" s="81" t="n">
        <v>46281</v>
      </c>
      <c r="D27" s="81"/>
      <c r="E27" s="81" t="n">
        <v>46281</v>
      </c>
    </row>
    <row r="28" customFormat="false" ht="15" hidden="false" customHeight="false" outlineLevel="0" collapsed="false">
      <c r="A28" s="79" t="s">
        <v>227</v>
      </c>
      <c r="B28" s="83" t="n">
        <v>1985</v>
      </c>
      <c r="C28" s="81" t="n">
        <v>46281</v>
      </c>
      <c r="D28" s="81"/>
      <c r="E28" s="81" t="n">
        <v>46281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1411</v>
      </c>
      <c r="F1" s="15" t="s">
        <v>1412</v>
      </c>
      <c r="G1" s="15" t="s">
        <v>1413</v>
      </c>
      <c r="H1" s="15" t="s">
        <v>1414</v>
      </c>
      <c r="I1" s="15" t="s">
        <v>1415</v>
      </c>
      <c r="J1" s="15" t="s">
        <v>66</v>
      </c>
      <c r="K1" s="15" t="s">
        <v>1416</v>
      </c>
      <c r="L1" s="15" t="s">
        <v>1417</v>
      </c>
      <c r="M1" s="15" t="s">
        <v>1418</v>
      </c>
      <c r="N1" s="15" t="s">
        <v>68</v>
      </c>
      <c r="O1" s="15" t="s">
        <v>69</v>
      </c>
      <c r="P1" s="15" t="s">
        <v>1419</v>
      </c>
      <c r="Q1" s="16" t="s">
        <v>51</v>
      </c>
      <c r="R1" s="16" t="s">
        <v>70</v>
      </c>
      <c r="S1" s="16" t="s">
        <v>1420</v>
      </c>
      <c r="T1" s="16" t="s">
        <v>1421</v>
      </c>
      <c r="U1" s="16" t="s">
        <v>1422</v>
      </c>
      <c r="V1" s="16" t="s">
        <v>1423</v>
      </c>
      <c r="W1" s="16" t="s">
        <v>1424</v>
      </c>
      <c r="X1" s="16" t="s">
        <v>63</v>
      </c>
      <c r="Y1" s="16" t="s">
        <v>64</v>
      </c>
      <c r="Z1" s="15" t="s">
        <v>1425</v>
      </c>
      <c r="AA1" s="16" t="s">
        <v>1426</v>
      </c>
      <c r="AB1" s="16" t="s">
        <v>1427</v>
      </c>
      <c r="AC1" s="15" t="s">
        <v>1428</v>
      </c>
      <c r="AD1" s="15" t="s">
        <v>139</v>
      </c>
      <c r="AE1" s="16" t="s">
        <v>101</v>
      </c>
      <c r="AF1" s="16" t="s">
        <v>1429</v>
      </c>
      <c r="AG1" s="15" t="s">
        <v>58</v>
      </c>
      <c r="AH1" s="15" t="s">
        <v>59</v>
      </c>
      <c r="AI1" s="15" t="s">
        <v>1430</v>
      </c>
      <c r="AJ1" s="16" t="s">
        <v>65</v>
      </c>
      <c r="AK1" s="16" t="s">
        <v>71</v>
      </c>
      <c r="AL1" s="16" t="s">
        <v>1431</v>
      </c>
      <c r="AM1" s="16" t="s">
        <v>81</v>
      </c>
      <c r="AN1" s="16" t="s">
        <v>82</v>
      </c>
      <c r="AO1" s="16" t="s">
        <v>83</v>
      </c>
      <c r="AP1" s="15" t="s">
        <v>1432</v>
      </c>
      <c r="AQ1" s="15" t="s">
        <v>1433</v>
      </c>
      <c r="AR1" s="15" t="s">
        <v>1434</v>
      </c>
      <c r="AS1" s="15" t="s">
        <v>1435</v>
      </c>
      <c r="AT1" s="15" t="s">
        <v>1436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2380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132.108340109589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27.5846082522021</v>
      </c>
      <c r="K2" s="52" t="n">
        <f aca="false">IF($A2="","",IFERROR(IF(G2&lt;=0,"N/M",D2/G2),"N/M"))</f>
        <v>24.5281247413855</v>
      </c>
      <c r="L2" s="52" t="n">
        <f aca="false">IF($A2="","",IFERROR(IF(H2&lt;=0,"N/M",D2/H2),"N/M"))</f>
        <v>18.0155166435798</v>
      </c>
      <c r="M2" s="49" t="n">
        <f aca="false">IF($A2="","",IFERROR(INDEX(Raw_Est!$C$2:$C$100,MATCH($A2,Raw_Est!$A$2:$A$100,0))/INDEX(Raw_Est!$B$2:$B$100,MATCH($A2,Raw_Est!$A$2:$A$100,0))-1,""))</f>
        <v>0.320117405283052</v>
      </c>
      <c r="N2" s="51" t="n">
        <f aca="false">IF($A2="","",IFERROR(IF(OR(NOT(ISNUMBER(J2)),I2&lt;Config!$B$6),"N/M",J2/(I2*100)),"N/M"))</f>
        <v>0.518281378272106</v>
      </c>
      <c r="O2" s="51" t="n">
        <f aca="false">IF($A2="","",IFERROR(IF(OR(NOT(ISNUMBER(L2)),M2&lt;Config!$B$6),"N/M",L2/(M2*100)),"N/M"))</f>
        <v>0.562778416489107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0.00924373957142857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0.434003392766427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23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46281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492.5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90.9234784109589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18.1399631675875</v>
      </c>
      <c r="K3" s="52" t="n">
        <f aca="false">IF($A3="","",IFERROR(IF(G3&lt;=0,"N/M",D3/G3),"N/M"))</f>
        <v>10.3688903813541</v>
      </c>
      <c r="L3" s="52" t="n">
        <f aca="false">IF($A3="","",IFERROR(IF(H3&lt;=0,"N/M",D3/H3),"N/M"))</f>
        <v>5.41664274846572</v>
      </c>
      <c r="M3" s="49" t="n">
        <f aca="false">IF($A3="","",IFERROR(INDEX(Raw_Est!$C$2:$C$100,MATCH($A3,Raw_Est!$A$2:$A$100,0))/INDEX(Raw_Est!$B$2:$B$100,MATCH($A3,Raw_Est!$A$2:$A$100,0))-1,""))</f>
        <v>0.485191384949476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0.111639301860847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0.723465622533518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6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46281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1295</v>
      </c>
      <c r="E4" s="48" t="n">
        <f aca="false">IF($A4="","",IFERROR(SUMIFS(Raw_Q!$I$2:$I$600,Raw_Q!$A$2:$A$600,$A4,Raw_Q!$R$2:$R$600,"&gt;=1",Raw_Q!$R$2:$R$600,"&lt;=4"),""))</f>
        <v>22443.411</v>
      </c>
      <c r="F4" s="51" t="n">
        <f aca="false">IF($A4="","",IFERROR(SUMIFS(Raw_Q!$L$2:$L$600,Raw_Q!$A$2:$A$600,$A4,Raw_Q!$R$2:$R$600,"&gt;=1",Raw_Q!$R$2:$R$600,"&lt;=4"),""))</f>
        <v>108.93</v>
      </c>
      <c r="G4" s="51" t="n">
        <f aca="false">IF($A4="","",IFERROR(SUMIFS(Raw_Q!$L$2:$L$600,Raw_Q!$A$2:$A$600,$A4,Raw_Q!$R$2:$R$600,"&gt;=0",Raw_Q!$R$2:$R$600,"&lt;=3"),""))</f>
        <v>207.94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240.822602821918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n">
        <f aca="false">IF($A4="","",IFERROR(IF(F4&lt;=0,"N/M",D4/F4),"N/M"))</f>
        <v>11.8883686771321</v>
      </c>
      <c r="K4" s="52" t="n">
        <f aca="false">IF($A4="","",IFERROR(IF(G4&lt;=0,"N/M",D4/G4),"N/M"))</f>
        <v>6.22775800711744</v>
      </c>
      <c r="L4" s="52" t="n">
        <f aca="false">IF($A4="","",IFERROR(IF(H4&lt;=0,"N/M",D4/H4),"N/M"))</f>
        <v>5.37740222398318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n">
        <f aca="false">IF($A4="","",IFERROR(SUMIFS(Raw_Q!$J$2:$J$600,Raw_Q!$A$2:$A$600,$A4,Raw_Q!$R$2:$R$600,"&gt;=1",Raw_Q!$R$2:$R$600,"&lt;=4")/E4,""))</f>
        <v>0.650062149643831</v>
      </c>
      <c r="AB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0.650062149643831</v>
      </c>
      <c r="AC4" s="50" t="n">
        <f aca="false">IF($A4="","",IFERROR((AA4-AB4)*10000,""))</f>
        <v>0</v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n">
        <f aca="false">IF($A4="","",IFERROR(SUMIFS(Raw_Q!$O$2:$O$600,Raw_Q!$A$2:$A$600,$A4,Raw_Q!$R$2:$R$600,1)/SUMIFS(Raw_Q!$M$2:$M$600,Raw_Q!$A$2:$A$600,$A4,Raw_Q!$R$2:$R$600,1),""))</f>
        <v>241.664518592773</v>
      </c>
      <c r="AF4" s="48" t="n">
        <f aca="false">IF($A4="","",IFERROR(SUMPRODUCT((Raw_Q!$A$2:$A$600=$A4)*(Raw_Q!$R$2:$R$600&gt;=1)*(Raw_Q!$R$2:$R$600&lt;=4)*Raw_Q!$L$2:$L$600*Raw_Q!$M$2:$M$600),""))</f>
        <v>10497.083022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n">
        <f aca="false">IF($A4="","",IFERROR(IF(AE4&lt;=0,"N/M",INDEX(Raw_Est!$B$2:$B$100,MATCH($A4,Raw_Est!$A$2:$A$100,0))/AE4),"N/M"))</f>
        <v>1.46159230182731</v>
      </c>
      <c r="AJ4" s="51" t="n">
        <f aca="false">IF($A4="","",IFERROR(SUMIFS(Raw_Q!$L$2:$L$600,Raw_Q!$A$2:$A$600,$A4,Raw_Q!$R$2:$R$600,0),""))</f>
        <v>99.01</v>
      </c>
      <c r="AK4" s="66" t="str">
        <f aca="false">IF($A4="","",IFERROR(INDEX(Raw_Q!$B$2:$B$600,MATCH($A4&amp;"|"&amp;0,Raw_Q!$S$2:$S$600,0)),""))</f>
        <v>FY2026Q3E</v>
      </c>
      <c r="AL4" s="66" t="str">
        <f aca="false">IF($A4="","",IFERROR(INDEX(Raw_Q!$G$2:$G$600,MATCH($A4&amp;"|"&amp;0,Raw_Q!$S$2:$S$600,0)),""))</f>
        <v>consensus</v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46281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515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8.19779150684932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125</v>
      </c>
      <c r="K5" s="52" t="n">
        <f aca="false">IF($A5="","",IFERROR(IF(G5&lt;=0,"N/M",D5/G5),"N/M"))</f>
        <v>109.707751331937</v>
      </c>
      <c r="L5" s="52" t="n">
        <f aca="false">IF($A5="","",IFERROR(IF(H5&lt;=0,"N/M",D5/H5),"N/M"))</f>
        <v>62.8217977451261</v>
      </c>
      <c r="M5" s="49" t="n">
        <f aca="false">IF($A5="","",IFERROR(INDEX(Raw_Est!$C$2:$C$100,MATCH($A5,Raw_Est!$A$2:$A$100,0))/INDEX(Raw_Est!$B$2:$B$100,MATCH($A5,Raw_Est!$A$2:$A$100,0))-1,""))</f>
        <v>0.67624016174453</v>
      </c>
      <c r="N5" s="51" t="n">
        <f aca="false">IF($A5="","",IFERROR(IF(OR(NOT(ISNUMBER(J5)),I5&lt;Config!$B$6),"N/M",J5/(I5*100)),"N/M"))</f>
        <v>2.03025477707006</v>
      </c>
      <c r="O5" s="51" t="n">
        <f aca="false">IF($A5="","",IFERROR(IF(OR(NOT(ISNUMBER(L5)),M5&lt;Config!$B$6),"N/M",L5/(M5*100)),"N/M"))</f>
        <v>0.928986494724915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0.0050884592815534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0.277355670693716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9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46281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548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34.853765890411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19.1140565050576</v>
      </c>
      <c r="K6" s="52" t="n">
        <f aca="false">IF($A6="","",IFERROR(IF(G6&lt;=0,"N/M",D6/G6),"N/M"))</f>
        <v>17.0013523520968</v>
      </c>
      <c r="L6" s="52" t="n">
        <f aca="false">IF($A6="","",IFERROR(IF(H6&lt;=0,"N/M",D6/H6),"N/M"))</f>
        <v>15.7228347066727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0.0510948905109489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0.297407894854284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14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46281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1995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100.507272164384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36.5853658536585</v>
      </c>
      <c r="K7" s="52" t="n">
        <f aca="false">IF($A7="","",IFERROR(IF(G7&lt;=0,"N/M",D7/G7),"N/M"))</f>
        <v>33.3814394177072</v>
      </c>
      <c r="L7" s="52" t="n">
        <f aca="false">IF($A7="","",IFERROR(IF(H7&lt;=0,"N/M",D7/H7),"N/M"))</f>
        <v>19.8493099756712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0.636658904277485</v>
      </c>
      <c r="O7" s="51" t="n">
        <f aca="false">IF($A7="","",IFERROR(IF(OR(NOT(ISNUMBER(L7)),M7&lt;Config!$B$6),"N/M",L7/(M7*100)),"N/M"))</f>
        <v>0.264824715404105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0.00526590601002506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0.258245623152622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2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46281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537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33.2890136986301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16.1314481967394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1.27672472127044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3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46281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350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36.2673461369863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13.1037064769749</v>
      </c>
      <c r="K9" s="52" t="n">
        <f aca="false">IF($A9="","",IFERROR(IF(G9&lt;=0,"N/M",D9/G9),"N/M"))</f>
        <v>11.5257983591215</v>
      </c>
      <c r="L9" s="52" t="n">
        <f aca="false">IF($A9="","",IFERROR(IF(H9&lt;=0,"N/M",D9/H9),"N/M"))</f>
        <v>9.65055448716888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0.20909898965202</v>
      </c>
      <c r="O9" s="51" t="n">
        <f aca="false">IF($A9="","",IFERROR(IF(OR(NOT(ISNUMBER(L9)),M9&lt;Config!$B$6),"N/M",L9/(M9*100)),"N/M"))</f>
        <v>0.961520193240048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0.0285714285714286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0.340944215103232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8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46281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12045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455.511240054795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66.4038811400849</v>
      </c>
      <c r="K10" s="52" t="n">
        <f aca="false">IF($A10="","",IFERROR(IF(G10&lt;=0,"N/M",D10/G10),"N/M"))</f>
        <v>45.2410083730609</v>
      </c>
      <c r="L10" s="52" t="n">
        <f aca="false">IF($A10="","",IFERROR(IF(H10&lt;=0,"N/M",D10/H10),"N/M"))</f>
        <v>26.4428162048231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0.394025138001821</v>
      </c>
      <c r="O10" s="51" t="n">
        <f aca="false">IF($A10="","",IFERROR(IF(OR(NOT(ISNUMBER(L10)),M10&lt;Config!$B$6),"N/M",L10/(M10*100)),"N/M"))</f>
        <v>0.640182770974898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0.00267330842673308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0.994545568733013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11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46281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2805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33.6566128219178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250.223015165031</v>
      </c>
      <c r="K11" s="52" t="n">
        <f aca="false">IF($A11="","",IFERROR(IF(G11&lt;=0,"N/M",D11/G11),"N/M"))</f>
        <v>176.193467336683</v>
      </c>
      <c r="L11" s="52" t="n">
        <f aca="false">IF($A11="","",IFERROR(IF(H11&lt;=0,"N/M",D11/H11),"N/M"))</f>
        <v>83.3417199419822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0.444198419778259</v>
      </c>
      <c r="O11" s="51" t="n">
        <f aca="false">IF($A11="","",IFERROR(IF(OR(NOT(ISNUMBER(L11)),M11&lt;Config!$B$6),"N/M",L11/(M11*100)),"N/M"))</f>
        <v>0.840701742012273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0.000178261016042781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0.387369162205392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2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46281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663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68.7759336099585</v>
      </c>
      <c r="K12" s="52" t="n">
        <f aca="false">IF($A12="","",IFERROR(IF(G12&lt;=0,"N/M",D12/G12),"N/M"))</f>
        <v>96.6472303206997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0.258032390005978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46281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820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21.8062376986301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138.983050847458</v>
      </c>
      <c r="K13" s="52" t="n">
        <f aca="false">IF($A13="","",IFERROR(IF(G13&lt;=0,"N/M",D13/G13),"N/M"))</f>
        <v>98.3891771905091</v>
      </c>
      <c r="L13" s="52" t="n">
        <f aca="false">IF($A13="","",IFERROR(IF(H13&lt;=0,"N/M",D13/H13),"N/M"))</f>
        <v>37.6039191782043</v>
      </c>
      <c r="M13" s="49" t="n">
        <f aca="false">IF($A13="","",IFERROR(INDEX(Raw_Est!$C$2:$C$100,MATCH($A13,Raw_Est!$A$2:$A$100,0))/INDEX(Raw_Est!$B$2:$B$100,MATCH($A13,Raw_Est!$A$2:$A$100,0))-1,""))</f>
        <v>1.54060892753267</v>
      </c>
      <c r="N13" s="51" t="n">
        <f aca="false">IF($A13="","",IFERROR(IF(OR(NOT(ISNUMBER(J13)),I13&lt;Config!$B$6),"N/M",J13/(I13*100)),"N/M"))</f>
        <v>0.358570344403889</v>
      </c>
      <c r="O13" s="51" t="n">
        <f aca="false">IF($A13="","",IFERROR(IF(OR(NOT(ISNUMBER(L13)),M13&lt;Config!$B$6),"N/M",L13/(M13*100)),"N/M"))</f>
        <v>0.244084780414898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0.00121972186585366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0.123444603227395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11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46281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1575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110.25495890411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14.2850717614416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0.130286409755404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46281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142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7.14189493150685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21.2574850299401</v>
      </c>
      <c r="K15" s="52" t="n">
        <f aca="false">IF($A15="","",IFERROR(IF(G15&lt;=0,"N/M",D15/G15),"N/M"))</f>
        <v>20.6053922279943</v>
      </c>
      <c r="L15" s="52" t="n">
        <f aca="false">IF($A15="","",IFERROR(IF(H15&lt;=0,"N/M",D15/H15),"N/M"))</f>
        <v>19.8826783874346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0.191983554259003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0.19788652979825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13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46281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4530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123.026435616438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74.6416213544241</v>
      </c>
      <c r="K16" s="52" t="n">
        <f aca="false">IF($A16="","",IFERROR(IF(G16&lt;=0,"N/M",D16/G16),"N/M"))</f>
        <v>75.1438930906435</v>
      </c>
      <c r="L16" s="52" t="n">
        <f aca="false">IF($A16="","",IFERROR(IF(H16&lt;=0,"N/M",D16/H16),"N/M"))</f>
        <v>36.8213545105319</v>
      </c>
      <c r="M16" s="49" t="n">
        <f aca="false">IF($A16="","",IFERROR(INDEX(Raw_Est!$C$2:$C$100,MATCH($A16,Raw_Est!$A$2:$A$100,0))/INDEX(Raw_Est!$B$2:$B$100,MATCH($A16,Raw_Est!$A$2:$A$100,0))-1,""))</f>
        <v>1.13921739713286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0.323216223726943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0.011920577807947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0.25723202565977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16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46281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90.4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33.4814814814815</v>
      </c>
      <c r="K17" s="52" t="n">
        <f aca="false">IF($A17="","",IFERROR(IF(G17&lt;=0,"N/M",D17/G17),"N/M"))</f>
        <v>28.8817891373802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46281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89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6.76505819178082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15.0337837837838</v>
      </c>
      <c r="K18" s="52" t="n">
        <f aca="false">IF($A18="","",IFERROR(IF(G18&lt;=0,"N/M",D18/G18),"N/M"))</f>
        <v>15.6124738403353</v>
      </c>
      <c r="L18" s="52" t="n">
        <f aca="false">IF($A18="","",IFERROR(IF(H18&lt;=0,"N/M",D18/H18),"N/M"))</f>
        <v>13.1558365762663</v>
      </c>
      <c r="M18" s="49" t="n">
        <f aca="false">IF($A18="","",IFERROR(INDEX(Raw_Est!$C$2:$C$100,MATCH($A18,Raw_Est!$A$2:$A$100,0))/INDEX(Raw_Est!$B$2:$B$100,MATCH($A18,Raw_Est!$A$2:$A$100,0))-1,""))</f>
        <v>0.27741588499004</v>
      </c>
      <c r="N18" s="51" t="n">
        <f aca="false">IF($A18="","",IFERROR(IF(OR(NOT(ISNUMBER(J18)),I18&lt;Config!$B$6),"N/M",J18/(I18*100)),"N/M"))</f>
        <v>0.610345922845923</v>
      </c>
      <c r="O18" s="51" t="n">
        <f aca="false">IF($A18="","",IFERROR(IF(OR(NOT(ISNUMBER(L18)),M18&lt;Config!$B$6),"N/M",L18/(M18*100)),"N/M"))</f>
        <v>0.474227947571879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0.0450498521348315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0.0730949320957707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46281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1985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285.732113808219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6.94706651465965</v>
      </c>
      <c r="M19" s="49" t="n">
        <f aca="false">IF($A19="","",IFERROR(INDEX(Raw_Est!$C$2:$C$100,MATCH($A19,Raw_Est!$A$2:$A$100,0))/INDEX(Raw_Est!$B$2:$B$100,MATCH($A19,Raw_Est!$A$2:$A$100,0))-1,""))</f>
        <v>-0.28766444338389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46281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472.5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9.28040254794521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55.5229142185664</v>
      </c>
      <c r="K20" s="52" t="n">
        <f aca="false">IF($A20="","",IFERROR(IF(G20&lt;=0,"N/M",D20/G20),"N/M"))</f>
        <v>58.2776458051196</v>
      </c>
      <c r="L20" s="52" t="n">
        <f aca="false">IF($A20="","",IFERROR(IF(H20&lt;=0,"N/M",D20/H20),"N/M"))</f>
        <v>50.9137397390825</v>
      </c>
      <c r="M20" s="49" t="n">
        <f aca="false">IF($A20="","",IFERROR(INDEX(Raw_Est!$C$2:$C$100,MATCH($A20,Raw_Est!$A$2:$A$100,0))/INDEX(Raw_Est!$B$2:$B$100,MATCH($A20,Raw_Est!$A$2:$A$100,0))-1,""))</f>
        <v>0.29262951058597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1.73987031031598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0.00423280423280423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0.0743625487824542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9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46281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547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12.1726301369863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88.9430894308943</v>
      </c>
      <c r="K21" s="52" t="n">
        <f aca="false">IF($A21="","",IFERROR(IF(G21&lt;=0,"N/M",D21/G21),"N/M"))</f>
        <v>80.559646539028</v>
      </c>
      <c r="L21" s="52" t="n">
        <f aca="false">IF($A21="","",IFERROR(IF(H21&lt;=0,"N/M",D21/H21),"N/M"))</f>
        <v>44.9368783774963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1.98951647411211</v>
      </c>
      <c r="O21" s="51" t="n">
        <f aca="false">IF($A21="","",IFERROR(IF(OR(NOT(ISNUMBER(L21)),M21&lt;Config!$B$6),"N/M",L21/(M21*100)),"N/M"))</f>
        <v>0.492705535919433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0.00282382601462523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46281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684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12.0693287671233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56.6725799916237</v>
      </c>
      <c r="M22" s="49" t="n">
        <f aca="false">IF($A22="","",IFERROR(INDEX(Raw_Est!$C$2:$C$100,MATCH($A22,Raw_Est!$A$2:$A$100,0))/INDEX(Raw_Est!$B$2:$B$100,MATCH($A22,Raw_Est!$A$2:$A$100,0))-1,""))</f>
        <v>81.5609756097561</v>
      </c>
      <c r="N22" s="51" t="str">
        <f aca="false">IF($A22="","",IFERROR(IF(OR(NOT(ISNUMBER(J22)),I22&lt;Config!$B$6),"N/M",J22/(I22*100)),"N/M"))</f>
        <v>N/M</v>
      </c>
      <c r="O22" s="51" t="n">
        <f aca="false">IF($A22="","",IFERROR(IF(OR(NOT(ISNUMBER(L22)),M22&lt;Config!$B$6),"N/M",L22/(M22*100)),"N/M"))</f>
        <v>0.00694849216404478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0.00407481259900034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2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46281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169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44.4735472876712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18.6534216335541</v>
      </c>
      <c r="K23" s="52" t="n">
        <f aca="false">IF($A23="","",IFERROR(IF(G23&lt;=0,"N/M",D23/G23),"N/M"))</f>
        <v>10.2368219089795</v>
      </c>
      <c r="L23" s="52" t="n">
        <f aca="false">IF($A23="","",IFERROR(IF(H23&lt;=0,"N/M",D23/H23),"N/M"))</f>
        <v>3.80001169924328</v>
      </c>
      <c r="M23" s="49" t="n">
        <f aca="false">IF($A23="","",IFERROR(INDEX(Raw_Est!$C$2:$C$100,MATCH($A23,Raw_Est!$A$2:$A$100,0))/INDEX(Raw_Est!$B$2:$B$100,MATCH($A23,Raw_Est!$A$2:$A$100,0))-1,""))</f>
        <v>1.0575278953065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0.0359329689184409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0.0029585798816568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0.692891417714729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5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46281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541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109.959349593496</v>
      </c>
      <c r="K25" s="52" t="n">
        <f aca="false">IF($A25="","",IFERROR(IF(G25&lt;=0,"N/M",D25/G25),"N/M"))</f>
        <v>125.522041763341</v>
      </c>
      <c r="L25" s="52" t="n">
        <f aca="false">IF($A25="","",IFERROR(IF(H25&lt;=0,"N/M",D25/H25),"N/M"))</f>
        <v>45.1963241436926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0.00184842883548983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46281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/>
      </c>
      <c r="B26" s="66" t="str">
        <f aca="false">IF($A26="","",IFERROR(INDEX(Tickers!$B$2:$B$100,MATCH($A26,Tickers!$A$2:$A$100,0)),""))</f>
        <v/>
      </c>
      <c r="C26" s="66" t="str">
        <f aca="false">IF($A26="","",IFERROR(INDEX(Tickers!$D$2:$D$100,MATCH($A26,Tickers!$A$2:$A$100,0)),""))</f>
        <v/>
      </c>
      <c r="D26" s="51" t="str">
        <f aca="false">IF($A26="","",IFERROR(INDEX(Raw_Price!$B$2:$B$100,MATCH($A26,Raw_Price!$A$2:$A$100,0)),""))</f>
        <v/>
      </c>
      <c r="E26" s="48" t="str">
        <f aca="false">IF($A26="","",IFERROR(SUMIFS(Raw_Q!$I$2:$I$600,Raw_Q!$A$2:$A$600,$A26,Raw_Q!$R$2:$R$600,"&gt;=1",Raw_Q!$R$2:$R$600,"&lt;=4"),""))</f>
        <v/>
      </c>
      <c r="F26" s="51" t="str">
        <f aca="false">IF($A26="","",IFERROR(SUMIFS(Raw_Q!$L$2:$L$600,Raw_Q!$A$2:$A$600,$A26,Raw_Q!$R$2:$R$600,"&gt;=1",Raw_Q!$R$2:$R$600,"&lt;=4"),""))</f>
        <v/>
      </c>
      <c r="G26" s="51" t="str">
        <f aca="false">IF($A26="","",IFERROR(SUMIFS(Raw_Q!$L$2:$L$600,Raw_Q!$A$2:$A$600,$A26,Raw_Q!$R$2:$R$600,"&gt;=0",Raw_Q!$R$2:$R$600,"&lt;=3"),""))</f>
        <v/>
      </c>
      <c r="H26" s="51" t="str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/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/>
      </c>
      <c r="K26" s="52" t="str">
        <f aca="false">IF($A26="","",IFERROR(IF(G26&lt;=0,"N/M",D26/G26),"N/M"))</f>
        <v/>
      </c>
      <c r="L26" s="52" t="str">
        <f aca="false">IF($A26="","",IFERROR(IF(H26&lt;=0,"N/M",D26/H26),"N/M"))</f>
        <v/>
      </c>
      <c r="M26" s="49" t="str">
        <f aca="false">IF($A26="","",IFERROR(INDEX(Raw_Est!$C$2:$C$100,MATCH($A26,Raw_Est!$A$2:$A$100,0))/INDEX(Raw_Est!$B$2:$B$100,MATCH($A26,Raw_Est!$A$2:$A$100,0))-1,""))</f>
        <v/>
      </c>
      <c r="N26" s="51" t="str">
        <f aca="false">IF($A26="","",IFERROR(IF(OR(NOT(ISNUMBER(J26)),I26&lt;Config!$B$6),"N/M",J26/(I26*100)),"N/M"))</f>
        <v/>
      </c>
      <c r="O26" s="51" t="str">
        <f aca="false">IF($A26="","",IFERROR(IF(OR(NOT(ISNUMBER(L26)),M26&lt;Config!$B$6),"N/M",L26/(M26*100)),"N/M"))</f>
        <v/>
      </c>
      <c r="P26" s="51" t="str">
        <f aca="false">IF($A26="","",IFERROR(SUMIFS(Raw_Q!$P$2:$P$600,Raw_Q!$A$2:$A$600,$A26,Raw_Q!$R$2:$R$600,"&gt;=1",Raw_Q!$R$2:$R$600,"&lt;=4"),""))</f>
        <v/>
      </c>
      <c r="Q26" s="49" t="str">
        <f aca="false">IF($A26="","",IFERROR(IF(P26=0,"不配息",P26/D26),""))</f>
        <v/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/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str">
        <f aca="false">IF($A26="","",IFERROR(SUMPRODUCT((Raw_Q!$A$2:$A$600=$A26)*(Raw_Q!$R$2:$R$600&gt;=1)*(Raw_Q!$R$2:$R$600&lt;=4)*Raw_Q!$L$2:$L$600*Raw_Q!$M$2:$M$600),""))</f>
        <v/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/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/>
      </c>
      <c r="AJ26" s="51" t="str">
        <f aca="false">IF($A26="","",IFERROR(SUMIFS(Raw_Q!$L$2:$L$600,Raw_Q!$A$2:$A$600,$A26,Raw_Q!$R$2:$R$600,0),""))</f>
        <v/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str">
        <f aca="false">IF($A26="","",IFERROR(INDEX(Raw_Est!$E$2:$E$100,MATCH($A26,Raw_Est!$A$2:$A$100,0)),""))</f>
        <v/>
      </c>
      <c r="AN26" s="67" t="str">
        <f aca="false">IF($A26="","",IFERROR(INDEX(Raw_Price!$D$2:$D$100,MATCH($A26,Raw_Price!$A$2:$A$100,0)),""))</f>
        <v/>
      </c>
      <c r="AO26" s="67" t="str">
        <f aca="false">IF($A26="","",IFERROR(INDEX(Raw_Price!$E$2:$E$100,MATCH($A26,Raw_Price!$A$2:$A$100,0)),""))</f>
        <v/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/>
      </c>
      <c r="B27" s="66" t="str">
        <f aca="false">IF($A27="","",IFERROR(INDEX(Tickers!$B$2:$B$100,MATCH($A27,Tickers!$A$2:$A$100,0)),""))</f>
        <v/>
      </c>
      <c r="C27" s="66" t="str">
        <f aca="false">IF($A27="","",IFERROR(INDEX(Tickers!$D$2:$D$100,MATCH($A27,Tickers!$A$2:$A$100,0)),""))</f>
        <v/>
      </c>
      <c r="D27" s="51" t="str">
        <f aca="false">IF($A27="","",IFERROR(INDEX(Raw_Price!$B$2:$B$100,MATCH($A27,Raw_Price!$A$2:$A$100,0)),""))</f>
        <v/>
      </c>
      <c r="E27" s="48" t="str">
        <f aca="false">IF($A27="","",IFERROR(SUMIFS(Raw_Q!$I$2:$I$600,Raw_Q!$A$2:$A$600,$A27,Raw_Q!$R$2:$R$600,"&gt;=1",Raw_Q!$R$2:$R$600,"&lt;=4"),""))</f>
        <v/>
      </c>
      <c r="F27" s="51" t="str">
        <f aca="false">IF($A27="","",IFERROR(SUMIFS(Raw_Q!$L$2:$L$600,Raw_Q!$A$2:$A$600,$A27,Raw_Q!$R$2:$R$600,"&gt;=1",Raw_Q!$R$2:$R$600,"&lt;=4"),""))</f>
        <v/>
      </c>
      <c r="G27" s="51" t="str">
        <f aca="false">IF($A27="","",IFERROR(SUMIFS(Raw_Q!$L$2:$L$600,Raw_Q!$A$2:$A$600,$A27,Raw_Q!$R$2:$R$600,"&gt;=0",Raw_Q!$R$2:$R$600,"&lt;=3"),""))</f>
        <v/>
      </c>
      <c r="H27" s="51" t="str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/>
      </c>
      <c r="I27" s="49" t="str">
        <f aca="false">IF($A27="","",IFERROR(SUMIFS(Raw_Q!$L$2:$L$600,Raw_Q!$A$2:$A$600,$A27,Raw_Q!$R$2:$R$600,"&gt;=1",Raw_Q!$R$2:$R$600,"&lt;=4")/SUMIFS(Raw_Q!$L$2:$L$600,Raw_Q!$A$2:$A$600,$A27,Raw_Q!$R$2:$R$600,"&gt;=5",Raw_Q!$R$2:$R$600,"&lt;=8")-1,""))</f>
        <v/>
      </c>
      <c r="J27" s="52" t="str">
        <f aca="false">IF($A27="","",IFERROR(IF(F27&lt;=0,"N/M",D27/F27),"N/M"))</f>
        <v/>
      </c>
      <c r="K27" s="52" t="str">
        <f aca="false">IF($A27="","",IFERROR(IF(G27&lt;=0,"N/M",D27/G27),"N/M"))</f>
        <v/>
      </c>
      <c r="L27" s="52" t="str">
        <f aca="false">IF($A27="","",IFERROR(IF(H27&lt;=0,"N/M",D27/H27),"N/M"))</f>
        <v/>
      </c>
      <c r="M27" s="49" t="str">
        <f aca="false">IF($A27="","",IFERROR(INDEX(Raw_Est!$C$2:$C$100,MATCH($A27,Raw_Est!$A$2:$A$100,0))/INDEX(Raw_Est!$B$2:$B$100,MATCH($A27,Raw_Est!$A$2:$A$100,0))-1,""))</f>
        <v/>
      </c>
      <c r="N27" s="51" t="str">
        <f aca="false">IF($A27="","",IFERROR(IF(OR(NOT(ISNUMBER(J27)),I27&lt;Config!$B$6),"N/M",J27/(I27*100)),"N/M"))</f>
        <v/>
      </c>
      <c r="O27" s="51" t="str">
        <f aca="false">IF($A27="","",IFERROR(IF(OR(NOT(ISNUMBER(L27)),M27&lt;Config!$B$6),"N/M",L27/(M27*100)),"N/M"))</f>
        <v/>
      </c>
      <c r="P27" s="51" t="str">
        <f aca="false">IF($A27="","",IFERROR(SUMIFS(Raw_Q!$P$2:$P$600,Raw_Q!$A$2:$A$600,$A27,Raw_Q!$R$2:$R$600,"&gt;=1",Raw_Q!$R$2:$R$600,"&lt;=4"),""))</f>
        <v/>
      </c>
      <c r="Q27" s="49" t="str">
        <f aca="false">IF($A27="","",IFERROR(IF(P27=0,"不配息",P27/D27),""))</f>
        <v/>
      </c>
      <c r="R27" s="49" t="str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/>
      </c>
      <c r="S27" s="49" t="str">
        <f aca="false">IF($A27="","",IFERROR(SUMIFS(Raw_Q!$I$2:$I$600,Raw_Q!$A$2:$A$600,$A27,Raw_Q!$R$2:$R$600,1)/SUMIFS(Raw_Q!$I$2:$I$600,Raw_Q!$A$2:$A$600,$A27,Raw_Q!$R$2:$R$600,5)-1,""))</f>
        <v/>
      </c>
      <c r="T27" s="49" t="str">
        <f aca="false">IF($A27="","",IFERROR(SUMIFS(Raw_Q!$I$2:$I$600,Raw_Q!$A$2:$A$600,$A27,Raw_Q!$R$2:$R$600,1)/SUMIFS(Raw_Q!$I$2:$I$600,Raw_Q!$A$2:$A$600,$A27,Raw_Q!$R$2:$R$600,2)-1,""))</f>
        <v/>
      </c>
      <c r="U27" s="49" t="str">
        <f aca="false">IF($A27="","",IFERROR(SUMIFS(Raw_Q!$I$2:$I$600,Raw_Q!$A$2:$A$600,$A27,Raw_Q!$R$2:$R$600,2)/SUMIFS(Raw_Q!$I$2:$I$600,Raw_Q!$A$2:$A$600,$A27,Raw_Q!$R$2:$R$600,3)-1,""))</f>
        <v/>
      </c>
      <c r="V27" s="68" t="str">
        <f aca="false">IF($A27="","",IFERROR((T27-U27)*100,""))</f>
        <v/>
      </c>
      <c r="W27" s="49" t="str">
        <f aca="false">IF($A27="","",IFERROR(IF(OR(NOT(ISNUMBER(T27)),NOT(ISNUMBER(U27)),U27&lt;=0,ABS(U27)&lt;Config!$B$9),"N/M",(T27-U27)/ABS(U27)),"N/M"))</f>
        <v/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/>
      </c>
      <c r="Y27" s="68" t="str">
        <f aca="false">IF($A27="","",IFERROR((T27-(SUMIFS(Raw_Q!$I$2:$I$600,Raw_Q!$A$2:$A$600,$A27,Raw_Q!$R$2:$R$600,5)/SUMIFS(Raw_Q!$I$2:$I$600,Raw_Q!$A$2:$A$600,$A27,Raw_Q!$R$2:$R$600,6)-1))*100,""))</f>
        <v/>
      </c>
      <c r="Z27" s="49" t="str">
        <f aca="false">IF($A27="","",IFERROR(SUMIFS(Raw_Q!$L$2:$L$600,Raw_Q!$A$2:$A$600,$A27,Raw_Q!$R$2:$R$600,1)/SUMIFS(Raw_Q!$L$2:$L$600,Raw_Q!$A$2:$A$600,$A27,Raw_Q!$R$2:$R$600,5)-1,""))</f>
        <v/>
      </c>
      <c r="AA27" s="49" t="str">
        <f aca="false">IF($A27="","",IFERROR(SUMIFS(Raw_Q!$J$2:$J$600,Raw_Q!$A$2:$A$600,$A27,Raw_Q!$R$2:$R$600,"&gt;=1",Raw_Q!$R$2:$R$600,"&lt;=4")/E27,""))</f>
        <v/>
      </c>
      <c r="AB27" s="49" t="str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/>
      </c>
      <c r="AC27" s="50" t="str">
        <f aca="false">IF($A27="","",IFERROR((AA27-AB27)*10000,""))</f>
        <v/>
      </c>
      <c r="AD27" s="50" t="str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/>
      </c>
      <c r="AE27" s="51" t="str">
        <f aca="false">IF($A27="","",IFERROR(SUMIFS(Raw_Q!$O$2:$O$600,Raw_Q!$A$2:$A$600,$A27,Raw_Q!$R$2:$R$600,1)/SUMIFS(Raw_Q!$M$2:$M$600,Raw_Q!$A$2:$A$600,$A27,Raw_Q!$R$2:$R$600,1),""))</f>
        <v/>
      </c>
      <c r="AF27" s="48" t="str">
        <f aca="false">IF($A27="","",IFERROR(SUMPRODUCT((Raw_Q!$A$2:$A$600=$A27)*(Raw_Q!$R$2:$R$600&gt;=1)*(Raw_Q!$R$2:$R$600&lt;=4)*Raw_Q!$L$2:$L$600*Raw_Q!$M$2:$M$600),""))</f>
        <v/>
      </c>
      <c r="AG27" s="49" t="str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/>
      </c>
      <c r="AH27" s="49" t="str">
        <f aca="false">IF($A27="","",IFERROR(AVERAGE(AP27:AT27),""))</f>
        <v/>
      </c>
      <c r="AI27" s="49" t="str">
        <f aca="false">IF($A27="","",IFERROR(IF(AE27&lt;=0,"N/M",INDEX(Raw_Est!$B$2:$B$100,MATCH($A27,Raw_Est!$A$2:$A$100,0))/AE27),"N/M"))</f>
        <v/>
      </c>
      <c r="AJ27" s="51" t="str">
        <f aca="false">IF($A27="","",IFERROR(SUMIFS(Raw_Q!$L$2:$L$600,Raw_Q!$A$2:$A$600,$A27,Raw_Q!$R$2:$R$600,0),""))</f>
        <v/>
      </c>
      <c r="AK27" s="66" t="str">
        <f aca="false">IF($A27="","",IFERROR(INDEX(Raw_Q!$B$2:$B$600,MATCH($A27&amp;"|"&amp;0,Raw_Q!$S$2:$S$600,0)),""))</f>
        <v/>
      </c>
      <c r="AL27" s="66" t="str">
        <f aca="false">IF($A27="","",IFERROR(INDEX(Raw_Q!$G$2:$G$600,MATCH($A27&amp;"|"&amp;0,Raw_Q!$S$2:$S$600,0)),""))</f>
        <v/>
      </c>
      <c r="AM27" s="47" t="str">
        <f aca="false">IF($A27="","",IFERROR(INDEX(Raw_Est!$E$2:$E$100,MATCH($A27,Raw_Est!$A$2:$A$100,0)),""))</f>
        <v/>
      </c>
      <c r="AN27" s="67" t="str">
        <f aca="false">IF($A27="","",IFERROR(INDEX(Raw_Price!$D$2:$D$100,MATCH($A27,Raw_Price!$A$2:$A$100,0)),""))</f>
        <v/>
      </c>
      <c r="AO27" s="67" t="str">
        <f aca="false">IF($A27="","",IFERROR(INDEX(Raw_Price!$E$2:$E$100,MATCH($A27,Raw_Price!$A$2:$A$100,0)),""))</f>
        <v/>
      </c>
      <c r="AP27" s="49" t="str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/>
      </c>
      <c r="AQ27" s="49" t="str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/>
      </c>
      <c r="AR27" s="49" t="str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/>
      </c>
      <c r="AS27" s="49" t="str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/>
      </c>
      <c r="AT27" s="49" t="str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/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2" customFormat="false" ht="15" hidden="false" customHeight="false" outlineLevel="0" collapsed="false">
      <c r="A32" s="25" t="s">
        <v>1437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1438</v>
      </c>
    </row>
    <row r="3" customFormat="false" ht="31.5" hidden="false" customHeight="true" outlineLevel="0" collapsed="false">
      <c r="A3" s="16" t="s">
        <v>1439</v>
      </c>
      <c r="B3" s="16" t="s">
        <v>1440</v>
      </c>
      <c r="C3" s="16" t="s">
        <v>1441</v>
      </c>
    </row>
    <row r="4" customFormat="false" ht="15" hidden="false" customHeight="false" outlineLevel="0" collapsed="false">
      <c r="A4" s="5" t="s">
        <v>1442</v>
      </c>
      <c r="B4" s="86" t="n">
        <v>24</v>
      </c>
      <c r="C4" s="25" t="s">
        <v>1443</v>
      </c>
    </row>
    <row r="5" customFormat="false" ht="15" hidden="false" customHeight="false" outlineLevel="0" collapsed="false">
      <c r="A5" s="5" t="s">
        <v>1444</v>
      </c>
      <c r="B5" s="86" t="n">
        <v>20</v>
      </c>
      <c r="C5" s="25" t="s">
        <v>1445</v>
      </c>
    </row>
    <row r="6" customFormat="false" ht="15" hidden="false" customHeight="false" outlineLevel="0" collapsed="false">
      <c r="A6" s="2" t="s">
        <v>1446</v>
      </c>
      <c r="B6" s="87" t="n">
        <v>0.05</v>
      </c>
      <c r="C6" s="24" t="s">
        <v>1447</v>
      </c>
    </row>
    <row r="7" customFormat="false" ht="15" hidden="false" customHeight="false" outlineLevel="0" collapsed="false">
      <c r="A7" s="5" t="s">
        <v>1448</v>
      </c>
      <c r="B7" s="86" t="n">
        <v>5</v>
      </c>
      <c r="C7" s="24" t="s">
        <v>1449</v>
      </c>
    </row>
    <row r="8" customFormat="false" ht="15" hidden="false" customHeight="false" outlineLevel="0" collapsed="false">
      <c r="A8" s="2" t="s">
        <v>1450</v>
      </c>
      <c r="B8" s="86" t="n">
        <v>365</v>
      </c>
      <c r="C8" s="25" t="s">
        <v>1451</v>
      </c>
    </row>
    <row r="9" customFormat="false" ht="15" hidden="false" customHeight="false" outlineLevel="0" collapsed="false">
      <c r="A9" s="5" t="s">
        <v>1452</v>
      </c>
      <c r="B9" s="87" t="n">
        <v>0.02</v>
      </c>
      <c r="C9" s="24" t="s">
        <v>1453</v>
      </c>
    </row>
    <row r="11" customFormat="false" ht="15" hidden="false" customHeight="false" outlineLevel="0" collapsed="false">
      <c r="A11" s="24" t="s">
        <v>1454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2026-09-16T11:58:03Z</dcterms:created>
  <dc:creator>openpyxl</dc:creator>
  <dc:description/>
  <dc:language>en-US</dc:language>
  <cp:lastModifiedBy/>
  <dcterms:modified xsi:type="dcterms:W3CDTF">2026-09-16T11:58:03Z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